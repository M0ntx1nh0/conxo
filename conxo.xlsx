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montxinho/Desktop/Teams/Conxo/"/>
    </mc:Choice>
  </mc:AlternateContent>
  <xr:revisionPtr revIDLastSave="0" documentId="13_ncr:1_{286C168A-2CF3-1F4A-9A73-809D3D760F89}" xr6:coauthVersionLast="47" xr6:coauthVersionMax="47" xr10:uidLastSave="{00000000-0000-0000-0000-000000000000}"/>
  <bookViews>
    <workbookView xWindow="460" yWindow="860" windowWidth="18960" windowHeight="23700" activeTab="4" xr2:uid="{9B9A4A1A-9398-1E41-81CE-4A1293BA6ABE}"/>
  </bookViews>
  <sheets>
    <sheet name="General" sheetId="1" r:id="rId1"/>
    <sheet name="Goles Favor Contra" sheetId="2" r:id="rId2"/>
    <sheet name="Tarjetas Amarillas" sheetId="3" r:id="rId3"/>
    <sheet name="Tarjetas Rojas" sheetId="28" r:id="rId4"/>
    <sheet name="Plantilla" sheetId="12" r:id="rId5"/>
    <sheet name="Equipos" sheetId="14" r:id="rId6"/>
    <sheet name="Td_Jugad_rank" sheetId="11" state="hidden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S461" i="1"/>
  <c r="U461" i="1" s="1"/>
  <c r="S462" i="1"/>
  <c r="AA462" i="1" s="1"/>
  <c r="AB462" i="1" s="1"/>
  <c r="Z462" i="1" s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Q416" i="1"/>
  <c r="S412" i="1"/>
  <c r="Q412" i="1" s="1"/>
  <c r="S396" i="1"/>
  <c r="Q396" i="1" s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S381" i="1"/>
  <c r="U381" i="1" s="1"/>
  <c r="S384" i="1"/>
  <c r="Q384" i="1" s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S366" i="1"/>
  <c r="U366" i="1" s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S348" i="1"/>
  <c r="Q348" i="1" s="1"/>
  <c r="S332" i="1"/>
  <c r="Q332" i="1" s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U317" i="1"/>
  <c r="U315" i="1"/>
  <c r="S316" i="1"/>
  <c r="Q316" i="1" s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K327" i="1"/>
  <c r="U327" i="1"/>
  <c r="S334" i="1" s="1"/>
  <c r="U334" i="1" s="1"/>
  <c r="Y327" i="1"/>
  <c r="AA327" i="1"/>
  <c r="AB327" i="1" s="1"/>
  <c r="Z327" i="1" s="1"/>
  <c r="K328" i="1"/>
  <c r="U328" i="1"/>
  <c r="Y328" i="1"/>
  <c r="AA328" i="1"/>
  <c r="AB328" i="1" s="1"/>
  <c r="Z328" i="1" s="1"/>
  <c r="K329" i="1"/>
  <c r="U329" i="1"/>
  <c r="Y329" i="1"/>
  <c r="AA329" i="1"/>
  <c r="AB329" i="1" s="1"/>
  <c r="Z329" i="1" s="1"/>
  <c r="K330" i="1"/>
  <c r="U330" i="1"/>
  <c r="S335" i="1" s="1"/>
  <c r="AA335" i="1" s="1"/>
  <c r="AB335" i="1" s="1"/>
  <c r="Z335" i="1" s="1"/>
  <c r="Y330" i="1"/>
  <c r="AA330" i="1"/>
  <c r="AB330" i="1" s="1"/>
  <c r="Z330" i="1" s="1"/>
  <c r="K331" i="1"/>
  <c r="U331" i="1"/>
  <c r="S336" i="1" s="1"/>
  <c r="Q336" i="1" s="1"/>
  <c r="Y331" i="1"/>
  <c r="AA331" i="1"/>
  <c r="AB331" i="1" s="1"/>
  <c r="Z331" i="1" s="1"/>
  <c r="K332" i="1"/>
  <c r="Y332" i="1"/>
  <c r="K333" i="1"/>
  <c r="Y333" i="1"/>
  <c r="K334" i="1"/>
  <c r="Y334" i="1"/>
  <c r="K335" i="1"/>
  <c r="Y335" i="1"/>
  <c r="K336" i="1"/>
  <c r="Y336" i="1"/>
  <c r="E337" i="1"/>
  <c r="K337" i="1"/>
  <c r="U337" i="1"/>
  <c r="Y337" i="1"/>
  <c r="AA337" i="1"/>
  <c r="AB337" i="1" s="1"/>
  <c r="Z337" i="1" s="1"/>
  <c r="K338" i="1"/>
  <c r="U338" i="1"/>
  <c r="S349" i="1" s="1"/>
  <c r="AA349" i="1" s="1"/>
  <c r="AB349" i="1" s="1"/>
  <c r="Z349" i="1" s="1"/>
  <c r="Y338" i="1"/>
  <c r="AA338" i="1"/>
  <c r="AB338" i="1" s="1"/>
  <c r="Z338" i="1" s="1"/>
  <c r="K339" i="1"/>
  <c r="U339" i="1"/>
  <c r="Y339" i="1"/>
  <c r="AA339" i="1"/>
  <c r="AB339" i="1" s="1"/>
  <c r="Z339" i="1" s="1"/>
  <c r="K340" i="1"/>
  <c r="U340" i="1"/>
  <c r="Y340" i="1"/>
  <c r="AA340" i="1"/>
  <c r="AB340" i="1" s="1"/>
  <c r="Z340" i="1" s="1"/>
  <c r="K341" i="1"/>
  <c r="U341" i="1"/>
  <c r="Y341" i="1"/>
  <c r="AA341" i="1"/>
  <c r="AB341" i="1" s="1"/>
  <c r="Z341" i="1" s="1"/>
  <c r="K342" i="1"/>
  <c r="U342" i="1"/>
  <c r="Y342" i="1"/>
  <c r="AA342" i="1"/>
  <c r="AB342" i="1" s="1"/>
  <c r="Z342" i="1" s="1"/>
  <c r="K343" i="1"/>
  <c r="U343" i="1"/>
  <c r="S351" i="1" s="1"/>
  <c r="U351" i="1" s="1"/>
  <c r="Y343" i="1"/>
  <c r="AA343" i="1"/>
  <c r="AB343" i="1" s="1"/>
  <c r="Z343" i="1" s="1"/>
  <c r="K344" i="1"/>
  <c r="U344" i="1"/>
  <c r="Y344" i="1"/>
  <c r="AA344" i="1"/>
  <c r="AB344" i="1" s="1"/>
  <c r="Z344" i="1" s="1"/>
  <c r="K345" i="1"/>
  <c r="U345" i="1"/>
  <c r="S352" i="1" s="1"/>
  <c r="Q352" i="1" s="1"/>
  <c r="Y345" i="1"/>
  <c r="AA345" i="1"/>
  <c r="AB345" i="1" s="1"/>
  <c r="Z345" i="1" s="1"/>
  <c r="K346" i="1"/>
  <c r="U346" i="1"/>
  <c r="Y346" i="1"/>
  <c r="AA346" i="1"/>
  <c r="AB346" i="1" s="1"/>
  <c r="Z346" i="1" s="1"/>
  <c r="K347" i="1"/>
  <c r="U347" i="1"/>
  <c r="S350" i="1" s="1"/>
  <c r="Q350" i="1" s="1"/>
  <c r="Y347" i="1"/>
  <c r="AA347" i="1"/>
  <c r="AB347" i="1" s="1"/>
  <c r="Z347" i="1" s="1"/>
  <c r="K348" i="1"/>
  <c r="Y348" i="1"/>
  <c r="K349" i="1"/>
  <c r="Y349" i="1"/>
  <c r="K350" i="1"/>
  <c r="Y350" i="1"/>
  <c r="K351" i="1"/>
  <c r="Y351" i="1"/>
  <c r="K352" i="1"/>
  <c r="Y352" i="1"/>
  <c r="E353" i="1"/>
  <c r="K353" i="1"/>
  <c r="U353" i="1"/>
  <c r="Y353" i="1"/>
  <c r="AA353" i="1"/>
  <c r="AB353" i="1" s="1"/>
  <c r="Z353" i="1" s="1"/>
  <c r="K354" i="1"/>
  <c r="U354" i="1"/>
  <c r="Y354" i="1"/>
  <c r="AA354" i="1"/>
  <c r="AB354" i="1" s="1"/>
  <c r="Z354" i="1" s="1"/>
  <c r="K355" i="1"/>
  <c r="U355" i="1"/>
  <c r="S368" i="1" s="1"/>
  <c r="U368" i="1" s="1"/>
  <c r="Y355" i="1"/>
  <c r="AA355" i="1"/>
  <c r="AB355" i="1" s="1"/>
  <c r="Z355" i="1" s="1"/>
  <c r="K356" i="1"/>
  <c r="U356" i="1"/>
  <c r="Y356" i="1"/>
  <c r="AA356" i="1"/>
  <c r="AB356" i="1" s="1"/>
  <c r="Z356" i="1" s="1"/>
  <c r="K357" i="1"/>
  <c r="U357" i="1"/>
  <c r="Y357" i="1"/>
  <c r="AA357" i="1"/>
  <c r="AB357" i="1" s="1"/>
  <c r="Z357" i="1" s="1"/>
  <c r="K358" i="1"/>
  <c r="U358" i="1"/>
  <c r="Y358" i="1"/>
  <c r="AA358" i="1"/>
  <c r="AB358" i="1" s="1"/>
  <c r="Z358" i="1" s="1"/>
  <c r="K359" i="1"/>
  <c r="U359" i="1"/>
  <c r="S365" i="1" s="1"/>
  <c r="U365" i="1" s="1"/>
  <c r="Y359" i="1"/>
  <c r="AA359" i="1"/>
  <c r="AB359" i="1" s="1"/>
  <c r="Z359" i="1" s="1"/>
  <c r="K360" i="1"/>
  <c r="U360" i="1"/>
  <c r="Y360" i="1"/>
  <c r="AA360" i="1"/>
  <c r="AB360" i="1" s="1"/>
  <c r="Z360" i="1" s="1"/>
  <c r="K361" i="1"/>
  <c r="U361" i="1"/>
  <c r="Y361" i="1"/>
  <c r="AA361" i="1"/>
  <c r="AB361" i="1" s="1"/>
  <c r="Z361" i="1" s="1"/>
  <c r="K362" i="1"/>
  <c r="U362" i="1"/>
  <c r="S367" i="1" s="1"/>
  <c r="U367" i="1" s="1"/>
  <c r="Y362" i="1"/>
  <c r="AA362" i="1"/>
  <c r="AB362" i="1" s="1"/>
  <c r="Z362" i="1" s="1"/>
  <c r="K363" i="1"/>
  <c r="U363" i="1"/>
  <c r="S364" i="1" s="1"/>
  <c r="U364" i="1" s="1"/>
  <c r="Y363" i="1"/>
  <c r="AA363" i="1"/>
  <c r="AB363" i="1" s="1"/>
  <c r="Z363" i="1" s="1"/>
  <c r="K364" i="1"/>
  <c r="Y364" i="1"/>
  <c r="K365" i="1"/>
  <c r="Y365" i="1"/>
  <c r="K366" i="1"/>
  <c r="Y366" i="1"/>
  <c r="K367" i="1"/>
  <c r="Y367" i="1"/>
  <c r="K368" i="1"/>
  <c r="Y368" i="1"/>
  <c r="E369" i="1"/>
  <c r="K369" i="1"/>
  <c r="U369" i="1"/>
  <c r="Y369" i="1"/>
  <c r="AA369" i="1"/>
  <c r="AB369" i="1" s="1"/>
  <c r="Z369" i="1" s="1"/>
  <c r="K370" i="1"/>
  <c r="U370" i="1"/>
  <c r="Y370" i="1"/>
  <c r="AA370" i="1"/>
  <c r="AB370" i="1" s="1"/>
  <c r="Z370" i="1" s="1"/>
  <c r="K371" i="1"/>
  <c r="U371" i="1"/>
  <c r="Y371" i="1"/>
  <c r="AA371" i="1"/>
  <c r="AB371" i="1" s="1"/>
  <c r="Z371" i="1" s="1"/>
  <c r="K372" i="1"/>
  <c r="U372" i="1"/>
  <c r="S383" i="1" s="1"/>
  <c r="Q383" i="1" s="1"/>
  <c r="Y372" i="1"/>
  <c r="AA372" i="1"/>
  <c r="AB372" i="1" s="1"/>
  <c r="Z372" i="1" s="1"/>
  <c r="K373" i="1"/>
  <c r="U373" i="1"/>
  <c r="Y373" i="1"/>
  <c r="AA373" i="1"/>
  <c r="AB373" i="1" s="1"/>
  <c r="Z373" i="1" s="1"/>
  <c r="K374" i="1"/>
  <c r="U374" i="1"/>
  <c r="Y374" i="1"/>
  <c r="AA374" i="1"/>
  <c r="AB374" i="1" s="1"/>
  <c r="Z374" i="1" s="1"/>
  <c r="K375" i="1"/>
  <c r="U375" i="1"/>
  <c r="Y375" i="1"/>
  <c r="AA375" i="1"/>
  <c r="AB375" i="1" s="1"/>
  <c r="Z375" i="1" s="1"/>
  <c r="K376" i="1"/>
  <c r="U376" i="1"/>
  <c r="Y376" i="1"/>
  <c r="AA376" i="1"/>
  <c r="AB376" i="1" s="1"/>
  <c r="Z376" i="1" s="1"/>
  <c r="K377" i="1"/>
  <c r="U377" i="1"/>
  <c r="S380" i="1" s="1"/>
  <c r="Q380" i="1" s="1"/>
  <c r="Y377" i="1"/>
  <c r="AA377" i="1"/>
  <c r="AB377" i="1" s="1"/>
  <c r="Z377" i="1" s="1"/>
  <c r="K378" i="1"/>
  <c r="U378" i="1"/>
  <c r="Y378" i="1"/>
  <c r="AA378" i="1"/>
  <c r="AB378" i="1" s="1"/>
  <c r="Z378" i="1" s="1"/>
  <c r="K379" i="1"/>
  <c r="U379" i="1"/>
  <c r="S382" i="1" s="1"/>
  <c r="AA382" i="1" s="1"/>
  <c r="AB382" i="1" s="1"/>
  <c r="Z382" i="1" s="1"/>
  <c r="Y379" i="1"/>
  <c r="AA379" i="1"/>
  <c r="AB379" i="1" s="1"/>
  <c r="Z379" i="1" s="1"/>
  <c r="K380" i="1"/>
  <c r="Y380" i="1"/>
  <c r="K381" i="1"/>
  <c r="Y381" i="1"/>
  <c r="K382" i="1"/>
  <c r="Y382" i="1"/>
  <c r="K383" i="1"/>
  <c r="Y383" i="1"/>
  <c r="K384" i="1"/>
  <c r="Y384" i="1"/>
  <c r="E385" i="1"/>
  <c r="K385" i="1"/>
  <c r="U385" i="1"/>
  <c r="Y385" i="1"/>
  <c r="AA385" i="1"/>
  <c r="AB385" i="1" s="1"/>
  <c r="Z385" i="1" s="1"/>
  <c r="K386" i="1"/>
  <c r="U386" i="1"/>
  <c r="S399" i="1" s="1"/>
  <c r="Q399" i="1" s="1"/>
  <c r="Y386" i="1"/>
  <c r="AA386" i="1"/>
  <c r="AB386" i="1" s="1"/>
  <c r="Z386" i="1" s="1"/>
  <c r="K387" i="1"/>
  <c r="U387" i="1"/>
  <c r="Y387" i="1"/>
  <c r="AA387" i="1"/>
  <c r="AB387" i="1" s="1"/>
  <c r="Z387" i="1" s="1"/>
  <c r="K388" i="1"/>
  <c r="U388" i="1"/>
  <c r="Y388" i="1"/>
  <c r="AA388" i="1"/>
  <c r="AB388" i="1" s="1"/>
  <c r="Z388" i="1" s="1"/>
  <c r="K389" i="1"/>
  <c r="U389" i="1"/>
  <c r="Y389" i="1"/>
  <c r="AA389" i="1"/>
  <c r="AB389" i="1" s="1"/>
  <c r="Z389" i="1" s="1"/>
  <c r="K390" i="1"/>
  <c r="U390" i="1"/>
  <c r="Y390" i="1"/>
  <c r="AA390" i="1"/>
  <c r="AB390" i="1" s="1"/>
  <c r="Z390" i="1" s="1"/>
  <c r="K391" i="1"/>
  <c r="U391" i="1"/>
  <c r="S397" i="1" s="1"/>
  <c r="U397" i="1" s="1"/>
  <c r="Y391" i="1"/>
  <c r="AA391" i="1"/>
  <c r="AB391" i="1" s="1"/>
  <c r="Z391" i="1" s="1"/>
  <c r="K392" i="1"/>
  <c r="U392" i="1"/>
  <c r="Y392" i="1"/>
  <c r="AA392" i="1"/>
  <c r="AB392" i="1" s="1"/>
  <c r="Z392" i="1" s="1"/>
  <c r="K393" i="1"/>
  <c r="U393" i="1"/>
  <c r="S400" i="1" s="1"/>
  <c r="Q400" i="1" s="1"/>
  <c r="Y393" i="1"/>
  <c r="AA393" i="1"/>
  <c r="AB393" i="1" s="1"/>
  <c r="Z393" i="1" s="1"/>
  <c r="K394" i="1"/>
  <c r="U394" i="1"/>
  <c r="Y394" i="1"/>
  <c r="AA394" i="1"/>
  <c r="AB394" i="1" s="1"/>
  <c r="Z394" i="1" s="1"/>
  <c r="K395" i="1"/>
  <c r="U395" i="1"/>
  <c r="S398" i="1" s="1"/>
  <c r="AA398" i="1" s="1"/>
  <c r="AB398" i="1" s="1"/>
  <c r="Z398" i="1" s="1"/>
  <c r="Y395" i="1"/>
  <c r="AA395" i="1"/>
  <c r="AB395" i="1" s="1"/>
  <c r="Z395" i="1" s="1"/>
  <c r="K396" i="1"/>
  <c r="Y396" i="1"/>
  <c r="K397" i="1"/>
  <c r="Y397" i="1"/>
  <c r="K398" i="1"/>
  <c r="Y398" i="1"/>
  <c r="K399" i="1"/>
  <c r="Y399" i="1"/>
  <c r="K400" i="1"/>
  <c r="Y400" i="1"/>
  <c r="E401" i="1"/>
  <c r="K401" i="1"/>
  <c r="U401" i="1"/>
  <c r="Y401" i="1"/>
  <c r="AA401" i="1"/>
  <c r="AB401" i="1" s="1"/>
  <c r="Z401" i="1" s="1"/>
  <c r="K402" i="1"/>
  <c r="U402" i="1"/>
  <c r="Y402" i="1"/>
  <c r="AA402" i="1"/>
  <c r="AB402" i="1" s="1"/>
  <c r="Z402" i="1" s="1"/>
  <c r="K403" i="1"/>
  <c r="U403" i="1"/>
  <c r="Y403" i="1"/>
  <c r="AA403" i="1"/>
  <c r="AB403" i="1" s="1"/>
  <c r="Z403" i="1" s="1"/>
  <c r="K404" i="1"/>
  <c r="U404" i="1"/>
  <c r="Y404" i="1"/>
  <c r="AA404" i="1"/>
  <c r="AB404" i="1" s="1"/>
  <c r="Z404" i="1" s="1"/>
  <c r="K405" i="1"/>
  <c r="U405" i="1"/>
  <c r="Y405" i="1"/>
  <c r="AA405" i="1"/>
  <c r="AB405" i="1" s="1"/>
  <c r="Z405" i="1" s="1"/>
  <c r="K406" i="1"/>
  <c r="U406" i="1"/>
  <c r="Y406" i="1"/>
  <c r="AA406" i="1"/>
  <c r="AB406" i="1" s="1"/>
  <c r="Z406" i="1" s="1"/>
  <c r="K407" i="1"/>
  <c r="U407" i="1"/>
  <c r="S413" i="1" s="1"/>
  <c r="AA413" i="1" s="1"/>
  <c r="AB413" i="1" s="1"/>
  <c r="Z413" i="1" s="1"/>
  <c r="Y407" i="1"/>
  <c r="AA407" i="1"/>
  <c r="AB407" i="1" s="1"/>
  <c r="Z407" i="1" s="1"/>
  <c r="K408" i="1"/>
  <c r="U408" i="1"/>
  <c r="Y408" i="1"/>
  <c r="AA408" i="1"/>
  <c r="AB408" i="1" s="1"/>
  <c r="Z408" i="1" s="1"/>
  <c r="K409" i="1"/>
  <c r="U409" i="1"/>
  <c r="S415" i="1" s="1"/>
  <c r="U415" i="1" s="1"/>
  <c r="Y409" i="1"/>
  <c r="AA409" i="1"/>
  <c r="AB409" i="1" s="1"/>
  <c r="Z409" i="1" s="1"/>
  <c r="K410" i="1"/>
  <c r="U410" i="1"/>
  <c r="Y410" i="1"/>
  <c r="AA410" i="1"/>
  <c r="AB410" i="1" s="1"/>
  <c r="Z410" i="1" s="1"/>
  <c r="K411" i="1"/>
  <c r="U411" i="1"/>
  <c r="S414" i="1" s="1"/>
  <c r="Q414" i="1" s="1"/>
  <c r="Y411" i="1"/>
  <c r="AA411" i="1"/>
  <c r="AB411" i="1" s="1"/>
  <c r="Z411" i="1" s="1"/>
  <c r="K412" i="1"/>
  <c r="Y412" i="1"/>
  <c r="K413" i="1"/>
  <c r="Y413" i="1"/>
  <c r="K414" i="1"/>
  <c r="Y414" i="1"/>
  <c r="K415" i="1"/>
  <c r="Y415" i="1"/>
  <c r="K416" i="1"/>
  <c r="Y416" i="1"/>
  <c r="E417" i="1"/>
  <c r="K417" i="1"/>
  <c r="U417" i="1"/>
  <c r="Y417" i="1"/>
  <c r="AA417" i="1"/>
  <c r="AB417" i="1" s="1"/>
  <c r="Z417" i="1" s="1"/>
  <c r="K418" i="1"/>
  <c r="U418" i="1"/>
  <c r="Y418" i="1"/>
  <c r="AA418" i="1"/>
  <c r="AB418" i="1" s="1"/>
  <c r="Z418" i="1" s="1"/>
  <c r="K419" i="1"/>
  <c r="U419" i="1"/>
  <c r="Y419" i="1"/>
  <c r="AA419" i="1"/>
  <c r="AB419" i="1" s="1"/>
  <c r="Z419" i="1" s="1"/>
  <c r="K420" i="1"/>
  <c r="U420" i="1"/>
  <c r="Y420" i="1"/>
  <c r="AA420" i="1"/>
  <c r="AB420" i="1" s="1"/>
  <c r="Z420" i="1" s="1"/>
  <c r="K421" i="1"/>
  <c r="U421" i="1"/>
  <c r="S430" i="1" s="1"/>
  <c r="AA430" i="1" s="1"/>
  <c r="AB430" i="1" s="1"/>
  <c r="Z430" i="1" s="1"/>
  <c r="Y421" i="1"/>
  <c r="AA421" i="1"/>
  <c r="AB421" i="1" s="1"/>
  <c r="Z421" i="1" s="1"/>
  <c r="K422" i="1"/>
  <c r="U422" i="1"/>
  <c r="Y422" i="1"/>
  <c r="AA422" i="1"/>
  <c r="AB422" i="1" s="1"/>
  <c r="Z422" i="1" s="1"/>
  <c r="K423" i="1"/>
  <c r="U423" i="1"/>
  <c r="S432" i="1" s="1"/>
  <c r="AA432" i="1" s="1"/>
  <c r="AB432" i="1" s="1"/>
  <c r="Z432" i="1" s="1"/>
  <c r="Y423" i="1"/>
  <c r="AA423" i="1"/>
  <c r="AB423" i="1" s="1"/>
  <c r="Z423" i="1" s="1"/>
  <c r="K424" i="1"/>
  <c r="U424" i="1"/>
  <c r="Y424" i="1"/>
  <c r="AA424" i="1"/>
  <c r="AB424" i="1" s="1"/>
  <c r="Z424" i="1" s="1"/>
  <c r="K425" i="1"/>
  <c r="U425" i="1"/>
  <c r="S429" i="1" s="1"/>
  <c r="U429" i="1" s="1"/>
  <c r="Y425" i="1"/>
  <c r="AA425" i="1"/>
  <c r="AB425" i="1" s="1"/>
  <c r="Z425" i="1" s="1"/>
  <c r="K426" i="1"/>
  <c r="U426" i="1"/>
  <c r="S428" i="1" s="1"/>
  <c r="Q428" i="1" s="1"/>
  <c r="Y426" i="1"/>
  <c r="AA426" i="1"/>
  <c r="AB426" i="1" s="1"/>
  <c r="Z426" i="1" s="1"/>
  <c r="K427" i="1"/>
  <c r="U427" i="1"/>
  <c r="S431" i="1" s="1"/>
  <c r="Q431" i="1" s="1"/>
  <c r="Y427" i="1"/>
  <c r="AA427" i="1"/>
  <c r="AB427" i="1" s="1"/>
  <c r="Z427" i="1" s="1"/>
  <c r="K428" i="1"/>
  <c r="Y428" i="1"/>
  <c r="K429" i="1"/>
  <c r="Y429" i="1"/>
  <c r="K430" i="1"/>
  <c r="Y430" i="1"/>
  <c r="K431" i="1"/>
  <c r="Y431" i="1"/>
  <c r="K432" i="1"/>
  <c r="Y432" i="1"/>
  <c r="E433" i="1"/>
  <c r="K433" i="1"/>
  <c r="U433" i="1"/>
  <c r="Y433" i="1"/>
  <c r="AA433" i="1"/>
  <c r="AB433" i="1" s="1"/>
  <c r="Z433" i="1" s="1"/>
  <c r="K434" i="1"/>
  <c r="U434" i="1"/>
  <c r="S444" i="1" s="1"/>
  <c r="Q444" i="1" s="1"/>
  <c r="Y434" i="1"/>
  <c r="AA434" i="1"/>
  <c r="AB434" i="1" s="1"/>
  <c r="Z434" i="1" s="1"/>
  <c r="K435" i="1"/>
  <c r="U435" i="1"/>
  <c r="Y435" i="1"/>
  <c r="AA435" i="1"/>
  <c r="AB435" i="1" s="1"/>
  <c r="Z435" i="1" s="1"/>
  <c r="K436" i="1"/>
  <c r="U436" i="1"/>
  <c r="Y436" i="1"/>
  <c r="AA436" i="1"/>
  <c r="AB436" i="1" s="1"/>
  <c r="Z436" i="1" s="1"/>
  <c r="K437" i="1"/>
  <c r="U437" i="1"/>
  <c r="Y437" i="1"/>
  <c r="AA437" i="1"/>
  <c r="AB437" i="1" s="1"/>
  <c r="Z437" i="1" s="1"/>
  <c r="K438" i="1"/>
  <c r="U438" i="1"/>
  <c r="Y438" i="1"/>
  <c r="AA438" i="1"/>
  <c r="AB438" i="1" s="1"/>
  <c r="Z438" i="1" s="1"/>
  <c r="K439" i="1"/>
  <c r="U439" i="1"/>
  <c r="S447" i="1" s="1"/>
  <c r="AA447" i="1" s="1"/>
  <c r="AB447" i="1" s="1"/>
  <c r="Z447" i="1" s="1"/>
  <c r="Y439" i="1"/>
  <c r="AA439" i="1"/>
  <c r="AB439" i="1" s="1"/>
  <c r="Z439" i="1" s="1"/>
  <c r="K440" i="1"/>
  <c r="U440" i="1"/>
  <c r="Y440" i="1"/>
  <c r="AA440" i="1"/>
  <c r="AB440" i="1" s="1"/>
  <c r="Z440" i="1" s="1"/>
  <c r="K441" i="1"/>
  <c r="U441" i="1"/>
  <c r="S448" i="1" s="1"/>
  <c r="U448" i="1" s="1"/>
  <c r="Y441" i="1"/>
  <c r="AA441" i="1"/>
  <c r="AB441" i="1" s="1"/>
  <c r="Z441" i="1" s="1"/>
  <c r="K442" i="1"/>
  <c r="U442" i="1"/>
  <c r="S446" i="1" s="1"/>
  <c r="U446" i="1" s="1"/>
  <c r="Y442" i="1"/>
  <c r="AA442" i="1"/>
  <c r="AB442" i="1" s="1"/>
  <c r="Z442" i="1" s="1"/>
  <c r="K443" i="1"/>
  <c r="U443" i="1"/>
  <c r="S445" i="1" s="1"/>
  <c r="Q445" i="1" s="1"/>
  <c r="Y443" i="1"/>
  <c r="AA443" i="1"/>
  <c r="AB443" i="1" s="1"/>
  <c r="Z443" i="1" s="1"/>
  <c r="K444" i="1"/>
  <c r="Y444" i="1"/>
  <c r="K445" i="1"/>
  <c r="Y445" i="1"/>
  <c r="K446" i="1"/>
  <c r="Y446" i="1"/>
  <c r="K447" i="1"/>
  <c r="Y447" i="1"/>
  <c r="K448" i="1"/>
  <c r="Y448" i="1"/>
  <c r="E449" i="1"/>
  <c r="K449" i="1"/>
  <c r="U449" i="1"/>
  <c r="Y449" i="1"/>
  <c r="AA449" i="1"/>
  <c r="AB449" i="1" s="1"/>
  <c r="Z449" i="1" s="1"/>
  <c r="K450" i="1"/>
  <c r="U450" i="1"/>
  <c r="Y450" i="1"/>
  <c r="AA450" i="1"/>
  <c r="AB450" i="1" s="1"/>
  <c r="Z450" i="1" s="1"/>
  <c r="K451" i="1"/>
  <c r="U451" i="1"/>
  <c r="Y451" i="1"/>
  <c r="AA451" i="1"/>
  <c r="AB451" i="1" s="1"/>
  <c r="Z451" i="1" s="1"/>
  <c r="K452" i="1"/>
  <c r="U452" i="1"/>
  <c r="Y452" i="1"/>
  <c r="AA452" i="1"/>
  <c r="AB452" i="1" s="1"/>
  <c r="Z452" i="1" s="1"/>
  <c r="K453" i="1"/>
  <c r="U453" i="1"/>
  <c r="Y453" i="1"/>
  <c r="AA453" i="1"/>
  <c r="AB453" i="1" s="1"/>
  <c r="Z453" i="1" s="1"/>
  <c r="K454" i="1"/>
  <c r="U454" i="1"/>
  <c r="Y454" i="1"/>
  <c r="AA454" i="1"/>
  <c r="AB454" i="1" s="1"/>
  <c r="Z454" i="1" s="1"/>
  <c r="K455" i="1"/>
  <c r="U455" i="1"/>
  <c r="S463" i="1" s="1"/>
  <c r="Q463" i="1" s="1"/>
  <c r="Y455" i="1"/>
  <c r="AA455" i="1"/>
  <c r="AB455" i="1" s="1"/>
  <c r="Z455" i="1" s="1"/>
  <c r="K456" i="1"/>
  <c r="U456" i="1"/>
  <c r="Y456" i="1"/>
  <c r="AA456" i="1"/>
  <c r="AB456" i="1" s="1"/>
  <c r="Z456" i="1" s="1"/>
  <c r="K457" i="1"/>
  <c r="U457" i="1"/>
  <c r="Y457" i="1"/>
  <c r="AA457" i="1"/>
  <c r="AB457" i="1" s="1"/>
  <c r="Z457" i="1" s="1"/>
  <c r="K458" i="1"/>
  <c r="U458" i="1"/>
  <c r="Y458" i="1"/>
  <c r="AA458" i="1"/>
  <c r="AB458" i="1" s="1"/>
  <c r="Z458" i="1" s="1"/>
  <c r="K459" i="1"/>
  <c r="U459" i="1"/>
  <c r="S460" i="1" s="1"/>
  <c r="Q460" i="1" s="1"/>
  <c r="Y459" i="1"/>
  <c r="AA459" i="1"/>
  <c r="AB459" i="1" s="1"/>
  <c r="Z459" i="1" s="1"/>
  <c r="K460" i="1"/>
  <c r="Y460" i="1"/>
  <c r="K461" i="1"/>
  <c r="Y461" i="1"/>
  <c r="K462" i="1"/>
  <c r="Y462" i="1"/>
  <c r="K463" i="1"/>
  <c r="Y463" i="1"/>
  <c r="E464" i="1"/>
  <c r="K464" i="1"/>
  <c r="U464" i="1"/>
  <c r="Y464" i="1"/>
  <c r="AA464" i="1"/>
  <c r="AB464" i="1" s="1"/>
  <c r="Z464" i="1" s="1"/>
  <c r="K465" i="1"/>
  <c r="U465" i="1"/>
  <c r="Y465" i="1"/>
  <c r="AA465" i="1"/>
  <c r="AB465" i="1" s="1"/>
  <c r="Z465" i="1" s="1"/>
  <c r="K466" i="1"/>
  <c r="U466" i="1"/>
  <c r="Y466" i="1"/>
  <c r="AA466" i="1"/>
  <c r="AB466" i="1" s="1"/>
  <c r="Z466" i="1" s="1"/>
  <c r="K467" i="1"/>
  <c r="U467" i="1"/>
  <c r="Y467" i="1"/>
  <c r="AA467" i="1"/>
  <c r="AB467" i="1" s="1"/>
  <c r="Z467" i="1" s="1"/>
  <c r="K468" i="1"/>
  <c r="U468" i="1"/>
  <c r="Y468" i="1"/>
  <c r="AA468" i="1"/>
  <c r="AB468" i="1" s="1"/>
  <c r="Z468" i="1" s="1"/>
  <c r="K469" i="1"/>
  <c r="U469" i="1"/>
  <c r="Y469" i="1"/>
  <c r="AA469" i="1"/>
  <c r="AB469" i="1" s="1"/>
  <c r="Z469" i="1" s="1"/>
  <c r="K470" i="1"/>
  <c r="U470" i="1"/>
  <c r="Y470" i="1"/>
  <c r="AA470" i="1"/>
  <c r="AB470" i="1" s="1"/>
  <c r="Z470" i="1" s="1"/>
  <c r="K471" i="1"/>
  <c r="U471" i="1"/>
  <c r="Y471" i="1"/>
  <c r="AA471" i="1"/>
  <c r="AB471" i="1" s="1"/>
  <c r="Z471" i="1" s="1"/>
  <c r="K472" i="1"/>
  <c r="U472" i="1"/>
  <c r="Y472" i="1"/>
  <c r="AA472" i="1"/>
  <c r="AB472" i="1" s="1"/>
  <c r="Z472" i="1" s="1"/>
  <c r="K473" i="1"/>
  <c r="U473" i="1"/>
  <c r="S478" i="1" s="1"/>
  <c r="Y473" i="1"/>
  <c r="AA473" i="1"/>
  <c r="AB473" i="1" s="1"/>
  <c r="Z473" i="1" s="1"/>
  <c r="K474" i="1"/>
  <c r="U474" i="1"/>
  <c r="Y474" i="1"/>
  <c r="AA474" i="1"/>
  <c r="AB474" i="1" s="1"/>
  <c r="Z474" i="1" s="1"/>
  <c r="K475" i="1"/>
  <c r="S475" i="1"/>
  <c r="Y475" i="1"/>
  <c r="K476" i="1"/>
  <c r="S476" i="1"/>
  <c r="Y476" i="1"/>
  <c r="K477" i="1"/>
  <c r="S477" i="1"/>
  <c r="Y477" i="1"/>
  <c r="K478" i="1"/>
  <c r="Y478" i="1"/>
  <c r="K479" i="1"/>
  <c r="S479" i="1"/>
  <c r="Y479" i="1"/>
  <c r="S300" i="1"/>
  <c r="Q300" i="1" s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S284" i="1"/>
  <c r="Q284" i="1" s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S268" i="1"/>
  <c r="Q268" i="1" s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S252" i="1"/>
  <c r="Q252" i="1" s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S204" i="1"/>
  <c r="Q204" i="1" s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S188" i="1"/>
  <c r="Q188" i="1" s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S156" i="1"/>
  <c r="Q156" i="1" s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S140" i="1"/>
  <c r="Q140" i="1" s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Q112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S77" i="1"/>
  <c r="Q77" i="1" s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Q479" i="1" l="1"/>
  <c r="U479" i="1"/>
  <c r="AA479" i="1"/>
  <c r="AB479" i="1" s="1"/>
  <c r="Z479" i="1" s="1"/>
  <c r="AA477" i="1"/>
  <c r="AB477" i="1" s="1"/>
  <c r="Z477" i="1" s="1"/>
  <c r="Q477" i="1"/>
  <c r="U477" i="1"/>
  <c r="U475" i="1"/>
  <c r="Q475" i="1"/>
  <c r="AA475" i="1"/>
  <c r="AB475" i="1" s="1"/>
  <c r="Z475" i="1" s="1"/>
  <c r="U478" i="1"/>
  <c r="Q478" i="1"/>
  <c r="AA478" i="1"/>
  <c r="AB478" i="1" s="1"/>
  <c r="Z478" i="1" s="1"/>
  <c r="U476" i="1"/>
  <c r="Q476" i="1"/>
  <c r="AA476" i="1"/>
  <c r="AB476" i="1" s="1"/>
  <c r="Z476" i="1" s="1"/>
  <c r="U462" i="1"/>
  <c r="AA460" i="1"/>
  <c r="AB460" i="1" s="1"/>
  <c r="Z460" i="1" s="1"/>
  <c r="Q461" i="1"/>
  <c r="AA463" i="1"/>
  <c r="AB463" i="1" s="1"/>
  <c r="Z463" i="1" s="1"/>
  <c r="U460" i="1"/>
  <c r="Q462" i="1"/>
  <c r="U463" i="1"/>
  <c r="AA461" i="1"/>
  <c r="AB461" i="1" s="1"/>
  <c r="Z461" i="1" s="1"/>
  <c r="U445" i="1"/>
  <c r="AA446" i="1"/>
  <c r="AB446" i="1" s="1"/>
  <c r="Z446" i="1" s="1"/>
  <c r="AA444" i="1"/>
  <c r="AB444" i="1" s="1"/>
  <c r="Z444" i="1" s="1"/>
  <c r="Q446" i="1"/>
  <c r="U447" i="1"/>
  <c r="AA448" i="1"/>
  <c r="AB448" i="1" s="1"/>
  <c r="Z448" i="1" s="1"/>
  <c r="Q447" i="1"/>
  <c r="U444" i="1"/>
  <c r="Q448" i="1"/>
  <c r="AA445" i="1"/>
  <c r="AB445" i="1" s="1"/>
  <c r="Z445" i="1" s="1"/>
  <c r="U432" i="1"/>
  <c r="Q432" i="1"/>
  <c r="U430" i="1"/>
  <c r="U428" i="1"/>
  <c r="Q429" i="1"/>
  <c r="AA431" i="1"/>
  <c r="AB431" i="1" s="1"/>
  <c r="Z431" i="1" s="1"/>
  <c r="AA429" i="1"/>
  <c r="AB429" i="1" s="1"/>
  <c r="Z429" i="1" s="1"/>
  <c r="Q430" i="1"/>
  <c r="U431" i="1"/>
  <c r="AA428" i="1"/>
  <c r="AB428" i="1" s="1"/>
  <c r="Z428" i="1" s="1"/>
  <c r="AA414" i="1"/>
  <c r="AB414" i="1" s="1"/>
  <c r="Z414" i="1" s="1"/>
  <c r="Q413" i="1"/>
  <c r="U414" i="1"/>
  <c r="AA412" i="1"/>
  <c r="AB412" i="1" s="1"/>
  <c r="Z412" i="1" s="1"/>
  <c r="U413" i="1"/>
  <c r="AA415" i="1"/>
  <c r="AB415" i="1" s="1"/>
  <c r="Z415" i="1" s="1"/>
  <c r="U412" i="1"/>
  <c r="Q415" i="1"/>
  <c r="AA416" i="1"/>
  <c r="AB416" i="1" s="1"/>
  <c r="Z416" i="1" s="1"/>
  <c r="Q397" i="1"/>
  <c r="U400" i="1"/>
  <c r="U398" i="1"/>
  <c r="U396" i="1"/>
  <c r="AA399" i="1"/>
  <c r="AB399" i="1" s="1"/>
  <c r="Z399" i="1" s="1"/>
  <c r="AA397" i="1"/>
  <c r="AB397" i="1" s="1"/>
  <c r="Z397" i="1" s="1"/>
  <c r="Q398" i="1"/>
  <c r="U399" i="1"/>
  <c r="AA400" i="1"/>
  <c r="AB400" i="1" s="1"/>
  <c r="Z400" i="1" s="1"/>
  <c r="AA396" i="1"/>
  <c r="AB396" i="1" s="1"/>
  <c r="Z396" i="1" s="1"/>
  <c r="Q381" i="1"/>
  <c r="U382" i="1"/>
  <c r="AA380" i="1"/>
  <c r="AB380" i="1" s="1"/>
  <c r="Z380" i="1" s="1"/>
  <c r="AA383" i="1"/>
  <c r="AB383" i="1" s="1"/>
  <c r="Z383" i="1" s="1"/>
  <c r="Q382" i="1"/>
  <c r="U383" i="1"/>
  <c r="AA381" i="1"/>
  <c r="AB381" i="1" s="1"/>
  <c r="Z381" i="1" s="1"/>
  <c r="U384" i="1"/>
  <c r="U380" i="1"/>
  <c r="AA384" i="1"/>
  <c r="AB384" i="1" s="1"/>
  <c r="Z384" i="1" s="1"/>
  <c r="AA366" i="1"/>
  <c r="AB366" i="1" s="1"/>
  <c r="Z366" i="1" s="1"/>
  <c r="AA368" i="1"/>
  <c r="AB368" i="1" s="1"/>
  <c r="Z368" i="1" s="1"/>
  <c r="AA367" i="1"/>
  <c r="AB367" i="1" s="1"/>
  <c r="Z367" i="1" s="1"/>
  <c r="Q368" i="1"/>
  <c r="AA364" i="1"/>
  <c r="AB364" i="1" s="1"/>
  <c r="Z364" i="1" s="1"/>
  <c r="Q364" i="1"/>
  <c r="Q365" i="1"/>
  <c r="Q366" i="1"/>
  <c r="Q367" i="1"/>
  <c r="AA365" i="1"/>
  <c r="AB365" i="1" s="1"/>
  <c r="Z365" i="1" s="1"/>
  <c r="U352" i="1"/>
  <c r="AA350" i="1"/>
  <c r="AB350" i="1" s="1"/>
  <c r="Z350" i="1" s="1"/>
  <c r="Q349" i="1"/>
  <c r="U349" i="1"/>
  <c r="U350" i="1"/>
  <c r="AA348" i="1"/>
  <c r="AB348" i="1" s="1"/>
  <c r="Z348" i="1" s="1"/>
  <c r="AA351" i="1"/>
  <c r="AB351" i="1" s="1"/>
  <c r="Z351" i="1" s="1"/>
  <c r="U348" i="1"/>
  <c r="Q351" i="1"/>
  <c r="AA352" i="1"/>
  <c r="AB352" i="1" s="1"/>
  <c r="Z352" i="1" s="1"/>
  <c r="U335" i="1"/>
  <c r="AA336" i="1"/>
  <c r="AB336" i="1" s="1"/>
  <c r="Z336" i="1" s="1"/>
  <c r="AA334" i="1"/>
  <c r="AB334" i="1" s="1"/>
  <c r="Z334" i="1" s="1"/>
  <c r="Q334" i="1"/>
  <c r="Q335" i="1"/>
  <c r="U336" i="1"/>
  <c r="AA332" i="1"/>
  <c r="AB332" i="1" s="1"/>
  <c r="Z332" i="1" s="1"/>
  <c r="U332" i="1"/>
  <c r="Q128" i="1"/>
  <c r="U34" i="1"/>
  <c r="U35" i="1"/>
  <c r="U36" i="1"/>
  <c r="U37" i="1"/>
  <c r="U38" i="1"/>
  <c r="U39" i="1"/>
  <c r="U40" i="1"/>
  <c r="U41" i="1"/>
  <c r="U42" i="1"/>
  <c r="U43" i="1"/>
  <c r="U44" i="1"/>
  <c r="U50" i="1"/>
  <c r="U51" i="1"/>
  <c r="U52" i="1"/>
  <c r="U53" i="1"/>
  <c r="U54" i="1"/>
  <c r="U55" i="1"/>
  <c r="U56" i="1"/>
  <c r="U57" i="1"/>
  <c r="U58" i="1"/>
  <c r="U59" i="1"/>
  <c r="U60" i="1"/>
  <c r="U66" i="1"/>
  <c r="U67" i="1"/>
  <c r="U68" i="1"/>
  <c r="U69" i="1"/>
  <c r="U70" i="1"/>
  <c r="U71" i="1"/>
  <c r="U72" i="1"/>
  <c r="S79" i="1" s="1"/>
  <c r="Q79" i="1" s="1"/>
  <c r="U73" i="1"/>
  <c r="S78" i="1" s="1"/>
  <c r="Q78" i="1" s="1"/>
  <c r="U74" i="1"/>
  <c r="U75" i="1"/>
  <c r="S81" i="1" s="1"/>
  <c r="Q81" i="1" s="1"/>
  <c r="U76" i="1"/>
  <c r="S80" i="1" s="1"/>
  <c r="Q80" i="1" s="1"/>
  <c r="U77" i="1"/>
  <c r="U82" i="1"/>
  <c r="U83" i="1"/>
  <c r="U84" i="1"/>
  <c r="U85" i="1"/>
  <c r="U86" i="1"/>
  <c r="S93" i="1" s="1"/>
  <c r="Q93" i="1" s="1"/>
  <c r="U87" i="1"/>
  <c r="U88" i="1"/>
  <c r="S94" i="1" s="1"/>
  <c r="Q94" i="1" s="1"/>
  <c r="U89" i="1"/>
  <c r="S95" i="1" s="1"/>
  <c r="Q95" i="1" s="1"/>
  <c r="U90" i="1"/>
  <c r="U91" i="1"/>
  <c r="S96" i="1" s="1"/>
  <c r="Q96" i="1" s="1"/>
  <c r="U92" i="1"/>
  <c r="U97" i="1"/>
  <c r="U98" i="1"/>
  <c r="U99" i="1"/>
  <c r="U100" i="1"/>
  <c r="U101" i="1"/>
  <c r="S110" i="1" s="1"/>
  <c r="U110" i="1" s="1"/>
  <c r="U102" i="1"/>
  <c r="U103" i="1"/>
  <c r="U104" i="1"/>
  <c r="S111" i="1" s="1"/>
  <c r="U105" i="1"/>
  <c r="U106" i="1"/>
  <c r="S109" i="1" s="1"/>
  <c r="U107" i="1"/>
  <c r="U113" i="1"/>
  <c r="U114" i="1"/>
  <c r="U115" i="1"/>
  <c r="U116" i="1"/>
  <c r="U117" i="1"/>
  <c r="U118" i="1"/>
  <c r="U119" i="1"/>
  <c r="Q124" i="1" s="1"/>
  <c r="U120" i="1"/>
  <c r="U121" i="1"/>
  <c r="Q127" i="1" s="1"/>
  <c r="U122" i="1"/>
  <c r="Q125" i="1" s="1"/>
  <c r="U123" i="1"/>
  <c r="Q126" i="1" s="1"/>
  <c r="U128" i="1"/>
  <c r="U129" i="1"/>
  <c r="U130" i="1"/>
  <c r="U131" i="1"/>
  <c r="U132" i="1"/>
  <c r="S144" i="1" s="1"/>
  <c r="Q144" i="1" s="1"/>
  <c r="U133" i="1"/>
  <c r="U134" i="1"/>
  <c r="U135" i="1"/>
  <c r="U136" i="1"/>
  <c r="U137" i="1"/>
  <c r="S141" i="1" s="1"/>
  <c r="Q141" i="1" s="1"/>
  <c r="U138" i="1"/>
  <c r="S142" i="1" s="1"/>
  <c r="Q142" i="1" s="1"/>
  <c r="U139" i="1"/>
  <c r="S143" i="1" s="1"/>
  <c r="Q143" i="1" s="1"/>
  <c r="U140" i="1"/>
  <c r="U145" i="1"/>
  <c r="U146" i="1"/>
  <c r="S159" i="1" s="1"/>
  <c r="Q159" i="1" s="1"/>
  <c r="U147" i="1"/>
  <c r="U148" i="1"/>
  <c r="U149" i="1"/>
  <c r="U150" i="1"/>
  <c r="S158" i="1" s="1"/>
  <c r="Q158" i="1" s="1"/>
  <c r="U151" i="1"/>
  <c r="S157" i="1" s="1"/>
  <c r="Q157" i="1" s="1"/>
  <c r="U152" i="1"/>
  <c r="U153" i="1"/>
  <c r="U154" i="1"/>
  <c r="U155" i="1"/>
  <c r="S160" i="1" s="1"/>
  <c r="Q160" i="1" s="1"/>
  <c r="U156" i="1"/>
  <c r="U161" i="1"/>
  <c r="U162" i="1"/>
  <c r="U163" i="1"/>
  <c r="U164" i="1"/>
  <c r="S172" i="1" s="1"/>
  <c r="Q172" i="1" s="1"/>
  <c r="U165" i="1"/>
  <c r="S173" i="1" s="1"/>
  <c r="Q173" i="1" s="1"/>
  <c r="U166" i="1"/>
  <c r="U167" i="1"/>
  <c r="S175" i="1" s="1"/>
  <c r="Q175" i="1" s="1"/>
  <c r="U168" i="1"/>
  <c r="U169" i="1"/>
  <c r="S176" i="1" s="1"/>
  <c r="Q176" i="1" s="1"/>
  <c r="U170" i="1"/>
  <c r="U171" i="1"/>
  <c r="S174" i="1" s="1"/>
  <c r="Q174" i="1" s="1"/>
  <c r="U177" i="1"/>
  <c r="U178" i="1"/>
  <c r="U179" i="1"/>
  <c r="U180" i="1"/>
  <c r="U181" i="1"/>
  <c r="U182" i="1"/>
  <c r="S190" i="1" s="1"/>
  <c r="Q190" i="1" s="1"/>
  <c r="U183" i="1"/>
  <c r="U184" i="1"/>
  <c r="U185" i="1"/>
  <c r="S192" i="1" s="1"/>
  <c r="Q192" i="1" s="1"/>
  <c r="U186" i="1"/>
  <c r="S191" i="1" s="1"/>
  <c r="Q191" i="1" s="1"/>
  <c r="U187" i="1"/>
  <c r="S189" i="1" s="1"/>
  <c r="Q189" i="1" s="1"/>
  <c r="U188" i="1"/>
  <c r="U193" i="1"/>
  <c r="U194" i="1"/>
  <c r="U195" i="1"/>
  <c r="U196" i="1"/>
  <c r="U197" i="1"/>
  <c r="U198" i="1"/>
  <c r="U199" i="1"/>
  <c r="S205" i="1" s="1"/>
  <c r="Q205" i="1" s="1"/>
  <c r="U200" i="1"/>
  <c r="U201" i="1"/>
  <c r="S208" i="1" s="1"/>
  <c r="Q208" i="1" s="1"/>
  <c r="U202" i="1"/>
  <c r="S206" i="1" s="1"/>
  <c r="Q206" i="1" s="1"/>
  <c r="U203" i="1"/>
  <c r="S207" i="1" s="1"/>
  <c r="Q207" i="1" s="1"/>
  <c r="U204" i="1"/>
  <c r="U209" i="1"/>
  <c r="U210" i="1"/>
  <c r="S223" i="1" s="1"/>
  <c r="Q223" i="1" s="1"/>
  <c r="U211" i="1"/>
  <c r="S222" i="1" s="1"/>
  <c r="Q222" i="1" s="1"/>
  <c r="U212" i="1"/>
  <c r="U213" i="1"/>
  <c r="U214" i="1"/>
  <c r="S224" i="1" s="1"/>
  <c r="Q224" i="1" s="1"/>
  <c r="U215" i="1"/>
  <c r="U216" i="1"/>
  <c r="U217" i="1"/>
  <c r="S221" i="1" s="1"/>
  <c r="Q221" i="1" s="1"/>
  <c r="U218" i="1"/>
  <c r="Q220" i="1" s="1"/>
  <c r="U219" i="1"/>
  <c r="U225" i="1"/>
  <c r="U226" i="1"/>
  <c r="U227" i="1"/>
  <c r="U228" i="1"/>
  <c r="U229" i="1"/>
  <c r="S237" i="1" s="1"/>
  <c r="Q237" i="1" s="1"/>
  <c r="U230" i="1"/>
  <c r="U231" i="1"/>
  <c r="S239" i="1" s="1"/>
  <c r="Q239" i="1" s="1"/>
  <c r="U232" i="1"/>
  <c r="U233" i="1"/>
  <c r="S236" i="1" s="1"/>
  <c r="Q236" i="1" s="1"/>
  <c r="U234" i="1"/>
  <c r="S238" i="1" s="1"/>
  <c r="Q238" i="1" s="1"/>
  <c r="U235" i="1"/>
  <c r="S240" i="1" s="1"/>
  <c r="Q240" i="1" s="1"/>
  <c r="U241" i="1"/>
  <c r="U242" i="1"/>
  <c r="U243" i="1"/>
  <c r="U244" i="1"/>
  <c r="U245" i="1"/>
  <c r="U246" i="1"/>
  <c r="U247" i="1"/>
  <c r="S256" i="1" s="1"/>
  <c r="Q256" i="1" s="1"/>
  <c r="U248" i="1"/>
  <c r="U249" i="1"/>
  <c r="S255" i="1" s="1"/>
  <c r="Q255" i="1" s="1"/>
  <c r="U250" i="1"/>
  <c r="S253" i="1" s="1"/>
  <c r="Q253" i="1" s="1"/>
  <c r="U251" i="1"/>
  <c r="S254" i="1" s="1"/>
  <c r="Q254" i="1" s="1"/>
  <c r="U252" i="1"/>
  <c r="U257" i="1"/>
  <c r="U258" i="1"/>
  <c r="S272" i="1" s="1"/>
  <c r="Q272" i="1" s="1"/>
  <c r="U259" i="1"/>
  <c r="U260" i="1"/>
  <c r="U261" i="1"/>
  <c r="U262" i="1"/>
  <c r="U263" i="1"/>
  <c r="S270" i="1" s="1"/>
  <c r="Q270" i="1" s="1"/>
  <c r="U264" i="1"/>
  <c r="U265" i="1"/>
  <c r="U266" i="1"/>
  <c r="S269" i="1" s="1"/>
  <c r="Q269" i="1" s="1"/>
  <c r="U267" i="1"/>
  <c r="S271" i="1" s="1"/>
  <c r="Q271" i="1" s="1"/>
  <c r="U268" i="1"/>
  <c r="U273" i="1"/>
  <c r="U274" i="1"/>
  <c r="S285" i="1" s="1"/>
  <c r="Q285" i="1" s="1"/>
  <c r="U275" i="1"/>
  <c r="U276" i="1"/>
  <c r="S287" i="1" s="1"/>
  <c r="Q287" i="1" s="1"/>
  <c r="U277" i="1"/>
  <c r="U278" i="1"/>
  <c r="U279" i="1"/>
  <c r="U280" i="1"/>
  <c r="U281" i="1"/>
  <c r="S288" i="1" s="1"/>
  <c r="Q288" i="1" s="1"/>
  <c r="U282" i="1"/>
  <c r="S286" i="1" s="1"/>
  <c r="Q286" i="1" s="1"/>
  <c r="U283" i="1"/>
  <c r="U284" i="1"/>
  <c r="U289" i="1"/>
  <c r="U290" i="1"/>
  <c r="S304" i="1" s="1"/>
  <c r="Q304" i="1" s="1"/>
  <c r="U291" i="1"/>
  <c r="U292" i="1"/>
  <c r="U293" i="1"/>
  <c r="U294" i="1"/>
  <c r="U295" i="1"/>
  <c r="U296" i="1"/>
  <c r="U297" i="1"/>
  <c r="S302" i="1" s="1"/>
  <c r="Q302" i="1" s="1"/>
  <c r="U298" i="1"/>
  <c r="U299" i="1"/>
  <c r="S301" i="1" s="1"/>
  <c r="Q301" i="1" s="1"/>
  <c r="U300" i="1"/>
  <c r="U305" i="1"/>
  <c r="U306" i="1"/>
  <c r="U307" i="1"/>
  <c r="U308" i="1"/>
  <c r="U309" i="1"/>
  <c r="U310" i="1"/>
  <c r="U311" i="1"/>
  <c r="S319" i="1" s="1"/>
  <c r="U312" i="1"/>
  <c r="U313" i="1"/>
  <c r="U314" i="1"/>
  <c r="S320" i="1" s="1"/>
  <c r="Q320" i="1" s="1"/>
  <c r="S317" i="1"/>
  <c r="Q317" i="1" s="1"/>
  <c r="U316" i="1"/>
  <c r="U321" i="1"/>
  <c r="U322" i="1"/>
  <c r="U323" i="1"/>
  <c r="S333" i="1" s="1"/>
  <c r="AA333" i="1" s="1"/>
  <c r="AB333" i="1" s="1"/>
  <c r="Z333" i="1" s="1"/>
  <c r="U324" i="1"/>
  <c r="U325" i="1"/>
  <c r="U326" i="1"/>
  <c r="AA2" i="1"/>
  <c r="AA3" i="1"/>
  <c r="AA4" i="1"/>
  <c r="AA5" i="1"/>
  <c r="AA6" i="1"/>
  <c r="AA7" i="1"/>
  <c r="AA8" i="1"/>
  <c r="AA9" i="1"/>
  <c r="AA10" i="1"/>
  <c r="AA11" i="1"/>
  <c r="AA12" i="1"/>
  <c r="AA18" i="1"/>
  <c r="AA19" i="1"/>
  <c r="AA20" i="1"/>
  <c r="AA21" i="1"/>
  <c r="AA22" i="1"/>
  <c r="AA23" i="1"/>
  <c r="AA24" i="1"/>
  <c r="AA25" i="1"/>
  <c r="AA26" i="1"/>
  <c r="AA27" i="1"/>
  <c r="AA28" i="1"/>
  <c r="AA34" i="1"/>
  <c r="AB34" i="1" s="1"/>
  <c r="Z34" i="1" s="1"/>
  <c r="AA35" i="1"/>
  <c r="AB35" i="1" s="1"/>
  <c r="Z35" i="1" s="1"/>
  <c r="AA36" i="1"/>
  <c r="AB36" i="1" s="1"/>
  <c r="Z36" i="1" s="1"/>
  <c r="AA37" i="1"/>
  <c r="AB37" i="1" s="1"/>
  <c r="Z37" i="1" s="1"/>
  <c r="AA38" i="1"/>
  <c r="AB38" i="1" s="1"/>
  <c r="Z38" i="1" s="1"/>
  <c r="AA39" i="1"/>
  <c r="AB39" i="1" s="1"/>
  <c r="Z39" i="1" s="1"/>
  <c r="AA40" i="1"/>
  <c r="AB40" i="1" s="1"/>
  <c r="Z40" i="1" s="1"/>
  <c r="AA41" i="1"/>
  <c r="AB41" i="1" s="1"/>
  <c r="Z41" i="1" s="1"/>
  <c r="AA42" i="1"/>
  <c r="AB42" i="1" s="1"/>
  <c r="Z42" i="1" s="1"/>
  <c r="AA43" i="1"/>
  <c r="AB43" i="1" s="1"/>
  <c r="Z43" i="1" s="1"/>
  <c r="AA44" i="1"/>
  <c r="AB44" i="1" s="1"/>
  <c r="Z44" i="1" s="1"/>
  <c r="AA50" i="1"/>
  <c r="AB50" i="1" s="1"/>
  <c r="Z50" i="1" s="1"/>
  <c r="AA51" i="1"/>
  <c r="AB51" i="1" s="1"/>
  <c r="Z51" i="1" s="1"/>
  <c r="AA52" i="1"/>
  <c r="AB52" i="1" s="1"/>
  <c r="Z52" i="1" s="1"/>
  <c r="AA53" i="1"/>
  <c r="AB53" i="1" s="1"/>
  <c r="Z53" i="1" s="1"/>
  <c r="AA54" i="1"/>
  <c r="AB54" i="1" s="1"/>
  <c r="Z54" i="1" s="1"/>
  <c r="AA55" i="1"/>
  <c r="AB55" i="1" s="1"/>
  <c r="Z55" i="1" s="1"/>
  <c r="AA56" i="1"/>
  <c r="AB56" i="1" s="1"/>
  <c r="Z56" i="1" s="1"/>
  <c r="AA57" i="1"/>
  <c r="AB57" i="1" s="1"/>
  <c r="Z57" i="1" s="1"/>
  <c r="AA58" i="1"/>
  <c r="AB58" i="1" s="1"/>
  <c r="Z58" i="1" s="1"/>
  <c r="AA59" i="1"/>
  <c r="AB59" i="1" s="1"/>
  <c r="Z59" i="1" s="1"/>
  <c r="AA60" i="1"/>
  <c r="AB60" i="1" s="1"/>
  <c r="Z60" i="1" s="1"/>
  <c r="AA66" i="1"/>
  <c r="AB66" i="1" s="1"/>
  <c r="Z66" i="1" s="1"/>
  <c r="AA67" i="1"/>
  <c r="AB67" i="1" s="1"/>
  <c r="Z67" i="1" s="1"/>
  <c r="AA68" i="1"/>
  <c r="AB68" i="1" s="1"/>
  <c r="Z68" i="1" s="1"/>
  <c r="AA69" i="1"/>
  <c r="AB69" i="1" s="1"/>
  <c r="Z69" i="1" s="1"/>
  <c r="AA70" i="1"/>
  <c r="AB70" i="1" s="1"/>
  <c r="Z70" i="1" s="1"/>
  <c r="AA71" i="1"/>
  <c r="AB71" i="1" s="1"/>
  <c r="Z71" i="1" s="1"/>
  <c r="AA72" i="1"/>
  <c r="AB72" i="1" s="1"/>
  <c r="Z72" i="1" s="1"/>
  <c r="AA73" i="1"/>
  <c r="AB73" i="1" s="1"/>
  <c r="Z73" i="1" s="1"/>
  <c r="AA74" i="1"/>
  <c r="AB74" i="1" s="1"/>
  <c r="Z74" i="1" s="1"/>
  <c r="AA75" i="1"/>
  <c r="AB75" i="1" s="1"/>
  <c r="Z75" i="1" s="1"/>
  <c r="AA76" i="1"/>
  <c r="AB76" i="1" s="1"/>
  <c r="Z76" i="1" s="1"/>
  <c r="AA77" i="1"/>
  <c r="AB77" i="1" s="1"/>
  <c r="Z77" i="1" s="1"/>
  <c r="AA80" i="1"/>
  <c r="AB80" i="1" s="1"/>
  <c r="Z80" i="1" s="1"/>
  <c r="AA82" i="1"/>
  <c r="AB82" i="1" s="1"/>
  <c r="Z82" i="1" s="1"/>
  <c r="AA83" i="1"/>
  <c r="AB83" i="1" s="1"/>
  <c r="Z83" i="1" s="1"/>
  <c r="AA84" i="1"/>
  <c r="AB84" i="1" s="1"/>
  <c r="Z84" i="1" s="1"/>
  <c r="AA85" i="1"/>
  <c r="AB85" i="1" s="1"/>
  <c r="Z85" i="1" s="1"/>
  <c r="AA86" i="1"/>
  <c r="AB86" i="1" s="1"/>
  <c r="Z86" i="1" s="1"/>
  <c r="AA87" i="1"/>
  <c r="AB87" i="1" s="1"/>
  <c r="Z87" i="1" s="1"/>
  <c r="AA88" i="1"/>
  <c r="AB88" i="1" s="1"/>
  <c r="Z88" i="1" s="1"/>
  <c r="AA89" i="1"/>
  <c r="AB89" i="1" s="1"/>
  <c r="Z89" i="1" s="1"/>
  <c r="AA90" i="1"/>
  <c r="AB90" i="1" s="1"/>
  <c r="Z90" i="1" s="1"/>
  <c r="AA91" i="1"/>
  <c r="AB91" i="1" s="1"/>
  <c r="Z91" i="1" s="1"/>
  <c r="AA92" i="1"/>
  <c r="AB92" i="1" s="1"/>
  <c r="Z92" i="1" s="1"/>
  <c r="AA94" i="1"/>
  <c r="AB94" i="1" s="1"/>
  <c r="Z94" i="1" s="1"/>
  <c r="AA97" i="1"/>
  <c r="AB97" i="1" s="1"/>
  <c r="Z97" i="1" s="1"/>
  <c r="AA98" i="1"/>
  <c r="AB98" i="1" s="1"/>
  <c r="Z98" i="1" s="1"/>
  <c r="AA99" i="1"/>
  <c r="AB99" i="1" s="1"/>
  <c r="Z99" i="1" s="1"/>
  <c r="AA100" i="1"/>
  <c r="AB100" i="1" s="1"/>
  <c r="Z100" i="1" s="1"/>
  <c r="AA101" i="1"/>
  <c r="AB101" i="1" s="1"/>
  <c r="Z101" i="1" s="1"/>
  <c r="AA102" i="1"/>
  <c r="AB102" i="1" s="1"/>
  <c r="Z102" i="1" s="1"/>
  <c r="AA103" i="1"/>
  <c r="AB103" i="1" s="1"/>
  <c r="Z103" i="1" s="1"/>
  <c r="AA104" i="1"/>
  <c r="AB104" i="1" s="1"/>
  <c r="Z104" i="1" s="1"/>
  <c r="AA105" i="1"/>
  <c r="AB105" i="1" s="1"/>
  <c r="Z105" i="1" s="1"/>
  <c r="AA106" i="1"/>
  <c r="AB106" i="1" s="1"/>
  <c r="Z106" i="1" s="1"/>
  <c r="AA107" i="1"/>
  <c r="AB107" i="1" s="1"/>
  <c r="Z107" i="1" s="1"/>
  <c r="AA113" i="1"/>
  <c r="AB113" i="1" s="1"/>
  <c r="Z113" i="1" s="1"/>
  <c r="AA114" i="1"/>
  <c r="AB114" i="1" s="1"/>
  <c r="Z114" i="1" s="1"/>
  <c r="AA115" i="1"/>
  <c r="AB115" i="1" s="1"/>
  <c r="Z115" i="1" s="1"/>
  <c r="AA116" i="1"/>
  <c r="AB116" i="1" s="1"/>
  <c r="Z116" i="1" s="1"/>
  <c r="AA117" i="1"/>
  <c r="AB117" i="1" s="1"/>
  <c r="Z117" i="1" s="1"/>
  <c r="AA118" i="1"/>
  <c r="AB118" i="1" s="1"/>
  <c r="Z118" i="1" s="1"/>
  <c r="AA119" i="1"/>
  <c r="AB119" i="1" s="1"/>
  <c r="Z119" i="1" s="1"/>
  <c r="AA120" i="1"/>
  <c r="AB120" i="1" s="1"/>
  <c r="Z120" i="1" s="1"/>
  <c r="AA121" i="1"/>
  <c r="AB121" i="1" s="1"/>
  <c r="Z121" i="1" s="1"/>
  <c r="AA122" i="1"/>
  <c r="AB122" i="1" s="1"/>
  <c r="Z122" i="1" s="1"/>
  <c r="AA123" i="1"/>
  <c r="AB123" i="1" s="1"/>
  <c r="Z123" i="1" s="1"/>
  <c r="AA128" i="1"/>
  <c r="AB128" i="1" s="1"/>
  <c r="Z128" i="1" s="1"/>
  <c r="AA129" i="1"/>
  <c r="AB129" i="1" s="1"/>
  <c r="Z129" i="1" s="1"/>
  <c r="AA130" i="1"/>
  <c r="AB130" i="1" s="1"/>
  <c r="Z130" i="1" s="1"/>
  <c r="AA131" i="1"/>
  <c r="AB131" i="1" s="1"/>
  <c r="Z131" i="1" s="1"/>
  <c r="AA132" i="1"/>
  <c r="AB132" i="1" s="1"/>
  <c r="Z132" i="1" s="1"/>
  <c r="AA133" i="1"/>
  <c r="AB133" i="1" s="1"/>
  <c r="Z133" i="1" s="1"/>
  <c r="AA134" i="1"/>
  <c r="AB134" i="1" s="1"/>
  <c r="Z134" i="1" s="1"/>
  <c r="AA135" i="1"/>
  <c r="AB135" i="1" s="1"/>
  <c r="Z135" i="1" s="1"/>
  <c r="AA136" i="1"/>
  <c r="AB136" i="1" s="1"/>
  <c r="Z136" i="1" s="1"/>
  <c r="AA137" i="1"/>
  <c r="AB137" i="1" s="1"/>
  <c r="Z137" i="1" s="1"/>
  <c r="AA138" i="1"/>
  <c r="AB138" i="1" s="1"/>
  <c r="Z138" i="1" s="1"/>
  <c r="AA139" i="1"/>
  <c r="AB139" i="1" s="1"/>
  <c r="Z139" i="1" s="1"/>
  <c r="AA140" i="1"/>
  <c r="AB140" i="1" s="1"/>
  <c r="Z140" i="1" s="1"/>
  <c r="AA145" i="1"/>
  <c r="AB145" i="1" s="1"/>
  <c r="Z145" i="1" s="1"/>
  <c r="AA146" i="1"/>
  <c r="AB146" i="1" s="1"/>
  <c r="Z146" i="1" s="1"/>
  <c r="AA147" i="1"/>
  <c r="AB147" i="1" s="1"/>
  <c r="Z147" i="1" s="1"/>
  <c r="AA148" i="1"/>
  <c r="AB148" i="1" s="1"/>
  <c r="Z148" i="1" s="1"/>
  <c r="AA149" i="1"/>
  <c r="AB149" i="1" s="1"/>
  <c r="Z149" i="1" s="1"/>
  <c r="AA150" i="1"/>
  <c r="AB150" i="1" s="1"/>
  <c r="Z150" i="1" s="1"/>
  <c r="AA151" i="1"/>
  <c r="AB151" i="1" s="1"/>
  <c r="Z151" i="1" s="1"/>
  <c r="AA152" i="1"/>
  <c r="AB152" i="1" s="1"/>
  <c r="Z152" i="1" s="1"/>
  <c r="AA153" i="1"/>
  <c r="AB153" i="1" s="1"/>
  <c r="Z153" i="1" s="1"/>
  <c r="AA154" i="1"/>
  <c r="AB154" i="1" s="1"/>
  <c r="Z154" i="1" s="1"/>
  <c r="AA155" i="1"/>
  <c r="AB155" i="1" s="1"/>
  <c r="Z155" i="1" s="1"/>
  <c r="AA156" i="1"/>
  <c r="AB156" i="1" s="1"/>
  <c r="Z156" i="1" s="1"/>
  <c r="AA161" i="1"/>
  <c r="AB161" i="1" s="1"/>
  <c r="Z161" i="1" s="1"/>
  <c r="AA162" i="1"/>
  <c r="AB162" i="1" s="1"/>
  <c r="Z162" i="1" s="1"/>
  <c r="AA163" i="1"/>
  <c r="AB163" i="1" s="1"/>
  <c r="Z163" i="1" s="1"/>
  <c r="AA164" i="1"/>
  <c r="AB164" i="1" s="1"/>
  <c r="Z164" i="1" s="1"/>
  <c r="AA165" i="1"/>
  <c r="AB165" i="1" s="1"/>
  <c r="Z165" i="1" s="1"/>
  <c r="AA166" i="1"/>
  <c r="AB166" i="1" s="1"/>
  <c r="Z166" i="1" s="1"/>
  <c r="AA167" i="1"/>
  <c r="AB167" i="1" s="1"/>
  <c r="Z167" i="1" s="1"/>
  <c r="AA168" i="1"/>
  <c r="AB168" i="1" s="1"/>
  <c r="Z168" i="1" s="1"/>
  <c r="AA169" i="1"/>
  <c r="AB169" i="1" s="1"/>
  <c r="Z169" i="1" s="1"/>
  <c r="AA170" i="1"/>
  <c r="AB170" i="1" s="1"/>
  <c r="Z170" i="1" s="1"/>
  <c r="AA171" i="1"/>
  <c r="AB171" i="1" s="1"/>
  <c r="Z171" i="1" s="1"/>
  <c r="AA177" i="1"/>
  <c r="AB177" i="1" s="1"/>
  <c r="Z177" i="1" s="1"/>
  <c r="AA178" i="1"/>
  <c r="AB178" i="1" s="1"/>
  <c r="Z178" i="1" s="1"/>
  <c r="AA179" i="1"/>
  <c r="AB179" i="1" s="1"/>
  <c r="Z179" i="1" s="1"/>
  <c r="AA180" i="1"/>
  <c r="AB180" i="1" s="1"/>
  <c r="Z180" i="1" s="1"/>
  <c r="AA181" i="1"/>
  <c r="AB181" i="1" s="1"/>
  <c r="Z181" i="1" s="1"/>
  <c r="AA182" i="1"/>
  <c r="AB182" i="1" s="1"/>
  <c r="Z182" i="1" s="1"/>
  <c r="AA183" i="1"/>
  <c r="AB183" i="1" s="1"/>
  <c r="Z183" i="1" s="1"/>
  <c r="AA184" i="1"/>
  <c r="AB184" i="1" s="1"/>
  <c r="Z184" i="1" s="1"/>
  <c r="AA185" i="1"/>
  <c r="AB185" i="1" s="1"/>
  <c r="Z185" i="1" s="1"/>
  <c r="AA186" i="1"/>
  <c r="AB186" i="1" s="1"/>
  <c r="Z186" i="1" s="1"/>
  <c r="AA187" i="1"/>
  <c r="AB187" i="1" s="1"/>
  <c r="Z187" i="1" s="1"/>
  <c r="AA188" i="1"/>
  <c r="AB188" i="1" s="1"/>
  <c r="Z188" i="1" s="1"/>
  <c r="AA191" i="1"/>
  <c r="AB191" i="1" s="1"/>
  <c r="Z191" i="1" s="1"/>
  <c r="AA193" i="1"/>
  <c r="AB193" i="1" s="1"/>
  <c r="Z193" i="1" s="1"/>
  <c r="AA194" i="1"/>
  <c r="AB194" i="1" s="1"/>
  <c r="Z194" i="1" s="1"/>
  <c r="AA195" i="1"/>
  <c r="AB195" i="1" s="1"/>
  <c r="Z195" i="1" s="1"/>
  <c r="AA196" i="1"/>
  <c r="AB196" i="1" s="1"/>
  <c r="Z196" i="1" s="1"/>
  <c r="AA197" i="1"/>
  <c r="AB197" i="1" s="1"/>
  <c r="Z197" i="1" s="1"/>
  <c r="AA198" i="1"/>
  <c r="AB198" i="1" s="1"/>
  <c r="Z198" i="1" s="1"/>
  <c r="AA199" i="1"/>
  <c r="AB199" i="1" s="1"/>
  <c r="Z199" i="1" s="1"/>
  <c r="AA200" i="1"/>
  <c r="AB200" i="1" s="1"/>
  <c r="Z200" i="1" s="1"/>
  <c r="AA201" i="1"/>
  <c r="AB201" i="1" s="1"/>
  <c r="Z201" i="1" s="1"/>
  <c r="AA202" i="1"/>
  <c r="AB202" i="1" s="1"/>
  <c r="Z202" i="1" s="1"/>
  <c r="AA203" i="1"/>
  <c r="AB203" i="1" s="1"/>
  <c r="Z203" i="1" s="1"/>
  <c r="AA204" i="1"/>
  <c r="AB204" i="1" s="1"/>
  <c r="Z204" i="1" s="1"/>
  <c r="AA209" i="1"/>
  <c r="AB209" i="1" s="1"/>
  <c r="Z209" i="1" s="1"/>
  <c r="AA210" i="1"/>
  <c r="AB210" i="1" s="1"/>
  <c r="Z210" i="1" s="1"/>
  <c r="AA211" i="1"/>
  <c r="AB211" i="1" s="1"/>
  <c r="Z211" i="1" s="1"/>
  <c r="AA212" i="1"/>
  <c r="AB212" i="1" s="1"/>
  <c r="Z212" i="1" s="1"/>
  <c r="AA213" i="1"/>
  <c r="AB213" i="1" s="1"/>
  <c r="Z213" i="1" s="1"/>
  <c r="AA214" i="1"/>
  <c r="AB214" i="1" s="1"/>
  <c r="Z214" i="1" s="1"/>
  <c r="AA215" i="1"/>
  <c r="AB215" i="1" s="1"/>
  <c r="Z215" i="1" s="1"/>
  <c r="AA216" i="1"/>
  <c r="AB216" i="1" s="1"/>
  <c r="Z216" i="1" s="1"/>
  <c r="AA217" i="1"/>
  <c r="AB217" i="1" s="1"/>
  <c r="Z217" i="1" s="1"/>
  <c r="AA218" i="1"/>
  <c r="AB218" i="1" s="1"/>
  <c r="Z218" i="1" s="1"/>
  <c r="AA219" i="1"/>
  <c r="AB219" i="1" s="1"/>
  <c r="Z219" i="1" s="1"/>
  <c r="AA225" i="1"/>
  <c r="AB225" i="1" s="1"/>
  <c r="Z225" i="1" s="1"/>
  <c r="AA226" i="1"/>
  <c r="AB226" i="1" s="1"/>
  <c r="Z226" i="1" s="1"/>
  <c r="AA227" i="1"/>
  <c r="AB227" i="1" s="1"/>
  <c r="Z227" i="1" s="1"/>
  <c r="AA228" i="1"/>
  <c r="AB228" i="1" s="1"/>
  <c r="Z228" i="1" s="1"/>
  <c r="AA229" i="1"/>
  <c r="AB229" i="1" s="1"/>
  <c r="Z229" i="1" s="1"/>
  <c r="AA230" i="1"/>
  <c r="AB230" i="1" s="1"/>
  <c r="Z230" i="1" s="1"/>
  <c r="AA231" i="1"/>
  <c r="AB231" i="1" s="1"/>
  <c r="Z231" i="1" s="1"/>
  <c r="AA232" i="1"/>
  <c r="AB232" i="1" s="1"/>
  <c r="Z232" i="1" s="1"/>
  <c r="AA233" i="1"/>
  <c r="AB233" i="1" s="1"/>
  <c r="Z233" i="1" s="1"/>
  <c r="AA234" i="1"/>
  <c r="AB234" i="1" s="1"/>
  <c r="Z234" i="1" s="1"/>
  <c r="AA235" i="1"/>
  <c r="AB235" i="1" s="1"/>
  <c r="Z235" i="1" s="1"/>
  <c r="AA241" i="1"/>
  <c r="AB241" i="1" s="1"/>
  <c r="Z241" i="1" s="1"/>
  <c r="AA242" i="1"/>
  <c r="AB242" i="1" s="1"/>
  <c r="Z242" i="1" s="1"/>
  <c r="AA243" i="1"/>
  <c r="AB243" i="1" s="1"/>
  <c r="Z243" i="1" s="1"/>
  <c r="AA244" i="1"/>
  <c r="AB244" i="1" s="1"/>
  <c r="Z244" i="1" s="1"/>
  <c r="AA245" i="1"/>
  <c r="AB245" i="1" s="1"/>
  <c r="Z245" i="1" s="1"/>
  <c r="AA246" i="1"/>
  <c r="AB246" i="1" s="1"/>
  <c r="Z246" i="1" s="1"/>
  <c r="AA247" i="1"/>
  <c r="AB247" i="1" s="1"/>
  <c r="Z247" i="1" s="1"/>
  <c r="AA248" i="1"/>
  <c r="AB248" i="1" s="1"/>
  <c r="Z248" i="1" s="1"/>
  <c r="AA249" i="1"/>
  <c r="AB249" i="1" s="1"/>
  <c r="Z249" i="1" s="1"/>
  <c r="AA250" i="1"/>
  <c r="AB250" i="1" s="1"/>
  <c r="Z250" i="1" s="1"/>
  <c r="AA251" i="1"/>
  <c r="AB251" i="1" s="1"/>
  <c r="Z251" i="1" s="1"/>
  <c r="AA252" i="1"/>
  <c r="AB252" i="1" s="1"/>
  <c r="Z252" i="1" s="1"/>
  <c r="AA257" i="1"/>
  <c r="AB257" i="1" s="1"/>
  <c r="Z257" i="1" s="1"/>
  <c r="AA258" i="1"/>
  <c r="AB258" i="1" s="1"/>
  <c r="Z258" i="1" s="1"/>
  <c r="AA259" i="1"/>
  <c r="AB259" i="1" s="1"/>
  <c r="Z259" i="1" s="1"/>
  <c r="AA260" i="1"/>
  <c r="AB260" i="1" s="1"/>
  <c r="Z260" i="1" s="1"/>
  <c r="AA261" i="1"/>
  <c r="AB261" i="1" s="1"/>
  <c r="Z261" i="1" s="1"/>
  <c r="AA262" i="1"/>
  <c r="AB262" i="1" s="1"/>
  <c r="Z262" i="1" s="1"/>
  <c r="AA263" i="1"/>
  <c r="AB263" i="1" s="1"/>
  <c r="Z263" i="1" s="1"/>
  <c r="AA264" i="1"/>
  <c r="AB264" i="1" s="1"/>
  <c r="Z264" i="1" s="1"/>
  <c r="AA265" i="1"/>
  <c r="AB265" i="1" s="1"/>
  <c r="Z265" i="1" s="1"/>
  <c r="AA266" i="1"/>
  <c r="AB266" i="1" s="1"/>
  <c r="Z266" i="1" s="1"/>
  <c r="AA267" i="1"/>
  <c r="AB267" i="1" s="1"/>
  <c r="Z267" i="1" s="1"/>
  <c r="AA268" i="1"/>
  <c r="AB268" i="1" s="1"/>
  <c r="Z268" i="1" s="1"/>
  <c r="AA270" i="1"/>
  <c r="AB270" i="1" s="1"/>
  <c r="Z270" i="1" s="1"/>
  <c r="AA273" i="1"/>
  <c r="AB273" i="1" s="1"/>
  <c r="Z273" i="1" s="1"/>
  <c r="AA274" i="1"/>
  <c r="AB274" i="1" s="1"/>
  <c r="Z274" i="1" s="1"/>
  <c r="AA275" i="1"/>
  <c r="AB275" i="1" s="1"/>
  <c r="Z275" i="1" s="1"/>
  <c r="AA276" i="1"/>
  <c r="AB276" i="1" s="1"/>
  <c r="Z276" i="1" s="1"/>
  <c r="AA277" i="1"/>
  <c r="AB277" i="1" s="1"/>
  <c r="Z277" i="1" s="1"/>
  <c r="AA278" i="1"/>
  <c r="AB278" i="1" s="1"/>
  <c r="Z278" i="1" s="1"/>
  <c r="AA279" i="1"/>
  <c r="AB279" i="1" s="1"/>
  <c r="Z279" i="1" s="1"/>
  <c r="AA280" i="1"/>
  <c r="AB280" i="1" s="1"/>
  <c r="Z280" i="1" s="1"/>
  <c r="AA281" i="1"/>
  <c r="AB281" i="1" s="1"/>
  <c r="Z281" i="1" s="1"/>
  <c r="AA282" i="1"/>
  <c r="AB282" i="1" s="1"/>
  <c r="Z282" i="1" s="1"/>
  <c r="AA283" i="1"/>
  <c r="AB283" i="1" s="1"/>
  <c r="Z283" i="1" s="1"/>
  <c r="AA284" i="1"/>
  <c r="AB284" i="1" s="1"/>
  <c r="Z284" i="1" s="1"/>
  <c r="AA289" i="1"/>
  <c r="AB289" i="1" s="1"/>
  <c r="Z289" i="1" s="1"/>
  <c r="AA290" i="1"/>
  <c r="AB290" i="1" s="1"/>
  <c r="Z290" i="1" s="1"/>
  <c r="AA291" i="1"/>
  <c r="AB291" i="1" s="1"/>
  <c r="Z291" i="1" s="1"/>
  <c r="AA292" i="1"/>
  <c r="AB292" i="1" s="1"/>
  <c r="Z292" i="1" s="1"/>
  <c r="AA293" i="1"/>
  <c r="AB293" i="1" s="1"/>
  <c r="Z293" i="1" s="1"/>
  <c r="AA294" i="1"/>
  <c r="AB294" i="1" s="1"/>
  <c r="Z294" i="1" s="1"/>
  <c r="AA295" i="1"/>
  <c r="AB295" i="1" s="1"/>
  <c r="Z295" i="1" s="1"/>
  <c r="AA296" i="1"/>
  <c r="AB296" i="1" s="1"/>
  <c r="Z296" i="1" s="1"/>
  <c r="AA297" i="1"/>
  <c r="AB297" i="1" s="1"/>
  <c r="Z297" i="1" s="1"/>
  <c r="AA298" i="1"/>
  <c r="AB298" i="1" s="1"/>
  <c r="Z298" i="1" s="1"/>
  <c r="AA299" i="1"/>
  <c r="AB299" i="1" s="1"/>
  <c r="Z299" i="1" s="1"/>
  <c r="AA300" i="1"/>
  <c r="AB300" i="1" s="1"/>
  <c r="Z300" i="1" s="1"/>
  <c r="AA305" i="1"/>
  <c r="AB305" i="1" s="1"/>
  <c r="Z305" i="1" s="1"/>
  <c r="AA306" i="1"/>
  <c r="AB306" i="1" s="1"/>
  <c r="Z306" i="1" s="1"/>
  <c r="AA307" i="1"/>
  <c r="AB307" i="1" s="1"/>
  <c r="Z307" i="1" s="1"/>
  <c r="AA308" i="1"/>
  <c r="AB308" i="1" s="1"/>
  <c r="Z308" i="1" s="1"/>
  <c r="AA309" i="1"/>
  <c r="AB309" i="1" s="1"/>
  <c r="Z309" i="1" s="1"/>
  <c r="AA310" i="1"/>
  <c r="AB310" i="1" s="1"/>
  <c r="Z310" i="1" s="1"/>
  <c r="AA311" i="1"/>
  <c r="AB311" i="1" s="1"/>
  <c r="Z311" i="1" s="1"/>
  <c r="AA312" i="1"/>
  <c r="AB312" i="1" s="1"/>
  <c r="Z312" i="1" s="1"/>
  <c r="AA313" i="1"/>
  <c r="AB313" i="1" s="1"/>
  <c r="Z313" i="1" s="1"/>
  <c r="AA314" i="1"/>
  <c r="AB314" i="1" s="1"/>
  <c r="Z314" i="1" s="1"/>
  <c r="AA315" i="1"/>
  <c r="AB315" i="1" s="1"/>
  <c r="Z315" i="1" s="1"/>
  <c r="AA316" i="1"/>
  <c r="AB316" i="1" s="1"/>
  <c r="Z316" i="1" s="1"/>
  <c r="AA321" i="1"/>
  <c r="AB321" i="1" s="1"/>
  <c r="Z321" i="1" s="1"/>
  <c r="AA322" i="1"/>
  <c r="AB322" i="1" s="1"/>
  <c r="Z322" i="1" s="1"/>
  <c r="AA323" i="1"/>
  <c r="AB323" i="1" s="1"/>
  <c r="Z323" i="1" s="1"/>
  <c r="AA324" i="1"/>
  <c r="AB324" i="1" s="1"/>
  <c r="Z324" i="1" s="1"/>
  <c r="AA325" i="1"/>
  <c r="AB325" i="1" s="1"/>
  <c r="Z325" i="1" s="1"/>
  <c r="AA326" i="1"/>
  <c r="AB326" i="1" s="1"/>
  <c r="Z326" i="1" s="1"/>
  <c r="U2" i="1"/>
  <c r="U3" i="1"/>
  <c r="U4" i="1"/>
  <c r="S15" i="1" s="1"/>
  <c r="U15" i="1" s="1"/>
  <c r="U5" i="1"/>
  <c r="U6" i="1"/>
  <c r="S16" i="1" s="1"/>
  <c r="U16" i="1" s="1"/>
  <c r="U7" i="1"/>
  <c r="U8" i="1"/>
  <c r="U9" i="1"/>
  <c r="U10" i="1"/>
  <c r="S17" i="1" s="1"/>
  <c r="U17" i="1" s="1"/>
  <c r="U11" i="1"/>
  <c r="U12" i="1"/>
  <c r="S14" i="1" s="1"/>
  <c r="U14" i="1" s="1"/>
  <c r="U23" i="1"/>
  <c r="U24" i="1"/>
  <c r="U25" i="1"/>
  <c r="U26" i="1"/>
  <c r="U27" i="1"/>
  <c r="U28" i="1"/>
  <c r="U18" i="1"/>
  <c r="U19" i="1"/>
  <c r="U20" i="1"/>
  <c r="U21" i="1"/>
  <c r="S13" i="1"/>
  <c r="U13" i="1" s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AA159" i="1" l="1"/>
  <c r="AB159" i="1" s="1"/>
  <c r="Z159" i="1" s="1"/>
  <c r="AA95" i="1"/>
  <c r="AB95" i="1" s="1"/>
  <c r="Z95" i="1" s="1"/>
  <c r="U333" i="1"/>
  <c r="Q333" i="1"/>
  <c r="AA271" i="1"/>
  <c r="AB271" i="1" s="1"/>
  <c r="Z271" i="1" s="1"/>
  <c r="AA254" i="1"/>
  <c r="AB254" i="1" s="1"/>
  <c r="Z254" i="1" s="1"/>
  <c r="AA144" i="1"/>
  <c r="AB144" i="1" s="1"/>
  <c r="Z144" i="1" s="1"/>
  <c r="U254" i="1"/>
  <c r="AA253" i="1"/>
  <c r="AB253" i="1" s="1"/>
  <c r="Z253" i="1" s="1"/>
  <c r="U237" i="1"/>
  <c r="U253" i="1"/>
  <c r="U320" i="1"/>
  <c r="AA320" i="1"/>
  <c r="AB320" i="1" s="1"/>
  <c r="Z320" i="1" s="1"/>
  <c r="AA317" i="1"/>
  <c r="AB317" i="1" s="1"/>
  <c r="Z317" i="1" s="1"/>
  <c r="S318" i="1"/>
  <c r="U288" i="1"/>
  <c r="S303" i="1"/>
  <c r="Q303" i="1" s="1"/>
  <c r="U191" i="1"/>
  <c r="S108" i="1"/>
  <c r="Q108" i="1" s="1"/>
  <c r="AA143" i="1"/>
  <c r="AB143" i="1" s="1"/>
  <c r="Z143" i="1" s="1"/>
  <c r="U304" i="1"/>
  <c r="AA304" i="1"/>
  <c r="AB304" i="1" s="1"/>
  <c r="Z304" i="1" s="1"/>
  <c r="AA302" i="1"/>
  <c r="AB302" i="1" s="1"/>
  <c r="Z302" i="1" s="1"/>
  <c r="U302" i="1"/>
  <c r="AA301" i="1"/>
  <c r="AB301" i="1" s="1"/>
  <c r="Z301" i="1" s="1"/>
  <c r="U301" i="1"/>
  <c r="AA288" i="1"/>
  <c r="AB288" i="1" s="1"/>
  <c r="Z288" i="1" s="1"/>
  <c r="U285" i="1"/>
  <c r="U286" i="1"/>
  <c r="AA286" i="1"/>
  <c r="AB286" i="1" s="1"/>
  <c r="Z286" i="1" s="1"/>
  <c r="AA287" i="1"/>
  <c r="AB287" i="1" s="1"/>
  <c r="Z287" i="1" s="1"/>
  <c r="U287" i="1"/>
  <c r="AA285" i="1"/>
  <c r="AB285" i="1" s="1"/>
  <c r="Z285" i="1" s="1"/>
  <c r="U272" i="1"/>
  <c r="AA272" i="1"/>
  <c r="AB272" i="1" s="1"/>
  <c r="Z272" i="1" s="1"/>
  <c r="U270" i="1"/>
  <c r="U269" i="1"/>
  <c r="AA269" i="1"/>
  <c r="AB269" i="1" s="1"/>
  <c r="Z269" i="1" s="1"/>
  <c r="U271" i="1"/>
  <c r="AA256" i="1"/>
  <c r="AB256" i="1" s="1"/>
  <c r="Z256" i="1" s="1"/>
  <c r="U256" i="1"/>
  <c r="U255" i="1"/>
  <c r="AA255" i="1"/>
  <c r="AB255" i="1" s="1"/>
  <c r="Z255" i="1" s="1"/>
  <c r="AA239" i="1"/>
  <c r="AB239" i="1" s="1"/>
  <c r="Z239" i="1" s="1"/>
  <c r="U239" i="1"/>
  <c r="AA238" i="1"/>
  <c r="AB238" i="1" s="1"/>
  <c r="Z238" i="1" s="1"/>
  <c r="U236" i="1"/>
  <c r="U238" i="1"/>
  <c r="AA237" i="1"/>
  <c r="AB237" i="1" s="1"/>
  <c r="Z237" i="1" s="1"/>
  <c r="AA236" i="1"/>
  <c r="AB236" i="1" s="1"/>
  <c r="Z236" i="1" s="1"/>
  <c r="U240" i="1"/>
  <c r="AA240" i="1"/>
  <c r="AB240" i="1" s="1"/>
  <c r="Z240" i="1" s="1"/>
  <c r="AA220" i="1"/>
  <c r="AB220" i="1" s="1"/>
  <c r="Z220" i="1" s="1"/>
  <c r="U220" i="1"/>
  <c r="U224" i="1"/>
  <c r="AA224" i="1"/>
  <c r="AB224" i="1" s="1"/>
  <c r="Z224" i="1" s="1"/>
  <c r="U223" i="1"/>
  <c r="AA223" i="1"/>
  <c r="AB223" i="1" s="1"/>
  <c r="Z223" i="1" s="1"/>
  <c r="U221" i="1"/>
  <c r="U222" i="1"/>
  <c r="AA221" i="1"/>
  <c r="AB221" i="1" s="1"/>
  <c r="Z221" i="1" s="1"/>
  <c r="AA222" i="1"/>
  <c r="AB222" i="1" s="1"/>
  <c r="Z222" i="1" s="1"/>
  <c r="AA206" i="1"/>
  <c r="AB206" i="1" s="1"/>
  <c r="Z206" i="1" s="1"/>
  <c r="U206" i="1"/>
  <c r="AA208" i="1"/>
  <c r="AB208" i="1" s="1"/>
  <c r="Z208" i="1" s="1"/>
  <c r="U208" i="1"/>
  <c r="U207" i="1"/>
  <c r="AA207" i="1"/>
  <c r="AB207" i="1" s="1"/>
  <c r="Z207" i="1" s="1"/>
  <c r="U205" i="1"/>
  <c r="AA205" i="1"/>
  <c r="AB205" i="1" s="1"/>
  <c r="Z205" i="1" s="1"/>
  <c r="AA190" i="1"/>
  <c r="AB190" i="1" s="1"/>
  <c r="Z190" i="1" s="1"/>
  <c r="AA192" i="1"/>
  <c r="AB192" i="1" s="1"/>
  <c r="Z192" i="1" s="1"/>
  <c r="AA189" i="1"/>
  <c r="AB189" i="1" s="1"/>
  <c r="Z189" i="1" s="1"/>
  <c r="U192" i="1"/>
  <c r="U189" i="1"/>
  <c r="U190" i="1"/>
  <c r="AA175" i="1"/>
  <c r="AB175" i="1" s="1"/>
  <c r="Z175" i="1" s="1"/>
  <c r="U175" i="1"/>
  <c r="AA174" i="1"/>
  <c r="AB174" i="1" s="1"/>
  <c r="Z174" i="1" s="1"/>
  <c r="U174" i="1"/>
  <c r="AA173" i="1"/>
  <c r="AB173" i="1" s="1"/>
  <c r="Z173" i="1" s="1"/>
  <c r="U176" i="1"/>
  <c r="AA176" i="1"/>
  <c r="AB176" i="1" s="1"/>
  <c r="Z176" i="1" s="1"/>
  <c r="U173" i="1"/>
  <c r="AA172" i="1"/>
  <c r="AB172" i="1" s="1"/>
  <c r="Z172" i="1" s="1"/>
  <c r="U172" i="1"/>
  <c r="U95" i="1"/>
  <c r="U144" i="1"/>
  <c r="U143" i="1"/>
  <c r="U159" i="1"/>
  <c r="AA158" i="1"/>
  <c r="AB158" i="1" s="1"/>
  <c r="Z158" i="1" s="1"/>
  <c r="U158" i="1"/>
  <c r="AA157" i="1"/>
  <c r="AB157" i="1" s="1"/>
  <c r="Z157" i="1" s="1"/>
  <c r="U157" i="1"/>
  <c r="AA160" i="1"/>
  <c r="AB160" i="1" s="1"/>
  <c r="Z160" i="1" s="1"/>
  <c r="U160" i="1"/>
  <c r="U142" i="1"/>
  <c r="AA142" i="1"/>
  <c r="AB142" i="1" s="1"/>
  <c r="Z142" i="1" s="1"/>
  <c r="U141" i="1"/>
  <c r="AA141" i="1"/>
  <c r="AB141" i="1" s="1"/>
  <c r="Z141" i="1" s="1"/>
  <c r="AA127" i="1"/>
  <c r="AB127" i="1" s="1"/>
  <c r="Z127" i="1" s="1"/>
  <c r="AA125" i="1"/>
  <c r="AB125" i="1" s="1"/>
  <c r="Z125" i="1" s="1"/>
  <c r="U126" i="1"/>
  <c r="AA126" i="1"/>
  <c r="AB126" i="1" s="1"/>
  <c r="Z126" i="1" s="1"/>
  <c r="U127" i="1"/>
  <c r="U125" i="1"/>
  <c r="AA124" i="1"/>
  <c r="AB124" i="1" s="1"/>
  <c r="Z124" i="1" s="1"/>
  <c r="U124" i="1"/>
  <c r="AA110" i="1"/>
  <c r="AB110" i="1" s="1"/>
  <c r="Z110" i="1" s="1"/>
  <c r="Q110" i="1"/>
  <c r="Q111" i="1"/>
  <c r="Q109" i="1"/>
  <c r="U111" i="1"/>
  <c r="AA111" i="1"/>
  <c r="AB111" i="1" s="1"/>
  <c r="Z111" i="1" s="1"/>
  <c r="U108" i="1"/>
  <c r="AA108" i="1"/>
  <c r="AB108" i="1" s="1"/>
  <c r="Z108" i="1" s="1"/>
  <c r="U109" i="1"/>
  <c r="AA109" i="1"/>
  <c r="AB109" i="1" s="1"/>
  <c r="Z109" i="1" s="1"/>
  <c r="U94" i="1"/>
  <c r="AA93" i="1"/>
  <c r="AB93" i="1" s="1"/>
  <c r="Z93" i="1" s="1"/>
  <c r="U93" i="1"/>
  <c r="AA96" i="1"/>
  <c r="AB96" i="1" s="1"/>
  <c r="Z96" i="1" s="1"/>
  <c r="U96" i="1"/>
  <c r="U80" i="1"/>
  <c r="U78" i="1"/>
  <c r="AA78" i="1"/>
  <c r="AB78" i="1" s="1"/>
  <c r="Z78" i="1" s="1"/>
  <c r="U79" i="1"/>
  <c r="AA79" i="1"/>
  <c r="AB79" i="1" s="1"/>
  <c r="Z79" i="1" s="1"/>
  <c r="U81" i="1"/>
  <c r="AA81" i="1"/>
  <c r="AB81" i="1" s="1"/>
  <c r="Z81" i="1" s="1"/>
  <c r="S31" i="1"/>
  <c r="U31" i="1" s="1"/>
  <c r="S32" i="1"/>
  <c r="S33" i="1"/>
  <c r="AA33" i="1" s="1"/>
  <c r="S30" i="1"/>
  <c r="U30" i="1" s="1"/>
  <c r="Q13" i="1"/>
  <c r="Q14" i="1"/>
  <c r="Q15" i="1"/>
  <c r="Q16" i="1"/>
  <c r="Q17" i="1"/>
  <c r="AA17" i="1"/>
  <c r="AA16" i="1"/>
  <c r="AA15" i="1"/>
  <c r="AA14" i="1"/>
  <c r="AA13" i="1"/>
  <c r="U303" i="1" l="1"/>
  <c r="Q318" i="1"/>
  <c r="U318" i="1"/>
  <c r="AA318" i="1"/>
  <c r="AB318" i="1" s="1"/>
  <c r="Z318" i="1" s="1"/>
  <c r="Q319" i="1"/>
  <c r="U319" i="1"/>
  <c r="AA319" i="1"/>
  <c r="AB319" i="1" s="1"/>
  <c r="Z319" i="1" s="1"/>
  <c r="AA303" i="1"/>
  <c r="AB303" i="1" s="1"/>
  <c r="Z303" i="1" s="1"/>
  <c r="U33" i="1"/>
  <c r="AA31" i="1"/>
  <c r="Q31" i="1"/>
  <c r="Q33" i="1"/>
  <c r="AA30" i="1"/>
  <c r="Q30" i="1"/>
  <c r="U22" i="1"/>
  <c r="Q32" i="1" s="1"/>
  <c r="AB2" i="1"/>
  <c r="Z2" i="1" s="1"/>
  <c r="AB8" i="1"/>
  <c r="Z8" i="1" s="1"/>
  <c r="AB9" i="1"/>
  <c r="Z9" i="1" s="1"/>
  <c r="AB10" i="1"/>
  <c r="Z10" i="1" s="1"/>
  <c r="S29" i="1"/>
  <c r="S45" i="1"/>
  <c r="S46" i="1"/>
  <c r="S47" i="1"/>
  <c r="S48" i="1"/>
  <c r="S49" i="1"/>
  <c r="S61" i="1"/>
  <c r="S62" i="1"/>
  <c r="S63" i="1"/>
  <c r="S64" i="1"/>
  <c r="S65" i="1"/>
  <c r="AB3" i="1"/>
  <c r="Z3" i="1" s="1"/>
  <c r="AB4" i="1"/>
  <c r="Z4" i="1" s="1"/>
  <c r="AB5" i="1"/>
  <c r="Z5" i="1" s="1"/>
  <c r="AB6" i="1"/>
  <c r="Z6" i="1" s="1"/>
  <c r="AB7" i="1"/>
  <c r="Z7" i="1" s="1"/>
  <c r="AB11" i="1"/>
  <c r="Z11" i="1" s="1"/>
  <c r="AB12" i="1"/>
  <c r="Z12" i="1" s="1"/>
  <c r="AB18" i="1"/>
  <c r="Z18" i="1" s="1"/>
  <c r="AB19" i="1"/>
  <c r="Z19" i="1" s="1"/>
  <c r="AB20" i="1"/>
  <c r="Z20" i="1" s="1"/>
  <c r="AB21" i="1"/>
  <c r="Z21" i="1" s="1"/>
  <c r="AB22" i="1"/>
  <c r="Z22" i="1" s="1"/>
  <c r="AB23" i="1"/>
  <c r="Z23" i="1" s="1"/>
  <c r="AB24" i="1"/>
  <c r="Z24" i="1" s="1"/>
  <c r="AB25" i="1"/>
  <c r="Z25" i="1" s="1"/>
  <c r="AB26" i="1"/>
  <c r="Z26" i="1" s="1"/>
  <c r="AB27" i="1"/>
  <c r="Z27" i="1" s="1"/>
  <c r="AB28" i="1"/>
  <c r="Z28" i="1" s="1"/>
  <c r="K2" i="1"/>
  <c r="K18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Y15" i="1"/>
  <c r="E321" i="1"/>
  <c r="Y321" i="1"/>
  <c r="Y322" i="1"/>
  <c r="Y323" i="1"/>
  <c r="Y324" i="1"/>
  <c r="Y325" i="1"/>
  <c r="Y326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E305" i="1"/>
  <c r="AA61" i="1" l="1"/>
  <c r="AB61" i="1" s="1"/>
  <c r="Z61" i="1" s="1"/>
  <c r="Q61" i="1"/>
  <c r="U61" i="1"/>
  <c r="AA47" i="1"/>
  <c r="AB47" i="1" s="1"/>
  <c r="Z47" i="1" s="1"/>
  <c r="U47" i="1"/>
  <c r="Q47" i="1"/>
  <c r="AA46" i="1"/>
  <c r="AB46" i="1" s="1"/>
  <c r="Z46" i="1" s="1"/>
  <c r="Q46" i="1"/>
  <c r="U46" i="1"/>
  <c r="Q45" i="1"/>
  <c r="AA45" i="1"/>
  <c r="AB45" i="1" s="1"/>
  <c r="Z45" i="1" s="1"/>
  <c r="U45" i="1"/>
  <c r="U65" i="1"/>
  <c r="AA65" i="1"/>
  <c r="AB65" i="1" s="1"/>
  <c r="Z65" i="1" s="1"/>
  <c r="Q65" i="1"/>
  <c r="U64" i="1"/>
  <c r="AA64" i="1"/>
  <c r="AB64" i="1" s="1"/>
  <c r="Z64" i="1" s="1"/>
  <c r="Q64" i="1"/>
  <c r="AA63" i="1"/>
  <c r="AB63" i="1" s="1"/>
  <c r="Z63" i="1" s="1"/>
  <c r="U63" i="1"/>
  <c r="Q63" i="1"/>
  <c r="Q49" i="1"/>
  <c r="AA49" i="1"/>
  <c r="AB49" i="1" s="1"/>
  <c r="Z49" i="1" s="1"/>
  <c r="U49" i="1"/>
  <c r="Q62" i="1"/>
  <c r="U62" i="1"/>
  <c r="AA62" i="1"/>
  <c r="AB62" i="1" s="1"/>
  <c r="Z62" i="1" s="1"/>
  <c r="Q48" i="1"/>
  <c r="AA48" i="1"/>
  <c r="AB48" i="1" s="1"/>
  <c r="Z48" i="1" s="1"/>
  <c r="U48" i="1"/>
  <c r="AA29" i="1"/>
  <c r="AB29" i="1" s="1"/>
  <c r="Z29" i="1" s="1"/>
  <c r="Q29" i="1"/>
  <c r="U32" i="1"/>
  <c r="AA32" i="1"/>
  <c r="U29" i="1"/>
  <c r="AB31" i="1"/>
  <c r="Z31" i="1" s="1"/>
  <c r="AB30" i="1"/>
  <c r="Z30" i="1" s="1"/>
  <c r="AB16" i="1"/>
  <c r="Z16" i="1" s="1"/>
  <c r="AB13" i="1"/>
  <c r="Z13" i="1" s="1"/>
  <c r="AB17" i="1"/>
  <c r="Z17" i="1" s="1"/>
  <c r="E289" i="1"/>
  <c r="E273" i="1"/>
  <c r="E257" i="1"/>
  <c r="E241" i="1"/>
  <c r="E225" i="1"/>
  <c r="E209" i="1"/>
  <c r="E193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E177" i="1"/>
  <c r="E161" i="1"/>
  <c r="E145" i="1"/>
  <c r="E129" i="1"/>
  <c r="E97" i="1"/>
  <c r="E82" i="1"/>
  <c r="E66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" i="1"/>
  <c r="Y4" i="1"/>
  <c r="Y5" i="1"/>
  <c r="Y6" i="1"/>
  <c r="Y7" i="1"/>
  <c r="Y8" i="1"/>
  <c r="Y9" i="1"/>
  <c r="Y10" i="1"/>
  <c r="Y11" i="1"/>
  <c r="Y12" i="1"/>
  <c r="Y13" i="1"/>
  <c r="Y14" i="1"/>
  <c r="Y16" i="1"/>
  <c r="Y17" i="1"/>
  <c r="Y2" i="1"/>
  <c r="E50" i="1"/>
  <c r="E2" i="1"/>
  <c r="E18" i="1"/>
  <c r="E113" i="1"/>
  <c r="AB32" i="1" l="1"/>
  <c r="Z32" i="1" s="1"/>
  <c r="AB15" i="1"/>
  <c r="Z15" i="1" s="1"/>
  <c r="AB33" i="1"/>
  <c r="Z33" i="1" s="1"/>
  <c r="AB14" i="1"/>
  <c r="Z14" i="1" s="1"/>
  <c r="K42" i="11"/>
  <c r="L37" i="11"/>
  <c r="N35" i="11"/>
  <c r="N36" i="11" l="1"/>
</calcChain>
</file>

<file path=xl/sharedStrings.xml><?xml version="1.0" encoding="utf-8"?>
<sst xmlns="http://schemas.openxmlformats.org/spreadsheetml/2006/main" count="5496" uniqueCount="310">
  <si>
    <t>Jornada</t>
  </si>
  <si>
    <t>Nombre</t>
  </si>
  <si>
    <t>Titular</t>
  </si>
  <si>
    <t>Goles</t>
  </si>
  <si>
    <t>Local/Visitante</t>
  </si>
  <si>
    <t>Resultado</t>
  </si>
  <si>
    <t>Dorsal</t>
  </si>
  <si>
    <t>Tarjeta Amarilla</t>
  </si>
  <si>
    <t>Tarjeta Roja</t>
  </si>
  <si>
    <t>Partido Jugado</t>
  </si>
  <si>
    <t>Fecha</t>
  </si>
  <si>
    <t>Marcador</t>
  </si>
  <si>
    <t>Victoria</t>
  </si>
  <si>
    <t>Empate</t>
  </si>
  <si>
    <t>Convocado</t>
  </si>
  <si>
    <t>Etiquetas de fila</t>
  </si>
  <si>
    <t>Total general</t>
  </si>
  <si>
    <t>Suma de Goles</t>
  </si>
  <si>
    <t>Suma de Convocado</t>
  </si>
  <si>
    <t>Suma de Partido Jugado</t>
  </si>
  <si>
    <t>Suma de Titular</t>
  </si>
  <si>
    <t>x</t>
  </si>
  <si>
    <t>Promed Minutos</t>
  </si>
  <si>
    <t>Promed Goles</t>
  </si>
  <si>
    <t>Promed Goles a Favor</t>
  </si>
  <si>
    <t>Promed Goles n Contra</t>
  </si>
  <si>
    <t>Gol 90'</t>
  </si>
  <si>
    <t>Gol a Favor 90'</t>
  </si>
  <si>
    <t>Gol en contra 90'</t>
  </si>
  <si>
    <t>Equipo</t>
  </si>
  <si>
    <t>Alias</t>
  </si>
  <si>
    <t>Penalti</t>
  </si>
  <si>
    <t>Gol</t>
  </si>
  <si>
    <t>Minuto</t>
  </si>
  <si>
    <t>Equipo Marca</t>
  </si>
  <si>
    <t>Rival Recibe Gol</t>
  </si>
  <si>
    <t>Ponerse por delante</t>
  </si>
  <si>
    <t>Apertura de marcador</t>
  </si>
  <si>
    <t>Ampliar Ventaja</t>
  </si>
  <si>
    <t>Igualar marcador</t>
  </si>
  <si>
    <t>Reducir distancia</t>
  </si>
  <si>
    <t>Remontada</t>
  </si>
  <si>
    <t>Tipo</t>
  </si>
  <si>
    <t>Derrota</t>
  </si>
  <si>
    <t>Partido</t>
  </si>
  <si>
    <t>Eq.Local</t>
  </si>
  <si>
    <t>Eq.Visitante</t>
  </si>
  <si>
    <t>2a Tarjeta Amarilla</t>
  </si>
  <si>
    <t>Minuto 2a Amarilla</t>
  </si>
  <si>
    <t>Minuto 1a Amarilla</t>
  </si>
  <si>
    <t>Resultado 1a Amarilla</t>
  </si>
  <si>
    <t>Resultado 2a Amarilla</t>
  </si>
  <si>
    <t>Equipo_Jug</t>
  </si>
  <si>
    <t>Resultado Jug_Eq</t>
  </si>
  <si>
    <t>Puntos Jug_Campo</t>
  </si>
  <si>
    <t>Resultado Jug_Campo</t>
  </si>
  <si>
    <t>Puntos x minutos</t>
  </si>
  <si>
    <t>Local</t>
  </si>
  <si>
    <t>Visitante</t>
  </si>
  <si>
    <t>Estadio</t>
  </si>
  <si>
    <t>Goles a Favor_Jug</t>
  </si>
  <si>
    <t>Goles en Contra_Jug</t>
  </si>
  <si>
    <t>Propia Puerta</t>
  </si>
  <si>
    <t>Local/ Visitante</t>
  </si>
  <si>
    <t>Tipología 1A</t>
  </si>
  <si>
    <t>Tipología 2A</t>
  </si>
  <si>
    <t>Fecha Nacimiento</t>
  </si>
  <si>
    <t>Sustituido Por:</t>
  </si>
  <si>
    <t>Minutos Sustituto</t>
  </si>
  <si>
    <t>Alineación</t>
  </si>
  <si>
    <t>Suplente</t>
  </si>
  <si>
    <t>Derribo/Entrada Temeraria</t>
  </si>
  <si>
    <t>Agarrar/Sujetar Disputa</t>
  </si>
  <si>
    <t>Agarrar/Sujetar Ataque Prometedor</t>
  </si>
  <si>
    <t>Derribo/Entrada Ataque Prometedor</t>
  </si>
  <si>
    <t>Goles a Favor_Eq_local</t>
  </si>
  <si>
    <t>Gol a Favor_Eq_Visitante</t>
  </si>
  <si>
    <t>Jugar Balón con la mano</t>
  </si>
  <si>
    <t>Golpear Contrario Temeraria</t>
  </si>
  <si>
    <t>Desaprobar Decisión Árbitro</t>
  </si>
  <si>
    <t>Derribo/Entrada Ocasión Manifiesta</t>
  </si>
  <si>
    <t>Pisotón Temerario</t>
  </si>
  <si>
    <t>#N/D</t>
  </si>
  <si>
    <t>Minutos Jugados</t>
  </si>
  <si>
    <t>Encararse/discutir adversario</t>
  </si>
  <si>
    <t>Minuto Tarjeta Roja</t>
  </si>
  <si>
    <t>Roja Directa</t>
  </si>
  <si>
    <t>Resultado  Tarjeta Roja</t>
  </si>
  <si>
    <t>ORDEÑANA BORRERO, IKER</t>
  </si>
  <si>
    <t>GUERRA IZA, JON</t>
  </si>
  <si>
    <t>MENDIZABAL MARTINEZ, MARKEL</t>
  </si>
  <si>
    <t>CRUCES RODRIGUEZ, GORKA</t>
  </si>
  <si>
    <t>ZALBIDE GAMON, JON ANDER</t>
  </si>
  <si>
    <t>ARANA ROMO, IMANOL</t>
  </si>
  <si>
    <t>MENDIBIL FRIAS, AITOR</t>
  </si>
  <si>
    <t>FRUNIZ ISASI, BITTOR</t>
  </si>
  <si>
    <t>FERNANDEZ LOPATEGUI, JURGI</t>
  </si>
  <si>
    <t>ETXEBARRIA SUSTACHA, AITOR</t>
  </si>
  <si>
    <t>RUIZ AUSIN, DIEGO</t>
  </si>
  <si>
    <t>EGUIÑO ARRIETA, IBON</t>
  </si>
  <si>
    <t>BEDOYA HURTADO, SANTIAGO</t>
  </si>
  <si>
    <t>DAVILA GUTIERREZ, JEAN ALEJANDRO</t>
  </si>
  <si>
    <t>Posicion Especifica</t>
  </si>
  <si>
    <t>Posicion Global</t>
  </si>
  <si>
    <t>MARTINEZ CAYETANO, ASIER</t>
  </si>
  <si>
    <t>MUSATADI ROJO, IKER</t>
  </si>
  <si>
    <t>REVILLA NOTARIO, ANDER</t>
  </si>
  <si>
    <t>IZAGIRRE ARRIBALTZAGA, ANARTZ</t>
  </si>
  <si>
    <t>RODRIGUEZ REMENTERIA, GORKA</t>
  </si>
  <si>
    <t>v</t>
  </si>
  <si>
    <t>BARAÑANO ARROYO, AITOR</t>
  </si>
  <si>
    <t>AMORIZA LOROÑO, ANDONI</t>
  </si>
  <si>
    <t>LARRAZABAL BATIZ, AIMAR</t>
  </si>
  <si>
    <t>ZULUETA ZARATE, XABIER</t>
  </si>
  <si>
    <t>OTAZUA GUTIERREZ, OIER</t>
  </si>
  <si>
    <t>EGUIA UNANUE, OIER</t>
  </si>
  <si>
    <t>EGUILUZ RODRIGUEZ, LIHER</t>
  </si>
  <si>
    <t>SAN NICOLAS GIL, ENEKO</t>
  </si>
  <si>
    <t>(en blanco)</t>
  </si>
  <si>
    <t>Años</t>
  </si>
  <si>
    <t>Puntos</t>
  </si>
  <si>
    <t>C.D. Lérez</t>
  </si>
  <si>
    <t>Cidade de Ribeira</t>
  </si>
  <si>
    <t>Salgueiriños C.F.</t>
  </si>
  <si>
    <t>E.D. Arousa S.D.</t>
  </si>
  <si>
    <t>Escola de Fútbol DSF</t>
  </si>
  <si>
    <t>Porriño Industrial</t>
  </si>
  <si>
    <t>Amio S.D.</t>
  </si>
  <si>
    <t>S.D. Compostela B</t>
  </si>
  <si>
    <t>C.D. Ribadumia</t>
  </si>
  <si>
    <t>Arosa S.C. B</t>
  </si>
  <si>
    <t>Escola Estrada F.B.</t>
  </si>
  <si>
    <t>E.D. Xuventude Oroso</t>
  </si>
  <si>
    <t>Conxo Santiago B</t>
  </si>
  <si>
    <t>Céltiga F.C.</t>
  </si>
  <si>
    <t>C.D. Choco B</t>
  </si>
  <si>
    <t>S.D. Monteporreiro</t>
  </si>
  <si>
    <t>FREIRE VARELA, IAGO</t>
  </si>
  <si>
    <t>SEOANE MIGUEZ, ALEJANDRO</t>
  </si>
  <si>
    <t>PUTENCIO DA COSTA, GABRIEL</t>
  </si>
  <si>
    <t>PORTO BENDAÑA, PABLO</t>
  </si>
  <si>
    <t>MIGUEZ GONZALEZ, ANXO</t>
  </si>
  <si>
    <t>IGLESIAS REY, DIEGO</t>
  </si>
  <si>
    <t>LORENZO CASTRO, DIEGO</t>
  </si>
  <si>
    <t>SÁNCHEZ TOURIÑO, XOEL</t>
  </si>
  <si>
    <t>VARELA GARCIA, NAUM</t>
  </si>
  <si>
    <t>PIÑEIRO POMBO, DANIEL</t>
  </si>
  <si>
    <t>MARTINEZ JIMENEZ, BRAYAN</t>
  </si>
  <si>
    <t>COSTA DOMINGUEZ, OLMO</t>
  </si>
  <si>
    <t>TORREIRA GONZALEZ, MAURO</t>
  </si>
  <si>
    <t>LEGEREN FERNANDEZ, XURXO</t>
  </si>
  <si>
    <t>RAMÍREZ PORTO, IKER</t>
  </si>
  <si>
    <t>LAGO LAGO, HUGO</t>
  </si>
  <si>
    <t>Manolo Barreiro</t>
  </si>
  <si>
    <t>GONZALEZ FERNANDEZ, DANIEL</t>
  </si>
  <si>
    <t>CISNEROS FERNANDEZ, ADRIAN</t>
  </si>
  <si>
    <t>JAR PENIDO, ALVARO</t>
  </si>
  <si>
    <t>A Merced</t>
  </si>
  <si>
    <t>A Bouza</t>
  </si>
  <si>
    <t>DOPICO VAZQUEZ, MIGUEL</t>
  </si>
  <si>
    <t>Anexo Fieiteira</t>
  </si>
  <si>
    <t>Manuel Jiménez Abalo</t>
  </si>
  <si>
    <t>LOPEZ PINILLA, GUILLERMO</t>
  </si>
  <si>
    <t>NOYA VARELA, MARTIN</t>
  </si>
  <si>
    <t>LOPEZ GOMEZ, ANTON</t>
  </si>
  <si>
    <t>EIRAS RODRIGUEZ, XAVI</t>
  </si>
  <si>
    <t>MAYAN DE LA FUENTE, LUCAS</t>
  </si>
  <si>
    <t>Municipal Sergas</t>
  </si>
  <si>
    <t>GONZÁLEZ GONZÁLEZ, AARÓN</t>
  </si>
  <si>
    <t>REMISEIRO GARCIA, XOEL</t>
  </si>
  <si>
    <t>SANTIAGO CAMPOS, ULISES</t>
  </si>
  <si>
    <t>GARCIA ALONSO, MANUEL</t>
  </si>
  <si>
    <t>DOMINGUEZ GONDAR, JAVIER</t>
  </si>
  <si>
    <t>CABALEIRO MOURIÑO, BREOGAN</t>
  </si>
  <si>
    <t>BALDOMEDO CASTROMAN, BRAIS</t>
  </si>
  <si>
    <t>GONZALEZ TABOADA, IAGO</t>
  </si>
  <si>
    <t>FERNANDEZ SOUTO, HUGO</t>
  </si>
  <si>
    <t>VILLAMOR FERNANDEZ, NICOLAS</t>
  </si>
  <si>
    <t>HERBON FRANCO, ISMAEL</t>
  </si>
  <si>
    <t>LATA GARCÍA, SERGIO</t>
  </si>
  <si>
    <t>CASUSO AREOSO, IKER</t>
  </si>
  <si>
    <t>MALLO PEREZ, MARTIN</t>
  </si>
  <si>
    <t>RODRÍGUEZ ILLOBRE, MARIO</t>
  </si>
  <si>
    <t>DEVESA MILLAN, PABLO</t>
  </si>
  <si>
    <t>LOPEZ REY, LEO</t>
  </si>
  <si>
    <t>GALIÑANES OUTON, PABLO</t>
  </si>
  <si>
    <t>Posicion</t>
  </si>
  <si>
    <t>Partidos Jugados</t>
  </si>
  <si>
    <t>P Ganados</t>
  </si>
  <si>
    <t>P Empatados</t>
  </si>
  <si>
    <t>P Perdidos</t>
  </si>
  <si>
    <t>Goles Fav</t>
  </si>
  <si>
    <t>Goles Contr</t>
  </si>
  <si>
    <t>Dif Goles</t>
  </si>
  <si>
    <t>DAKIK, HASSAN YASSER</t>
  </si>
  <si>
    <t>Novo Campo da Estrada</t>
  </si>
  <si>
    <t>Penedo Redondo</t>
  </si>
  <si>
    <t>M. Monteporreiro</t>
  </si>
  <si>
    <t>BLANCO GARCÍA, CARLOS</t>
  </si>
  <si>
    <t>DRIKSNE, DANIELS</t>
  </si>
  <si>
    <t>Manolo Barreiro 2</t>
  </si>
  <si>
    <t>Santa Mariña</t>
  </si>
  <si>
    <t>MARIN GOMEZ, ALVARO</t>
  </si>
  <si>
    <t>Lourambal - 2</t>
  </si>
  <si>
    <t>As Cancelas</t>
  </si>
  <si>
    <t>FERNANDEZ CHAS, MIGUEL</t>
  </si>
  <si>
    <t>CABALEIRO GOIMIL, TOMAS</t>
  </si>
  <si>
    <t>GIGIREY SANTOS, MARCOS</t>
  </si>
  <si>
    <t>ROMERO BARREIROS, ANTON</t>
  </si>
  <si>
    <t>A Senra 2</t>
  </si>
  <si>
    <t>Lino Balado - Sigüeiro</t>
  </si>
  <si>
    <t>Pelada - Faxilde (Vilagarcía)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</si>
  <si>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</si>
  <si>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</si>
  <si>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</si>
  <si>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</si>
  <si>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</si>
  <si>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</si>
  <si>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</si>
  <si>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</si>
  <si>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</si>
  <si>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</si>
  <si>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 xml:space="preserve"> MIGUEZ VIDAL, MARCOS</t>
  </si>
  <si>
    <t>GARCÍA REY, MAURO</t>
  </si>
  <si>
    <t xml:space="preserve"> PICANS REY, JORGE</t>
  </si>
  <si>
    <t>MIGUEZ VIDAL, MARCOS</t>
  </si>
  <si>
    <t xml:space="preserve"> CERVIÑO CARRACEDO, CESAR</t>
  </si>
  <si>
    <t>PIÑEIRO MOSCONI, IZAN</t>
  </si>
  <si>
    <t>FERNANDEZ SEXTO, BRUNO</t>
  </si>
  <si>
    <t xml:space="preserve"> FERNANDEZ SEXTO, BRUNO</t>
  </si>
  <si>
    <t>GARCÍA CARRIL, DIEGO</t>
  </si>
  <si>
    <t>COBELO BELLO, DIEGO</t>
  </si>
  <si>
    <t>PATIÑO PEREZ, ANTON</t>
  </si>
  <si>
    <t xml:space="preserve"> LEMOS MUÑOZ, ANTON</t>
  </si>
  <si>
    <t>BARREIRO COVELO, SERGIO</t>
  </si>
  <si>
    <t>NUÑEZ GONZALEZ, DAVID</t>
  </si>
  <si>
    <t xml:space="preserve"> ABALO GALBAN, ADRIAN</t>
  </si>
  <si>
    <t xml:space="preserve"> COSTIDS REY, ROBERTO</t>
  </si>
  <si>
    <t>FERNANDEZ ALONSO, DIEGO</t>
  </si>
  <si>
    <t>MOREIRA MARIN, DAVID</t>
  </si>
  <si>
    <t>MEGÍA ARAICO, HUGO</t>
  </si>
  <si>
    <t>FERNANDEZ PEDROSO, ALVARO</t>
  </si>
  <si>
    <t xml:space="preserve"> OUBIÑA FERNANDEZ, PABLO</t>
  </si>
  <si>
    <t>OTERO CABALLERO, MANUEL</t>
  </si>
  <si>
    <t>AMOEDO TRELLES, DIEGO</t>
  </si>
  <si>
    <t>MOLDES VILLAR, BREOGAN</t>
  </si>
  <si>
    <t xml:space="preserve"> AMOEDO TRELLES, DIEGO</t>
  </si>
  <si>
    <t>PEREZ CASTRO, PABLO</t>
  </si>
  <si>
    <t>PORTAS RODRIGUEZ, IZHAM</t>
  </si>
  <si>
    <t>RODRIGUEZ TOME, HUGO</t>
  </si>
  <si>
    <t>BERNARDEZ LOUREIRO, JOEL</t>
  </si>
  <si>
    <t xml:space="preserve"> CIMADEVILA DA CUÑA, BRAIS</t>
  </si>
  <si>
    <t xml:space="preserve"> LAGO LAGO, HUGO</t>
  </si>
  <si>
    <t xml:space="preserve"> BLANCO GARCÍA, CARLOS</t>
  </si>
  <si>
    <t>DA SILVA LOPEZ, GAEL</t>
  </si>
  <si>
    <t xml:space="preserve"> LOPEZ REY, LEO</t>
  </si>
  <si>
    <t>DORREGO NUÑEZ, ROI</t>
  </si>
  <si>
    <t>PEREIRA VÁZQUEZ, MATEO</t>
  </si>
  <si>
    <t>PAZOS HERMIDA, MARTIÑO</t>
  </si>
  <si>
    <t xml:space="preserve"> CAMBA GONZALEZ, MARIO</t>
  </si>
  <si>
    <t>BARROS DEBER, TOMAS</t>
  </si>
  <si>
    <t xml:space="preserve"> PIÑEIRO MOSCONI, IZAN</t>
  </si>
  <si>
    <t>TABACIOIU, MARYO RAUL</t>
  </si>
  <si>
    <t xml:space="preserve"> PATIÑO PEREZ, ANTON</t>
  </si>
  <si>
    <t>SOUTO FOLGAR, MARIO</t>
  </si>
  <si>
    <t xml:space="preserve"> COBELO BELLO, DIEGO</t>
  </si>
  <si>
    <t>GONDAR DIOS, ELOY</t>
  </si>
  <si>
    <t>GONZALEZ CACHAFEIRO, MATEO</t>
  </si>
  <si>
    <t>PÉREZ POUSA, PABLO</t>
  </si>
  <si>
    <t xml:space="preserve"> RAMÍREZ PORTO, IKER</t>
  </si>
  <si>
    <t>Cidade de Ribeira-Conxo Santiago B</t>
  </si>
  <si>
    <t>Conxo Santiago B-Porriño Industrial</t>
  </si>
  <si>
    <t>Céltiga F.C.-Conxo Santiago B</t>
  </si>
  <si>
    <t>Conxo Santiago B-C.D. Choco B</t>
  </si>
  <si>
    <t>Arosa S.C. B-Conxo Santiago B</t>
  </si>
  <si>
    <t>GOODEY, SIMON</t>
  </si>
  <si>
    <t>Conxo Santiago B-S.D. Compostela B</t>
  </si>
  <si>
    <t>Amio S.D.-Conxo Santiago B</t>
  </si>
  <si>
    <t xml:space="preserve"> NOYA VARELA, MARTIN</t>
  </si>
  <si>
    <t>Conxo Santiago B-C.D. Ribadumia</t>
  </si>
  <si>
    <t>Escola Estrada F.B.-Conxo Santiago B</t>
  </si>
  <si>
    <t>Conxo Santiago B-E.D. Xuventude Oroso</t>
  </si>
  <si>
    <t>Escola de Fútbol DSF-Conxo Santiago B</t>
  </si>
  <si>
    <t>Conxo Santiago B-E.D. Arousa S.D.</t>
  </si>
  <si>
    <t>Si</t>
  </si>
  <si>
    <t>S.D. Monteporreiro-Conxo Santiago B</t>
  </si>
  <si>
    <t>Conxo Santiago B-Salgueiriños C.F.</t>
  </si>
  <si>
    <t>C.D. Lérez-Conxo Santiago B</t>
  </si>
  <si>
    <t>Conxo Santiago B-Céltiga F.C.</t>
  </si>
  <si>
    <t>C.D. Choco B-Conxo Santiago B</t>
  </si>
  <si>
    <t>Conxo Santiago B-Cidade de Ribeira</t>
  </si>
  <si>
    <t>Porriño Industrial-Conxo Santiago B</t>
  </si>
  <si>
    <t>Conxo Santiago B-Arosa S.C. B</t>
  </si>
  <si>
    <t>S.D. Compostela B-Conxo Santiago B</t>
  </si>
  <si>
    <t>Conxo Santiago B-Amio S.D.</t>
  </si>
  <si>
    <t>E.D. Xuventude Oroso-Conxo Santiago B</t>
  </si>
  <si>
    <t>Conxo Santiago B-Escola de Fútbol DSF</t>
  </si>
  <si>
    <t>Conxo Santiago B-S.D. Monteporreiro</t>
  </si>
  <si>
    <t>Portero</t>
  </si>
  <si>
    <t>Central</t>
  </si>
  <si>
    <t>Pivote</t>
  </si>
  <si>
    <t>Extremo</t>
  </si>
  <si>
    <t>Delantero</t>
  </si>
  <si>
    <t>Medio Centro</t>
  </si>
  <si>
    <t>Media Punta</t>
  </si>
  <si>
    <t>Defensa</t>
  </si>
  <si>
    <t>Lateral Derecho</t>
  </si>
  <si>
    <t>Lateral Izquierdo</t>
  </si>
  <si>
    <t>Centrocampista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</si>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</sst>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Poppins Regular"/>
    </font>
    <font>
      <sz val="12"/>
      <color rgb="FF383838"/>
      <name val="Poppins Regular"/>
    </font>
    <font>
      <sz val="12"/>
      <color rgb="FF212529"/>
      <name val="Poppins Regular"/>
    </font>
    <font>
      <sz val="12"/>
      <color rgb="FF000000"/>
      <name val="Aptos Narrow"/>
      <family val="2"/>
      <scheme val="minor"/>
    </font>
    <font>
      <sz val="12"/>
      <color theme="0"/>
      <name val="Poppins Regular"/>
    </font>
    <font>
      <b/>
      <sz val="12"/>
      <color rgb="FFFFFFFF"/>
      <name val="Helvetica"/>
      <family val="2"/>
    </font>
    <font>
      <sz val="12"/>
      <color rgb="FF000000"/>
      <name val="Helvetica"/>
      <family val="2"/>
    </font>
    <font>
      <sz val="12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0" fillId="4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0" fillId="2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108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383838"/>
        <name val="Poppins Regular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83838"/>
        <name val="Poppins 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83838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383838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383838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383838"/>
        <name val="Poppins Regular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383838"/>
        <name val="Poppins Regular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383838"/>
        <name val="Poppins Regular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 Regular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Poppins Regular"/>
        <scheme val="none"/>
      </font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/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330200</xdr:colOff>
      <xdr:row>31</xdr:row>
      <xdr:rowOff>12700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0FBEE28B-7B20-FE45-78AF-AA8286BBB3DF}"/>
            </a:ext>
          </a:extLst>
        </xdr:cNvPr>
        <xdr:cNvSpPr>
          <a:spLocks noChangeAspect="1" noChangeArrowheads="1"/>
        </xdr:cNvSpPr>
      </xdr:nvSpPr>
      <xdr:spPr bwMode="auto">
        <a:xfrm>
          <a:off x="698500" y="5918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30</xdr:row>
      <xdr:rowOff>88900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E291C64B-3B1A-A5AE-D673-167AC598F4F8}"/>
            </a:ext>
          </a:extLst>
        </xdr:cNvPr>
        <xdr:cNvSpPr>
          <a:spLocks noChangeAspect="1" noChangeArrowheads="1"/>
        </xdr:cNvSpPr>
      </xdr:nvSpPr>
      <xdr:spPr bwMode="auto">
        <a:xfrm>
          <a:off x="3454400" y="59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330200</xdr:colOff>
      <xdr:row>35</xdr:row>
      <xdr:rowOff>25400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7BEB11C3-5881-ACEE-8D72-BBE6213D9E85}"/>
            </a:ext>
          </a:extLst>
        </xdr:cNvPr>
        <xdr:cNvSpPr>
          <a:spLocks noChangeAspect="1" noChangeArrowheads="1"/>
        </xdr:cNvSpPr>
      </xdr:nvSpPr>
      <xdr:spPr bwMode="auto">
        <a:xfrm>
          <a:off x="698500" y="67564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304800</xdr:colOff>
      <xdr:row>34</xdr:row>
      <xdr:rowOff>101600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0BBEC9E7-B597-9CC5-CF56-B089F15C32C5}"/>
            </a:ext>
          </a:extLst>
        </xdr:cNvPr>
        <xdr:cNvSpPr>
          <a:spLocks noChangeAspect="1" noChangeArrowheads="1"/>
        </xdr:cNvSpPr>
      </xdr:nvSpPr>
      <xdr:spPr bwMode="auto">
        <a:xfrm>
          <a:off x="3454400" y="67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330200</xdr:colOff>
      <xdr:row>38</xdr:row>
      <xdr:rowOff>25400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1D867E40-3CE3-1027-2820-6D63431050AF}"/>
            </a:ext>
          </a:extLst>
        </xdr:cNvPr>
        <xdr:cNvSpPr>
          <a:spLocks noChangeAspect="1" noChangeArrowheads="1"/>
        </xdr:cNvSpPr>
      </xdr:nvSpPr>
      <xdr:spPr bwMode="auto">
        <a:xfrm>
          <a:off x="698500" y="73787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304800</xdr:colOff>
      <xdr:row>37</xdr:row>
      <xdr:rowOff>101600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240781DD-CDDA-AE8D-80E6-642DA05E49BA}"/>
            </a:ext>
          </a:extLst>
        </xdr:cNvPr>
        <xdr:cNvSpPr>
          <a:spLocks noChangeAspect="1" noChangeArrowheads="1"/>
        </xdr:cNvSpPr>
      </xdr:nvSpPr>
      <xdr:spPr bwMode="auto">
        <a:xfrm>
          <a:off x="3454400" y="7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330200</xdr:colOff>
      <xdr:row>41</xdr:row>
      <xdr:rowOff>25400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8AC06BE1-0DED-6630-FA21-6DCF584269DC}"/>
            </a:ext>
          </a:extLst>
        </xdr:cNvPr>
        <xdr:cNvSpPr>
          <a:spLocks noChangeAspect="1" noChangeArrowheads="1"/>
        </xdr:cNvSpPr>
      </xdr:nvSpPr>
      <xdr:spPr bwMode="auto">
        <a:xfrm>
          <a:off x="698500" y="80010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304800</xdr:colOff>
      <xdr:row>40</xdr:row>
      <xdr:rowOff>101600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59589732-864D-880E-0B0F-02136DF70640}"/>
            </a:ext>
          </a:extLst>
        </xdr:cNvPr>
        <xdr:cNvSpPr>
          <a:spLocks noChangeAspect="1" noChangeArrowheads="1"/>
        </xdr:cNvSpPr>
      </xdr:nvSpPr>
      <xdr:spPr bwMode="auto">
        <a:xfrm>
          <a:off x="34544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330200</xdr:colOff>
      <xdr:row>44</xdr:row>
      <xdr:rowOff>25400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4B74F837-0C6F-BBE4-E396-149250D943C7}"/>
            </a:ext>
          </a:extLst>
        </xdr:cNvPr>
        <xdr:cNvSpPr>
          <a:spLocks noChangeAspect="1" noChangeArrowheads="1"/>
        </xdr:cNvSpPr>
      </xdr:nvSpPr>
      <xdr:spPr bwMode="auto">
        <a:xfrm>
          <a:off x="698500" y="8623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43</xdr:row>
      <xdr:rowOff>101600</xdr:rowOff>
    </xdr:to>
    <xdr:sp macro="" textlink="">
      <xdr:nvSpPr>
        <xdr:cNvPr id="4106" name="AutoShape 10">
          <a:extLst>
            <a:ext uri="{FF2B5EF4-FFF2-40B4-BE49-F238E27FC236}">
              <a16:creationId xmlns:a16="http://schemas.microsoft.com/office/drawing/2014/main" id="{D2F897B8-5C2F-7FBF-6178-A9427F185A4B}"/>
            </a:ext>
          </a:extLst>
        </xdr:cNvPr>
        <xdr:cNvSpPr>
          <a:spLocks noChangeAspect="1" noChangeArrowheads="1"/>
        </xdr:cNvSpPr>
      </xdr:nvSpPr>
      <xdr:spPr bwMode="auto">
        <a:xfrm>
          <a:off x="3454400" y="86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330200</xdr:colOff>
      <xdr:row>47</xdr:row>
      <xdr:rowOff>25400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1C1AC8A9-6EB9-8738-A886-04CD31793E5F}"/>
            </a:ext>
          </a:extLst>
        </xdr:cNvPr>
        <xdr:cNvSpPr>
          <a:spLocks noChangeAspect="1" noChangeArrowheads="1"/>
        </xdr:cNvSpPr>
      </xdr:nvSpPr>
      <xdr:spPr bwMode="auto">
        <a:xfrm>
          <a:off x="698500" y="9245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304800</xdr:colOff>
      <xdr:row>46</xdr:row>
      <xdr:rowOff>101600</xdr:rowOff>
    </xdr:to>
    <xdr:sp macro="" textlink="">
      <xdr:nvSpPr>
        <xdr:cNvPr id="4108" name="AutoShape 12">
          <a:extLst>
            <a:ext uri="{FF2B5EF4-FFF2-40B4-BE49-F238E27FC236}">
              <a16:creationId xmlns:a16="http://schemas.microsoft.com/office/drawing/2014/main" id="{A75DAA3B-5742-4DB9-9ED4-7083CC373B9E}"/>
            </a:ext>
          </a:extLst>
        </xdr:cNvPr>
        <xdr:cNvSpPr>
          <a:spLocks noChangeAspect="1" noChangeArrowheads="1"/>
        </xdr:cNvSpPr>
      </xdr:nvSpPr>
      <xdr:spPr bwMode="auto">
        <a:xfrm>
          <a:off x="3454400" y="92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330200</xdr:colOff>
      <xdr:row>50</xdr:row>
      <xdr:rowOff>25400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FC8DA76E-6AA7-4962-D9FB-05F96A5AB81B}"/>
            </a:ext>
          </a:extLst>
        </xdr:cNvPr>
        <xdr:cNvSpPr>
          <a:spLocks noChangeAspect="1" noChangeArrowheads="1"/>
        </xdr:cNvSpPr>
      </xdr:nvSpPr>
      <xdr:spPr bwMode="auto">
        <a:xfrm>
          <a:off x="698500" y="9867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304800</xdr:colOff>
      <xdr:row>49</xdr:row>
      <xdr:rowOff>101600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91CF754E-7287-9B54-8DBA-759410DD144F}"/>
            </a:ext>
          </a:extLst>
        </xdr:cNvPr>
        <xdr:cNvSpPr>
          <a:spLocks noChangeAspect="1" noChangeArrowheads="1"/>
        </xdr:cNvSpPr>
      </xdr:nvSpPr>
      <xdr:spPr bwMode="auto">
        <a:xfrm>
          <a:off x="3454400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330200</xdr:colOff>
      <xdr:row>53</xdr:row>
      <xdr:rowOff>25400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4BE2A25E-5FEC-FB8D-9EA4-C00CB9EC9110}"/>
            </a:ext>
          </a:extLst>
        </xdr:cNvPr>
        <xdr:cNvSpPr>
          <a:spLocks noChangeAspect="1" noChangeArrowheads="1"/>
        </xdr:cNvSpPr>
      </xdr:nvSpPr>
      <xdr:spPr bwMode="auto">
        <a:xfrm>
          <a:off x="698500" y="10490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304800</xdr:colOff>
      <xdr:row>52</xdr:row>
      <xdr:rowOff>101600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B6B978A6-AD0F-D55F-5D07-C05FEDD3D97B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04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330200</xdr:colOff>
      <xdr:row>56</xdr:row>
      <xdr:rowOff>12700</xdr:rowOff>
    </xdr:to>
    <xdr:sp macro="" textlink="">
      <xdr:nvSpPr>
        <xdr:cNvPr id="4113" name="AutoShape 17">
          <a:extLst>
            <a:ext uri="{FF2B5EF4-FFF2-40B4-BE49-F238E27FC236}">
              <a16:creationId xmlns:a16="http://schemas.microsoft.com/office/drawing/2014/main" id="{F9274198-AE92-2A90-39AA-540BFE7A44A6}"/>
            </a:ext>
          </a:extLst>
        </xdr:cNvPr>
        <xdr:cNvSpPr>
          <a:spLocks noChangeAspect="1" noChangeArrowheads="1"/>
        </xdr:cNvSpPr>
      </xdr:nvSpPr>
      <xdr:spPr bwMode="auto">
        <a:xfrm>
          <a:off x="698500" y="110998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304800</xdr:colOff>
      <xdr:row>55</xdr:row>
      <xdr:rowOff>88900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5AD604CB-BE20-E72C-4E6D-BA81AD8368F8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10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330200</xdr:colOff>
      <xdr:row>59</xdr:row>
      <xdr:rowOff>12700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097108D8-7321-C7F3-C0BF-C0CC809684E2}"/>
            </a:ext>
          </a:extLst>
        </xdr:cNvPr>
        <xdr:cNvSpPr>
          <a:spLocks noChangeAspect="1" noChangeArrowheads="1"/>
        </xdr:cNvSpPr>
      </xdr:nvSpPr>
      <xdr:spPr bwMode="auto">
        <a:xfrm>
          <a:off x="698500" y="11722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304800</xdr:colOff>
      <xdr:row>58</xdr:row>
      <xdr:rowOff>88900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04425B41-9687-9F54-069C-D1D497952F17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17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330200</xdr:colOff>
      <xdr:row>63</xdr:row>
      <xdr:rowOff>25400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CB9C9513-92B5-B590-E1A0-39BB616C9DFD}"/>
            </a:ext>
          </a:extLst>
        </xdr:cNvPr>
        <xdr:cNvSpPr>
          <a:spLocks noChangeAspect="1" noChangeArrowheads="1"/>
        </xdr:cNvSpPr>
      </xdr:nvSpPr>
      <xdr:spPr bwMode="auto">
        <a:xfrm>
          <a:off x="698500" y="12560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101600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BB0AA043-1B71-F748-A7EF-81B18722415C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25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330200</xdr:colOff>
      <xdr:row>66</xdr:row>
      <xdr:rowOff>25400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B3FB4000-5DBE-1026-52A1-EF2132E3A37C}"/>
            </a:ext>
          </a:extLst>
        </xdr:cNvPr>
        <xdr:cNvSpPr>
          <a:spLocks noChangeAspect="1" noChangeArrowheads="1"/>
        </xdr:cNvSpPr>
      </xdr:nvSpPr>
      <xdr:spPr bwMode="auto">
        <a:xfrm>
          <a:off x="698500" y="13182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304800</xdr:colOff>
      <xdr:row>65</xdr:row>
      <xdr:rowOff>101600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722144F4-98D3-BD5D-9162-98FA05C16A4C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330200</xdr:colOff>
      <xdr:row>69</xdr:row>
      <xdr:rowOff>25400</xdr:rowOff>
    </xdr:to>
    <xdr:sp macro="" textlink="">
      <xdr:nvSpPr>
        <xdr:cNvPr id="4121" name="AutoShape 25">
          <a:extLst>
            <a:ext uri="{FF2B5EF4-FFF2-40B4-BE49-F238E27FC236}">
              <a16:creationId xmlns:a16="http://schemas.microsoft.com/office/drawing/2014/main" id="{0E80F7BE-726E-AF0F-BAA2-2E833E0BB2DB}"/>
            </a:ext>
          </a:extLst>
        </xdr:cNvPr>
        <xdr:cNvSpPr>
          <a:spLocks noChangeAspect="1" noChangeArrowheads="1"/>
        </xdr:cNvSpPr>
      </xdr:nvSpPr>
      <xdr:spPr bwMode="auto">
        <a:xfrm>
          <a:off x="698500" y="13804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101600</xdr:rowOff>
    </xdr:to>
    <xdr:sp macro="" textlink="">
      <xdr:nvSpPr>
        <xdr:cNvPr id="4122" name="AutoShape 26">
          <a:extLst>
            <a:ext uri="{FF2B5EF4-FFF2-40B4-BE49-F238E27FC236}">
              <a16:creationId xmlns:a16="http://schemas.microsoft.com/office/drawing/2014/main" id="{A5A28405-B818-9C67-1624-3FA7F1255F28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38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330200</xdr:colOff>
      <xdr:row>72</xdr:row>
      <xdr:rowOff>25400</xdr:rowOff>
    </xdr:to>
    <xdr:sp macro="" textlink="">
      <xdr:nvSpPr>
        <xdr:cNvPr id="4123" name="AutoShape 27">
          <a:extLst>
            <a:ext uri="{FF2B5EF4-FFF2-40B4-BE49-F238E27FC236}">
              <a16:creationId xmlns:a16="http://schemas.microsoft.com/office/drawing/2014/main" id="{83A41631-86F4-390C-8529-7E1444CD4ADA}"/>
            </a:ext>
          </a:extLst>
        </xdr:cNvPr>
        <xdr:cNvSpPr>
          <a:spLocks noChangeAspect="1" noChangeArrowheads="1"/>
        </xdr:cNvSpPr>
      </xdr:nvSpPr>
      <xdr:spPr bwMode="auto">
        <a:xfrm>
          <a:off x="698500" y="14427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101600</xdr:rowOff>
    </xdr:to>
    <xdr:sp macro="" textlink="">
      <xdr:nvSpPr>
        <xdr:cNvPr id="4124" name="AutoShape 28">
          <a:extLst>
            <a:ext uri="{FF2B5EF4-FFF2-40B4-BE49-F238E27FC236}">
              <a16:creationId xmlns:a16="http://schemas.microsoft.com/office/drawing/2014/main" id="{FEEC022D-CE49-B760-0AA3-C5B2DBF1C2B0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44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330200</xdr:colOff>
      <xdr:row>75</xdr:row>
      <xdr:rowOff>12700</xdr:rowOff>
    </xdr:to>
    <xdr:sp macro="" textlink="">
      <xdr:nvSpPr>
        <xdr:cNvPr id="4125" name="AutoShape 29">
          <a:extLst>
            <a:ext uri="{FF2B5EF4-FFF2-40B4-BE49-F238E27FC236}">
              <a16:creationId xmlns:a16="http://schemas.microsoft.com/office/drawing/2014/main" id="{24E9DA15-8858-0B55-7F5D-8C660C43CB7D}"/>
            </a:ext>
          </a:extLst>
        </xdr:cNvPr>
        <xdr:cNvSpPr>
          <a:spLocks noChangeAspect="1" noChangeArrowheads="1"/>
        </xdr:cNvSpPr>
      </xdr:nvSpPr>
      <xdr:spPr bwMode="auto">
        <a:xfrm>
          <a:off x="698500" y="150368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304800</xdr:colOff>
      <xdr:row>74</xdr:row>
      <xdr:rowOff>88900</xdr:rowOff>
    </xdr:to>
    <xdr:sp macro="" textlink="">
      <xdr:nvSpPr>
        <xdr:cNvPr id="4126" name="AutoShape 30">
          <a:extLst>
            <a:ext uri="{FF2B5EF4-FFF2-40B4-BE49-F238E27FC236}">
              <a16:creationId xmlns:a16="http://schemas.microsoft.com/office/drawing/2014/main" id="{F6D509E4-815A-E05D-0575-DEDAB3E99E47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50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330200</xdr:colOff>
      <xdr:row>78</xdr:row>
      <xdr:rowOff>12700</xdr:rowOff>
    </xdr:to>
    <xdr:sp macro="" textlink="">
      <xdr:nvSpPr>
        <xdr:cNvPr id="4127" name="AutoShape 31">
          <a:extLst>
            <a:ext uri="{FF2B5EF4-FFF2-40B4-BE49-F238E27FC236}">
              <a16:creationId xmlns:a16="http://schemas.microsoft.com/office/drawing/2014/main" id="{C2CB6409-AE70-20EC-2B57-ED70E310A29C}"/>
            </a:ext>
          </a:extLst>
        </xdr:cNvPr>
        <xdr:cNvSpPr>
          <a:spLocks noChangeAspect="1" noChangeArrowheads="1"/>
        </xdr:cNvSpPr>
      </xdr:nvSpPr>
      <xdr:spPr bwMode="auto">
        <a:xfrm>
          <a:off x="698500" y="15659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304800</xdr:colOff>
      <xdr:row>77</xdr:row>
      <xdr:rowOff>88900</xdr:rowOff>
    </xdr:to>
    <xdr:sp macro="" textlink="">
      <xdr:nvSpPr>
        <xdr:cNvPr id="4128" name="AutoShape 32">
          <a:extLst>
            <a:ext uri="{FF2B5EF4-FFF2-40B4-BE49-F238E27FC236}">
              <a16:creationId xmlns:a16="http://schemas.microsoft.com/office/drawing/2014/main" id="{602480E7-90E2-0B6E-C784-BB6505A6BFCE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330200</xdr:colOff>
      <xdr:row>82</xdr:row>
      <xdr:rowOff>25400</xdr:rowOff>
    </xdr:to>
    <xdr:sp macro="" textlink="">
      <xdr:nvSpPr>
        <xdr:cNvPr id="4129" name="AutoShape 33">
          <a:extLst>
            <a:ext uri="{FF2B5EF4-FFF2-40B4-BE49-F238E27FC236}">
              <a16:creationId xmlns:a16="http://schemas.microsoft.com/office/drawing/2014/main" id="{263674E2-B9AD-3693-2A5F-8EB9689983ED}"/>
            </a:ext>
          </a:extLst>
        </xdr:cNvPr>
        <xdr:cNvSpPr>
          <a:spLocks noChangeAspect="1" noChangeArrowheads="1"/>
        </xdr:cNvSpPr>
      </xdr:nvSpPr>
      <xdr:spPr bwMode="auto">
        <a:xfrm>
          <a:off x="698500" y="16497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304800</xdr:colOff>
      <xdr:row>81</xdr:row>
      <xdr:rowOff>101600</xdr:rowOff>
    </xdr:to>
    <xdr:sp macro="" textlink="">
      <xdr:nvSpPr>
        <xdr:cNvPr id="4130" name="AutoShape 34">
          <a:extLst>
            <a:ext uri="{FF2B5EF4-FFF2-40B4-BE49-F238E27FC236}">
              <a16:creationId xmlns:a16="http://schemas.microsoft.com/office/drawing/2014/main" id="{795849F0-66F3-594D-AFBB-A4CB4BC6FEC2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64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330200</xdr:colOff>
      <xdr:row>85</xdr:row>
      <xdr:rowOff>25400</xdr:rowOff>
    </xdr:to>
    <xdr:sp macro="" textlink="">
      <xdr:nvSpPr>
        <xdr:cNvPr id="4131" name="AutoShape 35">
          <a:extLst>
            <a:ext uri="{FF2B5EF4-FFF2-40B4-BE49-F238E27FC236}">
              <a16:creationId xmlns:a16="http://schemas.microsoft.com/office/drawing/2014/main" id="{BC3D0487-3BEF-B4DC-70C1-1552791F787C}"/>
            </a:ext>
          </a:extLst>
        </xdr:cNvPr>
        <xdr:cNvSpPr>
          <a:spLocks noChangeAspect="1" noChangeArrowheads="1"/>
        </xdr:cNvSpPr>
      </xdr:nvSpPr>
      <xdr:spPr bwMode="auto">
        <a:xfrm>
          <a:off x="698500" y="17119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304800</xdr:colOff>
      <xdr:row>84</xdr:row>
      <xdr:rowOff>101600</xdr:rowOff>
    </xdr:to>
    <xdr:sp macro="" textlink="">
      <xdr:nvSpPr>
        <xdr:cNvPr id="4132" name="AutoShape 36">
          <a:extLst>
            <a:ext uri="{FF2B5EF4-FFF2-40B4-BE49-F238E27FC236}">
              <a16:creationId xmlns:a16="http://schemas.microsoft.com/office/drawing/2014/main" id="{A565346F-4C57-2422-183F-476EA8EE358F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71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330200</xdr:colOff>
      <xdr:row>88</xdr:row>
      <xdr:rowOff>25400</xdr:rowOff>
    </xdr:to>
    <xdr:sp macro="" textlink="">
      <xdr:nvSpPr>
        <xdr:cNvPr id="4133" name="AutoShape 37">
          <a:extLst>
            <a:ext uri="{FF2B5EF4-FFF2-40B4-BE49-F238E27FC236}">
              <a16:creationId xmlns:a16="http://schemas.microsoft.com/office/drawing/2014/main" id="{E1646E6C-A8D4-2A45-16D7-25F84BDA607D}"/>
            </a:ext>
          </a:extLst>
        </xdr:cNvPr>
        <xdr:cNvSpPr>
          <a:spLocks noChangeAspect="1" noChangeArrowheads="1"/>
        </xdr:cNvSpPr>
      </xdr:nvSpPr>
      <xdr:spPr bwMode="auto">
        <a:xfrm>
          <a:off x="698500" y="17741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304800</xdr:colOff>
      <xdr:row>87</xdr:row>
      <xdr:rowOff>101600</xdr:rowOff>
    </xdr:to>
    <xdr:sp macro="" textlink="">
      <xdr:nvSpPr>
        <xdr:cNvPr id="4134" name="AutoShape 38">
          <a:extLst>
            <a:ext uri="{FF2B5EF4-FFF2-40B4-BE49-F238E27FC236}">
              <a16:creationId xmlns:a16="http://schemas.microsoft.com/office/drawing/2014/main" id="{5F740B35-22A9-4378-DFEE-3ECBB1C755B8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77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330200</xdr:colOff>
      <xdr:row>91</xdr:row>
      <xdr:rowOff>25400</xdr:rowOff>
    </xdr:to>
    <xdr:sp macro="" textlink="">
      <xdr:nvSpPr>
        <xdr:cNvPr id="4135" name="AutoShape 39">
          <a:extLst>
            <a:ext uri="{FF2B5EF4-FFF2-40B4-BE49-F238E27FC236}">
              <a16:creationId xmlns:a16="http://schemas.microsoft.com/office/drawing/2014/main" id="{15529B51-86FB-4CEF-83CD-2B5EEDE2DDDB}"/>
            </a:ext>
          </a:extLst>
        </xdr:cNvPr>
        <xdr:cNvSpPr>
          <a:spLocks noChangeAspect="1" noChangeArrowheads="1"/>
        </xdr:cNvSpPr>
      </xdr:nvSpPr>
      <xdr:spPr bwMode="auto">
        <a:xfrm>
          <a:off x="698500" y="18364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304800</xdr:colOff>
      <xdr:row>90</xdr:row>
      <xdr:rowOff>101600</xdr:rowOff>
    </xdr:to>
    <xdr:sp macro="" textlink="">
      <xdr:nvSpPr>
        <xdr:cNvPr id="4136" name="AutoShape 40">
          <a:extLst>
            <a:ext uri="{FF2B5EF4-FFF2-40B4-BE49-F238E27FC236}">
              <a16:creationId xmlns:a16="http://schemas.microsoft.com/office/drawing/2014/main" id="{130AD867-F3B0-D796-20F6-17E84C8522D8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836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330200</xdr:colOff>
      <xdr:row>94</xdr:row>
      <xdr:rowOff>25400</xdr:rowOff>
    </xdr:to>
    <xdr:sp macro="" textlink="">
      <xdr:nvSpPr>
        <xdr:cNvPr id="4137" name="AutoShape 41">
          <a:extLst>
            <a:ext uri="{FF2B5EF4-FFF2-40B4-BE49-F238E27FC236}">
              <a16:creationId xmlns:a16="http://schemas.microsoft.com/office/drawing/2014/main" id="{FF575D6C-988E-A0F3-3ADA-FAE2FC7F6747}"/>
            </a:ext>
          </a:extLst>
        </xdr:cNvPr>
        <xdr:cNvSpPr>
          <a:spLocks noChangeAspect="1" noChangeArrowheads="1"/>
        </xdr:cNvSpPr>
      </xdr:nvSpPr>
      <xdr:spPr bwMode="auto">
        <a:xfrm>
          <a:off x="698500" y="189865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304800</xdr:colOff>
      <xdr:row>93</xdr:row>
      <xdr:rowOff>101600</xdr:rowOff>
    </xdr:to>
    <xdr:sp macro="" textlink="">
      <xdr:nvSpPr>
        <xdr:cNvPr id="4138" name="AutoShape 42">
          <a:extLst>
            <a:ext uri="{FF2B5EF4-FFF2-40B4-BE49-F238E27FC236}">
              <a16:creationId xmlns:a16="http://schemas.microsoft.com/office/drawing/2014/main" id="{8D60585F-15A8-27F7-DBE9-2D5B68E9D1BE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89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330200</xdr:colOff>
      <xdr:row>97</xdr:row>
      <xdr:rowOff>25400</xdr:rowOff>
    </xdr:to>
    <xdr:sp macro="" textlink="">
      <xdr:nvSpPr>
        <xdr:cNvPr id="4139" name="AutoShape 43">
          <a:extLst>
            <a:ext uri="{FF2B5EF4-FFF2-40B4-BE49-F238E27FC236}">
              <a16:creationId xmlns:a16="http://schemas.microsoft.com/office/drawing/2014/main" id="{EC5F9DAF-7E91-C0B9-052E-EDAD3AD12E90}"/>
            </a:ext>
          </a:extLst>
        </xdr:cNvPr>
        <xdr:cNvSpPr>
          <a:spLocks noChangeAspect="1" noChangeArrowheads="1"/>
        </xdr:cNvSpPr>
      </xdr:nvSpPr>
      <xdr:spPr bwMode="auto">
        <a:xfrm>
          <a:off x="698500" y="19596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304800</xdr:colOff>
      <xdr:row>96</xdr:row>
      <xdr:rowOff>101600</xdr:rowOff>
    </xdr:to>
    <xdr:sp macro="" textlink="">
      <xdr:nvSpPr>
        <xdr:cNvPr id="4140" name="AutoShape 44">
          <a:extLst>
            <a:ext uri="{FF2B5EF4-FFF2-40B4-BE49-F238E27FC236}">
              <a16:creationId xmlns:a16="http://schemas.microsoft.com/office/drawing/2014/main" id="{3E46BA1E-AF83-6BC1-1DBA-7B09C0E864C6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95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330200</xdr:colOff>
      <xdr:row>100</xdr:row>
      <xdr:rowOff>25400</xdr:rowOff>
    </xdr:to>
    <xdr:sp macro="" textlink="">
      <xdr:nvSpPr>
        <xdr:cNvPr id="4141" name="AutoShape 45">
          <a:extLst>
            <a:ext uri="{FF2B5EF4-FFF2-40B4-BE49-F238E27FC236}">
              <a16:creationId xmlns:a16="http://schemas.microsoft.com/office/drawing/2014/main" id="{9B94DAB1-1E72-EC60-DF60-914128BD3DE3}"/>
            </a:ext>
          </a:extLst>
        </xdr:cNvPr>
        <xdr:cNvSpPr>
          <a:spLocks noChangeAspect="1" noChangeArrowheads="1"/>
        </xdr:cNvSpPr>
      </xdr:nvSpPr>
      <xdr:spPr bwMode="auto">
        <a:xfrm>
          <a:off x="698500" y="202057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304800</xdr:colOff>
      <xdr:row>99</xdr:row>
      <xdr:rowOff>101600</xdr:rowOff>
    </xdr:to>
    <xdr:sp macro="" textlink="">
      <xdr:nvSpPr>
        <xdr:cNvPr id="4142" name="AutoShape 46">
          <a:extLst>
            <a:ext uri="{FF2B5EF4-FFF2-40B4-BE49-F238E27FC236}">
              <a16:creationId xmlns:a16="http://schemas.microsoft.com/office/drawing/2014/main" id="{97B65BD9-D184-D9E3-2C81-F9F71E0A21EE}"/>
            </a:ext>
          </a:extLst>
        </xdr:cNvPr>
        <xdr:cNvSpPr>
          <a:spLocks noChangeAspect="1" noChangeArrowheads="1"/>
        </xdr:cNvSpPr>
      </xdr:nvSpPr>
      <xdr:spPr bwMode="auto">
        <a:xfrm>
          <a:off x="3454400" y="202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304800</xdr:colOff>
      <xdr:row>30</xdr:row>
      <xdr:rowOff>88900</xdr:rowOff>
    </xdr:to>
    <xdr:sp macro="" textlink="">
      <xdr:nvSpPr>
        <xdr:cNvPr id="4144" name="AutoShape 48">
          <a:extLst>
            <a:ext uri="{FF2B5EF4-FFF2-40B4-BE49-F238E27FC236}">
              <a16:creationId xmlns:a16="http://schemas.microsoft.com/office/drawing/2014/main" id="{57F7BEB4-5D5B-E70D-7E21-3CE979DBD000}"/>
            </a:ext>
          </a:extLst>
        </xdr:cNvPr>
        <xdr:cNvSpPr>
          <a:spLocks noChangeAspect="1" noChangeArrowheads="1"/>
        </xdr:cNvSpPr>
      </xdr:nvSpPr>
      <xdr:spPr bwMode="auto">
        <a:xfrm>
          <a:off x="3454400" y="59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330200</xdr:colOff>
      <xdr:row>35</xdr:row>
      <xdr:rowOff>25400</xdr:rowOff>
    </xdr:to>
    <xdr:sp macro="" textlink="">
      <xdr:nvSpPr>
        <xdr:cNvPr id="4145" name="AutoShape 49">
          <a:extLst>
            <a:ext uri="{FF2B5EF4-FFF2-40B4-BE49-F238E27FC236}">
              <a16:creationId xmlns:a16="http://schemas.microsoft.com/office/drawing/2014/main" id="{B2328D3F-0301-DE73-4A1E-157937AD0949}"/>
            </a:ext>
          </a:extLst>
        </xdr:cNvPr>
        <xdr:cNvSpPr>
          <a:spLocks noChangeAspect="1" noChangeArrowheads="1"/>
        </xdr:cNvSpPr>
      </xdr:nvSpPr>
      <xdr:spPr bwMode="auto">
        <a:xfrm>
          <a:off x="698500" y="67564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304800</xdr:colOff>
      <xdr:row>34</xdr:row>
      <xdr:rowOff>101600</xdr:rowOff>
    </xdr:to>
    <xdr:sp macro="" textlink="">
      <xdr:nvSpPr>
        <xdr:cNvPr id="4146" name="AutoShape 50">
          <a:extLst>
            <a:ext uri="{FF2B5EF4-FFF2-40B4-BE49-F238E27FC236}">
              <a16:creationId xmlns:a16="http://schemas.microsoft.com/office/drawing/2014/main" id="{325DB0ED-B0B5-52B5-0785-B066797B4412}"/>
            </a:ext>
          </a:extLst>
        </xdr:cNvPr>
        <xdr:cNvSpPr>
          <a:spLocks noChangeAspect="1" noChangeArrowheads="1"/>
        </xdr:cNvSpPr>
      </xdr:nvSpPr>
      <xdr:spPr bwMode="auto">
        <a:xfrm>
          <a:off x="3454400" y="67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330200</xdr:colOff>
      <xdr:row>38</xdr:row>
      <xdr:rowOff>25400</xdr:rowOff>
    </xdr:to>
    <xdr:sp macro="" textlink="">
      <xdr:nvSpPr>
        <xdr:cNvPr id="4147" name="AutoShape 51">
          <a:extLst>
            <a:ext uri="{FF2B5EF4-FFF2-40B4-BE49-F238E27FC236}">
              <a16:creationId xmlns:a16="http://schemas.microsoft.com/office/drawing/2014/main" id="{DDCFFD79-6100-EBD7-AD2C-4FED6B66AEEA}"/>
            </a:ext>
          </a:extLst>
        </xdr:cNvPr>
        <xdr:cNvSpPr>
          <a:spLocks noChangeAspect="1" noChangeArrowheads="1"/>
        </xdr:cNvSpPr>
      </xdr:nvSpPr>
      <xdr:spPr bwMode="auto">
        <a:xfrm>
          <a:off x="698500" y="73787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304800</xdr:colOff>
      <xdr:row>37</xdr:row>
      <xdr:rowOff>101600</xdr:rowOff>
    </xdr:to>
    <xdr:sp macro="" textlink="">
      <xdr:nvSpPr>
        <xdr:cNvPr id="4148" name="AutoShape 52">
          <a:extLst>
            <a:ext uri="{FF2B5EF4-FFF2-40B4-BE49-F238E27FC236}">
              <a16:creationId xmlns:a16="http://schemas.microsoft.com/office/drawing/2014/main" id="{5F2EDA8B-EE47-3467-095A-E2BA1E6454BE}"/>
            </a:ext>
          </a:extLst>
        </xdr:cNvPr>
        <xdr:cNvSpPr>
          <a:spLocks noChangeAspect="1" noChangeArrowheads="1"/>
        </xdr:cNvSpPr>
      </xdr:nvSpPr>
      <xdr:spPr bwMode="auto">
        <a:xfrm>
          <a:off x="3454400" y="7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330200</xdr:colOff>
      <xdr:row>41</xdr:row>
      <xdr:rowOff>25400</xdr:rowOff>
    </xdr:to>
    <xdr:sp macro="" textlink="">
      <xdr:nvSpPr>
        <xdr:cNvPr id="4149" name="AutoShape 53">
          <a:extLst>
            <a:ext uri="{FF2B5EF4-FFF2-40B4-BE49-F238E27FC236}">
              <a16:creationId xmlns:a16="http://schemas.microsoft.com/office/drawing/2014/main" id="{A6AC7A1E-E134-5F0B-F310-7301460B2BF3}"/>
            </a:ext>
          </a:extLst>
        </xdr:cNvPr>
        <xdr:cNvSpPr>
          <a:spLocks noChangeAspect="1" noChangeArrowheads="1"/>
        </xdr:cNvSpPr>
      </xdr:nvSpPr>
      <xdr:spPr bwMode="auto">
        <a:xfrm>
          <a:off x="698500" y="80010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304800</xdr:colOff>
      <xdr:row>40</xdr:row>
      <xdr:rowOff>101600</xdr:rowOff>
    </xdr:to>
    <xdr:sp macro="" textlink="">
      <xdr:nvSpPr>
        <xdr:cNvPr id="4150" name="AutoShape 54">
          <a:extLst>
            <a:ext uri="{FF2B5EF4-FFF2-40B4-BE49-F238E27FC236}">
              <a16:creationId xmlns:a16="http://schemas.microsoft.com/office/drawing/2014/main" id="{DA24BE56-640D-9567-4A47-E74C424286B8}"/>
            </a:ext>
          </a:extLst>
        </xdr:cNvPr>
        <xdr:cNvSpPr>
          <a:spLocks noChangeAspect="1" noChangeArrowheads="1"/>
        </xdr:cNvSpPr>
      </xdr:nvSpPr>
      <xdr:spPr bwMode="auto">
        <a:xfrm>
          <a:off x="34544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330200</xdr:colOff>
      <xdr:row>44</xdr:row>
      <xdr:rowOff>25400</xdr:rowOff>
    </xdr:to>
    <xdr:sp macro="" textlink="">
      <xdr:nvSpPr>
        <xdr:cNvPr id="4151" name="AutoShape 55">
          <a:extLst>
            <a:ext uri="{FF2B5EF4-FFF2-40B4-BE49-F238E27FC236}">
              <a16:creationId xmlns:a16="http://schemas.microsoft.com/office/drawing/2014/main" id="{98474A49-CECA-DDEA-15EC-9A4C12219731}"/>
            </a:ext>
          </a:extLst>
        </xdr:cNvPr>
        <xdr:cNvSpPr>
          <a:spLocks noChangeAspect="1" noChangeArrowheads="1"/>
        </xdr:cNvSpPr>
      </xdr:nvSpPr>
      <xdr:spPr bwMode="auto">
        <a:xfrm>
          <a:off x="698500" y="8623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304800</xdr:colOff>
      <xdr:row>43</xdr:row>
      <xdr:rowOff>101600</xdr:rowOff>
    </xdr:to>
    <xdr:sp macro="" textlink="">
      <xdr:nvSpPr>
        <xdr:cNvPr id="4152" name="AutoShape 56">
          <a:extLst>
            <a:ext uri="{FF2B5EF4-FFF2-40B4-BE49-F238E27FC236}">
              <a16:creationId xmlns:a16="http://schemas.microsoft.com/office/drawing/2014/main" id="{97F4712F-ECEC-5D9A-6218-77751C7E90C4}"/>
            </a:ext>
          </a:extLst>
        </xdr:cNvPr>
        <xdr:cNvSpPr>
          <a:spLocks noChangeAspect="1" noChangeArrowheads="1"/>
        </xdr:cNvSpPr>
      </xdr:nvSpPr>
      <xdr:spPr bwMode="auto">
        <a:xfrm>
          <a:off x="3454400" y="86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330200</xdr:colOff>
      <xdr:row>47</xdr:row>
      <xdr:rowOff>25400</xdr:rowOff>
    </xdr:to>
    <xdr:sp macro="" textlink="">
      <xdr:nvSpPr>
        <xdr:cNvPr id="4153" name="AutoShape 57">
          <a:extLst>
            <a:ext uri="{FF2B5EF4-FFF2-40B4-BE49-F238E27FC236}">
              <a16:creationId xmlns:a16="http://schemas.microsoft.com/office/drawing/2014/main" id="{4FC47128-47C3-B7E9-C2DE-DE8D6A887989}"/>
            </a:ext>
          </a:extLst>
        </xdr:cNvPr>
        <xdr:cNvSpPr>
          <a:spLocks noChangeAspect="1" noChangeArrowheads="1"/>
        </xdr:cNvSpPr>
      </xdr:nvSpPr>
      <xdr:spPr bwMode="auto">
        <a:xfrm>
          <a:off x="698500" y="9245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304800</xdr:colOff>
      <xdr:row>46</xdr:row>
      <xdr:rowOff>101600</xdr:rowOff>
    </xdr:to>
    <xdr:sp macro="" textlink="">
      <xdr:nvSpPr>
        <xdr:cNvPr id="4154" name="AutoShape 58">
          <a:extLst>
            <a:ext uri="{FF2B5EF4-FFF2-40B4-BE49-F238E27FC236}">
              <a16:creationId xmlns:a16="http://schemas.microsoft.com/office/drawing/2014/main" id="{D75A2487-9160-3285-831A-8423F8878D62}"/>
            </a:ext>
          </a:extLst>
        </xdr:cNvPr>
        <xdr:cNvSpPr>
          <a:spLocks noChangeAspect="1" noChangeArrowheads="1"/>
        </xdr:cNvSpPr>
      </xdr:nvSpPr>
      <xdr:spPr bwMode="auto">
        <a:xfrm>
          <a:off x="3454400" y="92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330200</xdr:colOff>
      <xdr:row>50</xdr:row>
      <xdr:rowOff>25400</xdr:rowOff>
    </xdr:to>
    <xdr:sp macro="" textlink="">
      <xdr:nvSpPr>
        <xdr:cNvPr id="4155" name="AutoShape 59">
          <a:extLst>
            <a:ext uri="{FF2B5EF4-FFF2-40B4-BE49-F238E27FC236}">
              <a16:creationId xmlns:a16="http://schemas.microsoft.com/office/drawing/2014/main" id="{03C07338-D264-1838-0062-7B1686F0B3E6}"/>
            </a:ext>
          </a:extLst>
        </xdr:cNvPr>
        <xdr:cNvSpPr>
          <a:spLocks noChangeAspect="1" noChangeArrowheads="1"/>
        </xdr:cNvSpPr>
      </xdr:nvSpPr>
      <xdr:spPr bwMode="auto">
        <a:xfrm>
          <a:off x="698500" y="9867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304800</xdr:colOff>
      <xdr:row>49</xdr:row>
      <xdr:rowOff>101600</xdr:rowOff>
    </xdr:to>
    <xdr:sp macro="" textlink="">
      <xdr:nvSpPr>
        <xdr:cNvPr id="4156" name="AutoShape 60">
          <a:extLst>
            <a:ext uri="{FF2B5EF4-FFF2-40B4-BE49-F238E27FC236}">
              <a16:creationId xmlns:a16="http://schemas.microsoft.com/office/drawing/2014/main" id="{D8358047-AD29-CC52-6E48-00858D2A09F7}"/>
            </a:ext>
          </a:extLst>
        </xdr:cNvPr>
        <xdr:cNvSpPr>
          <a:spLocks noChangeAspect="1" noChangeArrowheads="1"/>
        </xdr:cNvSpPr>
      </xdr:nvSpPr>
      <xdr:spPr bwMode="auto">
        <a:xfrm>
          <a:off x="3454400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330200</xdr:colOff>
      <xdr:row>53</xdr:row>
      <xdr:rowOff>25400</xdr:rowOff>
    </xdr:to>
    <xdr:sp macro="" textlink="">
      <xdr:nvSpPr>
        <xdr:cNvPr id="4157" name="AutoShape 61">
          <a:extLst>
            <a:ext uri="{FF2B5EF4-FFF2-40B4-BE49-F238E27FC236}">
              <a16:creationId xmlns:a16="http://schemas.microsoft.com/office/drawing/2014/main" id="{BD981C16-2C4B-AD93-A262-8308A5D6A6B7}"/>
            </a:ext>
          </a:extLst>
        </xdr:cNvPr>
        <xdr:cNvSpPr>
          <a:spLocks noChangeAspect="1" noChangeArrowheads="1"/>
        </xdr:cNvSpPr>
      </xdr:nvSpPr>
      <xdr:spPr bwMode="auto">
        <a:xfrm>
          <a:off x="698500" y="10490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304800</xdr:colOff>
      <xdr:row>52</xdr:row>
      <xdr:rowOff>101600</xdr:rowOff>
    </xdr:to>
    <xdr:sp macro="" textlink="">
      <xdr:nvSpPr>
        <xdr:cNvPr id="4158" name="AutoShape 62">
          <a:extLst>
            <a:ext uri="{FF2B5EF4-FFF2-40B4-BE49-F238E27FC236}">
              <a16:creationId xmlns:a16="http://schemas.microsoft.com/office/drawing/2014/main" id="{9C872783-5B3B-2BC2-3D1B-3542367FE9EF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04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330200</xdr:colOff>
      <xdr:row>56</xdr:row>
      <xdr:rowOff>12700</xdr:rowOff>
    </xdr:to>
    <xdr:sp macro="" textlink="">
      <xdr:nvSpPr>
        <xdr:cNvPr id="4159" name="AutoShape 63">
          <a:extLst>
            <a:ext uri="{FF2B5EF4-FFF2-40B4-BE49-F238E27FC236}">
              <a16:creationId xmlns:a16="http://schemas.microsoft.com/office/drawing/2014/main" id="{E327FBAE-E97C-52DF-DE21-E395B95B6CBF}"/>
            </a:ext>
          </a:extLst>
        </xdr:cNvPr>
        <xdr:cNvSpPr>
          <a:spLocks noChangeAspect="1" noChangeArrowheads="1"/>
        </xdr:cNvSpPr>
      </xdr:nvSpPr>
      <xdr:spPr bwMode="auto">
        <a:xfrm>
          <a:off x="698500" y="110998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304800</xdr:colOff>
      <xdr:row>55</xdr:row>
      <xdr:rowOff>88900</xdr:rowOff>
    </xdr:to>
    <xdr:sp macro="" textlink="">
      <xdr:nvSpPr>
        <xdr:cNvPr id="4160" name="AutoShape 64">
          <a:extLst>
            <a:ext uri="{FF2B5EF4-FFF2-40B4-BE49-F238E27FC236}">
              <a16:creationId xmlns:a16="http://schemas.microsoft.com/office/drawing/2014/main" id="{FF2A00C8-FEE8-422C-2262-FDC7E886D616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10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330200</xdr:colOff>
      <xdr:row>59</xdr:row>
      <xdr:rowOff>12700</xdr:rowOff>
    </xdr:to>
    <xdr:sp macro="" textlink="">
      <xdr:nvSpPr>
        <xdr:cNvPr id="4161" name="AutoShape 65">
          <a:extLst>
            <a:ext uri="{FF2B5EF4-FFF2-40B4-BE49-F238E27FC236}">
              <a16:creationId xmlns:a16="http://schemas.microsoft.com/office/drawing/2014/main" id="{E8C00629-9CD4-A67E-5806-3DCEBF7E616E}"/>
            </a:ext>
          </a:extLst>
        </xdr:cNvPr>
        <xdr:cNvSpPr>
          <a:spLocks noChangeAspect="1" noChangeArrowheads="1"/>
        </xdr:cNvSpPr>
      </xdr:nvSpPr>
      <xdr:spPr bwMode="auto">
        <a:xfrm>
          <a:off x="698500" y="11722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304800</xdr:colOff>
      <xdr:row>58</xdr:row>
      <xdr:rowOff>88900</xdr:rowOff>
    </xdr:to>
    <xdr:sp macro="" textlink="">
      <xdr:nvSpPr>
        <xdr:cNvPr id="4162" name="AutoShape 66">
          <a:extLst>
            <a:ext uri="{FF2B5EF4-FFF2-40B4-BE49-F238E27FC236}">
              <a16:creationId xmlns:a16="http://schemas.microsoft.com/office/drawing/2014/main" id="{DE9DE841-8E31-521C-AD56-2C4398D489DD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17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330200</xdr:colOff>
      <xdr:row>63</xdr:row>
      <xdr:rowOff>25400</xdr:rowOff>
    </xdr:to>
    <xdr:sp macro="" textlink="">
      <xdr:nvSpPr>
        <xdr:cNvPr id="4163" name="AutoShape 67">
          <a:extLst>
            <a:ext uri="{FF2B5EF4-FFF2-40B4-BE49-F238E27FC236}">
              <a16:creationId xmlns:a16="http://schemas.microsoft.com/office/drawing/2014/main" id="{A20E492B-7D7F-43C3-5343-5E5BDF3F0320}"/>
            </a:ext>
          </a:extLst>
        </xdr:cNvPr>
        <xdr:cNvSpPr>
          <a:spLocks noChangeAspect="1" noChangeArrowheads="1"/>
        </xdr:cNvSpPr>
      </xdr:nvSpPr>
      <xdr:spPr bwMode="auto">
        <a:xfrm>
          <a:off x="698500" y="12560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101600</xdr:rowOff>
    </xdr:to>
    <xdr:sp macro="" textlink="">
      <xdr:nvSpPr>
        <xdr:cNvPr id="4164" name="AutoShape 68">
          <a:extLst>
            <a:ext uri="{FF2B5EF4-FFF2-40B4-BE49-F238E27FC236}">
              <a16:creationId xmlns:a16="http://schemas.microsoft.com/office/drawing/2014/main" id="{FBCC037E-4D5D-C3D4-A973-DEA45A49F628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25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330200</xdr:colOff>
      <xdr:row>66</xdr:row>
      <xdr:rowOff>25400</xdr:rowOff>
    </xdr:to>
    <xdr:sp macro="" textlink="">
      <xdr:nvSpPr>
        <xdr:cNvPr id="4165" name="AutoShape 69">
          <a:extLst>
            <a:ext uri="{FF2B5EF4-FFF2-40B4-BE49-F238E27FC236}">
              <a16:creationId xmlns:a16="http://schemas.microsoft.com/office/drawing/2014/main" id="{63610A20-3E4D-8930-CAE9-B58ABC3E0D70}"/>
            </a:ext>
          </a:extLst>
        </xdr:cNvPr>
        <xdr:cNvSpPr>
          <a:spLocks noChangeAspect="1" noChangeArrowheads="1"/>
        </xdr:cNvSpPr>
      </xdr:nvSpPr>
      <xdr:spPr bwMode="auto">
        <a:xfrm>
          <a:off x="698500" y="13182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304800</xdr:colOff>
      <xdr:row>65</xdr:row>
      <xdr:rowOff>101600</xdr:rowOff>
    </xdr:to>
    <xdr:sp macro="" textlink="">
      <xdr:nvSpPr>
        <xdr:cNvPr id="4166" name="AutoShape 70">
          <a:extLst>
            <a:ext uri="{FF2B5EF4-FFF2-40B4-BE49-F238E27FC236}">
              <a16:creationId xmlns:a16="http://schemas.microsoft.com/office/drawing/2014/main" id="{0C260CD0-ED7B-6A78-5B5A-D7DAFAB99AB9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330200</xdr:colOff>
      <xdr:row>69</xdr:row>
      <xdr:rowOff>25400</xdr:rowOff>
    </xdr:to>
    <xdr:sp macro="" textlink="">
      <xdr:nvSpPr>
        <xdr:cNvPr id="4167" name="AutoShape 71">
          <a:extLst>
            <a:ext uri="{FF2B5EF4-FFF2-40B4-BE49-F238E27FC236}">
              <a16:creationId xmlns:a16="http://schemas.microsoft.com/office/drawing/2014/main" id="{4FEE8160-4779-0DFF-5DB5-17F884B776F4}"/>
            </a:ext>
          </a:extLst>
        </xdr:cNvPr>
        <xdr:cNvSpPr>
          <a:spLocks noChangeAspect="1" noChangeArrowheads="1"/>
        </xdr:cNvSpPr>
      </xdr:nvSpPr>
      <xdr:spPr bwMode="auto">
        <a:xfrm>
          <a:off x="698500" y="13804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304800</xdr:colOff>
      <xdr:row>68</xdr:row>
      <xdr:rowOff>101600</xdr:rowOff>
    </xdr:to>
    <xdr:sp macro="" textlink="">
      <xdr:nvSpPr>
        <xdr:cNvPr id="4168" name="AutoShape 72">
          <a:extLst>
            <a:ext uri="{FF2B5EF4-FFF2-40B4-BE49-F238E27FC236}">
              <a16:creationId xmlns:a16="http://schemas.microsoft.com/office/drawing/2014/main" id="{6F3E49EF-F5E7-E5AE-88E5-96D2A830BC3C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38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330200</xdr:colOff>
      <xdr:row>72</xdr:row>
      <xdr:rowOff>25400</xdr:rowOff>
    </xdr:to>
    <xdr:sp macro="" textlink="">
      <xdr:nvSpPr>
        <xdr:cNvPr id="4169" name="AutoShape 73">
          <a:extLst>
            <a:ext uri="{FF2B5EF4-FFF2-40B4-BE49-F238E27FC236}">
              <a16:creationId xmlns:a16="http://schemas.microsoft.com/office/drawing/2014/main" id="{A24B3F6A-DC0D-B913-A312-CCF31AC5B84E}"/>
            </a:ext>
          </a:extLst>
        </xdr:cNvPr>
        <xdr:cNvSpPr>
          <a:spLocks noChangeAspect="1" noChangeArrowheads="1"/>
        </xdr:cNvSpPr>
      </xdr:nvSpPr>
      <xdr:spPr bwMode="auto">
        <a:xfrm>
          <a:off x="698500" y="14427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304800</xdr:colOff>
      <xdr:row>71</xdr:row>
      <xdr:rowOff>101600</xdr:rowOff>
    </xdr:to>
    <xdr:sp macro="" textlink="">
      <xdr:nvSpPr>
        <xdr:cNvPr id="4170" name="AutoShape 74">
          <a:extLst>
            <a:ext uri="{FF2B5EF4-FFF2-40B4-BE49-F238E27FC236}">
              <a16:creationId xmlns:a16="http://schemas.microsoft.com/office/drawing/2014/main" id="{9C69191B-C261-0B04-9D50-5B60FF76BC6C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44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330200</xdr:colOff>
      <xdr:row>75</xdr:row>
      <xdr:rowOff>12700</xdr:rowOff>
    </xdr:to>
    <xdr:sp macro="" textlink="">
      <xdr:nvSpPr>
        <xdr:cNvPr id="4171" name="AutoShape 75">
          <a:extLst>
            <a:ext uri="{FF2B5EF4-FFF2-40B4-BE49-F238E27FC236}">
              <a16:creationId xmlns:a16="http://schemas.microsoft.com/office/drawing/2014/main" id="{4BA397AA-8A5D-832D-3A26-C51FD49C9E13}"/>
            </a:ext>
          </a:extLst>
        </xdr:cNvPr>
        <xdr:cNvSpPr>
          <a:spLocks noChangeAspect="1" noChangeArrowheads="1"/>
        </xdr:cNvSpPr>
      </xdr:nvSpPr>
      <xdr:spPr bwMode="auto">
        <a:xfrm>
          <a:off x="698500" y="150368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304800</xdr:colOff>
      <xdr:row>74</xdr:row>
      <xdr:rowOff>88900</xdr:rowOff>
    </xdr:to>
    <xdr:sp macro="" textlink="">
      <xdr:nvSpPr>
        <xdr:cNvPr id="4172" name="AutoShape 76">
          <a:extLst>
            <a:ext uri="{FF2B5EF4-FFF2-40B4-BE49-F238E27FC236}">
              <a16:creationId xmlns:a16="http://schemas.microsoft.com/office/drawing/2014/main" id="{BE85EF85-D9F4-0CE6-9A8E-3C79C0319FA7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50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330200</xdr:colOff>
      <xdr:row>78</xdr:row>
      <xdr:rowOff>12700</xdr:rowOff>
    </xdr:to>
    <xdr:sp macro="" textlink="">
      <xdr:nvSpPr>
        <xdr:cNvPr id="4173" name="AutoShape 77">
          <a:extLst>
            <a:ext uri="{FF2B5EF4-FFF2-40B4-BE49-F238E27FC236}">
              <a16:creationId xmlns:a16="http://schemas.microsoft.com/office/drawing/2014/main" id="{F33F65B8-5314-F600-6520-85CA19D1276E}"/>
            </a:ext>
          </a:extLst>
        </xdr:cNvPr>
        <xdr:cNvSpPr>
          <a:spLocks noChangeAspect="1" noChangeArrowheads="1"/>
        </xdr:cNvSpPr>
      </xdr:nvSpPr>
      <xdr:spPr bwMode="auto">
        <a:xfrm>
          <a:off x="698500" y="15659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304800</xdr:colOff>
      <xdr:row>77</xdr:row>
      <xdr:rowOff>88900</xdr:rowOff>
    </xdr:to>
    <xdr:sp macro="" textlink="">
      <xdr:nvSpPr>
        <xdr:cNvPr id="4174" name="AutoShape 78">
          <a:extLst>
            <a:ext uri="{FF2B5EF4-FFF2-40B4-BE49-F238E27FC236}">
              <a16:creationId xmlns:a16="http://schemas.microsoft.com/office/drawing/2014/main" id="{7D6B9C20-FC27-5BB5-7FAB-F0C805B71B66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330200</xdr:colOff>
      <xdr:row>82</xdr:row>
      <xdr:rowOff>25400</xdr:rowOff>
    </xdr:to>
    <xdr:sp macro="" textlink="">
      <xdr:nvSpPr>
        <xdr:cNvPr id="4175" name="AutoShape 79">
          <a:extLst>
            <a:ext uri="{FF2B5EF4-FFF2-40B4-BE49-F238E27FC236}">
              <a16:creationId xmlns:a16="http://schemas.microsoft.com/office/drawing/2014/main" id="{4557F291-7436-B011-C734-4FD442927562}"/>
            </a:ext>
          </a:extLst>
        </xdr:cNvPr>
        <xdr:cNvSpPr>
          <a:spLocks noChangeAspect="1" noChangeArrowheads="1"/>
        </xdr:cNvSpPr>
      </xdr:nvSpPr>
      <xdr:spPr bwMode="auto">
        <a:xfrm>
          <a:off x="698500" y="164973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304800</xdr:colOff>
      <xdr:row>81</xdr:row>
      <xdr:rowOff>101600</xdr:rowOff>
    </xdr:to>
    <xdr:sp macro="" textlink="">
      <xdr:nvSpPr>
        <xdr:cNvPr id="4176" name="AutoShape 80">
          <a:extLst>
            <a:ext uri="{FF2B5EF4-FFF2-40B4-BE49-F238E27FC236}">
              <a16:creationId xmlns:a16="http://schemas.microsoft.com/office/drawing/2014/main" id="{8CB305EC-FDF9-7E80-90FB-B0E761F28C13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64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330200</xdr:colOff>
      <xdr:row>85</xdr:row>
      <xdr:rowOff>25400</xdr:rowOff>
    </xdr:to>
    <xdr:sp macro="" textlink="">
      <xdr:nvSpPr>
        <xdr:cNvPr id="4177" name="AutoShape 81">
          <a:extLst>
            <a:ext uri="{FF2B5EF4-FFF2-40B4-BE49-F238E27FC236}">
              <a16:creationId xmlns:a16="http://schemas.microsoft.com/office/drawing/2014/main" id="{9DC5288A-430E-E2F2-76A2-9B3E88277065}"/>
            </a:ext>
          </a:extLst>
        </xdr:cNvPr>
        <xdr:cNvSpPr>
          <a:spLocks noChangeAspect="1" noChangeArrowheads="1"/>
        </xdr:cNvSpPr>
      </xdr:nvSpPr>
      <xdr:spPr bwMode="auto">
        <a:xfrm>
          <a:off x="698500" y="171196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304800</xdr:colOff>
      <xdr:row>84</xdr:row>
      <xdr:rowOff>101600</xdr:rowOff>
    </xdr:to>
    <xdr:sp macro="" textlink="">
      <xdr:nvSpPr>
        <xdr:cNvPr id="4178" name="AutoShape 82">
          <a:extLst>
            <a:ext uri="{FF2B5EF4-FFF2-40B4-BE49-F238E27FC236}">
              <a16:creationId xmlns:a16="http://schemas.microsoft.com/office/drawing/2014/main" id="{DDD73747-1D9F-B126-568F-05CCD2FA2E4B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71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330200</xdr:colOff>
      <xdr:row>88</xdr:row>
      <xdr:rowOff>25400</xdr:rowOff>
    </xdr:to>
    <xdr:sp macro="" textlink="">
      <xdr:nvSpPr>
        <xdr:cNvPr id="4179" name="AutoShape 83">
          <a:extLst>
            <a:ext uri="{FF2B5EF4-FFF2-40B4-BE49-F238E27FC236}">
              <a16:creationId xmlns:a16="http://schemas.microsoft.com/office/drawing/2014/main" id="{B01543C0-BB96-4BEF-CF7A-CF79BBAF5E92}"/>
            </a:ext>
          </a:extLst>
        </xdr:cNvPr>
        <xdr:cNvSpPr>
          <a:spLocks noChangeAspect="1" noChangeArrowheads="1"/>
        </xdr:cNvSpPr>
      </xdr:nvSpPr>
      <xdr:spPr bwMode="auto">
        <a:xfrm>
          <a:off x="698500" y="177419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304800</xdr:colOff>
      <xdr:row>87</xdr:row>
      <xdr:rowOff>101600</xdr:rowOff>
    </xdr:to>
    <xdr:sp macro="" textlink="">
      <xdr:nvSpPr>
        <xdr:cNvPr id="4180" name="AutoShape 84">
          <a:extLst>
            <a:ext uri="{FF2B5EF4-FFF2-40B4-BE49-F238E27FC236}">
              <a16:creationId xmlns:a16="http://schemas.microsoft.com/office/drawing/2014/main" id="{85C2C747-DB72-B161-4C1C-F51DFA1621CA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77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330200</xdr:colOff>
      <xdr:row>91</xdr:row>
      <xdr:rowOff>25400</xdr:rowOff>
    </xdr:to>
    <xdr:sp macro="" textlink="">
      <xdr:nvSpPr>
        <xdr:cNvPr id="4181" name="AutoShape 85">
          <a:extLst>
            <a:ext uri="{FF2B5EF4-FFF2-40B4-BE49-F238E27FC236}">
              <a16:creationId xmlns:a16="http://schemas.microsoft.com/office/drawing/2014/main" id="{32E90B5E-F183-753D-40C5-2E713F155A70}"/>
            </a:ext>
          </a:extLst>
        </xdr:cNvPr>
        <xdr:cNvSpPr>
          <a:spLocks noChangeAspect="1" noChangeArrowheads="1"/>
        </xdr:cNvSpPr>
      </xdr:nvSpPr>
      <xdr:spPr bwMode="auto">
        <a:xfrm>
          <a:off x="698500" y="183642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304800</xdr:colOff>
      <xdr:row>90</xdr:row>
      <xdr:rowOff>101600</xdr:rowOff>
    </xdr:to>
    <xdr:sp macro="" textlink="">
      <xdr:nvSpPr>
        <xdr:cNvPr id="4182" name="AutoShape 86">
          <a:extLst>
            <a:ext uri="{FF2B5EF4-FFF2-40B4-BE49-F238E27FC236}">
              <a16:creationId xmlns:a16="http://schemas.microsoft.com/office/drawing/2014/main" id="{69FE7BFB-0395-2FE1-67AE-E540403156A1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836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330200</xdr:colOff>
      <xdr:row>94</xdr:row>
      <xdr:rowOff>25400</xdr:rowOff>
    </xdr:to>
    <xdr:sp macro="" textlink="">
      <xdr:nvSpPr>
        <xdr:cNvPr id="4183" name="AutoShape 87">
          <a:extLst>
            <a:ext uri="{FF2B5EF4-FFF2-40B4-BE49-F238E27FC236}">
              <a16:creationId xmlns:a16="http://schemas.microsoft.com/office/drawing/2014/main" id="{C6B52B27-C0B6-21F1-F1E5-3A43FECBB7AD}"/>
            </a:ext>
          </a:extLst>
        </xdr:cNvPr>
        <xdr:cNvSpPr>
          <a:spLocks noChangeAspect="1" noChangeArrowheads="1"/>
        </xdr:cNvSpPr>
      </xdr:nvSpPr>
      <xdr:spPr bwMode="auto">
        <a:xfrm>
          <a:off x="698500" y="189865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304800</xdr:colOff>
      <xdr:row>93</xdr:row>
      <xdr:rowOff>101600</xdr:rowOff>
    </xdr:to>
    <xdr:sp macro="" textlink="">
      <xdr:nvSpPr>
        <xdr:cNvPr id="4184" name="AutoShape 88">
          <a:extLst>
            <a:ext uri="{FF2B5EF4-FFF2-40B4-BE49-F238E27FC236}">
              <a16:creationId xmlns:a16="http://schemas.microsoft.com/office/drawing/2014/main" id="{2F062052-990A-F0A5-47FA-3255B2FE5EBA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89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330200</xdr:colOff>
      <xdr:row>97</xdr:row>
      <xdr:rowOff>25400</xdr:rowOff>
    </xdr:to>
    <xdr:sp macro="" textlink="">
      <xdr:nvSpPr>
        <xdr:cNvPr id="4185" name="AutoShape 89">
          <a:extLst>
            <a:ext uri="{FF2B5EF4-FFF2-40B4-BE49-F238E27FC236}">
              <a16:creationId xmlns:a16="http://schemas.microsoft.com/office/drawing/2014/main" id="{69540CEC-9A1C-D32B-6D23-25A3F837D15D}"/>
            </a:ext>
          </a:extLst>
        </xdr:cNvPr>
        <xdr:cNvSpPr>
          <a:spLocks noChangeAspect="1" noChangeArrowheads="1"/>
        </xdr:cNvSpPr>
      </xdr:nvSpPr>
      <xdr:spPr bwMode="auto">
        <a:xfrm>
          <a:off x="698500" y="195961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304800</xdr:colOff>
      <xdr:row>96</xdr:row>
      <xdr:rowOff>101600</xdr:rowOff>
    </xdr:to>
    <xdr:sp macro="" textlink="">
      <xdr:nvSpPr>
        <xdr:cNvPr id="4186" name="AutoShape 90">
          <a:extLst>
            <a:ext uri="{FF2B5EF4-FFF2-40B4-BE49-F238E27FC236}">
              <a16:creationId xmlns:a16="http://schemas.microsoft.com/office/drawing/2014/main" id="{DB670402-B3A4-B39F-59C8-380D4DAAACB9}"/>
            </a:ext>
          </a:extLst>
        </xdr:cNvPr>
        <xdr:cNvSpPr>
          <a:spLocks noChangeAspect="1" noChangeArrowheads="1"/>
        </xdr:cNvSpPr>
      </xdr:nvSpPr>
      <xdr:spPr bwMode="auto">
        <a:xfrm>
          <a:off x="3454400" y="195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330200</xdr:colOff>
      <xdr:row>100</xdr:row>
      <xdr:rowOff>25400</xdr:rowOff>
    </xdr:to>
    <xdr:sp macro="" textlink="">
      <xdr:nvSpPr>
        <xdr:cNvPr id="4187" name="AutoShape 91">
          <a:extLst>
            <a:ext uri="{FF2B5EF4-FFF2-40B4-BE49-F238E27FC236}">
              <a16:creationId xmlns:a16="http://schemas.microsoft.com/office/drawing/2014/main" id="{9A839541-F1D6-763F-BC85-AA283A7C1478}"/>
            </a:ext>
          </a:extLst>
        </xdr:cNvPr>
        <xdr:cNvSpPr>
          <a:spLocks noChangeAspect="1" noChangeArrowheads="1"/>
        </xdr:cNvSpPr>
      </xdr:nvSpPr>
      <xdr:spPr bwMode="auto">
        <a:xfrm>
          <a:off x="698500" y="20205700"/>
          <a:ext cx="3302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304800</xdr:colOff>
      <xdr:row>99</xdr:row>
      <xdr:rowOff>101600</xdr:rowOff>
    </xdr:to>
    <xdr:sp macro="" textlink="">
      <xdr:nvSpPr>
        <xdr:cNvPr id="4188" name="AutoShape 92">
          <a:extLst>
            <a:ext uri="{FF2B5EF4-FFF2-40B4-BE49-F238E27FC236}">
              <a16:creationId xmlns:a16="http://schemas.microsoft.com/office/drawing/2014/main" id="{C3FC7284-A89D-5728-D64E-73E5F101D61D}"/>
            </a:ext>
          </a:extLst>
        </xdr:cNvPr>
        <xdr:cNvSpPr>
          <a:spLocks noChangeAspect="1" noChangeArrowheads="1"/>
        </xdr:cNvSpPr>
      </xdr:nvSpPr>
      <xdr:spPr bwMode="auto">
        <a:xfrm>
          <a:off x="3454400" y="202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30</xdr:row>
      <xdr:rowOff>0</xdr:rowOff>
    </xdr:from>
    <xdr:ext cx="304800" cy="309033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5342092-19CA-5F4B-8BEC-0B510AC4185B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0</xdr:rowOff>
    </xdr:from>
    <xdr:ext cx="304800" cy="309033"/>
    <xdr:sp macro="" textlink="">
      <xdr:nvSpPr>
        <xdr:cNvPr id="3" name="AutoShape 48">
          <a:extLst>
            <a:ext uri="{FF2B5EF4-FFF2-40B4-BE49-F238E27FC236}">
              <a16:creationId xmlns:a16="http://schemas.microsoft.com/office/drawing/2014/main" id="{A24587CB-3D29-E341-BD58-4838AAEDA536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9033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49A33C2-9646-514E-85C8-1D95439D61F1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9033"/>
    <xdr:sp macro="" textlink="">
      <xdr:nvSpPr>
        <xdr:cNvPr id="5" name="AutoShape 48">
          <a:extLst>
            <a:ext uri="{FF2B5EF4-FFF2-40B4-BE49-F238E27FC236}">
              <a16:creationId xmlns:a16="http://schemas.microsoft.com/office/drawing/2014/main" id="{7CCED0B6-6211-1B4B-B57E-D412A04207F7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9033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9B43F12-9B86-6D45-B08C-D3306DE12DFC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9033"/>
    <xdr:sp macro="" textlink="">
      <xdr:nvSpPr>
        <xdr:cNvPr id="7" name="AutoShape 48">
          <a:extLst>
            <a:ext uri="{FF2B5EF4-FFF2-40B4-BE49-F238E27FC236}">
              <a16:creationId xmlns:a16="http://schemas.microsoft.com/office/drawing/2014/main" id="{3109EE3C-BCAB-BB45-A6D3-19A6D8195589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9033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EE0A027-2D7D-E94C-909B-A926FC60A204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9033"/>
    <xdr:sp macro="" textlink="">
      <xdr:nvSpPr>
        <xdr:cNvPr id="9" name="AutoShape 48">
          <a:extLst>
            <a:ext uri="{FF2B5EF4-FFF2-40B4-BE49-F238E27FC236}">
              <a16:creationId xmlns:a16="http://schemas.microsoft.com/office/drawing/2014/main" id="{2E075528-A42B-0844-80E4-E2EF660642F4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9033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7C8064D3-7B6D-A445-8320-FC3B874E3ED0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9033"/>
    <xdr:sp macro="" textlink="">
      <xdr:nvSpPr>
        <xdr:cNvPr id="11" name="AutoShape 48">
          <a:extLst>
            <a:ext uri="{FF2B5EF4-FFF2-40B4-BE49-F238E27FC236}">
              <a16:creationId xmlns:a16="http://schemas.microsoft.com/office/drawing/2014/main" id="{30D2EE44-87DC-674B-A8C5-E85C930A8894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9033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F46C796B-112B-4842-BB18-61C548FE6F34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9033"/>
    <xdr:sp macro="" textlink="">
      <xdr:nvSpPr>
        <xdr:cNvPr id="13" name="AutoShape 48">
          <a:extLst>
            <a:ext uri="{FF2B5EF4-FFF2-40B4-BE49-F238E27FC236}">
              <a16:creationId xmlns:a16="http://schemas.microsoft.com/office/drawing/2014/main" id="{1CF795DA-7F0B-B64C-ABA4-E600D6F6AFAA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0</xdr:rowOff>
    </xdr:from>
    <xdr:ext cx="304800" cy="309033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34BCBEB7-4AFC-404C-843F-8ACE4BCF95C2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0</xdr:rowOff>
    </xdr:from>
    <xdr:ext cx="304800" cy="309033"/>
    <xdr:sp macro="" textlink="">
      <xdr:nvSpPr>
        <xdr:cNvPr id="15" name="AutoShape 48">
          <a:extLst>
            <a:ext uri="{FF2B5EF4-FFF2-40B4-BE49-F238E27FC236}">
              <a16:creationId xmlns:a16="http://schemas.microsoft.com/office/drawing/2014/main" id="{37EB57EA-956C-0148-9AC6-3AF3A7DEF832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0</xdr:rowOff>
    </xdr:from>
    <xdr:ext cx="304800" cy="309033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0257B2EF-7364-C940-8DD3-D252B25BC79E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0</xdr:rowOff>
    </xdr:from>
    <xdr:ext cx="304800" cy="309033"/>
    <xdr:sp macro="" textlink="">
      <xdr:nvSpPr>
        <xdr:cNvPr id="17" name="AutoShape 48">
          <a:extLst>
            <a:ext uri="{FF2B5EF4-FFF2-40B4-BE49-F238E27FC236}">
              <a16:creationId xmlns:a16="http://schemas.microsoft.com/office/drawing/2014/main" id="{EFE5686E-FE45-CB49-93E4-B35E65865581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35</xdr:row>
      <xdr:rowOff>0</xdr:rowOff>
    </xdr:from>
    <xdr:ext cx="304800" cy="309033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D3EF4DEC-9DCD-8F48-A894-5CBC1CFD3700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35</xdr:row>
      <xdr:rowOff>0</xdr:rowOff>
    </xdr:from>
    <xdr:ext cx="304800" cy="309033"/>
    <xdr:sp macro="" textlink="">
      <xdr:nvSpPr>
        <xdr:cNvPr id="19" name="AutoShape 48">
          <a:extLst>
            <a:ext uri="{FF2B5EF4-FFF2-40B4-BE49-F238E27FC236}">
              <a16:creationId xmlns:a16="http://schemas.microsoft.com/office/drawing/2014/main" id="{5604FC5D-FA03-1046-B728-EB985F5B8604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35</xdr:row>
      <xdr:rowOff>0</xdr:rowOff>
    </xdr:from>
    <xdr:ext cx="304800" cy="309033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40B8BE65-0D9B-EE43-858B-7C1F7CB823B2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35</xdr:row>
      <xdr:rowOff>0</xdr:rowOff>
    </xdr:from>
    <xdr:ext cx="304800" cy="309033"/>
    <xdr:sp macro="" textlink="">
      <xdr:nvSpPr>
        <xdr:cNvPr id="21" name="AutoShape 48">
          <a:extLst>
            <a:ext uri="{FF2B5EF4-FFF2-40B4-BE49-F238E27FC236}">
              <a16:creationId xmlns:a16="http://schemas.microsoft.com/office/drawing/2014/main" id="{EE6E7203-D239-3D43-9D7D-A775A895FD15}"/>
            </a:ext>
          </a:extLst>
        </xdr:cNvPr>
        <xdr:cNvSpPr>
          <a:spLocks noChangeAspect="1" noChangeArrowheads="1"/>
        </xdr:cNvSpPr>
      </xdr:nvSpPr>
      <xdr:spPr bwMode="auto">
        <a:xfrm>
          <a:off x="3903133" y="5926667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09033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7FC15B5E-74E8-FA4C-82FE-7C822DCA2548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09033"/>
    <xdr:sp macro="" textlink="">
      <xdr:nvSpPr>
        <xdr:cNvPr id="23" name="AutoShape 48">
          <a:extLst>
            <a:ext uri="{FF2B5EF4-FFF2-40B4-BE49-F238E27FC236}">
              <a16:creationId xmlns:a16="http://schemas.microsoft.com/office/drawing/2014/main" id="{9AAEE0DF-AC39-CB4C-94CE-57F78C0FA935}"/>
            </a:ext>
          </a:extLst>
        </xdr:cNvPr>
        <xdr:cNvSpPr>
          <a:spLocks noChangeAspect="1" noChangeArrowheads="1"/>
        </xdr:cNvSpPr>
      </xdr:nvSpPr>
      <xdr:spPr bwMode="auto">
        <a:xfrm>
          <a:off x="3903133" y="6146800"/>
          <a:ext cx="304800" cy="30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15</xdr:row>
      <xdr:rowOff>0</xdr:rowOff>
    </xdr:from>
    <xdr:to>
      <xdr:col>2</xdr:col>
      <xdr:colOff>330200</xdr:colOff>
      <xdr:row>17</xdr:row>
      <xdr:rowOff>24060</xdr:rowOff>
    </xdr:to>
    <xdr:sp macro="" textlink="">
      <xdr:nvSpPr>
        <xdr:cNvPr id="24" name="AutoShape 139">
          <a:extLst>
            <a:ext uri="{FF2B5EF4-FFF2-40B4-BE49-F238E27FC236}">
              <a16:creationId xmlns:a16="http://schemas.microsoft.com/office/drawing/2014/main" id="{51DE130C-5888-984E-97BF-3B5525F19E73}"/>
            </a:ext>
          </a:extLst>
        </xdr:cNvPr>
        <xdr:cNvSpPr>
          <a:spLocks noChangeAspect="1" noChangeArrowheads="1"/>
        </xdr:cNvSpPr>
      </xdr:nvSpPr>
      <xdr:spPr>
        <a:xfrm>
          <a:off x="1778000" y="4673600"/>
          <a:ext cx="330200" cy="43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330200</xdr:colOff>
      <xdr:row>17</xdr:row>
      <xdr:rowOff>24060</xdr:rowOff>
    </xdr:to>
    <xdr:sp macro="" textlink="">
      <xdr:nvSpPr>
        <xdr:cNvPr id="25" name="AutoShape 140">
          <a:extLst>
            <a:ext uri="{FF2B5EF4-FFF2-40B4-BE49-F238E27FC236}">
              <a16:creationId xmlns:a16="http://schemas.microsoft.com/office/drawing/2014/main" id="{7C8A5302-6C4A-1D44-8497-4301E8A9C0C7}"/>
            </a:ext>
          </a:extLst>
        </xdr:cNvPr>
        <xdr:cNvSpPr>
          <a:spLocks noChangeAspect="1" noChangeArrowheads="1"/>
        </xdr:cNvSpPr>
      </xdr:nvSpPr>
      <xdr:spPr>
        <a:xfrm>
          <a:off x="1778000" y="4673600"/>
          <a:ext cx="330200" cy="43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òn Codesido" refreshedDate="45995.61019861111" createdVersion="8" refreshedVersion="8" minRefreshableVersion="3" recordCount="603" xr:uid="{CA86055A-FC75-7D42-887B-B5532645F402}">
  <cacheSource type="worksheet">
    <worksheetSource name="Datos_General"/>
  </cacheSource>
  <cacheFields count="41">
    <cacheField name="Jornada" numFmtId="0">
      <sharedItems containsString="0" containsBlank="1" containsNumber="1" containsInteger="1" minValue="1" maxValue="11"/>
    </cacheField>
    <cacheField name="Fecha" numFmtId="14">
      <sharedItems containsNonDate="0" containsDate="1" containsString="0" containsBlank="1" minDate="2025-09-20T00:00:00" maxDate="2025-11-30T00:00:00"/>
    </cacheField>
    <cacheField name="Eq.Local" numFmtId="0">
      <sharedItems containsBlank="1"/>
    </cacheField>
    <cacheField name="Eq.Visitante" numFmtId="0">
      <sharedItems containsBlank="1"/>
    </cacheField>
    <cacheField name="Partido" numFmtId="0">
      <sharedItems/>
    </cacheField>
    <cacheField name="Estadio" numFmtId="0">
      <sharedItems containsBlank="1"/>
    </cacheField>
    <cacheField name="Local/Visitante" numFmtId="0">
      <sharedItems containsBlank="1"/>
    </cacheField>
    <cacheField name="Resultado" numFmtId="0">
      <sharedItems containsBlank="1"/>
    </cacheField>
    <cacheField name="Goles a Favor_Eq_local" numFmtId="0">
      <sharedItems containsString="0" containsBlank="1" containsNumber="1" containsInteger="1" minValue="0" maxValue="3"/>
    </cacheField>
    <cacheField name="Gol a Favor_Eq_Visitante" numFmtId="0">
      <sharedItems containsString="0" containsBlank="1" containsNumber="1" containsInteger="1" minValue="0" maxValue="4"/>
    </cacheField>
    <cacheField name="Marcador" numFmtId="0">
      <sharedItems/>
    </cacheField>
    <cacheField name="Equipo_Jug" numFmtId="0">
      <sharedItems/>
    </cacheField>
    <cacheField name="Dorsal" numFmtId="0">
      <sharedItems containsString="0" containsBlank="1" containsNumber="1" containsInteger="1" minValue="1" maxValue="18"/>
    </cacheField>
    <cacheField name="Nombre" numFmtId="0">
      <sharedItems containsBlank="1" count="144">
        <s v="ORDEÑANA BORRERO, IKER"/>
        <s v="GUERRA IZA, JON"/>
        <s v="ZULUETA ZARATE, XABIER"/>
        <s v="MARTINEZ CAYETANO, ASIER"/>
        <s v="MENDIZABAL MARTINEZ, MARKEL"/>
        <s v="CRUCES RODRIGUEZ, GORKA"/>
        <s v="ZALBIDE GAMON, JON ANDER"/>
        <s v="ARANA ROMO, IMANOL"/>
        <s v="MENDIBIL FRIAS, AITOR"/>
        <s v="FRUNIZ ISASI, BITTOR"/>
        <s v="MUSATADI ROJO, IKER"/>
        <s v="FERNANDEZ LOPATEGUI, JURGI"/>
        <s v="ETXEBARRIA SUSTACHA, AITOR"/>
        <s v="RUIZ AUSIN, DIEGO"/>
        <s v="EGUIÑO ARRIETA, IBON"/>
        <s v="BEDOYA HURTADO, SANTIAGO"/>
        <s v="DAVILA GUTIERREZ, JEAN ALEJANDRO"/>
        <s v="REVILLA NOTARIO, ANDER"/>
        <s v="IZAGIRRE ARRIBALTZAGA, ANARTZ"/>
        <s v="RODRIGUEZ REMENTERIA, GORKA"/>
        <s v="BARAÑANO ARROYO, AITOR"/>
        <s v="OTAZUA GUTIERREZ, OIER"/>
        <s v="EGUIA UNANUE, OIER"/>
        <s v="EGUILUZ RODRIGUEZ, LIHER"/>
        <s v="LARRAZABAL BATIZ, AIMAR"/>
        <s v="SAN NICOLAS GIL, ENEKO"/>
        <s v="AMORIZA LOROÑO, ANDONI"/>
        <m/>
        <e v="#N/A"/>
        <s v="ZUKUETA ZARATE, XABIER" u="1"/>
        <s v="Rabanillo" u="1"/>
        <s v="Roque" u="1"/>
        <s v="Soto" u="1"/>
        <s v="Diego Gonzalez" u="1"/>
        <s v="Manu Barreiro" u="1"/>
        <s v="Hugo Matos" u="1"/>
        <s v="Ocaña" u="1"/>
        <s v="Samu" u="1"/>
        <s v="Kike" u="1"/>
        <s v="Landeira" u="1"/>
        <s v="De Prado" u="1"/>
        <s v="Iago Dominguez" u="1"/>
        <s v="Manu Rivas" u="1"/>
        <s v="Pablo Crespo" u="1"/>
        <s v="Bertino" u="1"/>
        <s v="Trasi" u="1"/>
        <s v="Óscar Gil" u="1"/>
        <s v="Fer Cano" u="1"/>
        <s v="Casas" u="1"/>
        <s v="Pablo Antas" u="1"/>
        <s v="Carlos Cinta" u="1"/>
        <s v="Selasi" u="1"/>
        <s v="Pato Guillén" u="1"/>
        <s v="Riki Mangana" u="1"/>
        <s v="David Soto" u="1"/>
        <s v="Alvaro Casas" u="1"/>
        <s v="Samu Araujo" u="1"/>
        <s v="Juan Manuel Parapar" u="1"/>
        <s v="Antón de Vicente" u="1"/>
        <s v="Jordan Domínguez" u="1"/>
        <s v="Juan Pablo Barros" u="1"/>
        <s v="Jaime Santos" u="1"/>
        <s v="Borja Rey" u="1"/>
        <s v="Euse Monzó" u="1"/>
        <s v="Kike Vidal" u="1"/>
        <s v="Fernando Beltrán" u="1"/>
        <s v="Pep Caballé" u="1"/>
        <s v="Manuel Barreiro" u="1"/>
        <s v="Gonzalo Landeira" u="1"/>
        <s v="Dani Varela" u="1"/>
        <s v="Roi Rama" u="1"/>
        <s v="Francisco López" u="1"/>
        <s v="Xoel Trasancos" u="1"/>
        <s v="Mario Hermo" u="1"/>
        <s v="Brais Rodriguez" u="1"/>
        <s v="Ángel Landeira" u="1"/>
        <s v="Hugo Alvarellos" u="1"/>
        <s v="Jorge Sálamo" u="1"/>
        <s v="Joaquín Goris" u="1"/>
        <s v="Roger Escoruela" u="1"/>
        <s v="Samu Rodríguez" u="1"/>
        <s v="Manu Ramírez" u="1"/>
        <s v="Marco Baña" u="1"/>
        <s v="Xoel Caamaño" u="1"/>
        <s v="David Grande" u="1"/>
        <s v="José Balsa" u="1"/>
        <s v="Jorge Trillo" u="1"/>
        <s v="Fede Beltran" u="1"/>
        <s v="Adrián Cascallar Búa" u="1"/>
        <s v="Martín Lamas Villanueva" u="1"/>
        <s v="Xan Caridad Lado" u="1"/>
        <s v="Borja Casal Costoya" u="1"/>
        <s v="José Joaquín Bertua Fontenla" u="1"/>
        <s v="Pablo Couto Tomé" u="1"/>
        <s v="Guillermo Ulloa López" u="1"/>
        <s v="Brais Gonzalez Nogueira" u="1"/>
        <s v="Rubén García Ramos" u="1"/>
        <s v="Esteban Capelo Grille" u="1"/>
        <s v="Hugo García Lagoas" u="1"/>
        <s v="Alex González Fernández" u="1"/>
        <s v="Luis Fernando Agostini Infante" u="1"/>
        <s v="Joaquín Villanueva Barros" u="1"/>
        <s v="Manuel Rego Fernández" u="1"/>
        <s v="José M Carballude Adan" u="1"/>
        <s v="Victor M Vilariño Salgado" u="1"/>
        <s v="Santiago Rodríguez Silva" u="1"/>
        <s v="Aaron Soto Gonzalez" u="1"/>
        <s v="Manuel Casal Costoya" u="1"/>
        <s v="Gabriel Sanin Peillet" u="1"/>
        <s v="Brais Vázquez Ulloa" u="1"/>
        <s v="Alberto Dieguez Gutierrez" u="1"/>
        <s v="Alberto Fernández Puga" u="1"/>
        <s v="Iker Calvo Pérez" u="1"/>
        <s v="Alex Rivas Carral" u="1"/>
        <s v="Eloy Ferreira Taboada" u="1"/>
        <s v="Anxo Calviño Pérez" u="1"/>
        <s v="Jorge Trillo Leston" u="1"/>
        <s v="Brais Perez Moreta" u="1"/>
        <s v="Adrian Gonzalez Rodriguez" u="1"/>
        <s v="Jorge Salamo Candal" u="1"/>
        <s v="Yago Montegaudo Deben" u="1"/>
        <s v="Jose Balsa Iglesias" u="1"/>
        <s v="Marco Baña Aller" u="1"/>
        <s v="Pedro Moraña Sobrido" u="1"/>
        <s v="Javier Muiño Rodriguez" u="1"/>
        <s v="Rodrigo Fernandez N Garcia" u="1"/>
        <s v="Daniel Varela Villasenin" u="1"/>
        <s v="Santiago Albarran Becerra" u="1"/>
        <s v="Alvaro Sieira Rama" u="1"/>
        <s v="Lucas Gonzalez Besada" u="1"/>
        <s v="Mario Hermo Lata" u="1"/>
        <s v="Fabián Grela Niño" u="1"/>
        <s v="Hugo Alvarellos Galego" u="1"/>
        <s v="Hugo Lopez Constenla" u="1"/>
        <s v="Juan E Araujo Escobar" u="1"/>
        <s v="Benjamin Bruce Caroutas" u="1"/>
        <s v="Saul Gonzalez Padron" u="1"/>
        <s v="Manuel Prieto Gomez" u="1"/>
        <s v="Gol Propia Puerta" u="1"/>
        <s v="Hugo Ramiro Cardoso Sa" u="1"/>
        <s v="Denis Castro Prada" u="1"/>
        <s v="Nicolas Rosas" u="1"/>
        <s v="Leandro Alonso Gil" u="1"/>
        <s v="Raul Gallego Taboada" u="1"/>
      </sharedItems>
    </cacheField>
    <cacheField name="Convocado" numFmtId="0">
      <sharedItems containsSemiMixedTypes="0" containsString="0" containsNumber="1" containsInteger="1" minValue="1" maxValue="1"/>
    </cacheField>
    <cacheField name="Alineación" numFmtId="0">
      <sharedItems containsBlank="1"/>
    </cacheField>
    <cacheField name="Partido Jugado" numFmtId="0">
      <sharedItems containsSemiMixedTypes="0" containsString="0" containsNumber="1" containsInteger="1" minValue="0" maxValue="1"/>
    </cacheField>
    <cacheField name="Titular" numFmtId="0">
      <sharedItems containsMixedTypes="1" containsNumber="1" containsInteger="1" minValue="0" maxValue="1"/>
    </cacheField>
    <cacheField name="Minutos Jugados" numFmtId="0">
      <sharedItems containsString="0" containsBlank="1" containsNumber="1" containsInteger="1" minValue="0" maxValue="90"/>
    </cacheField>
    <cacheField name="Sustituido Por:" numFmtId="0">
      <sharedItems containsBlank="1" containsMixedTypes="1" containsNumber="1" containsInteger="1" minValue="0" maxValue="0"/>
    </cacheField>
    <cacheField name="Minutos Sustituto" numFmtId="0">
      <sharedItems containsSemiMixedTypes="0" containsString="0" containsNumber="1" containsInteger="1" minValue="0" maxValue="90"/>
    </cacheField>
    <cacheField name="Goles" numFmtId="0">
      <sharedItems containsString="0" containsBlank="1" containsNumber="1" containsInteger="1" minValue="0" maxValue="2"/>
    </cacheField>
    <cacheField name="Goles a Favor_Jug" numFmtId="0">
      <sharedItems containsString="0" containsBlank="1" containsNumber="1" containsInteger="1" minValue="0" maxValue="3"/>
    </cacheField>
    <cacheField name="Goles en Contra_Jug" numFmtId="0">
      <sharedItems containsString="0" containsBlank="1" containsNumber="1" containsInteger="1" minValue="0" maxValue="4"/>
    </cacheField>
    <cacheField name="Resultado Jug_Eq" numFmtId="0">
      <sharedItems containsMixedTypes="1" containsNumber="1" containsInteger="1" minValue="0" maxValue="0"/>
    </cacheField>
    <cacheField name="Puntos x minutos" numFmtId="1">
      <sharedItems containsSemiMixedTypes="0" containsString="0" containsNumber="1" containsInteger="1" minValue="0" maxValue="270"/>
    </cacheField>
    <cacheField name="Resultado Jug_Campo" numFmtId="0">
      <sharedItems/>
    </cacheField>
    <cacheField name="Puntos Jug_Campo" numFmtId="0">
      <sharedItems/>
    </cacheField>
    <cacheField name="Promedio de Goles" numFmtId="0" formula="IFERROR(Goles/#NAME?,&quot;-&quot;)" databaseField="0"/>
    <cacheField name="Promedio Minutos" numFmtId="0" formula="IFERROR(#NAME?/'Partido Jugado',0)" databaseField="0"/>
    <cacheField name="Promed Gol a Favor" numFmtId="0" formula="IFERROR(#NAME?/#NAME?, 0)" databaseField="0"/>
    <cacheField name="Promed Goles en Contra" numFmtId="0" formula="IFERROR(#NAME?/#NAME?,0)" databaseField="0"/>
    <cacheField name="Gol x 90min" numFmtId="0" formula=" (90*'Promedio de Goles')" databaseField="0"/>
    <cacheField name="Gol a Favor x 90min" numFmtId="0" formula=" (90*'Promed Gol a Favor')" databaseField="0"/>
    <cacheField name="Gol en Contra x 90 min" numFmtId="0" formula=" (90*'Promed Goles en Contra')" databaseField="0"/>
    <cacheField name="Diferencia de Goles" numFmtId="0" formula="'Goles a Favor_Jug'-'Goles en Contra_Jug'" databaseField="0"/>
    <cacheField name="Diferencia Goles 90'" numFmtId="0" formula="'Gol a Favor x 90min'-'Gol en Contra x 90 min'" databaseField="0"/>
    <cacheField name="Puntuacion" numFmtId="0" formula="'Puntos x minutos'/ (#NAME?)" databaseField="0"/>
    <cacheField name="Puntos Jugador Campo x 90" numFmtId="0" formula="'Puntos x minutos'/3060" databaseField="0"/>
    <cacheField name="Puntos Jugador" numFmtId="0" formula=" 0" databaseField="0"/>
    <cacheField name="Puntos Ajustados" numFmtId="0" formula="'Puntos x minutos'/(#NAME?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3">
  <r>
    <n v="1"/>
    <d v="2025-09-20T00:00:00"/>
    <s v="MUNGIA"/>
    <s v="GATIKA"/>
    <s v="MUNGIA-GATIKA"/>
    <s v="LEGARDA"/>
    <s v="Local"/>
    <s v="Empate"/>
    <n v="3"/>
    <n v="3"/>
    <s v="3-3"/>
    <s v="MUNGIA"/>
    <n v="1"/>
    <x v="0"/>
    <n v="1"/>
    <s v="Titular"/>
    <n v="1"/>
    <n v="1"/>
    <n v="90"/>
    <n v="0"/>
    <n v="0"/>
    <n v="0"/>
    <n v="3"/>
    <n v="3"/>
    <s v="1"/>
    <n v="90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2"/>
    <x v="1"/>
    <n v="1"/>
    <s v="Titular"/>
    <n v="1"/>
    <n v="1"/>
    <n v="90"/>
    <n v="0"/>
    <n v="0"/>
    <n v="0"/>
    <n v="3"/>
    <n v="3"/>
    <s v="1"/>
    <n v="90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3"/>
    <x v="2"/>
    <n v="1"/>
    <s v="Titular"/>
    <n v="1"/>
    <n v="1"/>
    <n v="90"/>
    <n v="0"/>
    <n v="0"/>
    <n v="0"/>
    <n v="3"/>
    <n v="3"/>
    <s v="1"/>
    <n v="90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4"/>
    <x v="3"/>
    <n v="1"/>
    <s v="Titular"/>
    <n v="1"/>
    <n v="1"/>
    <n v="90"/>
    <n v="0"/>
    <n v="0"/>
    <n v="0"/>
    <n v="3"/>
    <n v="3"/>
    <s v="1"/>
    <n v="90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5"/>
    <x v="4"/>
    <n v="1"/>
    <s v="Titular"/>
    <n v="1"/>
    <n v="1"/>
    <n v="90"/>
    <n v="0"/>
    <n v="0"/>
    <n v="0"/>
    <n v="3"/>
    <n v="3"/>
    <s v="1"/>
    <n v="90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6"/>
    <x v="5"/>
    <n v="1"/>
    <s v="Titular"/>
    <n v="1"/>
    <n v="1"/>
    <n v="90"/>
    <n v="0"/>
    <n v="0"/>
    <n v="1"/>
    <n v="3"/>
    <n v="3"/>
    <s v="1"/>
    <n v="90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7"/>
    <x v="6"/>
    <n v="1"/>
    <s v="Titular"/>
    <n v="1"/>
    <n v="1"/>
    <n v="90"/>
    <n v="0"/>
    <n v="0"/>
    <n v="0"/>
    <n v="3"/>
    <n v="3"/>
    <s v="1"/>
    <n v="90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8"/>
    <x v="7"/>
    <n v="1"/>
    <s v="Titular"/>
    <n v="1"/>
    <n v="1"/>
    <n v="90"/>
    <n v="0"/>
    <n v="0"/>
    <n v="0"/>
    <n v="3"/>
    <n v="3"/>
    <s v="1"/>
    <n v="90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9"/>
    <x v="8"/>
    <n v="1"/>
    <s v="Titular"/>
    <n v="1"/>
    <n v="1"/>
    <n v="76"/>
    <s v="BEDOYA HURTADO, SANTIAGO"/>
    <n v="14"/>
    <n v="0"/>
    <n v="2"/>
    <n v="2"/>
    <s v="1"/>
    <n v="76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10"/>
    <x v="9"/>
    <n v="1"/>
    <s v="Titular"/>
    <n v="1"/>
    <n v="1"/>
    <n v="67"/>
    <s v="EGUIÑO ARRIETA, IBON"/>
    <n v="23"/>
    <n v="0"/>
    <n v="2"/>
    <n v="2"/>
    <s v="1"/>
    <n v="67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11"/>
    <x v="10"/>
    <n v="1"/>
    <s v="Titular"/>
    <n v="1"/>
    <n v="1"/>
    <n v="90"/>
    <n v="0"/>
    <n v="0"/>
    <n v="1"/>
    <n v="3"/>
    <n v="3"/>
    <s v="1"/>
    <n v="90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13"/>
    <x v="11"/>
    <n v="1"/>
    <s v="Suplente"/>
    <n v="0"/>
    <n v="0"/>
    <n v="0"/>
    <n v="0"/>
    <n v="90"/>
    <n v="0"/>
    <n v="0"/>
    <n v="0"/>
    <s v="1"/>
    <n v="0"/>
    <s v=" No Jugó"/>
    <s v="0"/>
  </r>
  <r>
    <n v="1"/>
    <d v="2025-09-20T00:00:00"/>
    <s v="MUNGIA"/>
    <s v="GATIKA"/>
    <s v="MUNGIA-GATIKA"/>
    <s v="LEGARDA"/>
    <s v="Local"/>
    <s v="Empate"/>
    <n v="3"/>
    <n v="3"/>
    <s v="3-3"/>
    <s v="MUNGIA"/>
    <n v="12"/>
    <x v="12"/>
    <n v="1"/>
    <s v="Suplente"/>
    <n v="0"/>
    <n v="0"/>
    <n v="0"/>
    <n v="0"/>
    <n v="90"/>
    <n v="0"/>
    <n v="0"/>
    <n v="0"/>
    <s v="1"/>
    <n v="0"/>
    <s v=" No Jugó"/>
    <s v="0"/>
  </r>
  <r>
    <n v="1"/>
    <d v="2025-09-20T00:00:00"/>
    <s v="MUNGIA"/>
    <s v="GATIKA"/>
    <s v="MUNGIA-GATIKA"/>
    <s v="LEGARDA"/>
    <s v="Local"/>
    <s v="Empate"/>
    <n v="3"/>
    <n v="3"/>
    <s v="3-3"/>
    <s v="MUNGIA"/>
    <n v="14"/>
    <x v="13"/>
    <n v="1"/>
    <s v="Suplente"/>
    <n v="0"/>
    <n v="0"/>
    <n v="0"/>
    <n v="0"/>
    <n v="90"/>
    <n v="0"/>
    <n v="0"/>
    <n v="0"/>
    <s v="1"/>
    <n v="0"/>
    <s v=" No Jugó"/>
    <s v="0"/>
  </r>
  <r>
    <n v="1"/>
    <d v="2025-09-20T00:00:00"/>
    <s v="MUNGIA"/>
    <s v="GATIKA"/>
    <s v="MUNGIA-GATIKA"/>
    <s v="LEGARDA"/>
    <s v="Local"/>
    <s v="Empate"/>
    <n v="3"/>
    <n v="3"/>
    <s v="3-3"/>
    <s v="MUNGIA"/>
    <n v="15"/>
    <x v="14"/>
    <n v="1"/>
    <s v="Suplente"/>
    <n v="1"/>
    <n v="0"/>
    <n v="23"/>
    <n v="0"/>
    <n v="67"/>
    <n v="1"/>
    <n v="1"/>
    <n v="1"/>
    <s v="1"/>
    <n v="23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16"/>
    <x v="15"/>
    <n v="1"/>
    <s v="Suplente"/>
    <n v="1"/>
    <n v="0"/>
    <n v="14"/>
    <n v="0"/>
    <n v="76"/>
    <n v="0"/>
    <n v="1"/>
    <n v="1"/>
    <s v="1"/>
    <n v="14"/>
    <s v="Empate"/>
    <s v="1"/>
  </r>
  <r>
    <n v="1"/>
    <d v="2025-09-20T00:00:00"/>
    <s v="MUNGIA"/>
    <s v="GATIKA"/>
    <s v="MUNGIA-GATIKA"/>
    <s v="LEGARDA"/>
    <s v="Local"/>
    <s v="Empate"/>
    <n v="3"/>
    <n v="3"/>
    <s v="3-3"/>
    <s v="MUNGIA"/>
    <n v="17"/>
    <x v="16"/>
    <n v="1"/>
    <s v="Suplente"/>
    <n v="0"/>
    <n v="0"/>
    <n v="0"/>
    <n v="0"/>
    <n v="90"/>
    <n v="0"/>
    <n v="0"/>
    <n v="1"/>
    <s v="1"/>
    <n v="0"/>
    <s v=" No Jugó"/>
    <s v="0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"/>
    <x v="0"/>
    <n v="1"/>
    <s v="Titular"/>
    <n v="1"/>
    <n v="1"/>
    <n v="90"/>
    <n v="0"/>
    <n v="0"/>
    <n v="0"/>
    <n v="1"/>
    <n v="0"/>
    <s v="3"/>
    <n v="270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2"/>
    <x v="1"/>
    <n v="1"/>
    <s v="Titular"/>
    <n v="1"/>
    <n v="1"/>
    <n v="90"/>
    <n v="0"/>
    <n v="0"/>
    <n v="0"/>
    <n v="1"/>
    <n v="0"/>
    <s v="3"/>
    <n v="270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3"/>
    <x v="2"/>
    <n v="1"/>
    <s v="Titular"/>
    <n v="1"/>
    <n v="1"/>
    <n v="90"/>
    <n v="0"/>
    <n v="0"/>
    <n v="0"/>
    <n v="1"/>
    <n v="0"/>
    <s v="3"/>
    <n v="270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4"/>
    <x v="3"/>
    <n v="1"/>
    <s v="Titular"/>
    <n v="1"/>
    <n v="1"/>
    <n v="90"/>
    <n v="0"/>
    <n v="0"/>
    <n v="0"/>
    <n v="1"/>
    <n v="0"/>
    <s v="3"/>
    <n v="270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5"/>
    <x v="4"/>
    <n v="1"/>
    <s v="Titular"/>
    <n v="1"/>
    <n v="1"/>
    <n v="90"/>
    <n v="0"/>
    <n v="0"/>
    <n v="0"/>
    <n v="1"/>
    <n v="0"/>
    <s v="3"/>
    <n v="270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6"/>
    <x v="5"/>
    <n v="1"/>
    <s v="Titular"/>
    <n v="1"/>
    <n v="1"/>
    <n v="90"/>
    <n v="0"/>
    <n v="0"/>
    <n v="0"/>
    <n v="1"/>
    <n v="0"/>
    <s v="3"/>
    <n v="270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7"/>
    <x v="10"/>
    <n v="1"/>
    <s v="Titular"/>
    <n v="1"/>
    <n v="1"/>
    <n v="87"/>
    <s v="REVILLA NOTARIO, ANDER"/>
    <n v="3"/>
    <n v="0"/>
    <n v="1"/>
    <n v="0"/>
    <s v="3"/>
    <n v="261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8"/>
    <x v="7"/>
    <n v="1"/>
    <s v="Titular"/>
    <n v="1"/>
    <n v="1"/>
    <n v="69"/>
    <s v="ZALBIDE GAMON, JON ANDER"/>
    <n v="21"/>
    <n v="1"/>
    <n v="1"/>
    <n v="0"/>
    <s v="3"/>
    <n v="207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9"/>
    <x v="8"/>
    <n v="1"/>
    <s v="Titular"/>
    <n v="1"/>
    <n v="1"/>
    <n v="69"/>
    <s v="FRUNIZ ISASI, BITTOR"/>
    <n v="21"/>
    <n v="0"/>
    <n v="1"/>
    <n v="0"/>
    <s v="3"/>
    <n v="207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0"/>
    <x v="14"/>
    <n v="1"/>
    <s v="Titular"/>
    <n v="1"/>
    <n v="1"/>
    <n v="80"/>
    <s v="IZAGIRRE ARRIBALTZAGA, ANARTZ"/>
    <n v="10"/>
    <n v="0"/>
    <n v="1"/>
    <n v="0"/>
    <s v="3"/>
    <n v="240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1"/>
    <x v="15"/>
    <n v="1"/>
    <s v="Titular"/>
    <n v="1"/>
    <n v="1"/>
    <n v="69"/>
    <s v="RODRIGUEZ REMENTERIA, GORKA"/>
    <n v="21"/>
    <n v="0"/>
    <n v="1"/>
    <n v="0"/>
    <s v="3"/>
    <n v="207"/>
    <s v="Victoria"/>
    <s v="3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3"/>
    <x v="11"/>
    <n v="1"/>
    <s v="Suplente"/>
    <n v="0"/>
    <n v="0"/>
    <n v="0"/>
    <n v="0"/>
    <n v="90"/>
    <n v="0"/>
    <n v="0"/>
    <n v="0"/>
    <s v="3"/>
    <n v="0"/>
    <s v=" No Jugó"/>
    <s v="0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2"/>
    <x v="17"/>
    <n v="1"/>
    <s v="Suplente"/>
    <n v="0"/>
    <n v="0"/>
    <n v="0"/>
    <n v="0"/>
    <n v="90"/>
    <n v="0"/>
    <n v="0"/>
    <n v="0"/>
    <s v="3"/>
    <n v="0"/>
    <s v=" No Jugó"/>
    <s v="0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4"/>
    <x v="18"/>
    <n v="1"/>
    <s v="Suplente"/>
    <n v="0"/>
    <n v="0"/>
    <n v="0"/>
    <n v="0"/>
    <n v="90"/>
    <n v="0"/>
    <n v="0"/>
    <n v="0"/>
    <s v="3"/>
    <n v="0"/>
    <s v=" No Jugó"/>
    <s v="0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5"/>
    <x v="6"/>
    <n v="1"/>
    <s v="Suplente"/>
    <n v="0"/>
    <n v="0"/>
    <n v="0"/>
    <n v="0"/>
    <n v="90"/>
    <n v="0"/>
    <n v="0"/>
    <n v="0"/>
    <s v="3"/>
    <n v="0"/>
    <s v=" No Jugó"/>
    <s v="0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6"/>
    <x v="9"/>
    <n v="1"/>
    <s v="Suplente"/>
    <n v="0"/>
    <n v="0"/>
    <n v="0"/>
    <n v="0"/>
    <n v="90"/>
    <n v="0"/>
    <n v="0"/>
    <n v="0"/>
    <s v="3"/>
    <n v="0"/>
    <s v=" No Jugó"/>
    <s v="0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7"/>
    <x v="19"/>
    <n v="1"/>
    <s v="Suplente"/>
    <n v="0"/>
    <n v="0"/>
    <n v="0"/>
    <n v="0"/>
    <n v="90"/>
    <n v="0"/>
    <n v="0"/>
    <n v="0"/>
    <s v="3"/>
    <n v="0"/>
    <s v=" No Jugó"/>
    <s v="0"/>
  </r>
  <r>
    <n v="2"/>
    <d v="2025-09-27T00:00:00"/>
    <s v="ASTRABUDUAKO"/>
    <s v="MUNGIA"/>
    <s v="ASTRABUDUAKO-MUNGIA"/>
    <s v=" SAN LORENZO"/>
    <s v="Visitante"/>
    <s v="Victoria"/>
    <n v="0"/>
    <n v="1"/>
    <s v="0-1"/>
    <s v="MUNGIA"/>
    <n v="18"/>
    <x v="13"/>
    <n v="1"/>
    <s v="Suplente"/>
    <n v="0"/>
    <n v="0"/>
    <n v="0"/>
    <n v="0"/>
    <n v="90"/>
    <n v="0"/>
    <n v="0"/>
    <n v="0"/>
    <s v="3"/>
    <n v="0"/>
    <s v=" No Jugó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1"/>
    <x v="0"/>
    <n v="1"/>
    <s v="Titular"/>
    <n v="1"/>
    <n v="1"/>
    <n v="90"/>
    <n v="0"/>
    <n v="0"/>
    <n v="0"/>
    <n v="3"/>
    <n v="4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2"/>
    <x v="1"/>
    <n v="1"/>
    <s v="Titular"/>
    <n v="1"/>
    <n v="1"/>
    <n v="72"/>
    <s v="RUIZ AUSIN, DIEGO"/>
    <n v="18"/>
    <n v="0"/>
    <n v="2"/>
    <n v="4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3"/>
    <x v="17"/>
    <n v="1"/>
    <s v="Titular"/>
    <n v="1"/>
    <n v="1"/>
    <n v="90"/>
    <n v="0"/>
    <n v="0"/>
    <n v="0"/>
    <n v="3"/>
    <n v="4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4"/>
    <x v="3"/>
    <n v="1"/>
    <s v="Titular"/>
    <n v="1"/>
    <n v="1"/>
    <n v="90"/>
    <n v="0"/>
    <n v="0"/>
    <n v="0"/>
    <n v="3"/>
    <n v="4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5"/>
    <x v="4"/>
    <n v="1"/>
    <s v="Titular"/>
    <n v="1"/>
    <n v="1"/>
    <n v="46"/>
    <s v="FRUNIZ ISASI, BITTOR"/>
    <n v="44"/>
    <n v="0"/>
    <n v="1"/>
    <n v="3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6"/>
    <x v="5"/>
    <n v="1"/>
    <s v="Titular"/>
    <n v="1"/>
    <n v="1"/>
    <n v="72"/>
    <s v="IZAGIRRE ARRIBALTZAGA, ANARTZ"/>
    <n v="18"/>
    <n v="0"/>
    <n v="2"/>
    <n v="4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7"/>
    <x v="8"/>
    <n v="1"/>
    <s v="Titular"/>
    <n v="1"/>
    <n v="1"/>
    <n v="46"/>
    <s v="MUSATADI ROJO, IKER"/>
    <n v="44"/>
    <n v="0"/>
    <n v="1"/>
    <n v="3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8"/>
    <x v="7"/>
    <n v="1"/>
    <s v="Titular"/>
    <n v="1"/>
    <n v="1"/>
    <n v="46"/>
    <s v="BEDOYA HURTADO, SANTIAGO"/>
    <n v="44"/>
    <n v="0"/>
    <n v="1"/>
    <n v="3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9"/>
    <x v="19"/>
    <n v="1"/>
    <s v="Titular"/>
    <n v="1"/>
    <n v="1"/>
    <n v="90"/>
    <n v="0"/>
    <n v="0"/>
    <n v="2"/>
    <n v="3"/>
    <n v="4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10"/>
    <x v="14"/>
    <n v="1"/>
    <s v="Titular"/>
    <n v="1"/>
    <n v="1"/>
    <n v="90"/>
    <n v="0"/>
    <n v="0"/>
    <n v="0"/>
    <n v="3"/>
    <n v="4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11"/>
    <x v="6"/>
    <n v="1"/>
    <s v="Titular"/>
    <n v="1"/>
    <n v="1"/>
    <n v="90"/>
    <n v="0"/>
    <n v="0"/>
    <n v="0"/>
    <n v="3"/>
    <n v="4"/>
    <n v="0"/>
    <n v="0"/>
    <s v="Derrota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13"/>
    <x v="20"/>
    <n v="1"/>
    <s v="Suplente"/>
    <n v="0"/>
    <n v="0"/>
    <n v="0"/>
    <n v="0"/>
    <n v="90"/>
    <n v="0"/>
    <n v="0"/>
    <n v="0"/>
    <n v="0"/>
    <n v="0"/>
    <s v=" No Jugó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12"/>
    <x v="2"/>
    <n v="1"/>
    <s v="Suplente"/>
    <n v="0"/>
    <n v="0"/>
    <n v="0"/>
    <n v="0"/>
    <n v="90"/>
    <n v="0"/>
    <n v="0"/>
    <n v="0"/>
    <n v="0"/>
    <n v="0"/>
    <s v=" No Jugó"/>
    <s v="0"/>
  </r>
  <r>
    <n v="3"/>
    <d v="2025-10-04T00:00:00"/>
    <s v="MUNGIA"/>
    <s v="BEGOÑA"/>
    <s v="MUNGIA-BEGOÑA"/>
    <s v="LEGARDA"/>
    <s v="Local"/>
    <s v="Derrota"/>
    <n v="3"/>
    <n v="4"/>
    <s v="3-4"/>
    <s v="MUNGIA"/>
    <n v="14"/>
    <x v="18"/>
    <n v="1"/>
    <s v="Suplente"/>
    <n v="1"/>
    <n v="0"/>
    <n v="18"/>
    <n v="0"/>
    <n v="72"/>
    <n v="0"/>
    <n v="1"/>
    <n v="0"/>
    <n v="0"/>
    <n v="54"/>
    <s v="Victoria"/>
    <s v="3"/>
  </r>
  <r>
    <n v="3"/>
    <d v="2025-10-04T00:00:00"/>
    <s v="MUNGIA"/>
    <s v="BEGOÑA"/>
    <s v="MUNGIA-BEGOÑA"/>
    <s v="LEGARDA"/>
    <s v="Local"/>
    <s v="Derrota"/>
    <n v="3"/>
    <n v="4"/>
    <s v="3-4"/>
    <s v="MUNGIA"/>
    <n v="15"/>
    <x v="9"/>
    <n v="1"/>
    <s v="Suplente"/>
    <n v="1"/>
    <n v="0"/>
    <n v="44"/>
    <n v="0"/>
    <n v="46"/>
    <n v="0"/>
    <n v="2"/>
    <n v="1"/>
    <n v="0"/>
    <n v="132"/>
    <s v="Victoria"/>
    <s v="3"/>
  </r>
  <r>
    <n v="3"/>
    <d v="2025-10-04T00:00:00"/>
    <s v="MUNGIA"/>
    <s v="BEGOÑA"/>
    <s v="MUNGIA-BEGOÑA"/>
    <s v="LEGARDA"/>
    <s v="Local"/>
    <s v="Derrota"/>
    <n v="3"/>
    <n v="4"/>
    <s v="3-4"/>
    <s v="MUNGIA"/>
    <n v="16"/>
    <x v="10"/>
    <n v="1"/>
    <s v="Suplente"/>
    <n v="1"/>
    <n v="0"/>
    <n v="44"/>
    <n v="0"/>
    <n v="46"/>
    <n v="0"/>
    <n v="2"/>
    <n v="1"/>
    <n v="0"/>
    <n v="132"/>
    <s v="Victoria"/>
    <s v="3"/>
  </r>
  <r>
    <n v="3"/>
    <d v="2025-10-04T00:00:00"/>
    <s v="MUNGIA"/>
    <s v="BEGOÑA"/>
    <s v="MUNGIA-BEGOÑA"/>
    <s v="LEGARDA"/>
    <s v="Local"/>
    <s v="Derrota"/>
    <n v="3"/>
    <n v="4"/>
    <s v="3-4"/>
    <s v="MUNGIA"/>
    <n v="17"/>
    <x v="13"/>
    <n v="1"/>
    <s v="Suplente"/>
    <n v="1"/>
    <n v="0"/>
    <n v="18"/>
    <n v="0"/>
    <n v="72"/>
    <n v="0"/>
    <n v="1"/>
    <n v="0"/>
    <n v="0"/>
    <n v="54"/>
    <s v="Victoria"/>
    <s v="3"/>
  </r>
  <r>
    <n v="3"/>
    <d v="2025-10-04T00:00:00"/>
    <s v="MUNGIA"/>
    <s v="BEGOÑA"/>
    <s v="MUNGIA-BEGOÑA"/>
    <s v="LEGARDA"/>
    <s v="Local"/>
    <s v="Derrota"/>
    <n v="3"/>
    <n v="4"/>
    <s v="3-4"/>
    <s v="MUNGIA"/>
    <n v="18"/>
    <x v="15"/>
    <n v="1"/>
    <s v="Suplente"/>
    <n v="1"/>
    <n v="0"/>
    <n v="44"/>
    <n v="0"/>
    <n v="46"/>
    <n v="1"/>
    <n v="2"/>
    <n v="1"/>
    <n v="0"/>
    <n v="132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1"/>
    <x v="0"/>
    <n v="1"/>
    <s v="Titular"/>
    <n v="1"/>
    <n v="1"/>
    <n v="90"/>
    <n v="0"/>
    <n v="0"/>
    <n v="0"/>
    <n v="1"/>
    <n v="0"/>
    <s v="3"/>
    <n v="270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2"/>
    <x v="6"/>
    <n v="1"/>
    <s v="Titular"/>
    <n v="1"/>
    <n v="1"/>
    <n v="90"/>
    <n v="0"/>
    <n v="0"/>
    <n v="0"/>
    <n v="1"/>
    <n v="0"/>
    <s v="3"/>
    <n v="270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3"/>
    <x v="17"/>
    <n v="1"/>
    <s v="Titular"/>
    <n v="1"/>
    <n v="1"/>
    <n v="90"/>
    <n v="0"/>
    <n v="0"/>
    <n v="0"/>
    <n v="1"/>
    <n v="0"/>
    <s v="3"/>
    <n v="270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4"/>
    <x v="1"/>
    <n v="1"/>
    <s v="Titular"/>
    <n v="1"/>
    <n v="1"/>
    <n v="90"/>
    <n v="0"/>
    <n v="0"/>
    <n v="0"/>
    <n v="1"/>
    <n v="0"/>
    <s v="3"/>
    <n v="270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5"/>
    <x v="4"/>
    <n v="1"/>
    <s v="Titular"/>
    <n v="1"/>
    <n v="1"/>
    <n v="90"/>
    <n v="0"/>
    <n v="0"/>
    <n v="0"/>
    <n v="1"/>
    <n v="0"/>
    <s v="3"/>
    <n v="270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6"/>
    <x v="5"/>
    <n v="1"/>
    <s v="Titular"/>
    <n v="1"/>
    <n v="1"/>
    <n v="90"/>
    <n v="0"/>
    <n v="0"/>
    <n v="0"/>
    <n v="1"/>
    <n v="0"/>
    <s v="3"/>
    <n v="270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7"/>
    <x v="10"/>
    <n v="1"/>
    <s v="Titular"/>
    <n v="1"/>
    <n v="1"/>
    <n v="80"/>
    <s v="ZUKUETA ZARATE, XABIER"/>
    <n v="10"/>
    <n v="0"/>
    <n v="1"/>
    <n v="0"/>
    <s v="3"/>
    <n v="240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8"/>
    <x v="9"/>
    <n v="1"/>
    <s v="Titular"/>
    <n v="1"/>
    <n v="1"/>
    <n v="74"/>
    <s v="ARANA ROMO, IMANOL"/>
    <n v="16"/>
    <n v="0"/>
    <n v="1"/>
    <n v="0"/>
    <s v="3"/>
    <n v="222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9"/>
    <x v="19"/>
    <n v="1"/>
    <s v="Titular"/>
    <n v="1"/>
    <n v="1"/>
    <n v="90"/>
    <n v="0"/>
    <n v="0"/>
    <n v="1"/>
    <n v="1"/>
    <n v="0"/>
    <s v="3"/>
    <n v="270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10"/>
    <x v="14"/>
    <n v="1"/>
    <s v="Titular"/>
    <n v="1"/>
    <n v="1"/>
    <n v="88"/>
    <s v="IZAGIRRE ARRIBALTZAGA, ANARTZ"/>
    <n v="2"/>
    <n v="0"/>
    <n v="1"/>
    <n v="0"/>
    <s v="3"/>
    <n v="264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11"/>
    <x v="15"/>
    <n v="1"/>
    <s v="Titular"/>
    <n v="1"/>
    <n v="1"/>
    <n v="46"/>
    <s v="MENDIBIL FRIAS, AITOR"/>
    <n v="44"/>
    <n v="0"/>
    <n v="1"/>
    <n v="0"/>
    <s v="3"/>
    <n v="138"/>
    <s v="Victoria"/>
    <s v="3"/>
  </r>
  <r>
    <n v="4"/>
    <d v="2025-10-11T00:00:00"/>
    <s v="UGERAGA"/>
    <s v="MUNGIA"/>
    <s v="UGERAGA-MUNGIA"/>
    <s v="SOPELANA"/>
    <s v="Visitante"/>
    <s v="Victoria"/>
    <n v="0"/>
    <n v="1"/>
    <s v="0-1"/>
    <s v="MUNGIA"/>
    <n v="13"/>
    <x v="20"/>
    <n v="1"/>
    <s v="Suplente"/>
    <n v="0"/>
    <n v="0"/>
    <n v="0"/>
    <n v="0"/>
    <n v="90"/>
    <n v="0"/>
    <n v="0"/>
    <n v="0"/>
    <s v="3"/>
    <n v="0"/>
    <s v=" No Jugó"/>
    <s v="0"/>
  </r>
  <r>
    <n v="4"/>
    <d v="2025-10-11T00:00:00"/>
    <s v="UGERAGA"/>
    <s v="MUNGIA"/>
    <s v="UGERAGA-MUNGIA"/>
    <s v="SOPELANA"/>
    <s v="Visitante"/>
    <s v="Victoria"/>
    <n v="0"/>
    <n v="1"/>
    <s v="0-1"/>
    <s v="MUNGIA"/>
    <n v="12"/>
    <x v="2"/>
    <n v="1"/>
    <s v="Suplente"/>
    <n v="1"/>
    <n v="0"/>
    <n v="0"/>
    <n v="0"/>
    <n v="90"/>
    <n v="0"/>
    <n v="0"/>
    <n v="0"/>
    <s v="3"/>
    <n v="0"/>
    <s v=" No Jugó"/>
    <s v="0"/>
  </r>
  <r>
    <n v="4"/>
    <d v="2025-10-11T00:00:00"/>
    <s v="UGERAGA"/>
    <s v="MUNGIA"/>
    <s v="UGERAGA-MUNGIA"/>
    <s v="SOPELANA"/>
    <s v="Visitante"/>
    <s v="Victoria"/>
    <n v="0"/>
    <n v="1"/>
    <s v="0-1"/>
    <s v="MUNGIA"/>
    <n v="14"/>
    <x v="3"/>
    <n v="1"/>
    <s v="Suplente"/>
    <n v="0"/>
    <n v="0"/>
    <n v="0"/>
    <n v="0"/>
    <n v="90"/>
    <n v="0"/>
    <n v="0"/>
    <n v="0"/>
    <s v="3"/>
    <n v="0"/>
    <s v=" No Jugó"/>
    <s v="0"/>
  </r>
  <r>
    <n v="4"/>
    <d v="2025-10-11T00:00:00"/>
    <s v="UGERAGA"/>
    <s v="MUNGIA"/>
    <s v="UGERAGA-MUNGIA"/>
    <s v="SOPELANA"/>
    <s v="Visitante"/>
    <s v="Victoria"/>
    <n v="0"/>
    <n v="1"/>
    <s v="0-1"/>
    <s v="MUNGIA"/>
    <n v="15"/>
    <x v="18"/>
    <n v="1"/>
    <s v="Suplente"/>
    <n v="1"/>
    <n v="0"/>
    <n v="2"/>
    <n v="0"/>
    <n v="88"/>
    <n v="0"/>
    <n v="0"/>
    <n v="0"/>
    <s v="3"/>
    <n v="2"/>
    <s v="Empate"/>
    <s v="1"/>
  </r>
  <r>
    <n v="4"/>
    <d v="2025-10-11T00:00:00"/>
    <s v="UGERAGA"/>
    <s v="MUNGIA"/>
    <s v="UGERAGA-MUNGIA"/>
    <s v="SOPELANA"/>
    <s v="Visitante"/>
    <s v="Victoria"/>
    <n v="0"/>
    <n v="1"/>
    <s v="0-1"/>
    <s v="MUNGIA"/>
    <n v="16"/>
    <x v="7"/>
    <n v="1"/>
    <s v="Suplente"/>
    <n v="1"/>
    <n v="0"/>
    <n v="16"/>
    <n v="0"/>
    <n v="74"/>
    <n v="0"/>
    <n v="0"/>
    <n v="0"/>
    <s v="3"/>
    <n v="16"/>
    <s v="Empate"/>
    <s v="1"/>
  </r>
  <r>
    <n v="4"/>
    <d v="2025-10-11T00:00:00"/>
    <s v="UGERAGA"/>
    <s v="MUNGIA"/>
    <s v="UGERAGA-MUNGIA"/>
    <s v="SOPELANA"/>
    <s v="Visitante"/>
    <s v="Victoria"/>
    <n v="0"/>
    <n v="1"/>
    <s v="0-1"/>
    <s v="MUNGIA"/>
    <n v="17"/>
    <x v="8"/>
    <n v="1"/>
    <s v="Suplente"/>
    <n v="1"/>
    <n v="0"/>
    <n v="44"/>
    <n v="0"/>
    <n v="46"/>
    <n v="0"/>
    <n v="0"/>
    <n v="0"/>
    <s v="3"/>
    <n v="44"/>
    <s v="Empate"/>
    <s v="1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"/>
    <x v="0"/>
    <n v="1"/>
    <s v="Titular"/>
    <n v="1"/>
    <n v="1"/>
    <n v="90"/>
    <n v="0"/>
    <n v="0"/>
    <n v="0"/>
    <n v="2"/>
    <n v="3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2"/>
    <x v="1"/>
    <n v="1"/>
    <s v="Titular"/>
    <n v="1"/>
    <n v="1"/>
    <n v="90"/>
    <n v="0"/>
    <n v="0"/>
    <n v="0"/>
    <n v="2"/>
    <n v="3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3"/>
    <x v="2"/>
    <n v="1"/>
    <s v="Titular"/>
    <n v="1"/>
    <n v="1"/>
    <n v="90"/>
    <n v="0"/>
    <n v="0"/>
    <n v="0"/>
    <n v="2"/>
    <n v="3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4"/>
    <x v="3"/>
    <n v="1"/>
    <s v="Titular"/>
    <n v="1"/>
    <n v="1"/>
    <n v="90"/>
    <n v="0"/>
    <n v="0"/>
    <n v="0"/>
    <n v="2"/>
    <n v="3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5"/>
    <x v="4"/>
    <n v="1"/>
    <s v="Titular"/>
    <n v="1"/>
    <n v="1"/>
    <n v="76"/>
    <s v="FRUNIZ ISASI, BITTOR"/>
    <n v="14"/>
    <n v="0"/>
    <n v="1"/>
    <n v="2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6"/>
    <x v="5"/>
    <n v="1"/>
    <s v="Titular"/>
    <n v="1"/>
    <n v="1"/>
    <n v="90"/>
    <n v="0"/>
    <n v="0"/>
    <n v="0"/>
    <n v="2"/>
    <n v="3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7"/>
    <x v="10"/>
    <n v="1"/>
    <s v="Titular"/>
    <n v="1"/>
    <n v="1"/>
    <n v="66"/>
    <s v="ARANA ROMO, IMANOL"/>
    <n v="24"/>
    <n v="0"/>
    <n v="1"/>
    <n v="2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8"/>
    <x v="18"/>
    <n v="1"/>
    <s v="Titular"/>
    <n v="1"/>
    <n v="1"/>
    <n v="90"/>
    <n v="0"/>
    <n v="0"/>
    <n v="0"/>
    <n v="2"/>
    <n v="3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9"/>
    <x v="19"/>
    <n v="1"/>
    <s v="Titular"/>
    <n v="1"/>
    <n v="1"/>
    <n v="76"/>
    <s v="ZALBIDE GAMON, JON ANDER"/>
    <n v="14"/>
    <n v="1"/>
    <n v="1"/>
    <n v="2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0"/>
    <x v="14"/>
    <n v="1"/>
    <s v="Titular"/>
    <n v="1"/>
    <n v="1"/>
    <n v="86"/>
    <s v="OTAZUA GUTIERREZ, OIER"/>
    <n v="4"/>
    <n v="0"/>
    <n v="1"/>
    <n v="3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1"/>
    <x v="15"/>
    <n v="1"/>
    <s v="Titular"/>
    <n v="1"/>
    <n v="1"/>
    <n v="66"/>
    <s v="MENDIBIL FRIAS, AITOR"/>
    <n v="24"/>
    <n v="0"/>
    <n v="1"/>
    <n v="2"/>
    <n v="0"/>
    <n v="0"/>
    <s v="Derrota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3"/>
    <x v="20"/>
    <n v="1"/>
    <s v="Suplente"/>
    <n v="0"/>
    <n v="0"/>
    <n v="0"/>
    <n v="0"/>
    <n v="90"/>
    <n v="0"/>
    <n v="0"/>
    <n v="0"/>
    <n v="0"/>
    <n v="0"/>
    <s v=" No Jugó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2"/>
    <x v="17"/>
    <n v="1"/>
    <s v="Suplente"/>
    <n v="0"/>
    <n v="0"/>
    <n v="0"/>
    <n v="0"/>
    <n v="90"/>
    <n v="0"/>
    <n v="0"/>
    <n v="0"/>
    <n v="0"/>
    <n v="0"/>
    <s v=" No Jugó"/>
    <s v="0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4"/>
    <x v="7"/>
    <n v="1"/>
    <s v="Suplente"/>
    <n v="1"/>
    <n v="0"/>
    <n v="24"/>
    <n v="0"/>
    <n v="66"/>
    <n v="0"/>
    <n v="1"/>
    <n v="1"/>
    <n v="0"/>
    <n v="24"/>
    <s v="Empate"/>
    <s v="1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5"/>
    <x v="21"/>
    <n v="1"/>
    <s v="Suplente"/>
    <n v="1"/>
    <n v="0"/>
    <n v="4"/>
    <n v="0"/>
    <n v="86"/>
    <n v="1"/>
    <n v="1"/>
    <n v="0"/>
    <n v="0"/>
    <n v="12"/>
    <s v="Victoria"/>
    <s v="3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6"/>
    <x v="9"/>
    <n v="1"/>
    <s v="Suplente"/>
    <n v="1"/>
    <n v="0"/>
    <n v="14"/>
    <n v="0"/>
    <n v="76"/>
    <n v="0"/>
    <n v="1"/>
    <n v="1"/>
    <n v="0"/>
    <n v="14"/>
    <s v="Empate"/>
    <s v="1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7"/>
    <x v="8"/>
    <n v="1"/>
    <s v="Suplente"/>
    <n v="1"/>
    <n v="0"/>
    <n v="24"/>
    <n v="0"/>
    <n v="66"/>
    <n v="0"/>
    <n v="1"/>
    <n v="1"/>
    <n v="0"/>
    <n v="24"/>
    <s v="Empate"/>
    <s v="1"/>
  </r>
  <r>
    <n v="5"/>
    <d v="2025-10-19T00:00:00"/>
    <s v="SPORTING DE LUTXANA"/>
    <s v="MUNGIA"/>
    <s v="SPORTING DE LUTXANA-MUNGIA"/>
    <s v="SERRALTA"/>
    <s v="Visitante"/>
    <s v="Derrota"/>
    <n v="3"/>
    <n v="2"/>
    <s v="3-2"/>
    <s v="MUNGIA"/>
    <n v="18"/>
    <x v="6"/>
    <n v="1"/>
    <s v="Suplente"/>
    <n v="1"/>
    <n v="0"/>
    <n v="14"/>
    <n v="0"/>
    <n v="76"/>
    <n v="0"/>
    <n v="1"/>
    <n v="1"/>
    <n v="0"/>
    <n v="14"/>
    <s v="Empate"/>
    <s v="1"/>
  </r>
  <r>
    <n v="6"/>
    <d v="2025-10-25T00:00:00"/>
    <s v="MUNGIA"/>
    <s v="ATXULAUR"/>
    <s v="MUNGIA-ATXULAUR"/>
    <s v="LEGARDA"/>
    <s v="Local"/>
    <s v="Victoria"/>
    <n v="1"/>
    <n v="0"/>
    <s v="1-0"/>
    <s v="MUNGIA"/>
    <n v="13"/>
    <x v="0"/>
    <n v="1"/>
    <s v="Titular"/>
    <n v="1"/>
    <n v="1"/>
    <n v="90"/>
    <n v="0"/>
    <n v="0"/>
    <n v="0"/>
    <n v="1"/>
    <n v="0"/>
    <s v="3"/>
    <n v="270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2"/>
    <x v="6"/>
    <n v="1"/>
    <s v="Titular"/>
    <n v="1"/>
    <n v="1"/>
    <n v="90"/>
    <n v="0"/>
    <n v="0"/>
    <n v="0"/>
    <n v="1"/>
    <n v="0"/>
    <s v="3"/>
    <n v="270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3"/>
    <x v="17"/>
    <n v="1"/>
    <s v="Titular"/>
    <n v="1"/>
    <n v="1"/>
    <n v="72"/>
    <s v="ZULUETA ZARATE, XABIER"/>
    <n v="18"/>
    <n v="0"/>
    <n v="1"/>
    <n v="0"/>
    <s v="3"/>
    <n v="216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4"/>
    <x v="1"/>
    <n v="1"/>
    <s v="Titular"/>
    <n v="1"/>
    <n v="1"/>
    <n v="90"/>
    <n v="0"/>
    <n v="0"/>
    <n v="0"/>
    <n v="1"/>
    <n v="0"/>
    <s v="3"/>
    <n v="270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5"/>
    <x v="4"/>
    <n v="1"/>
    <s v="Titular"/>
    <n v="1"/>
    <n v="1"/>
    <n v="90"/>
    <n v="0"/>
    <n v="0"/>
    <n v="0"/>
    <n v="1"/>
    <n v="0"/>
    <s v="3"/>
    <n v="270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6"/>
    <x v="5"/>
    <n v="1"/>
    <s v="Titular"/>
    <n v="1"/>
    <n v="1"/>
    <n v="90"/>
    <n v="0"/>
    <n v="0"/>
    <n v="1"/>
    <n v="1"/>
    <n v="0"/>
    <s v="3"/>
    <n v="270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7"/>
    <x v="10"/>
    <n v="1"/>
    <s v="Titular"/>
    <n v="1"/>
    <n v="1"/>
    <n v="86"/>
    <s v="OTAZUA GUTIERREZ, OIER"/>
    <n v="4"/>
    <n v="0"/>
    <n v="1"/>
    <n v="0"/>
    <s v="3"/>
    <n v="258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8"/>
    <x v="9"/>
    <n v="1"/>
    <s v="Titular"/>
    <n v="1"/>
    <n v="1"/>
    <n v="72"/>
    <s v="MENDIBIL FRIAS, AITOR"/>
    <n v="18"/>
    <n v="0"/>
    <n v="1"/>
    <n v="0"/>
    <s v="3"/>
    <n v="216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9"/>
    <x v="13"/>
    <n v="1"/>
    <s v="Titular"/>
    <n v="1"/>
    <n v="1"/>
    <n v="90"/>
    <n v="0"/>
    <n v="0"/>
    <n v="0"/>
    <n v="1"/>
    <n v="0"/>
    <s v="3"/>
    <n v="270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10"/>
    <x v="7"/>
    <n v="1"/>
    <s v="Titular"/>
    <n v="1"/>
    <n v="1"/>
    <n v="90"/>
    <n v="0"/>
    <n v="0"/>
    <n v="0"/>
    <n v="1"/>
    <n v="0"/>
    <s v="3"/>
    <n v="270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11"/>
    <x v="15"/>
    <n v="1"/>
    <s v="Titular"/>
    <n v="1"/>
    <n v="1"/>
    <n v="72"/>
    <s v="EGUIÑO ARRIETA, IBON"/>
    <n v="18"/>
    <n v="0"/>
    <n v="1"/>
    <n v="0"/>
    <s v="3"/>
    <n v="216"/>
    <s v="Victoria"/>
    <s v="3"/>
  </r>
  <r>
    <n v="6"/>
    <d v="2025-10-25T00:00:00"/>
    <s v="MUNGIA"/>
    <s v="ATXULAUR"/>
    <s v="MUNGIA-ATXULAUR"/>
    <s v="LEGARDA"/>
    <s v="Local"/>
    <s v="Victoria"/>
    <n v="1"/>
    <n v="0"/>
    <s v="1-0"/>
    <s v="MUNGIA"/>
    <n v="1"/>
    <x v="22"/>
    <n v="1"/>
    <s v="Suplente"/>
    <n v="0"/>
    <n v="0"/>
    <n v="0"/>
    <n v="0"/>
    <n v="90"/>
    <n v="0"/>
    <n v="0"/>
    <n v="0"/>
    <s v="3"/>
    <n v="0"/>
    <s v=" No Jugó"/>
    <s v="0"/>
  </r>
  <r>
    <n v="6"/>
    <d v="2025-10-25T00:00:00"/>
    <s v="MUNGIA"/>
    <s v="ATXULAUR"/>
    <s v="MUNGIA-ATXULAUR"/>
    <s v="LEGARDA"/>
    <s v="Local"/>
    <s v="Victoria"/>
    <n v="1"/>
    <n v="0"/>
    <s v="1-0"/>
    <s v="MUNGIA"/>
    <n v="12"/>
    <x v="2"/>
    <n v="1"/>
    <s v="Suplente"/>
    <n v="0"/>
    <n v="0"/>
    <n v="18"/>
    <n v="0"/>
    <n v="72"/>
    <n v="0"/>
    <n v="0"/>
    <n v="0"/>
    <s v="3"/>
    <n v="18"/>
    <s v="Empate"/>
    <s v="1"/>
  </r>
  <r>
    <n v="6"/>
    <d v="2025-10-25T00:00:00"/>
    <s v="MUNGIA"/>
    <s v="ATXULAUR"/>
    <s v="MUNGIA-ATXULAUR"/>
    <s v="LEGARDA"/>
    <s v="Local"/>
    <s v="Victoria"/>
    <n v="1"/>
    <n v="0"/>
    <s v="1-0"/>
    <s v="MUNGIA"/>
    <n v="14"/>
    <x v="3"/>
    <n v="1"/>
    <s v="Suplente"/>
    <n v="0"/>
    <n v="0"/>
    <n v="0"/>
    <n v="0"/>
    <n v="90"/>
    <n v="0"/>
    <n v="0"/>
    <n v="0"/>
    <s v="3"/>
    <n v="0"/>
    <s v=" No Jugó"/>
    <s v="0"/>
  </r>
  <r>
    <n v="6"/>
    <d v="2025-10-25T00:00:00"/>
    <s v="MUNGIA"/>
    <s v="ATXULAUR"/>
    <s v="MUNGIA-ATXULAUR"/>
    <s v="LEGARDA"/>
    <s v="Local"/>
    <s v="Victoria"/>
    <n v="1"/>
    <n v="0"/>
    <s v="1-0"/>
    <s v="MUNGIA"/>
    <n v="15"/>
    <x v="21"/>
    <n v="1"/>
    <s v="Suplente"/>
    <n v="1"/>
    <n v="0"/>
    <n v="4"/>
    <n v="0"/>
    <n v="86"/>
    <n v="0"/>
    <n v="0"/>
    <n v="0"/>
    <s v="3"/>
    <n v="4"/>
    <s v="Empate"/>
    <s v="1"/>
  </r>
  <r>
    <n v="6"/>
    <d v="2025-10-25T00:00:00"/>
    <s v="MUNGIA"/>
    <s v="ATXULAUR"/>
    <s v="MUNGIA-ATXULAUR"/>
    <s v="LEGARDA"/>
    <s v="Local"/>
    <s v="Victoria"/>
    <n v="1"/>
    <n v="0"/>
    <s v="1-0"/>
    <s v="MUNGIA"/>
    <n v="16"/>
    <x v="8"/>
    <n v="1"/>
    <s v="Suplente"/>
    <n v="1"/>
    <n v="0"/>
    <n v="18"/>
    <n v="0"/>
    <n v="72"/>
    <n v="0"/>
    <n v="0"/>
    <n v="0"/>
    <s v="3"/>
    <n v="18"/>
    <s v="Empate"/>
    <s v="1"/>
  </r>
  <r>
    <n v="6"/>
    <d v="2025-10-25T00:00:00"/>
    <s v="MUNGIA"/>
    <s v="ATXULAUR"/>
    <s v="MUNGIA-ATXULAUR"/>
    <s v="LEGARDA"/>
    <s v="Local"/>
    <s v="Victoria"/>
    <n v="1"/>
    <n v="0"/>
    <s v="1-0"/>
    <s v="MUNGIA"/>
    <n v="17"/>
    <x v="14"/>
    <n v="1"/>
    <s v="Suplente"/>
    <n v="1"/>
    <n v="0"/>
    <n v="18"/>
    <n v="0"/>
    <n v="72"/>
    <n v="0"/>
    <n v="0"/>
    <n v="0"/>
    <s v="3"/>
    <n v="18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1"/>
    <x v="0"/>
    <n v="1"/>
    <s v="Titular"/>
    <n v="1"/>
    <n v="1"/>
    <n v="90"/>
    <n v="0"/>
    <n v="0"/>
    <n v="0"/>
    <n v="0"/>
    <n v="0"/>
    <s v="3"/>
    <n v="90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2"/>
    <x v="23"/>
    <n v="1"/>
    <s v="Titular"/>
    <n v="1"/>
    <n v="1"/>
    <n v="90"/>
    <n v="0"/>
    <n v="0"/>
    <n v="0"/>
    <n v="0"/>
    <n v="0"/>
    <s v="3"/>
    <n v="90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3"/>
    <x v="2"/>
    <n v="1"/>
    <s v="Titular"/>
    <n v="1"/>
    <n v="1"/>
    <n v="90"/>
    <n v="0"/>
    <n v="0"/>
    <n v="0"/>
    <n v="0"/>
    <n v="0"/>
    <s v="3"/>
    <n v="90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4"/>
    <x v="3"/>
    <n v="1"/>
    <s v="Titular"/>
    <n v="1"/>
    <n v="1"/>
    <n v="75"/>
    <s v="OTAZUA GUTIERREZ, OIER"/>
    <n v="15"/>
    <n v="0"/>
    <n v="0"/>
    <n v="0"/>
    <s v="3"/>
    <n v="75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5"/>
    <x v="4"/>
    <n v="1"/>
    <s v="Titular"/>
    <n v="1"/>
    <n v="1"/>
    <n v="90"/>
    <n v="0"/>
    <n v="0"/>
    <n v="0"/>
    <n v="0"/>
    <n v="0"/>
    <s v="3"/>
    <n v="90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6"/>
    <x v="7"/>
    <n v="1"/>
    <s v="Titular"/>
    <n v="1"/>
    <n v="1"/>
    <n v="90"/>
    <n v="0"/>
    <n v="0"/>
    <n v="1"/>
    <n v="0"/>
    <n v="0"/>
    <s v="3"/>
    <n v="90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7"/>
    <x v="8"/>
    <n v="1"/>
    <s v="Titular"/>
    <n v="1"/>
    <n v="1"/>
    <n v="75"/>
    <s v="GUERRA IZA, JON"/>
    <n v="15"/>
    <n v="0"/>
    <n v="0"/>
    <n v="0"/>
    <s v="3"/>
    <n v="75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8"/>
    <x v="9"/>
    <n v="1"/>
    <s v="Titular"/>
    <n v="1"/>
    <n v="1"/>
    <n v="61"/>
    <s v="LARRAZABAL BATIZ, AIMAR"/>
    <n v="29"/>
    <n v="0"/>
    <n v="0"/>
    <n v="0"/>
    <s v="3"/>
    <n v="61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9"/>
    <x v="19"/>
    <n v="1"/>
    <s v="Titular"/>
    <n v="1"/>
    <n v="1"/>
    <n v="90"/>
    <n v="0"/>
    <n v="0"/>
    <n v="0"/>
    <n v="0"/>
    <n v="0"/>
    <s v="3"/>
    <n v="90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10"/>
    <x v="14"/>
    <n v="1"/>
    <s v="Titular"/>
    <n v="1"/>
    <n v="1"/>
    <n v="90"/>
    <n v="0"/>
    <n v="0"/>
    <n v="0"/>
    <n v="0"/>
    <n v="0"/>
    <s v="3"/>
    <n v="90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11"/>
    <x v="10"/>
    <n v="1"/>
    <s v="Titular"/>
    <n v="1"/>
    <n v="1"/>
    <n v="88"/>
    <s v="RUIZ AUSIN, DIEGO"/>
    <n v="2"/>
    <n v="1"/>
    <n v="0"/>
    <n v="0"/>
    <s v="3"/>
    <n v="88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13"/>
    <x v="11"/>
    <n v="1"/>
    <s v="Suplente"/>
    <n v="0"/>
    <n v="0"/>
    <n v="0"/>
    <n v="0"/>
    <n v="90"/>
    <n v="0"/>
    <n v="0"/>
    <n v="0"/>
    <s v="3"/>
    <n v="0"/>
    <s v=" No Jugó"/>
    <s v="0"/>
  </r>
  <r>
    <n v="7"/>
    <d v="2025-11-01T00:00:00"/>
    <s v="BASURTO"/>
    <s v="MUNGIA"/>
    <s v="BASURTO-MUNGIA"/>
    <s v="IPARRALDE"/>
    <s v="Visitante"/>
    <s v="Victoria"/>
    <n v="1"/>
    <n v="3"/>
    <s v="1-3"/>
    <s v="MUNGIA"/>
    <n v="12"/>
    <x v="1"/>
    <n v="1"/>
    <s v="Suplente"/>
    <n v="1"/>
    <n v="0"/>
    <n v="15"/>
    <n v="0"/>
    <n v="75"/>
    <n v="0"/>
    <n v="0"/>
    <n v="0"/>
    <s v="3"/>
    <n v="15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14"/>
    <x v="24"/>
    <n v="1"/>
    <s v="Suplente"/>
    <n v="1"/>
    <n v="0"/>
    <n v="29"/>
    <n v="0"/>
    <n v="61"/>
    <n v="0"/>
    <n v="0"/>
    <n v="0"/>
    <s v="3"/>
    <n v="29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15"/>
    <x v="21"/>
    <n v="1"/>
    <s v="Suplente"/>
    <n v="1"/>
    <n v="0"/>
    <n v="15"/>
    <n v="0"/>
    <n v="75"/>
    <n v="0"/>
    <n v="0"/>
    <n v="0"/>
    <s v="3"/>
    <n v="15"/>
    <s v="Empate"/>
    <s v="1"/>
  </r>
  <r>
    <n v="7"/>
    <d v="2025-11-01T00:00:00"/>
    <s v="BASURTO"/>
    <s v="MUNGIA"/>
    <s v="BASURTO-MUNGIA"/>
    <s v="IPARRALDE"/>
    <s v="Visitante"/>
    <s v="Victoria"/>
    <n v="1"/>
    <n v="3"/>
    <s v="1-3"/>
    <s v="MUNGIA"/>
    <n v="16"/>
    <x v="15"/>
    <n v="1"/>
    <s v="Suplente"/>
    <n v="0"/>
    <n v="0"/>
    <n v="0"/>
    <n v="0"/>
    <n v="90"/>
    <n v="0"/>
    <n v="0"/>
    <n v="0"/>
    <s v="3"/>
    <n v="0"/>
    <s v=" No Jugó"/>
    <s v="0"/>
  </r>
  <r>
    <n v="7"/>
    <d v="2025-11-01T00:00:00"/>
    <s v="BASURTO"/>
    <s v="MUNGIA"/>
    <s v="BASURTO-MUNGIA"/>
    <s v="IPARRALDE"/>
    <s v="Visitante"/>
    <s v="Victoria"/>
    <n v="1"/>
    <n v="3"/>
    <s v="1-3"/>
    <s v="MUNGIA"/>
    <n v="17"/>
    <x v="13"/>
    <n v="1"/>
    <s v="Suplente"/>
    <n v="1"/>
    <n v="0"/>
    <n v="2"/>
    <n v="0"/>
    <n v="88"/>
    <n v="1"/>
    <n v="0"/>
    <n v="0"/>
    <s v="3"/>
    <n v="2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1"/>
    <x v="0"/>
    <n v="1"/>
    <s v="Titular"/>
    <n v="1"/>
    <n v="1"/>
    <n v="90"/>
    <n v="0"/>
    <n v="0"/>
    <n v="0"/>
    <n v="1"/>
    <n v="1"/>
    <s v="1"/>
    <n v="90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2"/>
    <x v="23"/>
    <n v="1"/>
    <s v="Titular"/>
    <n v="1"/>
    <n v="1"/>
    <n v="90"/>
    <n v="0"/>
    <n v="0"/>
    <n v="0"/>
    <n v="1"/>
    <n v="1"/>
    <s v="1"/>
    <n v="90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3"/>
    <x v="6"/>
    <n v="1"/>
    <s v="Titular"/>
    <n v="1"/>
    <n v="1"/>
    <n v="90"/>
    <n v="0"/>
    <n v="0"/>
    <n v="0"/>
    <n v="1"/>
    <n v="1"/>
    <s v="1"/>
    <n v="90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4"/>
    <x v="3"/>
    <n v="1"/>
    <s v="Titular"/>
    <n v="1"/>
    <n v="1"/>
    <n v="79"/>
    <s v="GUERRA IZA, JON"/>
    <n v="11"/>
    <n v="0"/>
    <n v="1"/>
    <n v="1"/>
    <s v="1"/>
    <n v="79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5"/>
    <x v="4"/>
    <n v="1"/>
    <s v="Titular"/>
    <n v="1"/>
    <n v="1"/>
    <n v="90"/>
    <n v="0"/>
    <n v="0"/>
    <n v="0"/>
    <n v="1"/>
    <n v="1"/>
    <s v="1"/>
    <n v="90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6"/>
    <x v="24"/>
    <n v="1"/>
    <s v="Titular"/>
    <n v="1"/>
    <n v="1"/>
    <n v="90"/>
    <n v="0"/>
    <n v="0"/>
    <n v="0"/>
    <n v="1"/>
    <n v="1"/>
    <s v="1"/>
    <n v="90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7"/>
    <x v="8"/>
    <n v="1"/>
    <s v="Titular"/>
    <n v="1"/>
    <n v="1"/>
    <n v="76"/>
    <s v="BEDOYA HURTADO, SANTIAGO"/>
    <n v="14"/>
    <n v="0"/>
    <n v="1"/>
    <n v="1"/>
    <s v="1"/>
    <n v="76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8"/>
    <x v="7"/>
    <n v="1"/>
    <s v="Titular"/>
    <n v="1"/>
    <n v="1"/>
    <n v="90"/>
    <n v="0"/>
    <n v="0"/>
    <n v="0"/>
    <n v="1"/>
    <n v="1"/>
    <s v="1"/>
    <n v="90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9"/>
    <x v="13"/>
    <n v="1"/>
    <s v="Titular"/>
    <n v="1"/>
    <n v="1"/>
    <n v="90"/>
    <n v="0"/>
    <n v="0"/>
    <n v="0"/>
    <n v="1"/>
    <n v="1"/>
    <s v="1"/>
    <n v="90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10"/>
    <x v="9"/>
    <n v="1"/>
    <s v="Titular"/>
    <n v="1"/>
    <n v="1"/>
    <n v="89"/>
    <s v="OTAZUA GUTIERREZ, OIER"/>
    <n v="1"/>
    <n v="0"/>
    <n v="1"/>
    <n v="1"/>
    <s v="1"/>
    <n v="89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11"/>
    <x v="14"/>
    <n v="1"/>
    <s v="Titular"/>
    <n v="1"/>
    <n v="1"/>
    <n v="90"/>
    <n v="0"/>
    <n v="0"/>
    <n v="1"/>
    <n v="1"/>
    <n v="1"/>
    <s v="1"/>
    <n v="90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13"/>
    <x v="11"/>
    <n v="1"/>
    <s v="Suplente"/>
    <n v="0"/>
    <n v="0"/>
    <n v="0"/>
    <n v="0"/>
    <n v="0"/>
    <n v="0"/>
    <n v="0"/>
    <n v="0"/>
    <s v="1"/>
    <n v="0"/>
    <s v=" No Jugó"/>
    <s v="0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12"/>
    <x v="25"/>
    <n v="1"/>
    <s v="Suplente"/>
    <n v="0"/>
    <n v="0"/>
    <n v="0"/>
    <n v="0"/>
    <n v="0"/>
    <n v="0"/>
    <n v="0"/>
    <n v="0"/>
    <s v="1"/>
    <n v="0"/>
    <s v=" No Jugó"/>
    <s v="0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14"/>
    <x v="1"/>
    <n v="1"/>
    <s v="Suplente"/>
    <n v="1"/>
    <n v="0"/>
    <n v="11"/>
    <n v="0"/>
    <n v="79"/>
    <n v="0"/>
    <n v="0"/>
    <n v="0"/>
    <s v="1"/>
    <n v="11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15"/>
    <x v="21"/>
    <n v="1"/>
    <s v="Suplente"/>
    <n v="1"/>
    <n v="0"/>
    <n v="1"/>
    <n v="0"/>
    <n v="89"/>
    <n v="0"/>
    <n v="0"/>
    <n v="0"/>
    <s v="1"/>
    <n v="1"/>
    <s v="Empate"/>
    <s v="1"/>
  </r>
  <r>
    <n v="8"/>
    <d v="2025-11-08T00:00:00"/>
    <s v="MUNGIA"/>
    <s v="DINAMO SAN JUAN"/>
    <s v="MUNGIA-DINAMO SAN JUAN"/>
    <s v="LEGARDA"/>
    <s v="Local"/>
    <s v="Empate"/>
    <n v="1"/>
    <n v="1"/>
    <s v="1-1"/>
    <s v="MUNGIA"/>
    <n v="16"/>
    <x v="15"/>
    <n v="1"/>
    <s v="Suplente"/>
    <n v="1"/>
    <n v="0"/>
    <n v="14"/>
    <n v="0"/>
    <n v="76"/>
    <n v="0"/>
    <n v="0"/>
    <n v="0"/>
    <s v="1"/>
    <n v="14"/>
    <s v="Empate"/>
    <s v="1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3"/>
    <x v="0"/>
    <n v="1"/>
    <s v="Titular"/>
    <n v="1"/>
    <n v="1"/>
    <n v="90"/>
    <n v="0"/>
    <n v="0"/>
    <n v="0"/>
    <n v="1"/>
    <n v="2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2"/>
    <x v="23"/>
    <n v="1"/>
    <s v="Titular"/>
    <n v="1"/>
    <n v="1"/>
    <n v="90"/>
    <n v="0"/>
    <n v="0"/>
    <n v="0"/>
    <n v="1"/>
    <n v="2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3"/>
    <x v="2"/>
    <n v="1"/>
    <s v="Titular"/>
    <n v="1"/>
    <n v="1"/>
    <n v="90"/>
    <n v="0"/>
    <n v="0"/>
    <n v="0"/>
    <n v="1"/>
    <n v="2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4"/>
    <x v="3"/>
    <n v="1"/>
    <s v="Titular"/>
    <n v="1"/>
    <n v="1"/>
    <n v="90"/>
    <n v="0"/>
    <n v="0"/>
    <n v="0"/>
    <n v="1"/>
    <n v="2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5"/>
    <x v="4"/>
    <n v="1"/>
    <s v="Titular"/>
    <n v="1"/>
    <n v="1"/>
    <n v="90"/>
    <n v="0"/>
    <n v="0"/>
    <n v="0"/>
    <n v="1"/>
    <n v="2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6"/>
    <x v="24"/>
    <n v="1"/>
    <s v="Titular"/>
    <n v="1"/>
    <n v="1"/>
    <n v="80"/>
    <s v="OTAZUA GUTIERREZ, OIER"/>
    <n v="10"/>
    <n v="0"/>
    <n v="1"/>
    <n v="1"/>
    <n v="0"/>
    <n v="80"/>
    <s v="Empate"/>
    <s v="1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7"/>
    <x v="6"/>
    <n v="1"/>
    <s v="Titular"/>
    <n v="1"/>
    <n v="1"/>
    <n v="45"/>
    <s v="MUSATADI ROJO, IKER"/>
    <n v="45"/>
    <n v="0"/>
    <n v="0"/>
    <n v="1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8"/>
    <x v="7"/>
    <n v="1"/>
    <s v="Titular"/>
    <n v="1"/>
    <n v="1"/>
    <n v="90"/>
    <n v="0"/>
    <n v="0"/>
    <n v="0"/>
    <n v="1"/>
    <n v="2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9"/>
    <x v="13"/>
    <n v="1"/>
    <s v="Titular"/>
    <n v="1"/>
    <n v="1"/>
    <n v="70"/>
    <s v="ETXEBARRIA SUSTACHA, AITOR"/>
    <n v="20"/>
    <n v="0"/>
    <n v="1"/>
    <n v="1"/>
    <n v="0"/>
    <n v="70"/>
    <s v="Empate"/>
    <s v="1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0"/>
    <x v="9"/>
    <n v="1"/>
    <s v="Titular"/>
    <n v="1"/>
    <n v="1"/>
    <n v="70"/>
    <s v="RODRIGUEZ REMENTERIA, GORKA"/>
    <n v="20"/>
    <n v="0"/>
    <n v="1"/>
    <n v="1"/>
    <n v="0"/>
    <n v="70"/>
    <s v="Empate"/>
    <s v="1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1"/>
    <x v="15"/>
    <n v="1"/>
    <s v="Titular"/>
    <n v="1"/>
    <n v="1"/>
    <n v="45"/>
    <s v="EGUIÑO ARRIETA, IBON"/>
    <n v="45"/>
    <n v="0"/>
    <n v="0"/>
    <n v="1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"/>
    <x v="11"/>
    <n v="1"/>
    <s v="Suplente"/>
    <n v="0"/>
    <n v="0"/>
    <n v="0"/>
    <n v="0"/>
    <n v="90"/>
    <n v="0"/>
    <n v="0"/>
    <n v="0"/>
    <n v="0"/>
    <n v="0"/>
    <s v=" No Jugó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2"/>
    <x v="1"/>
    <n v="1"/>
    <s v="Suplente"/>
    <n v="0"/>
    <n v="0"/>
    <n v="0"/>
    <n v="0"/>
    <n v="90"/>
    <n v="0"/>
    <n v="0"/>
    <n v="0"/>
    <n v="0"/>
    <n v="0"/>
    <s v=" No Jugó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4"/>
    <x v="12"/>
    <n v="1"/>
    <s v="Suplente"/>
    <n v="1"/>
    <n v="0"/>
    <n v="20"/>
    <n v="0"/>
    <n v="70"/>
    <n v="0"/>
    <n v="0"/>
    <n v="1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5"/>
    <x v="21"/>
    <n v="1"/>
    <s v="Suplente"/>
    <n v="1"/>
    <n v="0"/>
    <n v="10"/>
    <n v="0"/>
    <n v="80"/>
    <n v="0"/>
    <n v="0"/>
    <n v="1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6"/>
    <x v="10"/>
    <n v="1"/>
    <s v="Suplente"/>
    <n v="1"/>
    <n v="0"/>
    <n v="45"/>
    <n v="0"/>
    <n v="45"/>
    <n v="0"/>
    <n v="1"/>
    <n v="1"/>
    <n v="0"/>
    <n v="45"/>
    <s v="Empate"/>
    <s v="1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7"/>
    <x v="19"/>
    <n v="1"/>
    <s v="Suplente"/>
    <n v="1"/>
    <n v="0"/>
    <n v="20"/>
    <n v="0"/>
    <n v="70"/>
    <n v="0"/>
    <n v="0"/>
    <n v="1"/>
    <n v="0"/>
    <n v="0"/>
    <s v="Derrota"/>
    <s v="0"/>
  </r>
  <r>
    <n v="9"/>
    <d v="2025-11-15T00:00:00"/>
    <s v="SESTARO RIVER B"/>
    <s v="MUNGIA"/>
    <s v="SESTARO RIVER B-MUNGIA"/>
    <s v="GALINDO"/>
    <s v="Visitante"/>
    <s v="Derrota"/>
    <n v="2"/>
    <n v="1"/>
    <s v="2-1"/>
    <s v="MUNGIA"/>
    <n v="18"/>
    <x v="14"/>
    <n v="1"/>
    <s v="Suplente"/>
    <n v="1"/>
    <n v="0"/>
    <n v="45"/>
    <n v="0"/>
    <n v="45"/>
    <n v="0"/>
    <n v="1"/>
    <n v="1"/>
    <n v="0"/>
    <n v="45"/>
    <s v="Empate"/>
    <s v="1"/>
  </r>
  <r>
    <n v="10"/>
    <d v="2025-11-22T00:00:00"/>
    <s v="MUNGIA"/>
    <s v="ABADIÑO"/>
    <s v="MUNGIA-ABADIÑO"/>
    <s v="LEGARDA"/>
    <s v="Local"/>
    <s v="Victoria"/>
    <n v="1"/>
    <n v="0"/>
    <s v="1-0"/>
    <s v="MUNGIA"/>
    <n v="1"/>
    <x v="0"/>
    <n v="1"/>
    <s v="Titular"/>
    <n v="1"/>
    <n v="1"/>
    <n v="90"/>
    <n v="0"/>
    <n v="0"/>
    <n v="0"/>
    <n v="1"/>
    <n v="0"/>
    <s v="3"/>
    <n v="270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2"/>
    <x v="23"/>
    <n v="1"/>
    <s v="Titular"/>
    <n v="1"/>
    <n v="1"/>
    <n v="90"/>
    <n v="0"/>
    <n v="0"/>
    <n v="0"/>
    <n v="1"/>
    <n v="0"/>
    <s v="3"/>
    <n v="270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3"/>
    <x v="2"/>
    <n v="1"/>
    <s v="Titular"/>
    <n v="1"/>
    <n v="1"/>
    <n v="64"/>
    <s v="BEDOYA HURTADO, SANTIAGO"/>
    <n v="26"/>
    <n v="0"/>
    <n v="0"/>
    <n v="0"/>
    <s v="3"/>
    <n v="64"/>
    <s v="Empate"/>
    <s v="1"/>
  </r>
  <r>
    <n v="10"/>
    <d v="2025-11-22T00:00:00"/>
    <s v="MUNGIA"/>
    <s v="ABADIÑO"/>
    <s v="MUNGIA-ABADIÑO"/>
    <s v="LEGARDA"/>
    <s v="Local"/>
    <s v="Victoria"/>
    <n v="1"/>
    <n v="0"/>
    <s v="1-0"/>
    <s v="MUNGIA"/>
    <n v="4"/>
    <x v="24"/>
    <n v="1"/>
    <s v="Titular"/>
    <n v="1"/>
    <n v="1"/>
    <n v="90"/>
    <n v="0"/>
    <n v="0"/>
    <n v="0"/>
    <n v="1"/>
    <n v="0"/>
    <s v="3"/>
    <n v="270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5"/>
    <x v="1"/>
    <n v="1"/>
    <s v="Titular"/>
    <n v="1"/>
    <n v="1"/>
    <n v="90"/>
    <n v="0"/>
    <n v="0"/>
    <n v="0"/>
    <n v="1"/>
    <n v="0"/>
    <s v="3"/>
    <n v="270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6"/>
    <x v="7"/>
    <n v="1"/>
    <s v="Titular"/>
    <n v="1"/>
    <n v="1"/>
    <n v="90"/>
    <n v="0"/>
    <n v="0"/>
    <n v="0"/>
    <n v="1"/>
    <n v="0"/>
    <s v="3"/>
    <n v="270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7"/>
    <x v="6"/>
    <n v="1"/>
    <s v="Titular"/>
    <n v="1"/>
    <n v="1"/>
    <n v="90"/>
    <n v="0"/>
    <n v="0"/>
    <n v="0"/>
    <n v="1"/>
    <n v="0"/>
    <s v="3"/>
    <n v="270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8"/>
    <x v="9"/>
    <n v="1"/>
    <s v="Titular"/>
    <n v="1"/>
    <n v="1"/>
    <n v="82"/>
    <s v="ETXEBARRIA SUSTACHA, AITOR"/>
    <n v="8"/>
    <n v="0"/>
    <n v="0"/>
    <n v="0"/>
    <s v="3"/>
    <n v="82"/>
    <s v="Empate"/>
    <s v="1"/>
  </r>
  <r>
    <n v="10"/>
    <d v="2025-11-22T00:00:00"/>
    <s v="MUNGIA"/>
    <s v="ABADIÑO"/>
    <s v="MUNGIA-ABADIÑO"/>
    <s v="LEGARDA"/>
    <s v="Local"/>
    <s v="Victoria"/>
    <n v="1"/>
    <n v="0"/>
    <s v="1-0"/>
    <s v="MUNGIA"/>
    <n v="9"/>
    <x v="13"/>
    <n v="1"/>
    <s v="Titular"/>
    <n v="1"/>
    <n v="1"/>
    <n v="72"/>
    <s v="MENDIZABAL MARTINEZ, MARKEL"/>
    <n v="18"/>
    <n v="0"/>
    <n v="0"/>
    <n v="0"/>
    <s v="3"/>
    <n v="72"/>
    <s v="Empate"/>
    <s v="1"/>
  </r>
  <r>
    <n v="10"/>
    <d v="2025-11-22T00:00:00"/>
    <s v="MUNGIA"/>
    <s v="ABADIÑO"/>
    <s v="MUNGIA-ABADIÑO"/>
    <s v="LEGARDA"/>
    <s v="Local"/>
    <s v="Victoria"/>
    <n v="1"/>
    <n v="0"/>
    <s v="1-0"/>
    <s v="MUNGIA"/>
    <n v="10"/>
    <x v="14"/>
    <n v="1"/>
    <s v="Titular"/>
    <n v="1"/>
    <n v="1"/>
    <n v="82"/>
    <s v="OTAZUA GUTIERREZ, OIER"/>
    <n v="8"/>
    <n v="0"/>
    <n v="0"/>
    <n v="0"/>
    <s v="3"/>
    <n v="82"/>
    <s v="Empate"/>
    <s v="1"/>
  </r>
  <r>
    <n v="10"/>
    <d v="2025-11-22T00:00:00"/>
    <s v="MUNGIA"/>
    <s v="ABADIÑO"/>
    <s v="MUNGIA-ABADIÑO"/>
    <s v="LEGARDA"/>
    <s v="Local"/>
    <s v="Victoria"/>
    <n v="1"/>
    <n v="0"/>
    <s v="1-0"/>
    <s v="MUNGIA"/>
    <n v="11"/>
    <x v="10"/>
    <n v="1"/>
    <s v="Titular"/>
    <n v="1"/>
    <n v="1"/>
    <n v="90"/>
    <n v="0"/>
    <n v="0"/>
    <n v="1"/>
    <n v="1"/>
    <n v="0"/>
    <s v="3"/>
    <n v="270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13"/>
    <x v="11"/>
    <n v="1"/>
    <s v="Suplente"/>
    <n v="0"/>
    <n v="0"/>
    <n v="0"/>
    <n v="0"/>
    <n v="90"/>
    <n v="0"/>
    <n v="0"/>
    <n v="0"/>
    <s v="3"/>
    <n v="0"/>
    <s v=" No Jugó"/>
    <s v="0"/>
  </r>
  <r>
    <n v="10"/>
    <d v="2025-11-22T00:00:00"/>
    <s v="MUNGIA"/>
    <s v="ABADIÑO"/>
    <s v="MUNGIA-ABADIÑO"/>
    <s v="LEGARDA"/>
    <s v="Local"/>
    <s v="Victoria"/>
    <n v="1"/>
    <n v="0"/>
    <s v="1-0"/>
    <s v="MUNGIA"/>
    <n v="12"/>
    <x v="12"/>
    <n v="1"/>
    <s v="Suplente"/>
    <n v="1"/>
    <n v="0"/>
    <n v="8"/>
    <n v="0"/>
    <n v="82"/>
    <n v="0"/>
    <n v="1"/>
    <n v="0"/>
    <s v="3"/>
    <n v="24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14"/>
    <x v="3"/>
    <n v="1"/>
    <s v="Suplente"/>
    <n v="0"/>
    <n v="0"/>
    <n v="0"/>
    <n v="0"/>
    <n v="90"/>
    <n v="0"/>
    <n v="0"/>
    <n v="0"/>
    <s v="3"/>
    <n v="0"/>
    <s v=" No Jugó"/>
    <s v="0"/>
  </r>
  <r>
    <n v="10"/>
    <d v="2025-11-22T00:00:00"/>
    <s v="MUNGIA"/>
    <s v="ABADIÑO"/>
    <s v="MUNGIA-ABADIÑO"/>
    <s v="LEGARDA"/>
    <s v="Local"/>
    <s v="Victoria"/>
    <n v="1"/>
    <n v="0"/>
    <s v="1-0"/>
    <s v="MUNGIA"/>
    <n v="15"/>
    <x v="21"/>
    <n v="1"/>
    <s v="Suplente"/>
    <n v="1"/>
    <n v="0"/>
    <n v="8"/>
    <n v="0"/>
    <n v="82"/>
    <n v="0"/>
    <n v="1"/>
    <n v="0"/>
    <s v="3"/>
    <n v="24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16"/>
    <x v="4"/>
    <n v="1"/>
    <s v="Suplente"/>
    <n v="1"/>
    <n v="0"/>
    <n v="18"/>
    <n v="0"/>
    <n v="72"/>
    <n v="0"/>
    <n v="1"/>
    <n v="0"/>
    <s v="3"/>
    <n v="54"/>
    <s v="Victoria"/>
    <s v="3"/>
  </r>
  <r>
    <n v="10"/>
    <d v="2025-11-22T00:00:00"/>
    <s v="MUNGIA"/>
    <s v="ABADIÑO"/>
    <s v="MUNGIA-ABADIÑO"/>
    <s v="LEGARDA"/>
    <s v="Local"/>
    <s v="Victoria"/>
    <n v="1"/>
    <n v="0"/>
    <s v="1-0"/>
    <s v="MUNGIA"/>
    <n v="17"/>
    <x v="15"/>
    <n v="1"/>
    <s v="Suplente"/>
    <n v="1"/>
    <n v="0"/>
    <n v="26"/>
    <n v="0"/>
    <n v="64"/>
    <n v="0"/>
    <n v="1"/>
    <n v="0"/>
    <s v="3"/>
    <n v="78"/>
    <s v="Victoria"/>
    <s v="3"/>
  </r>
  <r>
    <n v="11"/>
    <d v="2025-11-29T00:00:00"/>
    <s v="GALEA"/>
    <s v="MUNGIA"/>
    <s v="GALEA-MUNGIA"/>
    <s v="BOLUE 3"/>
    <s v="Visitante"/>
    <s v="Derrota"/>
    <n v="1"/>
    <n v="0"/>
    <s v="1-0"/>
    <s v="MUNGIA"/>
    <n v="1"/>
    <x v="0"/>
    <n v="1"/>
    <s v="Titular"/>
    <n v="1"/>
    <n v="1"/>
    <n v="90"/>
    <n v="0"/>
    <n v="0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2"/>
    <x v="23"/>
    <n v="1"/>
    <s v="Titular"/>
    <n v="1"/>
    <n v="1"/>
    <n v="46"/>
    <s v="ETXEBARRIA SUSTACHA, AITOR"/>
    <n v="44"/>
    <n v="0"/>
    <n v="0"/>
    <n v="0"/>
    <n v="0"/>
    <n v="46"/>
    <s v="Empate"/>
    <s v="1"/>
  </r>
  <r>
    <n v="11"/>
    <d v="2025-11-29T00:00:00"/>
    <s v="GALEA"/>
    <s v="MUNGIA"/>
    <s v="GALEA-MUNGIA"/>
    <s v="BOLUE 3"/>
    <s v="Visitante"/>
    <s v="Derrota"/>
    <n v="1"/>
    <n v="0"/>
    <s v="1-0"/>
    <s v="MUNGIA"/>
    <n v="3"/>
    <x v="2"/>
    <n v="1"/>
    <s v="Titular"/>
    <n v="1"/>
    <n v="1"/>
    <n v="90"/>
    <n v="0"/>
    <n v="0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4"/>
    <x v="24"/>
    <n v="1"/>
    <s v="Titular"/>
    <n v="1"/>
    <n v="1"/>
    <n v="90"/>
    <n v="0"/>
    <n v="0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5"/>
    <x v="4"/>
    <n v="1"/>
    <s v="Titular"/>
    <n v="1"/>
    <n v="1"/>
    <n v="85"/>
    <s v="OTAZUA GUTIERREZ, OIER"/>
    <n v="5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6"/>
    <x v="1"/>
    <n v="1"/>
    <s v="Titular"/>
    <n v="1"/>
    <n v="1"/>
    <n v="90"/>
    <n v="0"/>
    <n v="0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7"/>
    <x v="6"/>
    <n v="1"/>
    <s v="Titular"/>
    <n v="1"/>
    <n v="1"/>
    <n v="90"/>
    <n v="0"/>
    <n v="0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8"/>
    <x v="7"/>
    <n v="1"/>
    <s v="Titular"/>
    <n v="1"/>
    <n v="1"/>
    <n v="90"/>
    <n v="0"/>
    <n v="0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9"/>
    <x v="14"/>
    <n v="1"/>
    <s v="Titular"/>
    <n v="1"/>
    <n v="1"/>
    <n v="90"/>
    <n v="0"/>
    <n v="0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10"/>
    <x v="9"/>
    <n v="1"/>
    <s v="Titular"/>
    <n v="1"/>
    <n v="1"/>
    <n v="70"/>
    <s v="RUIZ AUSIN, DIEGO"/>
    <n v="20"/>
    <n v="0"/>
    <n v="0"/>
    <n v="0"/>
    <n v="0"/>
    <n v="70"/>
    <s v="Empate"/>
    <s v="1"/>
  </r>
  <r>
    <n v="11"/>
    <d v="2025-11-29T00:00:00"/>
    <s v="GALEA"/>
    <s v="MUNGIA"/>
    <s v="GALEA-MUNGIA"/>
    <s v="BOLUE 3"/>
    <s v="Visitante"/>
    <s v="Derrota"/>
    <n v="1"/>
    <n v="0"/>
    <s v="1-0"/>
    <s v="MUNGIA"/>
    <n v="11"/>
    <x v="15"/>
    <n v="1"/>
    <s v="Titular"/>
    <n v="1"/>
    <n v="1"/>
    <n v="90"/>
    <n v="0"/>
    <n v="0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13"/>
    <x v="26"/>
    <n v="1"/>
    <s v="Suplente"/>
    <n v="0"/>
    <n v="0"/>
    <n v="0"/>
    <n v="0"/>
    <n v="90"/>
    <n v="0"/>
    <n v="0"/>
    <n v="0"/>
    <n v="0"/>
    <n v="0"/>
    <s v=" No Jugó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12"/>
    <x v="12"/>
    <n v="1"/>
    <s v="Suplente"/>
    <n v="1"/>
    <n v="0"/>
    <n v="44"/>
    <n v="0"/>
    <n v="46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14"/>
    <x v="3"/>
    <n v="1"/>
    <s v="Suplente"/>
    <n v="0"/>
    <n v="0"/>
    <n v="0"/>
    <n v="0"/>
    <n v="90"/>
    <n v="0"/>
    <n v="0"/>
    <n v="0"/>
    <n v="0"/>
    <n v="0"/>
    <s v=" No Jugó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15"/>
    <x v="21"/>
    <n v="1"/>
    <s v="Suplente"/>
    <n v="1"/>
    <n v="0"/>
    <n v="5"/>
    <n v="0"/>
    <n v="85"/>
    <n v="0"/>
    <n v="0"/>
    <n v="0"/>
    <n v="0"/>
    <n v="5"/>
    <s v="Empate"/>
    <s v="1"/>
  </r>
  <r>
    <n v="11"/>
    <d v="2025-11-29T00:00:00"/>
    <s v="GALEA"/>
    <s v="MUNGIA"/>
    <s v="GALEA-MUNGIA"/>
    <s v="BOLUE 3"/>
    <s v="Visitante"/>
    <s v="Derrota"/>
    <n v="1"/>
    <n v="0"/>
    <s v="1-0"/>
    <s v="MUNGIA"/>
    <n v="16"/>
    <x v="25"/>
    <n v="1"/>
    <s v="Suplente"/>
    <n v="0"/>
    <n v="0"/>
    <n v="0"/>
    <n v="0"/>
    <n v="90"/>
    <n v="0"/>
    <n v="0"/>
    <n v="0"/>
    <n v="0"/>
    <n v="0"/>
    <s v=" No Jugó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17"/>
    <x v="13"/>
    <n v="1"/>
    <s v="Suplente"/>
    <n v="1"/>
    <n v="0"/>
    <n v="20"/>
    <n v="0"/>
    <n v="70"/>
    <n v="0"/>
    <n v="0"/>
    <n v="1"/>
    <n v="0"/>
    <n v="0"/>
    <s v="Derrota"/>
    <s v="0"/>
  </r>
  <r>
    <n v="11"/>
    <d v="2025-11-29T00:00:00"/>
    <s v="GALEA"/>
    <s v="MUNGIA"/>
    <s v="GALEA-MUNGIA"/>
    <s v="BOLUE 3"/>
    <s v="Visitante"/>
    <s v="Derrota"/>
    <n v="1"/>
    <n v="0"/>
    <s v="1-0"/>
    <s v="MUNGIA"/>
    <n v="18"/>
    <x v="10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75"/>
    <n v="0"/>
    <n v="15"/>
    <n v="0"/>
    <n v="0"/>
    <n v="0"/>
    <n v="0"/>
    <n v="75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75"/>
    <n v="0"/>
    <n v="15"/>
    <n v="0"/>
    <n v="0"/>
    <n v="0"/>
    <n v="0"/>
    <n v="75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57"/>
    <n v="0"/>
    <n v="33"/>
    <n v="0"/>
    <n v="0"/>
    <n v="0"/>
    <n v="0"/>
    <n v="57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46"/>
    <n v="0"/>
    <n v="44"/>
    <n v="0"/>
    <n v="0"/>
    <n v="0"/>
    <n v="0"/>
    <n v="46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85"/>
    <n v="0"/>
    <n v="5"/>
    <n v="0"/>
    <n v="0"/>
    <n v="0"/>
    <n v="0"/>
    <n v="85"/>
    <s v="Empate"/>
    <s v="1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46"/>
    <n v="0"/>
    <n v="44"/>
    <n v="0"/>
    <n v="0"/>
    <n v="0"/>
    <n v="0"/>
    <n v="46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58"/>
    <n v="0"/>
    <n v="32"/>
    <n v="0"/>
    <n v="0"/>
    <n v="0"/>
    <n v="0"/>
    <n v="58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81"/>
    <n v="0"/>
    <n v="9"/>
    <n v="0"/>
    <n v="0"/>
    <n v="0"/>
    <n v="0"/>
    <n v="81"/>
    <s v="Empate"/>
    <s v="1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75"/>
    <n v="0"/>
    <n v="15"/>
    <n v="0"/>
    <n v="0"/>
    <n v="0"/>
    <n v="0"/>
    <n v="75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62"/>
    <n v="0"/>
    <n v="28"/>
    <n v="0"/>
    <n v="0"/>
    <n v="0"/>
    <n v="0"/>
    <n v="62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84"/>
    <n v="0"/>
    <n v="6"/>
    <n v="0"/>
    <n v="0"/>
    <n v="0"/>
    <n v="0"/>
    <n v="84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84"/>
    <n v="0"/>
    <n v="6"/>
    <n v="0"/>
    <n v="0"/>
    <n v="0"/>
    <n v="0"/>
    <n v="84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62"/>
    <n v="0"/>
    <n v="28"/>
    <n v="0"/>
    <n v="0"/>
    <n v="0"/>
    <n v="0"/>
    <n v="62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53"/>
    <n v="0"/>
    <n v="37"/>
    <n v="0"/>
    <n v="0"/>
    <n v="0"/>
    <n v="0"/>
    <n v="53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53"/>
    <n v="0"/>
    <n v="37"/>
    <n v="0"/>
    <n v="0"/>
    <n v="0"/>
    <n v="0"/>
    <n v="53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69"/>
    <n v="0"/>
    <n v="21"/>
    <n v="0"/>
    <n v="0"/>
    <n v="0"/>
    <n v="0"/>
    <n v="69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53"/>
    <n v="0"/>
    <n v="37"/>
    <n v="0"/>
    <n v="0"/>
    <n v="0"/>
    <n v="0"/>
    <n v="53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62"/>
    <n v="0"/>
    <n v="28"/>
    <n v="0"/>
    <n v="0"/>
    <n v="0"/>
    <n v="0"/>
    <n v="62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Titular"/>
    <n v="1"/>
    <n v="1"/>
    <n v="90"/>
    <n v="0"/>
    <n v="0"/>
    <n v="0"/>
    <n v="0"/>
    <n v="0"/>
    <n v="0"/>
    <n v="90"/>
    <s v="Empate"/>
    <s v="1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7"/>
    <n v="1"/>
    <s v="Suplente"/>
    <n v="0"/>
    <n v="0"/>
    <n v="0"/>
    <n v="0"/>
    <n v="90"/>
    <n v="0"/>
    <n v="0"/>
    <n v="0"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  <r>
    <m/>
    <m/>
    <m/>
    <m/>
    <s v="-"/>
    <m/>
    <m/>
    <m/>
    <m/>
    <m/>
    <s v="-"/>
    <s v="MUNGIA"/>
    <m/>
    <x v="28"/>
    <n v="1"/>
    <m/>
    <n v="0"/>
    <s v="-"/>
    <m/>
    <m/>
    <n v="90"/>
    <m/>
    <m/>
    <m/>
    <n v="0"/>
    <n v="0"/>
    <s v=" No Jugó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669BB-F265-FB4C-97C0-E4AC3875AE0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L2" firstHeaderRow="0" firstDataRow="1" firstDataCol="1"/>
  <pivotFields count="4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5">
        <item m="1" x="118"/>
        <item m="1" x="128"/>
        <item m="1" x="135"/>
        <item m="1" x="117"/>
        <item m="1" x="126"/>
        <item h="1" m="1" x="140"/>
        <item m="1" x="131"/>
        <item h="1" m="1" x="138"/>
        <item m="1" x="132"/>
        <item m="1" x="133"/>
        <item m="1" x="139"/>
        <item m="1" x="124"/>
        <item m="1" x="119"/>
        <item m="1" x="116"/>
        <item m="1" x="121"/>
        <item m="1" x="134"/>
        <item m="1" x="142"/>
        <item m="1" x="129"/>
        <item m="1" x="137"/>
        <item m="1" x="122"/>
        <item m="1" x="130"/>
        <item m="1" x="141"/>
        <item m="1" x="123"/>
        <item m="1" x="143"/>
        <item m="1" x="125"/>
        <item m="1" x="127"/>
        <item m="1" x="136"/>
        <item m="1" x="120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8"/>
        <item h="1" m="1" x="107"/>
        <item h="1" m="1" x="109"/>
        <item h="1" m="1" x="111"/>
        <item h="1" m="1" x="112"/>
        <item h="1" m="1" x="113"/>
        <item h="1" m="1" x="114"/>
        <item h="1" m="1" x="115"/>
        <item h="1" m="1" x="110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49"/>
        <item h="1" m="1" x="60"/>
        <item h="1" m="1" x="61"/>
        <item h="1" m="1" x="62"/>
        <item h="1" m="1" x="63"/>
        <item h="1" m="1" x="64"/>
        <item h="1" m="1" x="87"/>
        <item h="1" m="1" x="35"/>
        <item h="1" m="1" x="66"/>
        <item h="1" m="1" x="67"/>
        <item h="1" m="1" x="65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31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x="28"/>
        <item h="1" m="1" x="30"/>
        <item h="1" m="1" x="32"/>
        <item h="1" m="1" x="33"/>
        <item h="1" m="1" x="34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50"/>
        <item h="1" m="1" x="51"/>
        <item h="1" x="0"/>
        <item h="1" x="1"/>
        <item h="1" m="1" x="29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"/>
        <item h="1" x="21"/>
        <item h="1" x="22"/>
        <item h="1" x="23"/>
        <item h="1" x="24"/>
        <item h="1" x="25"/>
        <item h="1" x="27"/>
        <item h="1" x="2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1"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a de Convocado" fld="14" baseField="0" baseItem="0"/>
    <dataField name="Suma de Partido Jugado" fld="16" baseField="0" baseItem="0"/>
    <dataField name="Suma de Titular" fld="17" baseField="0" baseItem="0"/>
    <dataField name="Promed Minutos" fld="29" baseField="0" baseItem="0" numFmtId="43"/>
    <dataField name="Suma de Goles" fld="21" baseField="0" baseItem="0"/>
    <dataField name="Promed Goles" fld="28" baseField="0" baseItem="0" numFmtId="43"/>
    <dataField name="Gol 90'" fld="32" baseField="0" baseItem="0" numFmtId="43"/>
    <dataField name="Promed Goles a Favor" fld="30" baseField="0" baseItem="0" numFmtId="43"/>
    <dataField name="Gol a Favor 90'" fld="33" baseField="0" baseItem="0" numFmtId="43"/>
    <dataField name="Promed Goles n Contra" fld="31" baseField="0" baseItem="0"/>
    <dataField name="Gol en contra 90'" fld="34" baseField="0" baseItem="0"/>
  </dataFields>
  <formats count="5">
    <format dxfId="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9"/>
          </reference>
          <reference field="13" count="0"/>
        </references>
      </pivotArea>
    </format>
    <format dxfId="0">
      <pivotArea collapsedLevelsAreSubtotals="1" fieldPosition="0">
        <references count="2">
          <reference field="4294967294" count="1" selected="0">
            <x v="10"/>
          </reference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7432C-6D99-204B-ADD3-D321FA00820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4:A35" firstHeaderRow="1" firstDataRow="1" firstDataCol="1"/>
  <pivotFields count="4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5">
        <item h="1" m="1" x="118"/>
        <item h="1" m="1" x="128"/>
        <item h="1" m="1" x="135"/>
        <item h="1" m="1" x="117"/>
        <item h="1" m="1" x="126"/>
        <item m="1" x="140"/>
        <item h="1" m="1" x="131"/>
        <item h="1" m="1" x="138"/>
        <item h="1" m="1" x="132"/>
        <item h="1" m="1" x="133"/>
        <item h="1" m="1" x="139"/>
        <item h="1" m="1" x="124"/>
        <item h="1" m="1" x="119"/>
        <item m="1" x="116"/>
        <item h="1" m="1" x="121"/>
        <item h="1" m="1" x="134"/>
        <item h="1" m="1" x="142"/>
        <item h="1" m="1" x="129"/>
        <item h="1" m="1" x="137"/>
        <item h="1" m="1" x="122"/>
        <item h="1" m="1" x="130"/>
        <item h="1" m="1" x="141"/>
        <item h="1" m="1" x="123"/>
        <item h="1" m="1" x="143"/>
        <item h="1" m="1" x="125"/>
        <item m="1" x="127"/>
        <item h="1" m="1" x="136"/>
        <item h="1" m="1" x="120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8"/>
        <item h="1" m="1" x="107"/>
        <item h="1" m="1" x="109"/>
        <item h="1" m="1" x="111"/>
        <item h="1" m="1" x="112"/>
        <item h="1" m="1" x="113"/>
        <item h="1" m="1" x="114"/>
        <item h="1" m="1" x="115"/>
        <item h="1" m="1" x="110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49"/>
        <item h="1" m="1" x="60"/>
        <item h="1" m="1" x="61"/>
        <item h="1" m="1" x="62"/>
        <item h="1" m="1" x="63"/>
        <item h="1" m="1" x="64"/>
        <item h="1" m="1" x="87"/>
        <item h="1" m="1" x="35"/>
        <item h="1" m="1" x="66"/>
        <item h="1" m="1" x="67"/>
        <item h="1" m="1" x="65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31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x="28"/>
        <item h="1" m="1" x="30"/>
        <item h="1" m="1" x="32"/>
        <item h="1" m="1" x="33"/>
        <item h="1" m="1" x="34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50"/>
        <item h="1" m="1" x="51"/>
        <item h="1" x="0"/>
        <item h="1" x="1"/>
        <item h="1" m="1" x="29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"/>
        <item h="1" x="21"/>
        <item h="1" x="22"/>
        <item h="1" x="23"/>
        <item h="1" x="24"/>
        <item h="1" x="25"/>
        <item h="1" x="27"/>
        <item h="1"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1"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C5234-8283-0F41-8484-04D03FDDAC21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4:B74" firstHeaderRow="1" firstDataRow="1" firstDataCol="1"/>
  <pivotFields count="4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5">
        <item m="1" x="118"/>
        <item m="1" x="128"/>
        <item m="1" x="135"/>
        <item m="1" x="117"/>
        <item m="1" x="126"/>
        <item m="1" x="140"/>
        <item m="1" x="131"/>
        <item m="1" x="138"/>
        <item m="1" x="132"/>
        <item m="1" x="133"/>
        <item m="1" x="139"/>
        <item m="1" x="124"/>
        <item m="1" x="119"/>
        <item m="1" x="116"/>
        <item m="1" x="121"/>
        <item m="1" x="134"/>
        <item m="1" x="142"/>
        <item m="1" x="129"/>
        <item m="1" x="137"/>
        <item m="1" x="122"/>
        <item m="1" x="130"/>
        <item m="1" x="141"/>
        <item m="1" x="123"/>
        <item m="1" x="143"/>
        <item m="1" x="125"/>
        <item m="1" x="127"/>
        <item m="1" x="136"/>
        <item m="1" x="120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8"/>
        <item m="1" x="107"/>
        <item m="1" x="109"/>
        <item m="1" x="111"/>
        <item m="1" x="112"/>
        <item m="1" x="113"/>
        <item m="1" x="114"/>
        <item m="1" x="115"/>
        <item m="1" x="110"/>
        <item m="1" x="52"/>
        <item m="1" x="53"/>
        <item m="1" x="54"/>
        <item m="1" x="55"/>
        <item m="1" x="56"/>
        <item m="1" x="57"/>
        <item m="1" x="58"/>
        <item m="1" x="59"/>
        <item m="1" x="49"/>
        <item m="1" x="60"/>
        <item m="1" x="61"/>
        <item m="1" x="62"/>
        <item m="1" x="63"/>
        <item m="1" x="64"/>
        <item m="1" x="87"/>
        <item m="1" x="35"/>
        <item m="1" x="66"/>
        <item m="1" x="67"/>
        <item m="1" x="65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31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x="28"/>
        <item m="1" x="30"/>
        <item m="1" x="32"/>
        <item m="1" x="33"/>
        <item m="1" x="34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50"/>
        <item m="1" x="51"/>
        <item x="0"/>
        <item x="1"/>
        <item m="1" x="29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"/>
        <item x="21"/>
        <item x="22"/>
        <item x="23"/>
        <item x="24"/>
        <item x="25"/>
        <item x="27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30">
    <i>
      <x v="134"/>
    </i>
    <i>
      <x v="125"/>
    </i>
    <i>
      <x v="122"/>
    </i>
    <i>
      <x v="120"/>
    </i>
    <i>
      <x v="129"/>
    </i>
    <i>
      <x v="128"/>
    </i>
    <i>
      <x v="137"/>
    </i>
    <i>
      <x v="130"/>
    </i>
    <i>
      <x v="138"/>
    </i>
    <i>
      <x v="119"/>
    </i>
    <i>
      <x v="123"/>
    </i>
    <i>
      <x v="124"/>
    </i>
    <i>
      <x v="136"/>
    </i>
    <i>
      <x v="118"/>
    </i>
    <i>
      <x v="140"/>
    </i>
    <i>
      <x v="126"/>
    </i>
    <i>
      <x v="133"/>
    </i>
    <i>
      <x v="127"/>
    </i>
    <i>
      <x v="135"/>
    </i>
    <i>
      <x v="121"/>
    </i>
    <i>
      <x v="116"/>
    </i>
    <i>
      <x v="95"/>
    </i>
    <i>
      <x v="139"/>
    </i>
    <i>
      <x v="142"/>
    </i>
    <i>
      <x v="141"/>
    </i>
    <i>
      <x v="143"/>
    </i>
    <i>
      <x v="132"/>
    </i>
    <i>
      <x v="115"/>
    </i>
    <i>
      <x v="131"/>
    </i>
    <i t="grand">
      <x/>
    </i>
  </rowItems>
  <colItems count="1">
    <i/>
  </colItems>
  <dataFields count="1">
    <dataField name="Suma de Gole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4BC6C-7D23-B149-B1D0-4CD4E5F03919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4:E74" firstHeaderRow="1" firstDataRow="1" firstDataCol="1"/>
  <pivotFields count="4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5">
        <item m="1" x="118"/>
        <item m="1" x="128"/>
        <item m="1" x="135"/>
        <item m="1" x="117"/>
        <item m="1" x="126"/>
        <item m="1" x="140"/>
        <item m="1" x="131"/>
        <item m="1" x="138"/>
        <item m="1" x="132"/>
        <item m="1" x="133"/>
        <item m="1" x="139"/>
        <item m="1" x="124"/>
        <item m="1" x="119"/>
        <item m="1" x="116"/>
        <item m="1" x="121"/>
        <item m="1" x="134"/>
        <item m="1" x="142"/>
        <item m="1" x="129"/>
        <item m="1" x="137"/>
        <item m="1" x="122"/>
        <item m="1" x="130"/>
        <item m="1" x="141"/>
        <item m="1" x="123"/>
        <item m="1" x="143"/>
        <item m="1" x="125"/>
        <item m="1" x="127"/>
        <item m="1" x="136"/>
        <item m="1" x="120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8"/>
        <item m="1" x="107"/>
        <item m="1" x="109"/>
        <item m="1" x="111"/>
        <item m="1" x="112"/>
        <item m="1" x="113"/>
        <item m="1" x="114"/>
        <item m="1" x="115"/>
        <item m="1" x="110"/>
        <item m="1" x="52"/>
        <item m="1" x="53"/>
        <item m="1" x="54"/>
        <item m="1" x="55"/>
        <item m="1" x="56"/>
        <item m="1" x="57"/>
        <item m="1" x="58"/>
        <item m="1" x="59"/>
        <item m="1" x="49"/>
        <item m="1" x="60"/>
        <item m="1" x="61"/>
        <item m="1" x="62"/>
        <item m="1" x="63"/>
        <item m="1" x="64"/>
        <item m="1" x="87"/>
        <item m="1" x="35"/>
        <item m="1" x="66"/>
        <item m="1" x="67"/>
        <item m="1" x="65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31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x="28"/>
        <item m="1" x="30"/>
        <item m="1" x="32"/>
        <item m="1" x="33"/>
        <item m="1" x="34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50"/>
        <item m="1" x="51"/>
        <item x="0"/>
        <item x="1"/>
        <item m="1" x="29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"/>
        <item x="21"/>
        <item x="22"/>
        <item x="23"/>
        <item x="24"/>
        <item x="25"/>
        <item x="27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30">
    <i>
      <x v="95"/>
    </i>
    <i>
      <x v="115"/>
    </i>
    <i>
      <x v="116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07347-258D-F041-9852-BC89AEC2F72F}" name="Datos_General" displayName="Datos_General" ref="A1:AB1059" totalsRowShown="0" headerRowDxfId="95" dataDxfId="94">
  <autoFilter ref="A1:AB1059" xr:uid="{B4F07347-258D-F041-9852-BC89AEC2F72F}"/>
  <tableColumns count="28">
    <tableColumn id="1" xr3:uid="{807E9A7B-5CEC-F84C-B6D9-62A7B38A06BF}" name="Jornada" dataDxfId="93"/>
    <tableColumn id="16" xr3:uid="{D0731CB5-6DFB-2E43-A733-C237AA74844C}" name="Fecha" dataDxfId="92"/>
    <tableColumn id="20" xr3:uid="{F7F798CF-6CE6-6242-8D76-2E95E85A1D2D}" name="Eq.Local" dataDxfId="91"/>
    <tableColumn id="2" xr3:uid="{F7D25E7F-9D3F-7B45-867F-78B710B5A384}" name="Eq.Visitante" dataDxfId="90"/>
    <tableColumn id="6" xr3:uid="{C67FEE22-755A-2841-845E-CF7F800827F8}" name="Partido" dataDxfId="89">
      <calculatedColumnFormula>+CONCATENATE(Datos_General[[#This Row],[Eq.Local]], "-", Datos_General[[#This Row],[Eq.Visitante]])</calculatedColumnFormula>
    </tableColumn>
    <tableColumn id="27" xr3:uid="{078E8A0F-7C08-3E45-9368-B56AB9168A2E}" name="Estadio" dataDxfId="88"/>
    <tableColumn id="3" xr3:uid="{94C04D6D-CCE0-F240-B0FA-FAA6E70A302F}" name="Local/Visitante" dataDxfId="87"/>
    <tableColumn id="17" xr3:uid="{71D0CE09-11AA-EE4D-96F3-9630C3E3099C}" name="Resultado" dataDxfId="86"/>
    <tableColumn id="23" xr3:uid="{A68246A6-E239-2341-B54D-37A6E17ECCEC}" name="Goles a Favor_Eq_local" dataDxfId="85"/>
    <tableColumn id="22" xr3:uid="{B73EB70C-3F9C-CB42-B310-462E04F69F84}" name="Gol a Favor_Eq_Visitante" dataDxfId="84"/>
    <tableColumn id="4" xr3:uid="{20DC6593-F8FD-4745-BED0-0E43D6A5B01F}" name="Marcador" dataDxfId="83">
      <calculatedColumnFormula>+CONCATENATE(Datos_General[[#This Row],[Goles a Favor_Eq_local]],"-",Datos_General[[#This Row],[Gol a Favor_Eq_Visitante]])</calculatedColumnFormula>
    </tableColumn>
    <tableColumn id="24" xr3:uid="{9E6A23AB-509A-3848-B79E-A796B0C7C6FA}" name="Equipo_Jug" dataDxfId="82"/>
    <tableColumn id="5" xr3:uid="{B0D8789E-6BA7-4441-8084-BC665D04E171}" name="Dorsal" dataDxfId="81"/>
    <tableColumn id="26" xr3:uid="{4E3CD615-4923-9340-9257-CBCDE8EF069C}" name="Nombre" dataDxfId="80">
      <calculatedColumnFormula>VLOOKUP(Datos_General[[#This Row],[Dorsal]],Plantilla!$B$2:$G$23,3,0)</calculatedColumnFormula>
    </tableColumn>
    <tableColumn id="18" xr3:uid="{88B759AD-C8FF-7E47-B34F-212880BCB6F1}" name="Convocado" dataDxfId="79"/>
    <tableColumn id="28" xr3:uid="{880F3E8F-B89B-B54F-B38C-53293E34B2F9}" name="Alineación" dataDxfId="78"/>
    <tableColumn id="15" xr3:uid="{E16273CD-798E-F044-913E-200C63AAC325}" name="Partido Jugado" dataDxfId="77">
      <calculatedColumnFormula>IF(Datos_General[[#This Row],[Titular]]=1,1,0)</calculatedColumnFormula>
    </tableColumn>
    <tableColumn id="7" xr3:uid="{F06B55C0-EE5D-A446-A055-E7E94278E6AB}" name="Titular" dataDxfId="76">
      <calculatedColumnFormula>IF(Datos_General[[#This Row],[Alineación]]="Titular",1,IF(Datos_General[[#This Row],[Alineación]]="Suplente",0,"-"))</calculatedColumnFormula>
    </tableColumn>
    <tableColumn id="9" xr3:uid="{DD946964-D410-9E4E-A590-8725C52DCBE0}" name="Minutos Jugados" dataDxfId="75"/>
    <tableColumn id="8" xr3:uid="{A0D311C2-00CC-4A4A-84C0-5B67E4B8032A}" name="Sustituido Por:" dataDxfId="74"/>
    <tableColumn id="25" xr3:uid="{54061180-11E3-1C4E-998E-2B50CC0408FD}" name="Minutos Sustituto" dataDxfId="73"/>
    <tableColumn id="10" xr3:uid="{20D4AFC4-2C82-CB45-B3E0-0C7CF8677E32}" name="Goles" dataDxfId="72"/>
    <tableColumn id="11" xr3:uid="{8024C6EB-BCEB-5F4D-8CFC-7755E9D1F6D7}" name="Goles a Favor_Jug" dataDxfId="71"/>
    <tableColumn id="12" xr3:uid="{837C2B3B-DCFB-694F-9130-4E5A13E556F7}" name="Goles en Contra_Jug" dataDxfId="70"/>
    <tableColumn id="13" xr3:uid="{1E3EA22C-419A-CB4E-8DD0-CE810385375C}" name="Resultado Jug_Eq" dataDxfId="69"/>
    <tableColumn id="14" xr3:uid="{C0F3079D-DCC4-404F-ACC9-A1AAED19B5EF}" name="Puntos x minutos" dataDxfId="68">
      <calculatedColumnFormula>+Datos_General[[#This Row],[Minutos Jugados]]*Datos_General[[#This Row],[Puntos Jug_Campo]]</calculatedColumnFormula>
    </tableColumn>
    <tableColumn id="19" xr3:uid="{CAD6610B-CC2C-4040-AFFB-6388627BABF5}" name="Resultado Jug_Campo" dataDxfId="67">
      <calculatedColumnFormula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calculatedColumnFormula>
    </tableColumn>
    <tableColumn id="21" xr3:uid="{2F58FD26-4166-A940-A6C7-F1FC12D056E4}" name="Puntos Jug_Campo" dataDxfId="66">
      <calculatedColumnFormula>+IF(Datos_General[[#This Row],[Resultado Jug_Campo]] = "Empate", "1",IF(Datos_General[[#This Row],[Resultado Jug_Campo]] = "Victoria", "3","0"))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AD1047-D80C-0748-9F69-5979CC0ECA9A}" name="Goles_Favor_Contra" displayName="Goles_Favor_Contra" ref="A1:J111" totalsRowShown="0" headerRowDxfId="65" dataDxfId="64">
  <autoFilter ref="A1:J111" xr:uid="{65AD1047-D80C-0748-9F69-5979CC0ECA9A}"/>
  <tableColumns count="10">
    <tableColumn id="1" xr3:uid="{7C4145A4-EECB-6A41-B23C-F1218BF92FCC}" name="Jornada" dataDxfId="63"/>
    <tableColumn id="2" xr3:uid="{CE97342D-A58C-724D-819C-85C1C3F614C1}" name="Equipo Marca" dataDxfId="62"/>
    <tableColumn id="3" xr3:uid="{3E8587F2-9C28-054F-B5C4-0999E1F2537A}" name="Rival Recibe Gol" dataDxfId="61"/>
    <tableColumn id="4" xr3:uid="{507B2C4A-98F5-7744-911E-0452AAAE7C8F}" name="Dorsal" dataDxfId="60"/>
    <tableColumn id="8" xr3:uid="{20710CF6-E746-F542-8E65-E6EDB68F7261}" name="Nombre" dataDxfId="59"/>
    <tableColumn id="9" xr3:uid="{ACB4386D-6FC6-C841-B126-5731E8A24DAB}" name="Tipo" dataDxfId="58"/>
    <tableColumn id="5" xr3:uid="{BA856986-FC3E-C44D-B919-119CF5CE3B37}" name="Gol" dataDxfId="57"/>
    <tableColumn id="6" xr3:uid="{26D96DB0-346C-DB49-8DD4-0F2AE7A9A1AD}" name="Penalti" dataDxfId="56"/>
    <tableColumn id="10" xr3:uid="{1650BA52-735D-DA49-9443-88D5B1688AF4}" name="Propia Puerta" dataDxfId="55"/>
    <tableColumn id="7" xr3:uid="{B498C11B-171B-8140-B4F2-F85F34ECE93C}" name="Minuto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D17F65-0E8A-ED46-8629-1C28CE4B7899}" name="Tabla6rjetasAmarillas" displayName="Tabla6rjetasAmarillas" ref="A1:N92" totalsRowShown="0" headerRowDxfId="53" dataDxfId="52">
  <autoFilter ref="A1:N92" xr:uid="{28D17F65-0E8A-ED46-8629-1C28CE4B7899}"/>
  <sortState xmlns:xlrd2="http://schemas.microsoft.com/office/spreadsheetml/2017/richdata2" ref="A2:N14">
    <sortCondition ref="A1:A14"/>
  </sortState>
  <tableColumns count="14">
    <tableColumn id="1" xr3:uid="{D45018E1-98DA-D240-BF15-4445D76FDE58}" name="Jornada" dataDxfId="51"/>
    <tableColumn id="16" xr3:uid="{E14BF0FE-03D9-E449-9276-5A3EAD75B2BE}" name="Partido" dataDxfId="50">
      <calculatedColumnFormula>+CONCATENATE(Datos_General[[#This Row],[Eq.Local]], "-", Datos_General[[#This Row],[Eq.Visitante]])</calculatedColumnFormula>
    </tableColumn>
    <tableColumn id="13" xr3:uid="{7172AE3E-1902-FF47-B9F2-41C188F91F59}" name="Equipo" dataDxfId="49"/>
    <tableColumn id="14" xr3:uid="{29A3A037-D86D-4742-8C76-EED4FA8D71B1}" name="Local/ Visitante" dataDxfId="48"/>
    <tableColumn id="2" xr3:uid="{FA5C8E86-E348-F84A-A12D-027BCB140652}" name="Dorsal" dataDxfId="47"/>
    <tableColumn id="3" xr3:uid="{8D44A92B-045B-BA42-B1C4-929E68BE0B7E}" name="Nombre" dataDxfId="46">
      <calculatedColumnFormula>VLOOKUP(Tabla6rjetasAmarillas[[#This Row],[Dorsal]],Plantilla!$B$2:$G$23,3,0)</calculatedColumnFormula>
    </tableColumn>
    <tableColumn id="4" xr3:uid="{E4365104-9A95-324C-9FCC-B617F6F7A7F5}" name="Tarjeta Amarilla" dataDxfId="45"/>
    <tableColumn id="5" xr3:uid="{C2FE7A1A-8FAD-6247-968A-CA92964B9C48}" name="Minuto 1a Amarilla" dataDxfId="44"/>
    <tableColumn id="10" xr3:uid="{C3B5353C-A40F-0742-AB9E-0D246E357CA3}" name="Resultado 1a Amarilla" dataDxfId="43"/>
    <tableColumn id="15" xr3:uid="{C84674F1-709C-3D40-B9C5-C332543E78F3}" name="Tipología 1A" dataDxfId="42"/>
    <tableColumn id="8" xr3:uid="{CA555F4B-A0AC-404B-86E4-82CD1FAD7C9D}" name="2a Tarjeta Amarilla" dataDxfId="41"/>
    <tableColumn id="9" xr3:uid="{F22189D4-EE1A-A745-B6C0-66D1E65E21B2}" name="Minuto 2a Amarilla" dataDxfId="40"/>
    <tableColumn id="11" xr3:uid="{7395A807-A32B-A54C-B8E6-1F2E3C86C06B}" name="Resultado 2a Amarilla" dataDxfId="39"/>
    <tableColumn id="17" xr3:uid="{CA6D8819-39AC-984A-BC02-70B71492A913}" name="Tipología 2A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E81377-8A8C-8F42-826A-F9A3774842EF}" name="Tabla6rjetasAmarillas8" displayName="Tabla6rjetasAmarillas8" ref="A1:J92" totalsRowShown="0" headerRowDxfId="107" dataDxfId="106">
  <autoFilter ref="A1:J92" xr:uid="{28D17F65-0E8A-ED46-8629-1C28CE4B7899}"/>
  <sortState xmlns:xlrd2="http://schemas.microsoft.com/office/spreadsheetml/2017/richdata2" ref="A2:J14">
    <sortCondition ref="A1:A14"/>
  </sortState>
  <tableColumns count="10">
    <tableColumn id="1" xr3:uid="{1F0A5AAC-4C78-B246-90F0-D86466BE2B3E}" name="Jornada" dataDxfId="105"/>
    <tableColumn id="16" xr3:uid="{4F25DDAE-B777-0547-9580-C51BA17AA694}" name="Partido" dataDxfId="104"/>
    <tableColumn id="13" xr3:uid="{FF02F108-0730-4343-84AB-4FE46F12F4CA}" name="Equipo" dataDxfId="103"/>
    <tableColumn id="14" xr3:uid="{08878C7E-9E3A-6C41-8A4D-8569C00F5F5D}" name="Local/ Visitante" dataDxfId="102"/>
    <tableColumn id="2" xr3:uid="{D1F0F64B-B485-D946-B7ED-283E4701C7CA}" name="Dorsal" dataDxfId="101"/>
    <tableColumn id="3" xr3:uid="{F701B618-EDAC-2B46-93E4-EB302E0181AE}" name="Nombre" dataDxfId="100">
      <calculatedColumnFormula>VLOOKUP(Tabla6rjetasAmarillas8[[#This Row],[Dorsal]],Plantilla!$B$2:$G$23,3,0)</calculatedColumnFormula>
    </tableColumn>
    <tableColumn id="4" xr3:uid="{538AAD25-D66A-564B-BEF3-6DFED985EC3E}" name="Tarjeta Roja" dataDxfId="99"/>
    <tableColumn id="5" xr3:uid="{7EE09F33-A7CC-C543-BC19-2B7E48A77067}" name="Minuto Tarjeta Roja" dataDxfId="98"/>
    <tableColumn id="10" xr3:uid="{472C6533-B37B-A041-89B2-A98366C3DCC6}" name="Resultado  Tarjeta Roja" dataDxfId="97"/>
    <tableColumn id="11" xr3:uid="{59E72ED7-8DE5-3F4B-8889-A3B59C26A64F}" name="Roja Directa" dataDxfId="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FCBE1D-8436-9744-AC53-F7A83B1778EC}" name="Plantillas" displayName="Plantillas" ref="A1:H57" totalsRowShown="0" headerRowDxfId="37" dataDxfId="36">
  <autoFilter ref="A1:H57" xr:uid="{0DFCBE1D-8436-9744-AC53-F7A83B1778EC}"/>
  <sortState xmlns:xlrd2="http://schemas.microsoft.com/office/spreadsheetml/2017/richdata2" ref="A2:H57">
    <sortCondition descending="1" ref="F1:F40"/>
  </sortState>
  <tableColumns count="8">
    <tableColumn id="6" xr3:uid="{FBC34C66-E261-814A-8DB2-1007A09EA1EA}" name="Equipo" dataDxfId="35"/>
    <tableColumn id="1" xr3:uid="{2D2C56A3-3B80-6745-81DC-FA8F86363A3D}" name="ID" dataDxfId="34"/>
    <tableColumn id="2" xr3:uid="{CB23FB6A-15A5-5548-9075-A0D8950D3BB3}" name="Nombre" dataDxfId="33"/>
    <tableColumn id="3" xr3:uid="{5CCF20D1-0CC3-CE49-A12E-AE9A29DC64FF}" name="Alias" dataDxfId="32"/>
    <tableColumn id="4" xr3:uid="{3466050E-E80E-B04C-9B1C-27A1D267BCDE}" name="Posicion Especifica" dataDxfId="31"/>
    <tableColumn id="5" xr3:uid="{88DA6675-78A3-9E4E-B104-20987ACE53C5}" name="Posicion Global" dataDxfId="30"/>
    <tableColumn id="8" xr3:uid="{41BDA76E-7041-364B-AA0D-D83E01E48588}" name="Fecha Nacimiento" dataDxfId="29"/>
    <tableColumn id="7" xr3:uid="{34D2DA27-37F7-2445-A7CF-357336C5269F}" name="Años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0C086-9015-5B4F-BC43-EE3E44FF18F7}" name="Tabla_Clasificación" displayName="Tabla_Clasificación" ref="A1:U481" totalsRowShown="0" headerRowDxfId="27" dataDxfId="26">
  <autoFilter ref="A1:U481" xr:uid="{3AB0C086-9015-5B4F-BC43-EE3E44FF18F7}"/>
  <tableColumns count="21">
    <tableColumn id="11" xr3:uid="{689F12DA-7F39-B545-B517-719BC8A80B0C}" name="Jornada" dataDxfId="25"/>
    <tableColumn id="1" xr3:uid="{60965C14-201E-E349-9B94-907C9C73D10C}" name="Posicion" dataDxfId="24"/>
    <tableColumn id="2" xr3:uid="{2145C6E5-D991-C74D-961D-C7EB525AE2F2}" name="Equipo" dataDxfId="23"/>
    <tableColumn id="3" xr3:uid="{5DEC04D2-2605-8748-B641-A58D066A7580}" name="Puntos" dataDxfId="22"/>
    <tableColumn id="4" xr3:uid="{92AC9EE3-0588-4140-99A9-74E750513796}" name="Partidos Jugados" dataDxfId="21"/>
    <tableColumn id="5" xr3:uid="{8023CB4F-C3DE-0C48-91A8-5F6D18814397}" name="P Ganados" dataDxfId="20"/>
    <tableColumn id="6" xr3:uid="{C6E4EA49-8F95-B44D-95D5-489251C57386}" name="P Empatados" dataDxfId="19"/>
    <tableColumn id="7" xr3:uid="{3421CD4B-30E3-584E-A25E-389DE3B5D07E}" name="P Perdidos" dataDxfId="18"/>
    <tableColumn id="8" xr3:uid="{0E13916B-D9E4-314B-8BA3-565E0B48575B}" name="Goles Fav" dataDxfId="17"/>
    <tableColumn id="9" xr3:uid="{7C8F42D2-8EA3-534A-B9A6-2DB45165082D}" name="Goles Contr" dataDxfId="16"/>
    <tableColumn id="10" xr3:uid="{028C3AE7-5779-DB43-87DC-148910EA6C7E}" name="Dif Goles" dataDxfId="15"/>
    <tableColumn id="12" xr3:uid="{48DEF03C-4AC3-D34C-B5BF-D71A301E3861}" name="Columna1" dataDxfId="14"/>
    <tableColumn id="13" xr3:uid="{24D81685-EC08-BC45-844E-D9F1421DFE1B}" name="Columna2" dataDxfId="13"/>
    <tableColumn id="14" xr3:uid="{E4843E3C-0613-8949-AB83-617A022E2A3E}" name="Columna3" dataDxfId="12"/>
    <tableColumn id="15" xr3:uid="{B8E31906-5206-784C-956A-27E532D65A8B}" name="Columna4" dataDxfId="11"/>
    <tableColumn id="16" xr3:uid="{55EC7D8C-1BCA-D840-AC16-0F6722CBFE09}" name="Columna5" dataDxfId="10"/>
    <tableColumn id="17" xr3:uid="{3622BAC5-9FF5-E048-9413-04D07E350A3C}" name="Columna6" dataDxfId="9"/>
    <tableColumn id="18" xr3:uid="{3B70A4AD-FCF5-D047-B1CB-13B8C08A455B}" name="Columna7" dataDxfId="8"/>
    <tableColumn id="19" xr3:uid="{2BDCF937-47B9-814C-AD5D-BA16127AD376}" name="Columna8" dataDxfId="7"/>
    <tableColumn id="20" xr3:uid="{71D0CC22-5DE2-CF49-9DFC-AF51ADB0059C}" name="Columna9" dataDxfId="6"/>
    <tableColumn id="21" xr3:uid="{42F11842-A78A-1C4A-93CA-4C4AA0FD8D3C}" name="Columna10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549A-FD8B-8644-86E9-997FD3B90712}">
  <dimension ref="A1:AJ3448"/>
  <sheetViews>
    <sheetView topLeftCell="A426" zoomScale="88" zoomScaleNormal="93" workbookViewId="0">
      <selection activeCell="E471" sqref="E471"/>
    </sheetView>
  </sheetViews>
  <sheetFormatPr baseColWidth="10" defaultRowHeight="16"/>
  <cols>
    <col min="1" max="1" width="13.33203125" style="1" bestFit="1" customWidth="1"/>
    <col min="2" max="2" width="11.6640625" style="1" bestFit="1" customWidth="1"/>
    <col min="3" max="3" width="15.5" style="1" bestFit="1" customWidth="1"/>
    <col min="4" max="4" width="18.33203125" style="1" bestFit="1" customWidth="1"/>
    <col min="5" max="5" width="31.83203125" style="10" bestFit="1" customWidth="1"/>
    <col min="6" max="6" width="19.1640625" style="1" bestFit="1" customWidth="1"/>
    <col min="7" max="7" width="19.5" style="1" bestFit="1" customWidth="1"/>
    <col min="8" max="8" width="15.33203125" style="1" bestFit="1" customWidth="1"/>
    <col min="9" max="9" width="25.83203125" style="1" bestFit="1" customWidth="1"/>
    <col min="10" max="10" width="27.5" style="1" bestFit="1" customWidth="1"/>
    <col min="11" max="11" width="14.6640625" style="10" bestFit="1" customWidth="1"/>
    <col min="12" max="12" width="16.33203125" style="1" bestFit="1" customWidth="1"/>
    <col min="13" max="13" width="12.33203125" style="1" bestFit="1" customWidth="1"/>
    <col min="14" max="14" width="28.1640625" style="1" bestFit="1" customWidth="1"/>
    <col min="15" max="15" width="16.33203125" style="1" bestFit="1" customWidth="1"/>
    <col min="16" max="16" width="15.5" style="1" bestFit="1" customWidth="1"/>
    <col min="17" max="17" width="19.1640625" style="7" bestFit="1" customWidth="1"/>
    <col min="18" max="18" width="12.33203125" style="1" bestFit="1" customWidth="1"/>
    <col min="19" max="19" width="20.83203125" style="1" bestFit="1" customWidth="1"/>
    <col min="20" max="20" width="28" style="1" bestFit="1" customWidth="1"/>
    <col min="21" max="21" width="22.1640625" style="1" bestFit="1" customWidth="1"/>
    <col min="22" max="22" width="11.6640625" style="1" bestFit="1" customWidth="1"/>
    <col min="23" max="23" width="21.33203125" style="1" bestFit="1" customWidth="1"/>
    <col min="24" max="24" width="24.1640625" style="1" bestFit="1" customWidth="1"/>
    <col min="25" max="25" width="21.33203125" style="1" bestFit="1" customWidth="1"/>
    <col min="26" max="26" width="21.6640625" style="1" bestFit="1" customWidth="1"/>
    <col min="27" max="27" width="25.5" style="1" bestFit="1" customWidth="1"/>
    <col min="28" max="28" width="22.6640625" style="1" bestFit="1" customWidth="1"/>
    <col min="29" max="34" width="10.83203125" style="1"/>
    <col min="35" max="35" width="2.1640625" style="1" bestFit="1" customWidth="1"/>
    <col min="36" max="16384" width="10.83203125" style="1"/>
  </cols>
  <sheetData>
    <row r="1" spans="1:35">
      <c r="A1" s="1" t="s">
        <v>0</v>
      </c>
      <c r="B1" s="1" t="s">
        <v>10</v>
      </c>
      <c r="C1" s="1" t="s">
        <v>45</v>
      </c>
      <c r="D1" s="1" t="s">
        <v>46</v>
      </c>
      <c r="E1" s="1" t="s">
        <v>44</v>
      </c>
      <c r="F1" s="1" t="s">
        <v>59</v>
      </c>
      <c r="G1" s="1" t="s">
        <v>4</v>
      </c>
      <c r="H1" s="1" t="s">
        <v>5</v>
      </c>
      <c r="I1" s="1" t="s">
        <v>75</v>
      </c>
      <c r="J1" s="1" t="s">
        <v>76</v>
      </c>
      <c r="K1" s="1" t="s">
        <v>11</v>
      </c>
      <c r="L1" s="1" t="s">
        <v>52</v>
      </c>
      <c r="M1" s="1" t="s">
        <v>6</v>
      </c>
      <c r="N1" s="1" t="s">
        <v>1</v>
      </c>
      <c r="O1" s="1" t="s">
        <v>14</v>
      </c>
      <c r="P1" s="1" t="s">
        <v>69</v>
      </c>
      <c r="Q1" s="1" t="s">
        <v>9</v>
      </c>
      <c r="R1" s="1" t="s">
        <v>2</v>
      </c>
      <c r="S1" s="1" t="s">
        <v>83</v>
      </c>
      <c r="T1" s="1" t="s">
        <v>67</v>
      </c>
      <c r="U1" s="1" t="s">
        <v>68</v>
      </c>
      <c r="V1" s="1" t="s">
        <v>3</v>
      </c>
      <c r="W1" s="1" t="s">
        <v>60</v>
      </c>
      <c r="X1" s="1" t="s">
        <v>61</v>
      </c>
      <c r="Y1" s="1" t="s">
        <v>53</v>
      </c>
      <c r="Z1" s="1" t="s">
        <v>56</v>
      </c>
      <c r="AA1" s="1" t="s">
        <v>55</v>
      </c>
      <c r="AB1" s="1" t="s">
        <v>54</v>
      </c>
    </row>
    <row r="2" spans="1:35">
      <c r="A2" s="1">
        <v>1</v>
      </c>
      <c r="B2" s="6">
        <v>45913</v>
      </c>
      <c r="C2" s="1" t="s">
        <v>123</v>
      </c>
      <c r="D2" s="1" t="s">
        <v>133</v>
      </c>
      <c r="E2" s="10" t="str">
        <f>+CONCATENATE(Datos_General[[#This Row],[Eq.Local]], "-", Datos_General[[#This Row],[Eq.Visitante]])</f>
        <v>Salgueiriños C.F.-Conxo Santiago B</v>
      </c>
      <c r="F2" s="1" t="s">
        <v>153</v>
      </c>
      <c r="G2" s="1" t="s">
        <v>58</v>
      </c>
      <c r="H2" s="1" t="s">
        <v>43</v>
      </c>
      <c r="I2" s="1">
        <v>4</v>
      </c>
      <c r="J2" s="1">
        <v>1</v>
      </c>
      <c r="K2" s="10" t="str">
        <f>+CONCATENATE(Datos_General[[#This Row],[Goles a Favor_Eq_local]],"-",Datos_General[[#This Row],[Gol a Favor_Eq_Visitante]])</f>
        <v>4-1</v>
      </c>
      <c r="L2" s="1" t="s">
        <v>133</v>
      </c>
      <c r="M2" s="1">
        <v>1</v>
      </c>
      <c r="N2" s="2" t="s">
        <v>137</v>
      </c>
      <c r="O2" s="1">
        <v>1</v>
      </c>
      <c r="P2" s="1" t="s">
        <v>2</v>
      </c>
      <c r="Q2" s="22">
        <v>1</v>
      </c>
      <c r="R2" s="9">
        <v>1</v>
      </c>
      <c r="S2" s="1">
        <v>90</v>
      </c>
      <c r="T2" s="1">
        <v>0</v>
      </c>
      <c r="U2" s="1">
        <f>90-Datos_General[[#This Row],[Minutos Jugados]]</f>
        <v>0</v>
      </c>
      <c r="V2" s="1">
        <v>0</v>
      </c>
      <c r="W2" s="1">
        <v>1</v>
      </c>
      <c r="X2" s="1">
        <v>4</v>
      </c>
      <c r="Y2" s="10">
        <f>+IF(Datos_General[[#This Row],[Resultado]]="Victoria", "3", IF(Datos_General[[#This Row],[Resultado]]="Empate","1",0))</f>
        <v>0</v>
      </c>
      <c r="Z2" s="11">
        <f>+Datos_General[[#This Row],[Minutos Jugados]]*Datos_General[[#This Row],[Puntos Jug_Campo]]</f>
        <v>0</v>
      </c>
      <c r="AA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" s="10" t="str">
        <f>+IF(Datos_General[[#This Row],[Resultado Jug_Campo]] = "Empate", "1",IF(Datos_General[[#This Row],[Resultado Jug_Campo]] = "Victoria", "3","0"))</f>
        <v>0</v>
      </c>
    </row>
    <row r="3" spans="1:35">
      <c r="A3" s="1">
        <v>1</v>
      </c>
      <c r="B3" s="6">
        <v>45913</v>
      </c>
      <c r="C3" s="1" t="s">
        <v>123</v>
      </c>
      <c r="D3" s="1" t="s">
        <v>133</v>
      </c>
      <c r="E3" s="10" t="str">
        <f>+CONCATENATE(Datos_General[[#This Row],[Eq.Local]], "-", Datos_General[[#This Row],[Eq.Visitante]])</f>
        <v>Salgueiriños C.F.-Conxo Santiago B</v>
      </c>
      <c r="F3" s="1" t="s">
        <v>153</v>
      </c>
      <c r="G3" s="1" t="s">
        <v>58</v>
      </c>
      <c r="H3" s="1" t="s">
        <v>43</v>
      </c>
      <c r="I3" s="1">
        <v>4</v>
      </c>
      <c r="J3" s="1">
        <v>1</v>
      </c>
      <c r="K3" s="10" t="str">
        <f>+CONCATENATE(Datos_General[[#This Row],[Goles a Favor_Eq_local]],"-",Datos_General[[#This Row],[Gol a Favor_Eq_Visitante]])</f>
        <v>4-1</v>
      </c>
      <c r="L3" s="1" t="s">
        <v>133</v>
      </c>
      <c r="M3" s="1">
        <v>2</v>
      </c>
      <c r="N3" s="2" t="s">
        <v>138</v>
      </c>
      <c r="O3" s="1">
        <v>1</v>
      </c>
      <c r="P3" s="1" t="s">
        <v>2</v>
      </c>
      <c r="Q3" s="22">
        <v>1</v>
      </c>
      <c r="R3" s="9">
        <v>1</v>
      </c>
      <c r="S3" s="1">
        <v>90</v>
      </c>
      <c r="T3" s="1">
        <v>0</v>
      </c>
      <c r="U3" s="1">
        <f>90-Datos_General[[#This Row],[Minutos Jugados]]</f>
        <v>0</v>
      </c>
      <c r="V3" s="1">
        <v>0</v>
      </c>
      <c r="W3" s="1">
        <v>1</v>
      </c>
      <c r="X3" s="1">
        <v>4</v>
      </c>
      <c r="Y3" s="10">
        <f>+IF(Datos_General[[#This Row],[Resultado]]="Victoria", "3", IF(Datos_General[[#This Row],[Resultado]]="Empate","1",0))</f>
        <v>0</v>
      </c>
      <c r="Z3" s="11">
        <f>+Datos_General[[#This Row],[Minutos Jugados]]*Datos_General[[#This Row],[Puntos Jug_Campo]]</f>
        <v>0</v>
      </c>
      <c r="AA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" s="10" t="str">
        <f>+IF(Datos_General[[#This Row],[Resultado Jug_Campo]] = "Empate", "1",IF(Datos_General[[#This Row],[Resultado Jug_Campo]] = "Victoria", "3","0"))</f>
        <v>0</v>
      </c>
    </row>
    <row r="4" spans="1:35">
      <c r="A4" s="1">
        <v>1</v>
      </c>
      <c r="B4" s="6">
        <v>45913</v>
      </c>
      <c r="C4" s="1" t="s">
        <v>123</v>
      </c>
      <c r="D4" s="1" t="s">
        <v>133</v>
      </c>
      <c r="E4" s="10" t="str">
        <f>+CONCATENATE(Datos_General[[#This Row],[Eq.Local]], "-", Datos_General[[#This Row],[Eq.Visitante]])</f>
        <v>Salgueiriños C.F.-Conxo Santiago B</v>
      </c>
      <c r="F4" s="1" t="s">
        <v>153</v>
      </c>
      <c r="G4" s="1" t="s">
        <v>58</v>
      </c>
      <c r="H4" s="1" t="s">
        <v>43</v>
      </c>
      <c r="I4" s="1">
        <v>4</v>
      </c>
      <c r="J4" s="1">
        <v>1</v>
      </c>
      <c r="K4" s="10" t="str">
        <f>+CONCATENATE(Datos_General[[#This Row],[Goles a Favor_Eq_local]],"-",Datos_General[[#This Row],[Gol a Favor_Eq_Visitante]])</f>
        <v>4-1</v>
      </c>
      <c r="L4" s="1" t="s">
        <v>133</v>
      </c>
      <c r="M4" s="1">
        <v>3</v>
      </c>
      <c r="N4" s="1" t="s">
        <v>139</v>
      </c>
      <c r="O4" s="1">
        <v>1</v>
      </c>
      <c r="P4" s="1" t="s">
        <v>2</v>
      </c>
      <c r="Q4" s="22">
        <v>1</v>
      </c>
      <c r="R4" s="9">
        <v>1</v>
      </c>
      <c r="S4" s="1">
        <v>60</v>
      </c>
      <c r="T4" s="2" t="s">
        <v>150</v>
      </c>
      <c r="U4" s="1">
        <f>90-Datos_General[[#This Row],[Minutos Jugados]]</f>
        <v>30</v>
      </c>
      <c r="V4" s="1">
        <v>0</v>
      </c>
      <c r="W4" s="1">
        <v>0</v>
      </c>
      <c r="X4" s="1">
        <v>3</v>
      </c>
      <c r="Y4" s="10">
        <f>+IF(Datos_General[[#This Row],[Resultado]]="Victoria", "3", IF(Datos_General[[#This Row],[Resultado]]="Empate","1",0))</f>
        <v>0</v>
      </c>
      <c r="Z4" s="11">
        <f>+Datos_General[[#This Row],[Minutos Jugados]]*Datos_General[[#This Row],[Puntos Jug_Campo]]</f>
        <v>0</v>
      </c>
      <c r="AA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" s="10" t="str">
        <f>+IF(Datos_General[[#This Row],[Resultado Jug_Campo]] = "Empate", "1",IF(Datos_General[[#This Row],[Resultado Jug_Campo]] = "Victoria", "3","0"))</f>
        <v>0</v>
      </c>
    </row>
    <row r="5" spans="1:35">
      <c r="A5" s="1">
        <v>1</v>
      </c>
      <c r="B5" s="6">
        <v>45913</v>
      </c>
      <c r="C5" s="1" t="s">
        <v>123</v>
      </c>
      <c r="D5" s="1" t="s">
        <v>133</v>
      </c>
      <c r="E5" s="10" t="str">
        <f>+CONCATENATE(Datos_General[[#This Row],[Eq.Local]], "-", Datos_General[[#This Row],[Eq.Visitante]])</f>
        <v>Salgueiriños C.F.-Conxo Santiago B</v>
      </c>
      <c r="F5" s="1" t="s">
        <v>153</v>
      </c>
      <c r="G5" s="1" t="s">
        <v>58</v>
      </c>
      <c r="H5" s="1" t="s">
        <v>43</v>
      </c>
      <c r="I5" s="1">
        <v>4</v>
      </c>
      <c r="J5" s="1">
        <v>1</v>
      </c>
      <c r="K5" s="10" t="str">
        <f>+CONCATENATE(Datos_General[[#This Row],[Goles a Favor_Eq_local]],"-",Datos_General[[#This Row],[Gol a Favor_Eq_Visitante]])</f>
        <v>4-1</v>
      </c>
      <c r="L5" s="1" t="s">
        <v>133</v>
      </c>
      <c r="M5" s="1">
        <v>4</v>
      </c>
      <c r="N5" s="2" t="s">
        <v>140</v>
      </c>
      <c r="O5" s="1">
        <v>1</v>
      </c>
      <c r="P5" s="1" t="s">
        <v>2</v>
      </c>
      <c r="Q5" s="22">
        <v>1</v>
      </c>
      <c r="R5" s="9">
        <v>1</v>
      </c>
      <c r="S5" s="1">
        <v>90</v>
      </c>
      <c r="T5" s="1">
        <v>0</v>
      </c>
      <c r="U5" s="1">
        <f>90-Datos_General[[#This Row],[Minutos Jugados]]</f>
        <v>0</v>
      </c>
      <c r="V5" s="1">
        <v>0</v>
      </c>
      <c r="W5" s="1">
        <v>1</v>
      </c>
      <c r="X5" s="1">
        <v>4</v>
      </c>
      <c r="Y5" s="10">
        <f>+IF(Datos_General[[#This Row],[Resultado]]="Victoria", "3", IF(Datos_General[[#This Row],[Resultado]]="Empate","1",0))</f>
        <v>0</v>
      </c>
      <c r="Z5" s="11">
        <f>+Datos_General[[#This Row],[Minutos Jugados]]*Datos_General[[#This Row],[Puntos Jug_Campo]]</f>
        <v>0</v>
      </c>
      <c r="AA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5" s="10" t="str">
        <f>+IF(Datos_General[[#This Row],[Resultado Jug_Campo]] = "Empate", "1",IF(Datos_General[[#This Row],[Resultado Jug_Campo]] = "Victoria", "3","0"))</f>
        <v>0</v>
      </c>
    </row>
    <row r="6" spans="1:35">
      <c r="A6" s="1">
        <v>1</v>
      </c>
      <c r="B6" s="6">
        <v>45913</v>
      </c>
      <c r="C6" s="1" t="s">
        <v>123</v>
      </c>
      <c r="D6" s="1" t="s">
        <v>133</v>
      </c>
      <c r="E6" s="10" t="str">
        <f>+CONCATENATE(Datos_General[[#This Row],[Eq.Local]], "-", Datos_General[[#This Row],[Eq.Visitante]])</f>
        <v>Salgueiriños C.F.-Conxo Santiago B</v>
      </c>
      <c r="F6" s="1" t="s">
        <v>153</v>
      </c>
      <c r="G6" s="1" t="s">
        <v>58</v>
      </c>
      <c r="H6" s="1" t="s">
        <v>43</v>
      </c>
      <c r="I6" s="1">
        <v>4</v>
      </c>
      <c r="J6" s="1">
        <v>1</v>
      </c>
      <c r="K6" s="10" t="str">
        <f>+CONCATENATE(Datos_General[[#This Row],[Goles a Favor_Eq_local]],"-",Datos_General[[#This Row],[Gol a Favor_Eq_Visitante]])</f>
        <v>4-1</v>
      </c>
      <c r="L6" s="1" t="s">
        <v>133</v>
      </c>
      <c r="M6" s="1">
        <v>5</v>
      </c>
      <c r="N6" s="2" t="s">
        <v>141</v>
      </c>
      <c r="O6" s="1">
        <v>1</v>
      </c>
      <c r="P6" s="1" t="s">
        <v>2</v>
      </c>
      <c r="Q6" s="22">
        <v>1</v>
      </c>
      <c r="R6" s="9">
        <v>1</v>
      </c>
      <c r="S6" s="1">
        <v>46</v>
      </c>
      <c r="T6" s="2" t="s">
        <v>151</v>
      </c>
      <c r="U6" s="1">
        <f>90-Datos_General[[#This Row],[Minutos Jugados]]</f>
        <v>44</v>
      </c>
      <c r="V6" s="1">
        <v>0</v>
      </c>
      <c r="W6" s="1">
        <v>0</v>
      </c>
      <c r="X6" s="1">
        <v>3</v>
      </c>
      <c r="Y6" s="10">
        <f>+IF(Datos_General[[#This Row],[Resultado]]="Victoria", "3", IF(Datos_General[[#This Row],[Resultado]]="Empate","1",0))</f>
        <v>0</v>
      </c>
      <c r="Z6" s="11">
        <f>+Datos_General[[#This Row],[Minutos Jugados]]*Datos_General[[#This Row],[Puntos Jug_Campo]]</f>
        <v>0</v>
      </c>
      <c r="AA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6" s="10" t="str">
        <f>+IF(Datos_General[[#This Row],[Resultado Jug_Campo]] = "Empate", "1",IF(Datos_General[[#This Row],[Resultado Jug_Campo]] = "Victoria", "3","0"))</f>
        <v>0</v>
      </c>
    </row>
    <row r="7" spans="1:35">
      <c r="A7" s="1">
        <v>1</v>
      </c>
      <c r="B7" s="6">
        <v>45913</v>
      </c>
      <c r="C7" s="1" t="s">
        <v>123</v>
      </c>
      <c r="D7" s="1" t="s">
        <v>133</v>
      </c>
      <c r="E7" s="10" t="str">
        <f>+CONCATENATE(Datos_General[[#This Row],[Eq.Local]], "-", Datos_General[[#This Row],[Eq.Visitante]])</f>
        <v>Salgueiriños C.F.-Conxo Santiago B</v>
      </c>
      <c r="F7" s="1" t="s">
        <v>153</v>
      </c>
      <c r="G7" s="1" t="s">
        <v>58</v>
      </c>
      <c r="H7" s="1" t="s">
        <v>43</v>
      </c>
      <c r="I7" s="1">
        <v>4</v>
      </c>
      <c r="J7" s="1">
        <v>1</v>
      </c>
      <c r="K7" s="10" t="str">
        <f>+CONCATENATE(Datos_General[[#This Row],[Goles a Favor_Eq_local]],"-",Datos_General[[#This Row],[Gol a Favor_Eq_Visitante]])</f>
        <v>4-1</v>
      </c>
      <c r="L7" s="1" t="s">
        <v>133</v>
      </c>
      <c r="M7" s="1">
        <v>6</v>
      </c>
      <c r="N7" s="2" t="s">
        <v>142</v>
      </c>
      <c r="O7" s="1">
        <v>1</v>
      </c>
      <c r="P7" s="1" t="s">
        <v>2</v>
      </c>
      <c r="Q7" s="22">
        <v>1</v>
      </c>
      <c r="R7" s="9">
        <v>1</v>
      </c>
      <c r="S7" s="1">
        <v>90</v>
      </c>
      <c r="T7" s="1">
        <v>0</v>
      </c>
      <c r="U7" s="1">
        <f>90-Datos_General[[#This Row],[Minutos Jugados]]</f>
        <v>0</v>
      </c>
      <c r="V7" s="1">
        <v>0</v>
      </c>
      <c r="W7" s="1">
        <v>1</v>
      </c>
      <c r="X7" s="1">
        <v>4</v>
      </c>
      <c r="Y7" s="10">
        <f>+IF(Datos_General[[#This Row],[Resultado]]="Victoria", "3", IF(Datos_General[[#This Row],[Resultado]]="Empate","1",0))</f>
        <v>0</v>
      </c>
      <c r="Z7" s="11">
        <f>+Datos_General[[#This Row],[Minutos Jugados]]*Datos_General[[#This Row],[Puntos Jug_Campo]]</f>
        <v>0</v>
      </c>
      <c r="AA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7" s="10" t="str">
        <f>+IF(Datos_General[[#This Row],[Resultado Jug_Campo]] = "Empate", "1",IF(Datos_General[[#This Row],[Resultado Jug_Campo]] = "Victoria", "3","0"))</f>
        <v>0</v>
      </c>
    </row>
    <row r="8" spans="1:35">
      <c r="A8" s="1">
        <v>1</v>
      </c>
      <c r="B8" s="6">
        <v>45913</v>
      </c>
      <c r="C8" s="1" t="s">
        <v>123</v>
      </c>
      <c r="D8" s="1" t="s">
        <v>133</v>
      </c>
      <c r="E8" s="10" t="str">
        <f>+CONCATENATE(Datos_General[[#This Row],[Eq.Local]], "-", Datos_General[[#This Row],[Eq.Visitante]])</f>
        <v>Salgueiriños C.F.-Conxo Santiago B</v>
      </c>
      <c r="F8" s="1" t="s">
        <v>153</v>
      </c>
      <c r="G8" s="1" t="s">
        <v>58</v>
      </c>
      <c r="H8" s="1" t="s">
        <v>43</v>
      </c>
      <c r="I8" s="1">
        <v>4</v>
      </c>
      <c r="J8" s="1">
        <v>1</v>
      </c>
      <c r="K8" s="10" t="str">
        <f>+CONCATENATE(Datos_General[[#This Row],[Goles a Favor_Eq_local]],"-",Datos_General[[#This Row],[Gol a Favor_Eq_Visitante]])</f>
        <v>4-1</v>
      </c>
      <c r="L8" s="1" t="s">
        <v>133</v>
      </c>
      <c r="M8" s="1">
        <v>7</v>
      </c>
      <c r="N8" s="1" t="s">
        <v>143</v>
      </c>
      <c r="O8" s="1">
        <v>1</v>
      </c>
      <c r="P8" s="1" t="s">
        <v>2</v>
      </c>
      <c r="Q8" s="22">
        <v>1</v>
      </c>
      <c r="R8" s="9">
        <v>1</v>
      </c>
      <c r="S8" s="1">
        <v>90</v>
      </c>
      <c r="T8" s="1">
        <v>0</v>
      </c>
      <c r="U8" s="1">
        <f>90-Datos_General[[#This Row],[Minutos Jugados]]</f>
        <v>0</v>
      </c>
      <c r="V8" s="1">
        <v>1</v>
      </c>
      <c r="W8" s="1">
        <v>1</v>
      </c>
      <c r="X8" s="1">
        <v>4</v>
      </c>
      <c r="Y8" s="10">
        <f>+IF(Datos_General[[#This Row],[Resultado]]="Victoria", "3", IF(Datos_General[[#This Row],[Resultado]]="Empate","1",0))</f>
        <v>0</v>
      </c>
      <c r="Z8" s="11">
        <f>+Datos_General[[#This Row],[Minutos Jugados]]*Datos_General[[#This Row],[Puntos Jug_Campo]]</f>
        <v>0</v>
      </c>
      <c r="AA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8" s="10" t="str">
        <f>+IF(Datos_General[[#This Row],[Resultado Jug_Campo]] = "Empate", "1",IF(Datos_General[[#This Row],[Resultado Jug_Campo]] = "Victoria", "3","0"))</f>
        <v>0</v>
      </c>
    </row>
    <row r="9" spans="1:35">
      <c r="A9" s="1">
        <v>1</v>
      </c>
      <c r="B9" s="6">
        <v>45913</v>
      </c>
      <c r="C9" s="1" t="s">
        <v>123</v>
      </c>
      <c r="D9" s="1" t="s">
        <v>133</v>
      </c>
      <c r="E9" s="10" t="str">
        <f>+CONCATENATE(Datos_General[[#This Row],[Eq.Local]], "-", Datos_General[[#This Row],[Eq.Visitante]])</f>
        <v>Salgueiriños C.F.-Conxo Santiago B</v>
      </c>
      <c r="F9" s="1" t="s">
        <v>153</v>
      </c>
      <c r="G9" s="1" t="s">
        <v>58</v>
      </c>
      <c r="H9" s="1" t="s">
        <v>43</v>
      </c>
      <c r="I9" s="1">
        <v>4</v>
      </c>
      <c r="J9" s="1">
        <v>1</v>
      </c>
      <c r="K9" s="10" t="str">
        <f>+CONCATENATE(Datos_General[[#This Row],[Goles a Favor_Eq_local]],"-",Datos_General[[#This Row],[Gol a Favor_Eq_Visitante]])</f>
        <v>4-1</v>
      </c>
      <c r="L9" s="1" t="s">
        <v>133</v>
      </c>
      <c r="M9" s="1">
        <v>8</v>
      </c>
      <c r="N9" s="2" t="s">
        <v>144</v>
      </c>
      <c r="O9" s="1">
        <v>1</v>
      </c>
      <c r="P9" s="1" t="s">
        <v>2</v>
      </c>
      <c r="Q9" s="22">
        <v>1</v>
      </c>
      <c r="R9" s="9">
        <v>1</v>
      </c>
      <c r="S9" s="1">
        <v>90</v>
      </c>
      <c r="T9" s="1">
        <v>0</v>
      </c>
      <c r="U9" s="1">
        <f>90-Datos_General[[#This Row],[Minutos Jugados]]</f>
        <v>0</v>
      </c>
      <c r="V9" s="1">
        <v>0</v>
      </c>
      <c r="W9" s="1">
        <v>1</v>
      </c>
      <c r="X9" s="1">
        <v>4</v>
      </c>
      <c r="Y9" s="10">
        <f>+IF(Datos_General[[#This Row],[Resultado]]="Victoria", "3", IF(Datos_General[[#This Row],[Resultado]]="Empate","1",0))</f>
        <v>0</v>
      </c>
      <c r="Z9" s="11">
        <f>+Datos_General[[#This Row],[Minutos Jugados]]*Datos_General[[#This Row],[Puntos Jug_Campo]]</f>
        <v>0</v>
      </c>
      <c r="AA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9" s="10" t="str">
        <f>+IF(Datos_General[[#This Row],[Resultado Jug_Campo]] = "Empate", "1",IF(Datos_General[[#This Row],[Resultado Jug_Campo]] = "Victoria", "3","0"))</f>
        <v>0</v>
      </c>
    </row>
    <row r="10" spans="1:35">
      <c r="A10" s="1">
        <v>1</v>
      </c>
      <c r="B10" s="6">
        <v>45913</v>
      </c>
      <c r="C10" s="1" t="s">
        <v>123</v>
      </c>
      <c r="D10" s="1" t="s">
        <v>133</v>
      </c>
      <c r="E10" s="10" t="str">
        <f>+CONCATENATE(Datos_General[[#This Row],[Eq.Local]], "-", Datos_General[[#This Row],[Eq.Visitante]])</f>
        <v>Salgueiriños C.F.-Conxo Santiago B</v>
      </c>
      <c r="F10" s="1" t="s">
        <v>153</v>
      </c>
      <c r="G10" s="1" t="s">
        <v>58</v>
      </c>
      <c r="H10" s="1" t="s">
        <v>43</v>
      </c>
      <c r="I10" s="1">
        <v>4</v>
      </c>
      <c r="J10" s="1">
        <v>1</v>
      </c>
      <c r="K10" s="10" t="str">
        <f>+CONCATENATE(Datos_General[[#This Row],[Goles a Favor_Eq_local]],"-",Datos_General[[#This Row],[Gol a Favor_Eq_Visitante]])</f>
        <v>4-1</v>
      </c>
      <c r="L10" s="1" t="s">
        <v>133</v>
      </c>
      <c r="M10" s="1">
        <v>9</v>
      </c>
      <c r="N10" s="2" t="s">
        <v>145</v>
      </c>
      <c r="O10" s="1">
        <v>1</v>
      </c>
      <c r="P10" s="1" t="s">
        <v>2</v>
      </c>
      <c r="Q10" s="22">
        <v>1</v>
      </c>
      <c r="R10" s="9">
        <v>1</v>
      </c>
      <c r="S10" s="1">
        <v>60</v>
      </c>
      <c r="T10" s="2" t="s">
        <v>152</v>
      </c>
      <c r="U10" s="1">
        <f>90-Datos_General[[#This Row],[Minutos Jugados]]</f>
        <v>30</v>
      </c>
      <c r="V10" s="1">
        <v>0</v>
      </c>
      <c r="W10" s="1">
        <v>0</v>
      </c>
      <c r="X10" s="1">
        <v>3</v>
      </c>
      <c r="Y10" s="10">
        <f>+IF(Datos_General[[#This Row],[Resultado]]="Victoria", "3", IF(Datos_General[[#This Row],[Resultado]]="Empate","1",0))</f>
        <v>0</v>
      </c>
      <c r="Z10" s="11">
        <f>+Datos_General[[#This Row],[Minutos Jugados]]*Datos_General[[#This Row],[Puntos Jug_Campo]]</f>
        <v>0</v>
      </c>
      <c r="AA1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0" s="10" t="str">
        <f>+IF(Datos_General[[#This Row],[Resultado Jug_Campo]] = "Empate", "1",IF(Datos_General[[#This Row],[Resultado Jug_Campo]] = "Victoria", "3","0"))</f>
        <v>0</v>
      </c>
    </row>
    <row r="11" spans="1:35">
      <c r="A11" s="1">
        <v>1</v>
      </c>
      <c r="B11" s="6">
        <v>45913</v>
      </c>
      <c r="C11" s="1" t="s">
        <v>123</v>
      </c>
      <c r="D11" s="1" t="s">
        <v>133</v>
      </c>
      <c r="E11" s="10" t="str">
        <f>+CONCATENATE(Datos_General[[#This Row],[Eq.Local]], "-", Datos_General[[#This Row],[Eq.Visitante]])</f>
        <v>Salgueiriños C.F.-Conxo Santiago B</v>
      </c>
      <c r="F11" s="1" t="s">
        <v>153</v>
      </c>
      <c r="G11" s="1" t="s">
        <v>58</v>
      </c>
      <c r="H11" s="1" t="s">
        <v>43</v>
      </c>
      <c r="I11" s="1">
        <v>4</v>
      </c>
      <c r="J11" s="1">
        <v>1</v>
      </c>
      <c r="K11" s="10" t="str">
        <f>+CONCATENATE(Datos_General[[#This Row],[Goles a Favor_Eq_local]],"-",Datos_General[[#This Row],[Gol a Favor_Eq_Visitante]])</f>
        <v>4-1</v>
      </c>
      <c r="L11" s="1" t="s">
        <v>133</v>
      </c>
      <c r="M11" s="1">
        <v>10</v>
      </c>
      <c r="N11" s="2" t="s">
        <v>146</v>
      </c>
      <c r="O11" s="1">
        <v>1</v>
      </c>
      <c r="P11" s="1" t="s">
        <v>2</v>
      </c>
      <c r="Q11" s="22">
        <v>1</v>
      </c>
      <c r="R11" s="9">
        <v>1</v>
      </c>
      <c r="S11" s="1">
        <v>90</v>
      </c>
      <c r="T11" s="1">
        <v>0</v>
      </c>
      <c r="U11" s="1">
        <f>90-Datos_General[[#This Row],[Minutos Jugados]]</f>
        <v>0</v>
      </c>
      <c r="V11" s="1">
        <v>0</v>
      </c>
      <c r="W11" s="1">
        <v>1</v>
      </c>
      <c r="X11" s="1">
        <v>4</v>
      </c>
      <c r="Y11" s="10">
        <f>+IF(Datos_General[[#This Row],[Resultado]]="Victoria", "3", IF(Datos_General[[#This Row],[Resultado]]="Empate","1",0))</f>
        <v>0</v>
      </c>
      <c r="Z11" s="11">
        <f>+Datos_General[[#This Row],[Minutos Jugados]]*Datos_General[[#This Row],[Puntos Jug_Campo]]</f>
        <v>0</v>
      </c>
      <c r="AA1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" s="10" t="str">
        <f>+IF(Datos_General[[#This Row],[Resultado Jug_Campo]] = "Empate", "1",IF(Datos_General[[#This Row],[Resultado Jug_Campo]] = "Victoria", "3","0"))</f>
        <v>0</v>
      </c>
    </row>
    <row r="12" spans="1:35">
      <c r="A12" s="1">
        <v>1</v>
      </c>
      <c r="B12" s="6">
        <v>45913</v>
      </c>
      <c r="C12" s="1" t="s">
        <v>123</v>
      </c>
      <c r="D12" s="1" t="s">
        <v>133</v>
      </c>
      <c r="E12" s="10" t="str">
        <f>+CONCATENATE(Datos_General[[#This Row],[Eq.Local]], "-", Datos_General[[#This Row],[Eq.Visitante]])</f>
        <v>Salgueiriños C.F.-Conxo Santiago B</v>
      </c>
      <c r="F12" s="1" t="s">
        <v>153</v>
      </c>
      <c r="G12" s="1" t="s">
        <v>58</v>
      </c>
      <c r="H12" s="1" t="s">
        <v>43</v>
      </c>
      <c r="I12" s="1">
        <v>4</v>
      </c>
      <c r="J12" s="1">
        <v>1</v>
      </c>
      <c r="K12" s="10" t="str">
        <f>+CONCATENATE(Datos_General[[#This Row],[Goles a Favor_Eq_local]],"-",Datos_General[[#This Row],[Gol a Favor_Eq_Visitante]])</f>
        <v>4-1</v>
      </c>
      <c r="L12" s="1" t="s">
        <v>133</v>
      </c>
      <c r="M12" s="1">
        <v>11</v>
      </c>
      <c r="N12" s="2" t="s">
        <v>147</v>
      </c>
      <c r="O12" s="1">
        <v>1</v>
      </c>
      <c r="P12" s="1" t="s">
        <v>2</v>
      </c>
      <c r="Q12" s="22">
        <v>1</v>
      </c>
      <c r="R12" s="9">
        <v>1</v>
      </c>
      <c r="S12" s="1">
        <v>46</v>
      </c>
      <c r="T12" s="2" t="s">
        <v>149</v>
      </c>
      <c r="U12" s="1">
        <f>90-Datos_General[[#This Row],[Minutos Jugados]]</f>
        <v>44</v>
      </c>
      <c r="V12" s="1">
        <v>0</v>
      </c>
      <c r="W12" s="1">
        <v>0</v>
      </c>
      <c r="X12" s="1">
        <v>3</v>
      </c>
      <c r="Y12" s="10">
        <f>+IF(Datos_General[[#This Row],[Resultado]]="Victoria", "3", IF(Datos_General[[#This Row],[Resultado]]="Empate","1",0))</f>
        <v>0</v>
      </c>
      <c r="Z12" s="11">
        <f>+Datos_General[[#This Row],[Minutos Jugados]]*Datos_General[[#This Row],[Puntos Jug_Campo]]</f>
        <v>0</v>
      </c>
      <c r="AA1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" s="10" t="str">
        <f>+IF(Datos_General[[#This Row],[Resultado Jug_Campo]] = "Empate", "1",IF(Datos_General[[#This Row],[Resultado Jug_Campo]] = "Victoria", "3","0"))</f>
        <v>0</v>
      </c>
    </row>
    <row r="13" spans="1:35">
      <c r="A13" s="1">
        <v>1</v>
      </c>
      <c r="B13" s="6">
        <v>45913</v>
      </c>
      <c r="C13" s="1" t="s">
        <v>123</v>
      </c>
      <c r="D13" s="1" t="s">
        <v>133</v>
      </c>
      <c r="E13" s="10" t="str">
        <f>+CONCATENATE(Datos_General[[#This Row],[Eq.Local]], "-", Datos_General[[#This Row],[Eq.Visitante]])</f>
        <v>Salgueiriños C.F.-Conxo Santiago B</v>
      </c>
      <c r="F13" s="1" t="s">
        <v>153</v>
      </c>
      <c r="G13" s="1" t="s">
        <v>58</v>
      </c>
      <c r="H13" s="1" t="s">
        <v>43</v>
      </c>
      <c r="I13" s="1">
        <v>4</v>
      </c>
      <c r="J13" s="1">
        <v>1</v>
      </c>
      <c r="K13" s="10" t="str">
        <f>+CONCATENATE(Datos_General[[#This Row],[Goles a Favor_Eq_local]],"-",Datos_General[[#This Row],[Gol a Favor_Eq_Visitante]])</f>
        <v>4-1</v>
      </c>
      <c r="L13" s="1" t="s">
        <v>133</v>
      </c>
      <c r="M13" s="1">
        <v>13</v>
      </c>
      <c r="N13" s="2" t="s">
        <v>148</v>
      </c>
      <c r="O13" s="1">
        <v>1</v>
      </c>
      <c r="P13" s="1" t="s">
        <v>70</v>
      </c>
      <c r="Q13" s="7">
        <f>+IF(Datos_General[[#This Row],[Minutos Jugados]]&gt;0, 1, 0)</f>
        <v>0</v>
      </c>
      <c r="R13" s="23">
        <v>0</v>
      </c>
      <c r="S13" s="8">
        <f>IFERROR(IF(MATCH(N13,$T$2:$T$17,0), INDEX($U$2:$U$17,MATCH(N13,$T$2:$T$17,0))),0)</f>
        <v>0</v>
      </c>
      <c r="T13" s="1">
        <v>0</v>
      </c>
      <c r="U13" s="1">
        <f>90-Datos_General[[#This Row],[Minutos Jugados]]</f>
        <v>90</v>
      </c>
      <c r="V13" s="1">
        <v>0</v>
      </c>
      <c r="W13" s="1">
        <v>0</v>
      </c>
      <c r="X13" s="1">
        <v>0</v>
      </c>
      <c r="Y13" s="10">
        <f>+IF(Datos_General[[#This Row],[Resultado]]="Victoria", "3", IF(Datos_General[[#This Row],[Resultado]]="Empate","1",0))</f>
        <v>0</v>
      </c>
      <c r="Z13" s="11">
        <f>+Datos_General[[#This Row],[Minutos Jugados]]*Datos_General[[#This Row],[Puntos Jug_Campo]]</f>
        <v>0</v>
      </c>
      <c r="AA1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13" s="10" t="str">
        <f>+IF(Datos_General[[#This Row],[Resultado Jug_Campo]] = "Empate", "1",IF(Datos_General[[#This Row],[Resultado Jug_Campo]] = "Victoria", "3","0"))</f>
        <v>0</v>
      </c>
      <c r="AI13" s="1" t="s">
        <v>109</v>
      </c>
    </row>
    <row r="14" spans="1:35">
      <c r="A14" s="1">
        <v>1</v>
      </c>
      <c r="B14" s="6">
        <v>45913</v>
      </c>
      <c r="C14" s="1" t="s">
        <v>123</v>
      </c>
      <c r="D14" s="1" t="s">
        <v>133</v>
      </c>
      <c r="E14" s="10" t="str">
        <f>+CONCATENATE(Datos_General[[#This Row],[Eq.Local]], "-", Datos_General[[#This Row],[Eq.Visitante]])</f>
        <v>Salgueiriños C.F.-Conxo Santiago B</v>
      </c>
      <c r="F14" s="1" t="s">
        <v>153</v>
      </c>
      <c r="G14" s="1" t="s">
        <v>58</v>
      </c>
      <c r="H14" s="1" t="s">
        <v>43</v>
      </c>
      <c r="I14" s="1">
        <v>4</v>
      </c>
      <c r="J14" s="1">
        <v>1</v>
      </c>
      <c r="K14" s="10" t="str">
        <f>+CONCATENATE(Datos_General[[#This Row],[Goles a Favor_Eq_local]],"-",Datos_General[[#This Row],[Gol a Favor_Eq_Visitante]])</f>
        <v>4-1</v>
      </c>
      <c r="L14" s="1" t="s">
        <v>133</v>
      </c>
      <c r="M14" s="1">
        <v>12</v>
      </c>
      <c r="N14" s="2" t="s">
        <v>149</v>
      </c>
      <c r="O14" s="1">
        <v>1</v>
      </c>
      <c r="P14" s="1" t="s">
        <v>70</v>
      </c>
      <c r="Q14" s="7">
        <f>+IF(Datos_General[[#This Row],[Minutos Jugados]]&gt;0, 1, 0)</f>
        <v>1</v>
      </c>
      <c r="R14" s="23">
        <v>0</v>
      </c>
      <c r="S14" s="8">
        <f>IFERROR(IF(MATCH(N14,$T$2:$T$17,0), INDEX($U$2:$U$17,MATCH(N14,$T$2:$T$17,0))),0)</f>
        <v>44</v>
      </c>
      <c r="T14" s="1">
        <v>0</v>
      </c>
      <c r="U14" s="1">
        <f>90-Datos_General[[#This Row],[Minutos Jugados]]</f>
        <v>46</v>
      </c>
      <c r="V14" s="1">
        <v>0</v>
      </c>
      <c r="W14" s="1">
        <v>1</v>
      </c>
      <c r="X14" s="1">
        <v>1</v>
      </c>
      <c r="Y14" s="10">
        <f>+IF(Datos_General[[#This Row],[Resultado]]="Victoria", "3", IF(Datos_General[[#This Row],[Resultado]]="Empate","1",0))</f>
        <v>0</v>
      </c>
      <c r="Z14" s="11">
        <f>+Datos_General[[#This Row],[Minutos Jugados]]*Datos_General[[#This Row],[Puntos Jug_Campo]]</f>
        <v>44</v>
      </c>
      <c r="AA1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4" s="10" t="str">
        <f>+IF(Datos_General[[#This Row],[Resultado Jug_Campo]] = "Empate", "1",IF(Datos_General[[#This Row],[Resultado Jug_Campo]] = "Victoria", "3","0"))</f>
        <v>1</v>
      </c>
    </row>
    <row r="15" spans="1:35">
      <c r="A15" s="1">
        <v>1</v>
      </c>
      <c r="B15" s="6">
        <v>45913</v>
      </c>
      <c r="C15" s="1" t="s">
        <v>123</v>
      </c>
      <c r="D15" s="1" t="s">
        <v>133</v>
      </c>
      <c r="E15" s="10" t="str">
        <f>+CONCATENATE(Datos_General[[#This Row],[Eq.Local]], "-", Datos_General[[#This Row],[Eq.Visitante]])</f>
        <v>Salgueiriños C.F.-Conxo Santiago B</v>
      </c>
      <c r="F15" s="1" t="s">
        <v>153</v>
      </c>
      <c r="G15" s="1" t="s">
        <v>58</v>
      </c>
      <c r="H15" s="1" t="s">
        <v>43</v>
      </c>
      <c r="I15" s="1">
        <v>4</v>
      </c>
      <c r="J15" s="1">
        <v>1</v>
      </c>
      <c r="K15" s="10" t="str">
        <f>+CONCATENATE(Datos_General[[#This Row],[Goles a Favor_Eq_local]],"-",Datos_General[[#This Row],[Gol a Favor_Eq_Visitante]])</f>
        <v>4-1</v>
      </c>
      <c r="L15" s="1" t="s">
        <v>133</v>
      </c>
      <c r="M15" s="1">
        <v>14</v>
      </c>
      <c r="N15" s="2" t="s">
        <v>150</v>
      </c>
      <c r="O15" s="1">
        <v>1</v>
      </c>
      <c r="P15" s="1" t="s">
        <v>70</v>
      </c>
      <c r="Q15" s="7">
        <f>+IF(Datos_General[[#This Row],[Minutos Jugados]]&gt;0, 1, 0)</f>
        <v>1</v>
      </c>
      <c r="R15" s="23">
        <v>0</v>
      </c>
      <c r="S15" s="8">
        <f>IFERROR(IF(MATCH(N15,$T$2:$T$17,0), INDEX($U$2:$U$17,MATCH(N15,$T$2:$T$17,0))),0)</f>
        <v>30</v>
      </c>
      <c r="T15" s="1">
        <v>0</v>
      </c>
      <c r="U15" s="1">
        <f>90-Datos_General[[#This Row],[Minutos Jugados]]</f>
        <v>60</v>
      </c>
      <c r="V15" s="1">
        <v>0</v>
      </c>
      <c r="W15" s="1">
        <v>1</v>
      </c>
      <c r="X15" s="1">
        <v>1</v>
      </c>
      <c r="Y15" s="10">
        <f>+IF(Datos_General[[#This Row],[Resultado]]="Victoria", "3", IF(Datos_General[[#This Row],[Resultado]]="Empate","1",0))</f>
        <v>0</v>
      </c>
      <c r="Z15" s="11">
        <f>+Datos_General[[#This Row],[Minutos Jugados]]*Datos_General[[#This Row],[Puntos Jug_Campo]]</f>
        <v>30</v>
      </c>
      <c r="AA1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5" s="12" t="str">
        <f>+IF(Datos_General[[#This Row],[Resultado Jug_Campo]] = "Empate", "1",IF(Datos_General[[#This Row],[Resultado Jug_Campo]] = "Victoria", "3","0"))</f>
        <v>1</v>
      </c>
    </row>
    <row r="16" spans="1:35">
      <c r="A16" s="1">
        <v>1</v>
      </c>
      <c r="B16" s="6">
        <v>45913</v>
      </c>
      <c r="C16" s="1" t="s">
        <v>123</v>
      </c>
      <c r="D16" s="1" t="s">
        <v>133</v>
      </c>
      <c r="E16" s="10" t="str">
        <f>+CONCATENATE(Datos_General[[#This Row],[Eq.Local]], "-", Datos_General[[#This Row],[Eq.Visitante]])</f>
        <v>Salgueiriños C.F.-Conxo Santiago B</v>
      </c>
      <c r="F16" s="1" t="s">
        <v>153</v>
      </c>
      <c r="G16" s="1" t="s">
        <v>58</v>
      </c>
      <c r="H16" s="1" t="s">
        <v>43</v>
      </c>
      <c r="I16" s="1">
        <v>4</v>
      </c>
      <c r="J16" s="1">
        <v>1</v>
      </c>
      <c r="K16" s="10" t="str">
        <f>+CONCATENATE(Datos_General[[#This Row],[Goles a Favor_Eq_local]],"-",Datos_General[[#This Row],[Gol a Favor_Eq_Visitante]])</f>
        <v>4-1</v>
      </c>
      <c r="L16" s="1" t="s">
        <v>133</v>
      </c>
      <c r="M16" s="1">
        <v>15</v>
      </c>
      <c r="N16" s="2" t="s">
        <v>151</v>
      </c>
      <c r="O16" s="1">
        <v>1</v>
      </c>
      <c r="P16" s="1" t="s">
        <v>70</v>
      </c>
      <c r="Q16" s="7">
        <f>+IF(Datos_General[[#This Row],[Minutos Jugados]]&gt;0, 1, 0)</f>
        <v>1</v>
      </c>
      <c r="R16" s="23">
        <v>0</v>
      </c>
      <c r="S16" s="8">
        <f>IFERROR(IF(MATCH(N16,$T$2:$T$17,0), INDEX($U$2:$U$17,MATCH(N16,$T$2:$T$17,0))),0)</f>
        <v>44</v>
      </c>
      <c r="T16" s="1">
        <v>0</v>
      </c>
      <c r="U16" s="1">
        <f>90-Datos_General[[#This Row],[Minutos Jugados]]</f>
        <v>46</v>
      </c>
      <c r="V16" s="1">
        <v>0</v>
      </c>
      <c r="W16" s="1">
        <v>1</v>
      </c>
      <c r="X16" s="1">
        <v>1</v>
      </c>
      <c r="Y16" s="10">
        <f>+IF(Datos_General[[#This Row],[Resultado]]="Victoria", "3", IF(Datos_General[[#This Row],[Resultado]]="Empate","1",0))</f>
        <v>0</v>
      </c>
      <c r="Z16" s="11">
        <f>+Datos_General[[#This Row],[Minutos Jugados]]*Datos_General[[#This Row],[Puntos Jug_Campo]]</f>
        <v>44</v>
      </c>
      <c r="AA1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6" s="10" t="str">
        <f>+IF(Datos_General[[#This Row],[Resultado Jug_Campo]] = "Empate", "1",IF(Datos_General[[#This Row],[Resultado Jug_Campo]] = "Victoria", "3","0"))</f>
        <v>1</v>
      </c>
    </row>
    <row r="17" spans="1:36">
      <c r="A17" s="1">
        <v>1</v>
      </c>
      <c r="B17" s="6">
        <v>45913</v>
      </c>
      <c r="C17" s="1" t="s">
        <v>123</v>
      </c>
      <c r="D17" s="1" t="s">
        <v>133</v>
      </c>
      <c r="E17" s="10" t="str">
        <f>+CONCATENATE(Datos_General[[#This Row],[Eq.Local]], "-", Datos_General[[#This Row],[Eq.Visitante]])</f>
        <v>Salgueiriños C.F.-Conxo Santiago B</v>
      </c>
      <c r="F17" s="1" t="s">
        <v>153</v>
      </c>
      <c r="G17" s="1" t="s">
        <v>58</v>
      </c>
      <c r="H17" s="1" t="s">
        <v>43</v>
      </c>
      <c r="I17" s="1">
        <v>4</v>
      </c>
      <c r="J17" s="1">
        <v>1</v>
      </c>
      <c r="K17" s="10" t="str">
        <f>+CONCATENATE(Datos_General[[#This Row],[Goles a Favor_Eq_local]],"-",Datos_General[[#This Row],[Gol a Favor_Eq_Visitante]])</f>
        <v>4-1</v>
      </c>
      <c r="L17" s="1" t="s">
        <v>133</v>
      </c>
      <c r="M17" s="1">
        <v>16</v>
      </c>
      <c r="N17" s="2" t="s">
        <v>152</v>
      </c>
      <c r="O17" s="1">
        <v>1</v>
      </c>
      <c r="P17" s="1" t="s">
        <v>70</v>
      </c>
      <c r="Q17" s="7">
        <f>+IF(Datos_General[[#This Row],[Minutos Jugados]]&gt;0, 1, 0)</f>
        <v>1</v>
      </c>
      <c r="R17" s="23">
        <v>0</v>
      </c>
      <c r="S17" s="8">
        <f>IFERROR(IF(MATCH(N17,$T$2:$T$17,0), INDEX($U$2:$U$17,MATCH(N17,$T$2:$T$17,0))),0)</f>
        <v>30</v>
      </c>
      <c r="T17" s="1">
        <v>0</v>
      </c>
      <c r="U17" s="1">
        <f>90-Datos_General[[#This Row],[Minutos Jugados]]</f>
        <v>60</v>
      </c>
      <c r="V17" s="1">
        <v>0</v>
      </c>
      <c r="W17" s="1">
        <v>1</v>
      </c>
      <c r="X17" s="1">
        <v>1</v>
      </c>
      <c r="Y17" s="10">
        <f>+IF(Datos_General[[#This Row],[Resultado]]="Victoria", "3", IF(Datos_General[[#This Row],[Resultado]]="Empate","1",0))</f>
        <v>0</v>
      </c>
      <c r="Z17" s="11">
        <f>+Datos_General[[#This Row],[Minutos Jugados]]*Datos_General[[#This Row],[Puntos Jug_Campo]]</f>
        <v>30</v>
      </c>
      <c r="AA1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7" s="10" t="str">
        <f>+IF(Datos_General[[#This Row],[Resultado Jug_Campo]] = "Empate", "1",IF(Datos_General[[#This Row],[Resultado Jug_Campo]] = "Victoria", "3","0"))</f>
        <v>1</v>
      </c>
    </row>
    <row r="18" spans="1:36">
      <c r="A18" s="1">
        <v>2</v>
      </c>
      <c r="B18" s="6">
        <v>45921</v>
      </c>
      <c r="C18" s="1" t="s">
        <v>133</v>
      </c>
      <c r="D18" s="1" t="s">
        <v>121</v>
      </c>
      <c r="E18" s="10" t="str">
        <f>+CONCATENATE(Datos_General[[#This Row],[Eq.Local]], "-", Datos_General[[#This Row],[Eq.Visitante]])</f>
        <v>Conxo Santiago B-C.D. Lérez</v>
      </c>
      <c r="F18" s="1" t="s">
        <v>157</v>
      </c>
      <c r="G18" s="1" t="s">
        <v>57</v>
      </c>
      <c r="H18" s="1" t="s">
        <v>43</v>
      </c>
      <c r="I18" s="1">
        <v>0</v>
      </c>
      <c r="J18" s="1">
        <v>2</v>
      </c>
      <c r="K18" s="10" t="str">
        <f>+CONCATENATE(Datos_General[[#This Row],[Goles a Favor_Eq_local]],"-",Datos_General[[#This Row],[Gol a Favor_Eq_Visitante]])</f>
        <v>0-2</v>
      </c>
      <c r="L18" s="1" t="s">
        <v>133</v>
      </c>
      <c r="M18" s="1">
        <v>1</v>
      </c>
      <c r="N18" s="2" t="s">
        <v>148</v>
      </c>
      <c r="O18" s="1">
        <v>1</v>
      </c>
      <c r="P18" s="1" t="s">
        <v>2</v>
      </c>
      <c r="Q18" s="22">
        <v>1</v>
      </c>
      <c r="R18" s="9">
        <v>1</v>
      </c>
      <c r="S18" s="1">
        <v>90</v>
      </c>
      <c r="T18" s="1">
        <v>0</v>
      </c>
      <c r="U18" s="1">
        <f>90-Datos_General[[#This Row],[Minutos Jugados]]</f>
        <v>0</v>
      </c>
      <c r="V18" s="1">
        <v>0</v>
      </c>
      <c r="W18" s="1">
        <v>0</v>
      </c>
      <c r="X18" s="1">
        <v>2</v>
      </c>
      <c r="Y18" s="10">
        <f>+IF(Datos_General[[#This Row],[Resultado]]="Victoria", "3", IF(Datos_General[[#This Row],[Resultado]]="Empate","1",0))</f>
        <v>0</v>
      </c>
      <c r="Z18" s="11">
        <f>+Datos_General[[#This Row],[Minutos Jugados]]*Datos_General[[#This Row],[Puntos Jug_Campo]]</f>
        <v>0</v>
      </c>
      <c r="AA1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8" s="10" t="str">
        <f>+IF(Datos_General[[#This Row],[Resultado Jug_Campo]] = "Empate", "1",IF(Datos_General[[#This Row],[Resultado Jug_Campo]] = "Victoria", "3","0"))</f>
        <v>0</v>
      </c>
    </row>
    <row r="19" spans="1:36">
      <c r="A19" s="1">
        <v>2</v>
      </c>
      <c r="B19" s="6">
        <v>45921</v>
      </c>
      <c r="C19" s="1" t="s">
        <v>133</v>
      </c>
      <c r="D19" s="1" t="s">
        <v>121</v>
      </c>
      <c r="E19" s="10" t="str">
        <f>+CONCATENATE(Datos_General[[#This Row],[Eq.Local]], "-", Datos_General[[#This Row],[Eq.Visitante]])</f>
        <v>Conxo Santiago B-C.D. Lérez</v>
      </c>
      <c r="F19" s="1" t="s">
        <v>157</v>
      </c>
      <c r="G19" s="1" t="s">
        <v>57</v>
      </c>
      <c r="H19" s="1" t="s">
        <v>43</v>
      </c>
      <c r="I19" s="1">
        <v>0</v>
      </c>
      <c r="J19" s="1">
        <v>2</v>
      </c>
      <c r="K19" s="10" t="str">
        <f>+CONCATENATE(Datos_General[[#This Row],[Goles a Favor_Eq_local]],"-",Datos_General[[#This Row],[Gol a Favor_Eq_Visitante]])</f>
        <v>0-2</v>
      </c>
      <c r="L19" s="1" t="s">
        <v>133</v>
      </c>
      <c r="M19" s="1">
        <v>2</v>
      </c>
      <c r="N19" s="2" t="s">
        <v>138</v>
      </c>
      <c r="O19" s="1">
        <v>1</v>
      </c>
      <c r="P19" s="1" t="s">
        <v>2</v>
      </c>
      <c r="Q19" s="22">
        <v>1</v>
      </c>
      <c r="R19" s="9">
        <v>1</v>
      </c>
      <c r="S19" s="1">
        <v>90</v>
      </c>
      <c r="T19" s="2">
        <v>0</v>
      </c>
      <c r="U19" s="1">
        <f>90-Datos_General[[#This Row],[Minutos Jugados]]</f>
        <v>0</v>
      </c>
      <c r="V19" s="1">
        <v>0</v>
      </c>
      <c r="W19" s="1">
        <v>0</v>
      </c>
      <c r="X19" s="1">
        <v>2</v>
      </c>
      <c r="Y19" s="10">
        <f>+IF(Datos_General[[#This Row],[Resultado]]="Victoria", "3", IF(Datos_General[[#This Row],[Resultado]]="Empate","1",0))</f>
        <v>0</v>
      </c>
      <c r="Z19" s="11">
        <f>+Datos_General[[#This Row],[Minutos Jugados]]*Datos_General[[#This Row],[Puntos Jug_Campo]]</f>
        <v>0</v>
      </c>
      <c r="AA1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9" s="10" t="str">
        <f>+IF(Datos_General[[#This Row],[Resultado Jug_Campo]] = "Empate", "1",IF(Datos_General[[#This Row],[Resultado Jug_Campo]] = "Victoria", "3","0"))</f>
        <v>0</v>
      </c>
      <c r="AJ19"/>
    </row>
    <row r="20" spans="1:36">
      <c r="A20" s="1">
        <v>2</v>
      </c>
      <c r="B20" s="6">
        <v>45921</v>
      </c>
      <c r="C20" s="1" t="s">
        <v>133</v>
      </c>
      <c r="D20" s="1" t="s">
        <v>121</v>
      </c>
      <c r="E20" s="10" t="str">
        <f>+CONCATENATE(Datos_General[[#This Row],[Eq.Local]], "-", Datos_General[[#This Row],[Eq.Visitante]])</f>
        <v>Conxo Santiago B-C.D. Lérez</v>
      </c>
      <c r="F20" s="1" t="s">
        <v>157</v>
      </c>
      <c r="G20" s="1" t="s">
        <v>57</v>
      </c>
      <c r="H20" s="1" t="s">
        <v>43</v>
      </c>
      <c r="I20" s="1">
        <v>0</v>
      </c>
      <c r="J20" s="1">
        <v>2</v>
      </c>
      <c r="K20" s="10" t="str">
        <f>+CONCATENATE(Datos_General[[#This Row],[Goles a Favor_Eq_local]],"-",Datos_General[[#This Row],[Gol a Favor_Eq_Visitante]])</f>
        <v>0-2</v>
      </c>
      <c r="L20" s="1" t="s">
        <v>133</v>
      </c>
      <c r="M20" s="1">
        <v>3</v>
      </c>
      <c r="N20" s="2" t="s">
        <v>144</v>
      </c>
      <c r="O20" s="1">
        <v>1</v>
      </c>
      <c r="P20" s="1" t="s">
        <v>2</v>
      </c>
      <c r="Q20" s="22">
        <v>1</v>
      </c>
      <c r="R20" s="9">
        <v>1</v>
      </c>
      <c r="S20" s="1">
        <v>90</v>
      </c>
      <c r="T20" s="1">
        <v>0</v>
      </c>
      <c r="U20" s="1">
        <f>90-Datos_General[[#This Row],[Minutos Jugados]]</f>
        <v>0</v>
      </c>
      <c r="V20" s="1">
        <v>0</v>
      </c>
      <c r="W20" s="1">
        <v>0</v>
      </c>
      <c r="X20" s="1">
        <v>2</v>
      </c>
      <c r="Y20" s="10">
        <f>+IF(Datos_General[[#This Row],[Resultado]]="Victoria", "3", IF(Datos_General[[#This Row],[Resultado]]="Empate","1",0))</f>
        <v>0</v>
      </c>
      <c r="Z20" s="11">
        <f>+Datos_General[[#This Row],[Minutos Jugados]]*Datos_General[[#This Row],[Puntos Jug_Campo]]</f>
        <v>0</v>
      </c>
      <c r="AA2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0" s="10" t="str">
        <f>+IF(Datos_General[[#This Row],[Resultado Jug_Campo]] = "Empate", "1",IF(Datos_General[[#This Row],[Resultado Jug_Campo]] = "Victoria", "3","0"))</f>
        <v>0</v>
      </c>
    </row>
    <row r="21" spans="1:36">
      <c r="A21" s="1">
        <v>2</v>
      </c>
      <c r="B21" s="6">
        <v>45921</v>
      </c>
      <c r="C21" s="1" t="s">
        <v>133</v>
      </c>
      <c r="D21" s="1" t="s">
        <v>121</v>
      </c>
      <c r="E21" s="10" t="str">
        <f>+CONCATENATE(Datos_General[[#This Row],[Eq.Local]], "-", Datos_General[[#This Row],[Eq.Visitante]])</f>
        <v>Conxo Santiago B-C.D. Lérez</v>
      </c>
      <c r="F21" s="1" t="s">
        <v>157</v>
      </c>
      <c r="G21" s="1" t="s">
        <v>57</v>
      </c>
      <c r="H21" s="1" t="s">
        <v>43</v>
      </c>
      <c r="I21" s="1">
        <v>0</v>
      </c>
      <c r="J21" s="1">
        <v>2</v>
      </c>
      <c r="K21" s="10" t="str">
        <f>+CONCATENATE(Datos_General[[#This Row],[Goles a Favor_Eq_local]],"-",Datos_General[[#This Row],[Gol a Favor_Eq_Visitante]])</f>
        <v>0-2</v>
      </c>
      <c r="L21" s="1" t="s">
        <v>133</v>
      </c>
      <c r="M21" s="1">
        <v>4</v>
      </c>
      <c r="N21" s="2" t="s">
        <v>140</v>
      </c>
      <c r="O21" s="1">
        <v>1</v>
      </c>
      <c r="P21" s="1" t="s">
        <v>2</v>
      </c>
      <c r="Q21" s="22">
        <v>1</v>
      </c>
      <c r="R21" s="9">
        <v>1</v>
      </c>
      <c r="S21" s="1">
        <v>90</v>
      </c>
      <c r="T21" s="1">
        <v>0</v>
      </c>
      <c r="U21" s="1">
        <f>90-Datos_General[[#This Row],[Minutos Jugados]]</f>
        <v>0</v>
      </c>
      <c r="V21" s="1">
        <v>0</v>
      </c>
      <c r="W21" s="1">
        <v>0</v>
      </c>
      <c r="X21" s="1">
        <v>2</v>
      </c>
      <c r="Y21" s="10">
        <f>+IF(Datos_General[[#This Row],[Resultado]]="Victoria", "3", IF(Datos_General[[#This Row],[Resultado]]="Empate","1",0))</f>
        <v>0</v>
      </c>
      <c r="Z21" s="11">
        <f>+Datos_General[[#This Row],[Minutos Jugados]]*Datos_General[[#This Row],[Puntos Jug_Campo]]</f>
        <v>0</v>
      </c>
      <c r="AA2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1" s="10" t="str">
        <f>+IF(Datos_General[[#This Row],[Resultado Jug_Campo]] = "Empate", "1",IF(Datos_General[[#This Row],[Resultado Jug_Campo]] = "Victoria", "3","0"))</f>
        <v>0</v>
      </c>
    </row>
    <row r="22" spans="1:36">
      <c r="A22" s="1">
        <v>2</v>
      </c>
      <c r="B22" s="6">
        <v>45921</v>
      </c>
      <c r="C22" s="1" t="s">
        <v>133</v>
      </c>
      <c r="D22" s="1" t="s">
        <v>121</v>
      </c>
      <c r="E22" s="10" t="str">
        <f>+CONCATENATE(Datos_General[[#This Row],[Eq.Local]], "-", Datos_General[[#This Row],[Eq.Visitante]])</f>
        <v>Conxo Santiago B-C.D. Lérez</v>
      </c>
      <c r="F22" s="1" t="s">
        <v>157</v>
      </c>
      <c r="G22" s="1" t="s">
        <v>57</v>
      </c>
      <c r="H22" s="1" t="s">
        <v>43</v>
      </c>
      <c r="I22" s="1">
        <v>0</v>
      </c>
      <c r="J22" s="1">
        <v>2</v>
      </c>
      <c r="K22" s="10" t="str">
        <f>+CONCATENATE(Datos_General[[#This Row],[Goles a Favor_Eq_local]],"-",Datos_General[[#This Row],[Gol a Favor_Eq_Visitante]])</f>
        <v>0-2</v>
      </c>
      <c r="L22" s="1" t="s">
        <v>133</v>
      </c>
      <c r="M22" s="1">
        <v>5</v>
      </c>
      <c r="N22" s="2" t="s">
        <v>146</v>
      </c>
      <c r="O22" s="1">
        <v>1</v>
      </c>
      <c r="P22" s="1" t="s">
        <v>2</v>
      </c>
      <c r="Q22" s="22">
        <v>1</v>
      </c>
      <c r="R22" s="9">
        <v>1</v>
      </c>
      <c r="S22" s="1">
        <v>90</v>
      </c>
      <c r="T22" s="1">
        <v>0</v>
      </c>
      <c r="U22" s="1">
        <f>90-Datos_General[[#This Row],[Minutos Jugados]]</f>
        <v>0</v>
      </c>
      <c r="V22" s="1">
        <v>0</v>
      </c>
      <c r="W22" s="1">
        <v>0</v>
      </c>
      <c r="X22" s="1">
        <v>2</v>
      </c>
      <c r="Y22" s="10">
        <f>+IF(Datos_General[[#This Row],[Resultado]]="Victoria", "3", IF(Datos_General[[#This Row],[Resultado]]="Empate","1",0))</f>
        <v>0</v>
      </c>
      <c r="Z22" s="11">
        <f>+Datos_General[[#This Row],[Minutos Jugados]]*Datos_General[[#This Row],[Puntos Jug_Campo]]</f>
        <v>0</v>
      </c>
      <c r="AA2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2" s="10" t="str">
        <f>+IF(Datos_General[[#This Row],[Resultado Jug_Campo]] = "Empate", "1",IF(Datos_General[[#This Row],[Resultado Jug_Campo]] = "Victoria", "3","0"))</f>
        <v>0</v>
      </c>
    </row>
    <row r="23" spans="1:36">
      <c r="A23" s="1">
        <v>2</v>
      </c>
      <c r="B23" s="6">
        <v>45921</v>
      </c>
      <c r="C23" s="1" t="s">
        <v>133</v>
      </c>
      <c r="D23" s="1" t="s">
        <v>121</v>
      </c>
      <c r="E23" s="10" t="str">
        <f>+CONCATENATE(Datos_General[[#This Row],[Eq.Local]], "-", Datos_General[[#This Row],[Eq.Visitante]])</f>
        <v>Conxo Santiago B-C.D. Lérez</v>
      </c>
      <c r="F23" s="1" t="s">
        <v>157</v>
      </c>
      <c r="G23" s="1" t="s">
        <v>57</v>
      </c>
      <c r="H23" s="1" t="s">
        <v>43</v>
      </c>
      <c r="I23" s="1">
        <v>0</v>
      </c>
      <c r="J23" s="1">
        <v>2</v>
      </c>
      <c r="K23" s="10" t="str">
        <f>+CONCATENATE(Datos_General[[#This Row],[Goles a Favor_Eq_local]],"-",Datos_General[[#This Row],[Gol a Favor_Eq_Visitante]])</f>
        <v>0-2</v>
      </c>
      <c r="L23" s="1" t="s">
        <v>133</v>
      </c>
      <c r="M23" s="1">
        <v>6</v>
      </c>
      <c r="N23" s="2" t="s">
        <v>142</v>
      </c>
      <c r="O23" s="1">
        <v>1</v>
      </c>
      <c r="P23" s="1" t="s">
        <v>2</v>
      </c>
      <c r="Q23" s="22">
        <v>1</v>
      </c>
      <c r="R23" s="9">
        <v>1</v>
      </c>
      <c r="S23" s="1">
        <v>90</v>
      </c>
      <c r="T23" s="1">
        <v>0</v>
      </c>
      <c r="U23" s="1">
        <f>90-Datos_General[[#This Row],[Minutos Jugados]]</f>
        <v>0</v>
      </c>
      <c r="V23" s="1">
        <v>0</v>
      </c>
      <c r="W23" s="1">
        <v>0</v>
      </c>
      <c r="X23" s="1">
        <v>2</v>
      </c>
      <c r="Y23" s="10">
        <f>+IF(Datos_General[[#This Row],[Resultado]]="Victoria", "3", IF(Datos_General[[#This Row],[Resultado]]="Empate","1",0))</f>
        <v>0</v>
      </c>
      <c r="Z23" s="11">
        <f>+Datos_General[[#This Row],[Minutos Jugados]]*Datos_General[[#This Row],[Puntos Jug_Campo]]</f>
        <v>0</v>
      </c>
      <c r="AA2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3" s="10" t="str">
        <f>+IF(Datos_General[[#This Row],[Resultado Jug_Campo]] = "Empate", "1",IF(Datos_General[[#This Row],[Resultado Jug_Campo]] = "Victoria", "3","0"))</f>
        <v>0</v>
      </c>
    </row>
    <row r="24" spans="1:36">
      <c r="A24" s="1">
        <v>2</v>
      </c>
      <c r="B24" s="6">
        <v>45921</v>
      </c>
      <c r="C24" s="1" t="s">
        <v>133</v>
      </c>
      <c r="D24" s="1" t="s">
        <v>121</v>
      </c>
      <c r="E24" s="10" t="str">
        <f>+CONCATENATE(Datos_General[[#This Row],[Eq.Local]], "-", Datos_General[[#This Row],[Eq.Visitante]])</f>
        <v>Conxo Santiago B-C.D. Lérez</v>
      </c>
      <c r="F24" s="1" t="s">
        <v>157</v>
      </c>
      <c r="G24" s="1" t="s">
        <v>57</v>
      </c>
      <c r="H24" s="1" t="s">
        <v>43</v>
      </c>
      <c r="I24" s="1">
        <v>0</v>
      </c>
      <c r="J24" s="1">
        <v>2</v>
      </c>
      <c r="K24" s="10" t="str">
        <f>+CONCATENATE(Datos_General[[#This Row],[Goles a Favor_Eq_local]],"-",Datos_General[[#This Row],[Gol a Favor_Eq_Visitante]])</f>
        <v>0-2</v>
      </c>
      <c r="L24" s="1" t="s">
        <v>133</v>
      </c>
      <c r="M24" s="1">
        <v>7</v>
      </c>
      <c r="N24" s="2" t="s">
        <v>154</v>
      </c>
      <c r="O24" s="1">
        <v>1</v>
      </c>
      <c r="P24" s="1" t="s">
        <v>2</v>
      </c>
      <c r="Q24" s="22">
        <v>1</v>
      </c>
      <c r="R24" s="9">
        <v>1</v>
      </c>
      <c r="S24" s="1">
        <v>67</v>
      </c>
      <c r="T24" s="2" t="s">
        <v>150</v>
      </c>
      <c r="U24" s="1">
        <f>90-Datos_General[[#This Row],[Minutos Jugados]]</f>
        <v>23</v>
      </c>
      <c r="V24" s="1">
        <v>0</v>
      </c>
      <c r="W24" s="1">
        <v>0</v>
      </c>
      <c r="X24" s="1">
        <v>1</v>
      </c>
      <c r="Y24" s="10">
        <f>+IF(Datos_General[[#This Row],[Resultado]]="Victoria", "3", IF(Datos_General[[#This Row],[Resultado]]="Empate","1",0))</f>
        <v>0</v>
      </c>
      <c r="Z24" s="11">
        <f>+Datos_General[[#This Row],[Minutos Jugados]]*Datos_General[[#This Row],[Puntos Jug_Campo]]</f>
        <v>0</v>
      </c>
      <c r="AA2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4" s="10" t="str">
        <f>+IF(Datos_General[[#This Row],[Resultado Jug_Campo]] = "Empate", "1",IF(Datos_General[[#This Row],[Resultado Jug_Campo]] = "Victoria", "3","0"))</f>
        <v>0</v>
      </c>
    </row>
    <row r="25" spans="1:36">
      <c r="A25" s="1">
        <v>2</v>
      </c>
      <c r="B25" s="6">
        <v>45921</v>
      </c>
      <c r="C25" s="1" t="s">
        <v>133</v>
      </c>
      <c r="D25" s="1" t="s">
        <v>121</v>
      </c>
      <c r="E25" s="10" t="str">
        <f>+CONCATENATE(Datos_General[[#This Row],[Eq.Local]], "-", Datos_General[[#This Row],[Eq.Visitante]])</f>
        <v>Conxo Santiago B-C.D. Lérez</v>
      </c>
      <c r="F25" s="1" t="s">
        <v>157</v>
      </c>
      <c r="G25" s="1" t="s">
        <v>57</v>
      </c>
      <c r="H25" s="1" t="s">
        <v>43</v>
      </c>
      <c r="I25" s="1">
        <v>0</v>
      </c>
      <c r="J25" s="1">
        <v>2</v>
      </c>
      <c r="K25" s="10" t="str">
        <f>+CONCATENATE(Datos_General[[#This Row],[Goles a Favor_Eq_local]],"-",Datos_General[[#This Row],[Gol a Favor_Eq_Visitante]])</f>
        <v>0-2</v>
      </c>
      <c r="L25" s="1" t="s">
        <v>133</v>
      </c>
      <c r="M25" s="1">
        <v>8</v>
      </c>
      <c r="N25" s="2" t="s">
        <v>155</v>
      </c>
      <c r="O25" s="1">
        <v>1</v>
      </c>
      <c r="P25" s="1" t="s">
        <v>2</v>
      </c>
      <c r="Q25" s="22">
        <v>1</v>
      </c>
      <c r="R25" s="9">
        <v>1</v>
      </c>
      <c r="S25" s="1">
        <v>67</v>
      </c>
      <c r="T25" s="1" t="s">
        <v>152</v>
      </c>
      <c r="U25" s="1">
        <f>90-Datos_General[[#This Row],[Minutos Jugados]]</f>
        <v>23</v>
      </c>
      <c r="V25" s="1">
        <v>0</v>
      </c>
      <c r="W25" s="1">
        <v>0</v>
      </c>
      <c r="X25" s="1">
        <v>1</v>
      </c>
      <c r="Y25" s="10">
        <f>+IF(Datos_General[[#This Row],[Resultado]]="Victoria", "3", IF(Datos_General[[#This Row],[Resultado]]="Empate","1",0))</f>
        <v>0</v>
      </c>
      <c r="Z25" s="11">
        <f>+Datos_General[[#This Row],[Minutos Jugados]]*Datos_General[[#This Row],[Puntos Jug_Campo]]</f>
        <v>0</v>
      </c>
      <c r="AA2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5" s="10" t="str">
        <f>+IF(Datos_General[[#This Row],[Resultado Jug_Campo]] = "Empate", "1",IF(Datos_General[[#This Row],[Resultado Jug_Campo]] = "Victoria", "3","0"))</f>
        <v>0</v>
      </c>
    </row>
    <row r="26" spans="1:36">
      <c r="A26" s="1">
        <v>2</v>
      </c>
      <c r="B26" s="6">
        <v>45921</v>
      </c>
      <c r="C26" s="1" t="s">
        <v>133</v>
      </c>
      <c r="D26" s="1" t="s">
        <v>121</v>
      </c>
      <c r="E26" s="10" t="str">
        <f>+CONCATENATE(Datos_General[[#This Row],[Eq.Local]], "-", Datos_General[[#This Row],[Eq.Visitante]])</f>
        <v>Conxo Santiago B-C.D. Lérez</v>
      </c>
      <c r="F26" s="1" t="s">
        <v>157</v>
      </c>
      <c r="G26" s="1" t="s">
        <v>57</v>
      </c>
      <c r="H26" s="1" t="s">
        <v>43</v>
      </c>
      <c r="I26" s="1">
        <v>0</v>
      </c>
      <c r="J26" s="1">
        <v>2</v>
      </c>
      <c r="K26" s="10" t="str">
        <f>+CONCATENATE(Datos_General[[#This Row],[Goles a Favor_Eq_local]],"-",Datos_General[[#This Row],[Gol a Favor_Eq_Visitante]])</f>
        <v>0-2</v>
      </c>
      <c r="L26" s="1" t="s">
        <v>133</v>
      </c>
      <c r="M26" s="1">
        <v>9</v>
      </c>
      <c r="N26" s="2" t="s">
        <v>149</v>
      </c>
      <c r="O26" s="1">
        <v>1</v>
      </c>
      <c r="P26" s="1" t="s">
        <v>2</v>
      </c>
      <c r="Q26" s="22">
        <v>1</v>
      </c>
      <c r="R26" s="9">
        <v>1</v>
      </c>
      <c r="S26" s="1">
        <v>60</v>
      </c>
      <c r="T26" s="2" t="s">
        <v>156</v>
      </c>
      <c r="U26" s="1">
        <f>90-Datos_General[[#This Row],[Minutos Jugados]]</f>
        <v>30</v>
      </c>
      <c r="V26" s="1">
        <v>0</v>
      </c>
      <c r="W26" s="1">
        <v>0</v>
      </c>
      <c r="X26" s="1">
        <v>1</v>
      </c>
      <c r="Y26" s="10">
        <f>+IF(Datos_General[[#This Row],[Resultado]]="Victoria", "3", IF(Datos_General[[#This Row],[Resultado]]="Empate","1",0))</f>
        <v>0</v>
      </c>
      <c r="Z26" s="11">
        <f>+Datos_General[[#This Row],[Minutos Jugados]]*Datos_General[[#This Row],[Puntos Jug_Campo]]</f>
        <v>0</v>
      </c>
      <c r="AA2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6" s="10" t="str">
        <f>+IF(Datos_General[[#This Row],[Resultado Jug_Campo]] = "Empate", "1",IF(Datos_General[[#This Row],[Resultado Jug_Campo]] = "Victoria", "3","0"))</f>
        <v>0</v>
      </c>
    </row>
    <row r="27" spans="1:36">
      <c r="A27" s="1">
        <v>2</v>
      </c>
      <c r="B27" s="6">
        <v>45921</v>
      </c>
      <c r="C27" s="1" t="s">
        <v>133</v>
      </c>
      <c r="D27" s="1" t="s">
        <v>121</v>
      </c>
      <c r="E27" s="10" t="str">
        <f>+CONCATENATE(Datos_General[[#This Row],[Eq.Local]], "-", Datos_General[[#This Row],[Eq.Visitante]])</f>
        <v>Conxo Santiago B-C.D. Lérez</v>
      </c>
      <c r="F27" s="1" t="s">
        <v>157</v>
      </c>
      <c r="G27" s="1" t="s">
        <v>57</v>
      </c>
      <c r="H27" s="1" t="s">
        <v>43</v>
      </c>
      <c r="I27" s="1">
        <v>0</v>
      </c>
      <c r="J27" s="1">
        <v>2</v>
      </c>
      <c r="K27" s="10" t="str">
        <f>+CONCATENATE(Datos_General[[#This Row],[Goles a Favor_Eq_local]],"-",Datos_General[[#This Row],[Gol a Favor_Eq_Visitante]])</f>
        <v>0-2</v>
      </c>
      <c r="L27" s="1" t="s">
        <v>133</v>
      </c>
      <c r="M27" s="1">
        <v>10</v>
      </c>
      <c r="N27" s="2" t="s">
        <v>147</v>
      </c>
      <c r="O27" s="1">
        <v>1</v>
      </c>
      <c r="P27" s="1" t="s">
        <v>2</v>
      </c>
      <c r="Q27" s="22">
        <v>1</v>
      </c>
      <c r="R27" s="9">
        <v>1</v>
      </c>
      <c r="S27" s="1">
        <v>60</v>
      </c>
      <c r="T27" s="1" t="s">
        <v>151</v>
      </c>
      <c r="U27" s="1">
        <f>90-Datos_General[[#This Row],[Minutos Jugados]]</f>
        <v>30</v>
      </c>
      <c r="V27" s="1">
        <v>0</v>
      </c>
      <c r="W27" s="1">
        <v>0</v>
      </c>
      <c r="X27" s="1">
        <v>1</v>
      </c>
      <c r="Y27" s="10">
        <f>+IF(Datos_General[[#This Row],[Resultado]]="Victoria", "3", IF(Datos_General[[#This Row],[Resultado]]="Empate","1",0))</f>
        <v>0</v>
      </c>
      <c r="Z27" s="11">
        <f>+Datos_General[[#This Row],[Minutos Jugados]]*Datos_General[[#This Row],[Puntos Jug_Campo]]</f>
        <v>0</v>
      </c>
      <c r="AA2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7" s="10" t="str">
        <f>+IF(Datos_General[[#This Row],[Resultado Jug_Campo]] = "Empate", "1",IF(Datos_General[[#This Row],[Resultado Jug_Campo]] = "Victoria", "3","0"))</f>
        <v>0</v>
      </c>
    </row>
    <row r="28" spans="1:36">
      <c r="A28" s="1">
        <v>2</v>
      </c>
      <c r="B28" s="6">
        <v>45921</v>
      </c>
      <c r="C28" s="1" t="s">
        <v>133</v>
      </c>
      <c r="D28" s="1" t="s">
        <v>121</v>
      </c>
      <c r="E28" s="10" t="str">
        <f>+CONCATENATE(Datos_General[[#This Row],[Eq.Local]], "-", Datos_General[[#This Row],[Eq.Visitante]])</f>
        <v>Conxo Santiago B-C.D. Lérez</v>
      </c>
      <c r="F28" s="1" t="s">
        <v>157</v>
      </c>
      <c r="G28" s="1" t="s">
        <v>57</v>
      </c>
      <c r="H28" s="1" t="s">
        <v>43</v>
      </c>
      <c r="I28" s="1">
        <v>0</v>
      </c>
      <c r="J28" s="1">
        <v>2</v>
      </c>
      <c r="K28" s="10" t="str">
        <f>+CONCATENATE(Datos_General[[#This Row],[Goles a Favor_Eq_local]],"-",Datos_General[[#This Row],[Gol a Favor_Eq_Visitante]])</f>
        <v>0-2</v>
      </c>
      <c r="L28" s="1" t="s">
        <v>133</v>
      </c>
      <c r="M28" s="1">
        <v>11</v>
      </c>
      <c r="N28" s="2" t="s">
        <v>143</v>
      </c>
      <c r="O28" s="1">
        <v>1</v>
      </c>
      <c r="P28" s="1" t="s">
        <v>2</v>
      </c>
      <c r="Q28" s="22">
        <v>1</v>
      </c>
      <c r="R28" s="9">
        <v>1</v>
      </c>
      <c r="S28" s="1">
        <v>90</v>
      </c>
      <c r="T28" s="1">
        <v>0</v>
      </c>
      <c r="U28" s="1">
        <f>90-Datos_General[[#This Row],[Minutos Jugados]]</f>
        <v>0</v>
      </c>
      <c r="V28" s="1">
        <v>0</v>
      </c>
      <c r="W28" s="1">
        <v>0</v>
      </c>
      <c r="X28" s="1">
        <v>2</v>
      </c>
      <c r="Y28" s="10">
        <f>+IF(Datos_General[[#This Row],[Resultado]]="Victoria", "3", IF(Datos_General[[#This Row],[Resultado]]="Empate","1",0))</f>
        <v>0</v>
      </c>
      <c r="Z28" s="11">
        <f>+Datos_General[[#This Row],[Minutos Jugados]]*Datos_General[[#This Row],[Puntos Jug_Campo]]</f>
        <v>0</v>
      </c>
      <c r="AA2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8" s="10" t="str">
        <f>+IF(Datos_General[[#This Row],[Resultado Jug_Campo]] = "Empate", "1",IF(Datos_General[[#This Row],[Resultado Jug_Campo]] = "Victoria", "3","0"))</f>
        <v>0</v>
      </c>
    </row>
    <row r="29" spans="1:36">
      <c r="A29" s="1">
        <v>2</v>
      </c>
      <c r="B29" s="6">
        <v>45921</v>
      </c>
      <c r="C29" s="1" t="s">
        <v>133</v>
      </c>
      <c r="D29" s="1" t="s">
        <v>121</v>
      </c>
      <c r="E29" s="10" t="str">
        <f>+CONCATENATE(Datos_General[[#This Row],[Eq.Local]], "-", Datos_General[[#This Row],[Eq.Visitante]])</f>
        <v>Conxo Santiago B-C.D. Lérez</v>
      </c>
      <c r="F29" s="1" t="s">
        <v>157</v>
      </c>
      <c r="G29" s="1" t="s">
        <v>57</v>
      </c>
      <c r="H29" s="1" t="s">
        <v>43</v>
      </c>
      <c r="I29" s="1">
        <v>0</v>
      </c>
      <c r="J29" s="1">
        <v>2</v>
      </c>
      <c r="K29" s="10" t="str">
        <f>+CONCATENATE(Datos_General[[#This Row],[Goles a Favor_Eq_local]],"-",Datos_General[[#This Row],[Gol a Favor_Eq_Visitante]])</f>
        <v>0-2</v>
      </c>
      <c r="L29" s="1" t="s">
        <v>133</v>
      </c>
      <c r="M29" s="1">
        <v>13</v>
      </c>
      <c r="N29" s="2" t="s">
        <v>137</v>
      </c>
      <c r="O29" s="1">
        <v>1</v>
      </c>
      <c r="P29" s="1" t="s">
        <v>70</v>
      </c>
      <c r="Q29" s="7">
        <f>+IF(Datos_General[[#This Row],[Minutos Jugados]]&gt;0, 1, 0)</f>
        <v>0</v>
      </c>
      <c r="R29" s="23">
        <v>0</v>
      </c>
      <c r="S29" s="8">
        <f>IFERROR(IF(MATCH(N29,$T$18:$T$33,0), INDEX($U$18:$U$33,MATCH(N29,$T$18:$T$33,0))),0)</f>
        <v>0</v>
      </c>
      <c r="T29" s="1">
        <v>0</v>
      </c>
      <c r="U29" s="1">
        <f>90-Datos_General[[#This Row],[Minutos Jugados]]</f>
        <v>90</v>
      </c>
      <c r="V29" s="1">
        <v>0</v>
      </c>
      <c r="W29" s="1">
        <v>0</v>
      </c>
      <c r="X29" s="1">
        <v>0</v>
      </c>
      <c r="Y29" s="10">
        <f>+IF(Datos_General[[#This Row],[Resultado]]="Victoria", "3", IF(Datos_General[[#This Row],[Resultado]]="Empate","1",0))</f>
        <v>0</v>
      </c>
      <c r="Z29" s="11">
        <f>+Datos_General[[#This Row],[Minutos Jugados]]*Datos_General[[#This Row],[Puntos Jug_Campo]]</f>
        <v>0</v>
      </c>
      <c r="AA2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29" s="10" t="str">
        <f>+IF(Datos_General[[#This Row],[Resultado Jug_Campo]] = "Empate", "1",IF(Datos_General[[#This Row],[Resultado Jug_Campo]] = "Victoria", "3","0"))</f>
        <v>0</v>
      </c>
    </row>
    <row r="30" spans="1:36">
      <c r="A30" s="1">
        <v>2</v>
      </c>
      <c r="B30" s="6">
        <v>45921</v>
      </c>
      <c r="C30" s="1" t="s">
        <v>133</v>
      </c>
      <c r="D30" s="1" t="s">
        <v>121</v>
      </c>
      <c r="E30" s="10" t="str">
        <f>+CONCATENATE(Datos_General[[#This Row],[Eq.Local]], "-", Datos_General[[#This Row],[Eq.Visitante]])</f>
        <v>Conxo Santiago B-C.D. Lérez</v>
      </c>
      <c r="F30" s="1" t="s">
        <v>157</v>
      </c>
      <c r="G30" s="1" t="s">
        <v>57</v>
      </c>
      <c r="H30" s="1" t="s">
        <v>43</v>
      </c>
      <c r="I30" s="1">
        <v>0</v>
      </c>
      <c r="J30" s="1">
        <v>2</v>
      </c>
      <c r="K30" s="10" t="str">
        <f>+CONCATENATE(Datos_General[[#This Row],[Goles a Favor_Eq_local]],"-",Datos_General[[#This Row],[Gol a Favor_Eq_Visitante]])</f>
        <v>0-2</v>
      </c>
      <c r="L30" s="1" t="s">
        <v>133</v>
      </c>
      <c r="M30" s="1">
        <v>12</v>
      </c>
      <c r="N30" s="1" t="s">
        <v>151</v>
      </c>
      <c r="O30" s="1">
        <v>1</v>
      </c>
      <c r="P30" s="1" t="s">
        <v>70</v>
      </c>
      <c r="Q30" s="7">
        <f>+IF(Datos_General[[#This Row],[Minutos Jugados]]&gt;0, 1, 0)</f>
        <v>1</v>
      </c>
      <c r="R30" s="23">
        <v>0</v>
      </c>
      <c r="S30" s="8">
        <f>IFERROR(IF(MATCH(N30,$T$18:$T$33,0), INDEX($U$18:$U$33,MATCH(N30,$T$18:$T$33,0))),0)</f>
        <v>30</v>
      </c>
      <c r="T30" s="1">
        <v>0</v>
      </c>
      <c r="U30" s="1">
        <f>90-Datos_General[[#This Row],[Minutos Jugados]]</f>
        <v>60</v>
      </c>
      <c r="V30" s="1">
        <v>0</v>
      </c>
      <c r="W30" s="1">
        <v>0</v>
      </c>
      <c r="X30" s="1">
        <v>1</v>
      </c>
      <c r="Y30" s="10">
        <f>+IF(Datos_General[[#This Row],[Resultado]]="Victoria", "3", IF(Datos_General[[#This Row],[Resultado]]="Empate","1",0))</f>
        <v>0</v>
      </c>
      <c r="Z30" s="11">
        <f>+Datos_General[[#This Row],[Minutos Jugados]]*Datos_General[[#This Row],[Puntos Jug_Campo]]</f>
        <v>0</v>
      </c>
      <c r="AA3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0" s="12" t="str">
        <f>+IF(Datos_General[[#This Row],[Resultado Jug_Campo]] = "Empate", "1",IF(Datos_General[[#This Row],[Resultado Jug_Campo]] = "Victoria", "3","0"))</f>
        <v>0</v>
      </c>
    </row>
    <row r="31" spans="1:36">
      <c r="A31" s="1">
        <v>2</v>
      </c>
      <c r="B31" s="6">
        <v>45921</v>
      </c>
      <c r="C31" s="1" t="s">
        <v>133</v>
      </c>
      <c r="D31" s="1" t="s">
        <v>121</v>
      </c>
      <c r="E31" s="10" t="str">
        <f>+CONCATENATE(Datos_General[[#This Row],[Eq.Local]], "-", Datos_General[[#This Row],[Eq.Visitante]])</f>
        <v>Conxo Santiago B-C.D. Lérez</v>
      </c>
      <c r="F31" s="1" t="s">
        <v>157</v>
      </c>
      <c r="G31" s="1" t="s">
        <v>57</v>
      </c>
      <c r="H31" s="1" t="s">
        <v>43</v>
      </c>
      <c r="I31" s="1">
        <v>0</v>
      </c>
      <c r="J31" s="1">
        <v>2</v>
      </c>
      <c r="K31" s="10" t="str">
        <f>+CONCATENATE(Datos_General[[#This Row],[Goles a Favor_Eq_local]],"-",Datos_General[[#This Row],[Gol a Favor_Eq_Visitante]])</f>
        <v>0-2</v>
      </c>
      <c r="L31" s="1" t="s">
        <v>133</v>
      </c>
      <c r="M31" s="1">
        <v>14</v>
      </c>
      <c r="N31" s="2" t="s">
        <v>150</v>
      </c>
      <c r="O31" s="1">
        <v>1</v>
      </c>
      <c r="P31" s="1" t="s">
        <v>70</v>
      </c>
      <c r="Q31" s="7">
        <f>+IF(Datos_General[[#This Row],[Minutos Jugados]]&gt;0, 1, 0)</f>
        <v>1</v>
      </c>
      <c r="R31" s="23">
        <v>0</v>
      </c>
      <c r="S31" s="8">
        <f>IFERROR(IF(MATCH(N31,$T$18:$T$33,0), INDEX($U$18:$U$33,MATCH(N31,$T$18:$T$33,0))),0)</f>
        <v>23</v>
      </c>
      <c r="T31" s="1">
        <v>0</v>
      </c>
      <c r="U31" s="1">
        <f>90-Datos_General[[#This Row],[Minutos Jugados]]</f>
        <v>67</v>
      </c>
      <c r="V31" s="1">
        <v>0</v>
      </c>
      <c r="W31" s="1">
        <v>0</v>
      </c>
      <c r="X31" s="1">
        <v>1</v>
      </c>
      <c r="Y31" s="10">
        <f>+IF(Datos_General[[#This Row],[Resultado]]="Victoria", "3", IF(Datos_General[[#This Row],[Resultado]]="Empate","1",0))</f>
        <v>0</v>
      </c>
      <c r="Z31" s="11">
        <f>+Datos_General[[#This Row],[Minutos Jugados]]*Datos_General[[#This Row],[Puntos Jug_Campo]]</f>
        <v>0</v>
      </c>
      <c r="AA3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1" s="10" t="str">
        <f>+IF(Datos_General[[#This Row],[Resultado Jug_Campo]] = "Empate", "1",IF(Datos_General[[#This Row],[Resultado Jug_Campo]] = "Victoria", "3","0"))</f>
        <v>0</v>
      </c>
    </row>
    <row r="32" spans="1:36">
      <c r="A32" s="1">
        <v>2</v>
      </c>
      <c r="B32" s="6">
        <v>45921</v>
      </c>
      <c r="C32" s="1" t="s">
        <v>133</v>
      </c>
      <c r="D32" s="1" t="s">
        <v>121</v>
      </c>
      <c r="E32" s="10" t="str">
        <f>+CONCATENATE(Datos_General[[#This Row],[Eq.Local]], "-", Datos_General[[#This Row],[Eq.Visitante]])</f>
        <v>Conxo Santiago B-C.D. Lérez</v>
      </c>
      <c r="F32" s="1" t="s">
        <v>157</v>
      </c>
      <c r="G32" s="1" t="s">
        <v>57</v>
      </c>
      <c r="H32" s="1" t="s">
        <v>43</v>
      </c>
      <c r="I32" s="1">
        <v>0</v>
      </c>
      <c r="J32" s="1">
        <v>2</v>
      </c>
      <c r="K32" s="10" t="str">
        <f>+CONCATENATE(Datos_General[[#This Row],[Goles a Favor_Eq_local]],"-",Datos_General[[#This Row],[Gol a Favor_Eq_Visitante]])</f>
        <v>0-2</v>
      </c>
      <c r="L32" s="1" t="s">
        <v>133</v>
      </c>
      <c r="M32" s="1">
        <v>15</v>
      </c>
      <c r="N32" s="2" t="s">
        <v>156</v>
      </c>
      <c r="O32" s="1">
        <v>1</v>
      </c>
      <c r="P32" s="1" t="s">
        <v>70</v>
      </c>
      <c r="Q32" s="7">
        <f>+IF(Datos_General[[#This Row],[Minutos Jugados]]&gt;0, 1, 0)</f>
        <v>1</v>
      </c>
      <c r="R32" s="23">
        <v>0</v>
      </c>
      <c r="S32" s="8">
        <f>IFERROR(IF(MATCH(N32,$T$18:$T$33,0), INDEX($U$18:$U$33,MATCH(N32,$T$18:$T$33,0))),0)</f>
        <v>30</v>
      </c>
      <c r="T32" s="1">
        <v>0</v>
      </c>
      <c r="U32" s="1">
        <f>90-Datos_General[[#This Row],[Minutos Jugados]]</f>
        <v>60</v>
      </c>
      <c r="V32" s="1">
        <v>0</v>
      </c>
      <c r="W32" s="1">
        <v>0</v>
      </c>
      <c r="X32" s="1">
        <v>1</v>
      </c>
      <c r="Y32" s="10">
        <f>+IF(Datos_General[[#This Row],[Resultado]]="Victoria", "3", IF(Datos_General[[#This Row],[Resultado]]="Empate","1",0))</f>
        <v>0</v>
      </c>
      <c r="Z32" s="11">
        <f>+Datos_General[[#This Row],[Minutos Jugados]]*Datos_General[[#This Row],[Puntos Jug_Campo]]</f>
        <v>0</v>
      </c>
      <c r="AA3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" s="10" t="str">
        <f>+IF(Datos_General[[#This Row],[Resultado Jug_Campo]] = "Empate", "1",IF(Datos_General[[#This Row],[Resultado Jug_Campo]] = "Victoria", "3","0"))</f>
        <v>0</v>
      </c>
    </row>
    <row r="33" spans="1:28">
      <c r="A33" s="1">
        <v>2</v>
      </c>
      <c r="B33" s="6">
        <v>45921</v>
      </c>
      <c r="C33" s="1" t="s">
        <v>133</v>
      </c>
      <c r="D33" s="1" t="s">
        <v>121</v>
      </c>
      <c r="E33" s="10" t="str">
        <f>+CONCATENATE(Datos_General[[#This Row],[Eq.Local]], "-", Datos_General[[#This Row],[Eq.Visitante]])</f>
        <v>Conxo Santiago B-C.D. Lérez</v>
      </c>
      <c r="F33" s="1" t="s">
        <v>157</v>
      </c>
      <c r="G33" s="1" t="s">
        <v>57</v>
      </c>
      <c r="H33" s="1" t="s">
        <v>43</v>
      </c>
      <c r="I33" s="1">
        <v>0</v>
      </c>
      <c r="J33" s="1">
        <v>2</v>
      </c>
      <c r="K33" s="10" t="str">
        <f>+CONCATENATE(Datos_General[[#This Row],[Goles a Favor_Eq_local]],"-",Datos_General[[#This Row],[Gol a Favor_Eq_Visitante]])</f>
        <v>0-2</v>
      </c>
      <c r="L33" s="1" t="s">
        <v>133</v>
      </c>
      <c r="M33" s="1">
        <v>16</v>
      </c>
      <c r="N33" s="1" t="s">
        <v>152</v>
      </c>
      <c r="O33" s="1">
        <v>1</v>
      </c>
      <c r="P33" s="1" t="s">
        <v>70</v>
      </c>
      <c r="Q33" s="7">
        <f>+IF(Datos_General[[#This Row],[Minutos Jugados]]&gt;0, 1, 0)</f>
        <v>1</v>
      </c>
      <c r="R33" s="23">
        <v>0</v>
      </c>
      <c r="S33" s="8">
        <f>IFERROR(IF(MATCH(N33,$T$18:$T$33,0), INDEX($U$18:$U$33,MATCH(N33,$T$18:$T$33,0))),0)</f>
        <v>23</v>
      </c>
      <c r="T33" s="1">
        <v>0</v>
      </c>
      <c r="U33" s="1">
        <f>90-Datos_General[[#This Row],[Minutos Jugados]]</f>
        <v>67</v>
      </c>
      <c r="V33" s="1">
        <v>0</v>
      </c>
      <c r="W33" s="1">
        <v>0</v>
      </c>
      <c r="X33" s="1">
        <v>1</v>
      </c>
      <c r="Y33" s="10">
        <f>+IF(Datos_General[[#This Row],[Resultado]]="Victoria", "3", IF(Datos_General[[#This Row],[Resultado]]="Empate","1",0))</f>
        <v>0</v>
      </c>
      <c r="Z33" s="11">
        <f>+Datos_General[[#This Row],[Minutos Jugados]]*Datos_General[[#This Row],[Puntos Jug_Campo]]</f>
        <v>0</v>
      </c>
      <c r="AA3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3" s="10" t="str">
        <f>+IF(Datos_General[[#This Row],[Resultado Jug_Campo]] = "Empate", "1",IF(Datos_General[[#This Row],[Resultado Jug_Campo]] = "Victoria", "3","0"))</f>
        <v>0</v>
      </c>
    </row>
    <row r="34" spans="1:28">
      <c r="A34" s="1">
        <v>3</v>
      </c>
      <c r="B34" s="6">
        <v>45927</v>
      </c>
      <c r="C34" s="1" t="s">
        <v>134</v>
      </c>
      <c r="D34" s="1" t="s">
        <v>133</v>
      </c>
      <c r="E34" s="10" t="str">
        <f>+CONCATENATE(Datos_General[[#This Row],[Eq.Local]], "-", Datos_General[[#This Row],[Eq.Visitante]])</f>
        <v>Céltiga F.C.-Conxo Santiago B</v>
      </c>
      <c r="F34" s="1" t="s">
        <v>158</v>
      </c>
      <c r="G34" s="1" t="s">
        <v>58</v>
      </c>
      <c r="H34" s="1" t="s">
        <v>43</v>
      </c>
      <c r="I34" s="1">
        <v>1</v>
      </c>
      <c r="J34" s="1">
        <v>0</v>
      </c>
      <c r="K34" s="10" t="str">
        <f>+CONCATENATE(Datos_General[[#This Row],[Goles a Favor_Eq_local]],"-",Datos_General[[#This Row],[Gol a Favor_Eq_Visitante]])</f>
        <v>1-0</v>
      </c>
      <c r="L34" s="1" t="s">
        <v>133</v>
      </c>
      <c r="M34" s="1">
        <v>1</v>
      </c>
      <c r="N34" s="1" t="s">
        <v>148</v>
      </c>
      <c r="O34" s="1">
        <v>1</v>
      </c>
      <c r="P34" s="1" t="s">
        <v>2</v>
      </c>
      <c r="Q34" s="22">
        <v>1</v>
      </c>
      <c r="R34" s="9">
        <v>1</v>
      </c>
      <c r="S34" s="1">
        <v>90</v>
      </c>
      <c r="U34" s="1">
        <f>90-Datos_General[[#This Row],[Minutos Jugados]]</f>
        <v>0</v>
      </c>
      <c r="V34" s="1">
        <v>0</v>
      </c>
      <c r="W34" s="1">
        <v>0</v>
      </c>
      <c r="X34" s="1">
        <v>1</v>
      </c>
      <c r="Y34" s="10">
        <f>+IF(Datos_General[[#This Row],[Resultado]]="Victoria", "3", IF(Datos_General[[#This Row],[Resultado]]="Empate","1",0))</f>
        <v>0</v>
      </c>
      <c r="Z34" s="11">
        <f>+Datos_General[[#This Row],[Minutos Jugados]]*Datos_General[[#This Row],[Puntos Jug_Campo]]</f>
        <v>0</v>
      </c>
      <c r="AA3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4" s="10" t="str">
        <f>+IF(Datos_General[[#This Row],[Resultado Jug_Campo]] = "Empate", "1",IF(Datos_General[[#This Row],[Resultado Jug_Campo]] = "Victoria", "3","0"))</f>
        <v>0</v>
      </c>
    </row>
    <row r="35" spans="1:28">
      <c r="A35" s="1">
        <v>3</v>
      </c>
      <c r="B35" s="6">
        <v>45927</v>
      </c>
      <c r="C35" s="1" t="s">
        <v>134</v>
      </c>
      <c r="D35" s="1" t="s">
        <v>133</v>
      </c>
      <c r="E35" s="10" t="str">
        <f>+CONCATENATE(Datos_General[[#This Row],[Eq.Local]], "-", Datos_General[[#This Row],[Eq.Visitante]])</f>
        <v>Céltiga F.C.-Conxo Santiago B</v>
      </c>
      <c r="F35" s="1" t="s">
        <v>158</v>
      </c>
      <c r="G35" s="1" t="s">
        <v>58</v>
      </c>
      <c r="H35" s="1" t="s">
        <v>43</v>
      </c>
      <c r="I35" s="1">
        <v>1</v>
      </c>
      <c r="J35" s="1">
        <v>0</v>
      </c>
      <c r="K35" s="10" t="str">
        <f>+CONCATENATE(Datos_General[[#This Row],[Goles a Favor_Eq_local]],"-",Datos_General[[#This Row],[Gol a Favor_Eq_Visitante]])</f>
        <v>1-0</v>
      </c>
      <c r="L35" s="1" t="s">
        <v>133</v>
      </c>
      <c r="M35" s="1">
        <v>2</v>
      </c>
      <c r="N35" s="1" t="s">
        <v>138</v>
      </c>
      <c r="O35" s="1">
        <v>1</v>
      </c>
      <c r="P35" s="1" t="s">
        <v>2</v>
      </c>
      <c r="Q35" s="22">
        <v>1</v>
      </c>
      <c r="R35" s="9">
        <v>1</v>
      </c>
      <c r="S35" s="1">
        <v>90</v>
      </c>
      <c r="U35" s="1">
        <f>90-Datos_General[[#This Row],[Minutos Jugados]]</f>
        <v>0</v>
      </c>
      <c r="V35" s="1">
        <v>0</v>
      </c>
      <c r="W35" s="1">
        <v>0</v>
      </c>
      <c r="X35" s="1">
        <v>1</v>
      </c>
      <c r="Y35" s="10">
        <f>+IF(Datos_General[[#This Row],[Resultado]]="Victoria", "3", IF(Datos_General[[#This Row],[Resultado]]="Empate","1",0))</f>
        <v>0</v>
      </c>
      <c r="Z35" s="11">
        <f>+Datos_General[[#This Row],[Minutos Jugados]]*Datos_General[[#This Row],[Puntos Jug_Campo]]</f>
        <v>0</v>
      </c>
      <c r="AA3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5" s="10" t="str">
        <f>+IF(Datos_General[[#This Row],[Resultado Jug_Campo]] = "Empate", "1",IF(Datos_General[[#This Row],[Resultado Jug_Campo]] = "Victoria", "3","0"))</f>
        <v>0</v>
      </c>
    </row>
    <row r="36" spans="1:28">
      <c r="A36" s="1">
        <v>3</v>
      </c>
      <c r="B36" s="6">
        <v>45927</v>
      </c>
      <c r="C36" s="1" t="s">
        <v>134</v>
      </c>
      <c r="D36" s="1" t="s">
        <v>133</v>
      </c>
      <c r="E36" s="10" t="str">
        <f>+CONCATENATE(Datos_General[[#This Row],[Eq.Local]], "-", Datos_General[[#This Row],[Eq.Visitante]])</f>
        <v>Céltiga F.C.-Conxo Santiago B</v>
      </c>
      <c r="F36" s="1" t="s">
        <v>158</v>
      </c>
      <c r="G36" s="1" t="s">
        <v>58</v>
      </c>
      <c r="H36" s="1" t="s">
        <v>43</v>
      </c>
      <c r="I36" s="1">
        <v>1</v>
      </c>
      <c r="J36" s="1">
        <v>0</v>
      </c>
      <c r="K36" s="10" t="str">
        <f>+CONCATENATE(Datos_General[[#This Row],[Goles a Favor_Eq_local]],"-",Datos_General[[#This Row],[Gol a Favor_Eq_Visitante]])</f>
        <v>1-0</v>
      </c>
      <c r="L36" s="1" t="s">
        <v>133</v>
      </c>
      <c r="M36" s="1">
        <v>3</v>
      </c>
      <c r="N36" s="1" t="s">
        <v>144</v>
      </c>
      <c r="O36" s="1">
        <v>1</v>
      </c>
      <c r="P36" s="1" t="s">
        <v>2</v>
      </c>
      <c r="Q36" s="22">
        <v>1</v>
      </c>
      <c r="R36" s="9">
        <v>1</v>
      </c>
      <c r="S36" s="1">
        <v>90</v>
      </c>
      <c r="U36" s="1">
        <f>90-Datos_General[[#This Row],[Minutos Jugados]]</f>
        <v>0</v>
      </c>
      <c r="V36" s="1">
        <v>0</v>
      </c>
      <c r="W36" s="1">
        <v>0</v>
      </c>
      <c r="X36" s="1">
        <v>1</v>
      </c>
      <c r="Y36" s="10">
        <f>+IF(Datos_General[[#This Row],[Resultado]]="Victoria", "3", IF(Datos_General[[#This Row],[Resultado]]="Empate","1",0))</f>
        <v>0</v>
      </c>
      <c r="Z36" s="11">
        <f>+Datos_General[[#This Row],[Minutos Jugados]]*Datos_General[[#This Row],[Puntos Jug_Campo]]</f>
        <v>0</v>
      </c>
      <c r="AA3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" s="10" t="str">
        <f>+IF(Datos_General[[#This Row],[Resultado Jug_Campo]] = "Empate", "1",IF(Datos_General[[#This Row],[Resultado Jug_Campo]] = "Victoria", "3","0"))</f>
        <v>0</v>
      </c>
    </row>
    <row r="37" spans="1:28">
      <c r="A37" s="1">
        <v>3</v>
      </c>
      <c r="B37" s="6">
        <v>45927</v>
      </c>
      <c r="C37" s="1" t="s">
        <v>134</v>
      </c>
      <c r="D37" s="1" t="s">
        <v>133</v>
      </c>
      <c r="E37" s="10" t="str">
        <f>+CONCATENATE(Datos_General[[#This Row],[Eq.Local]], "-", Datos_General[[#This Row],[Eq.Visitante]])</f>
        <v>Céltiga F.C.-Conxo Santiago B</v>
      </c>
      <c r="F37" s="1" t="s">
        <v>158</v>
      </c>
      <c r="G37" s="1" t="s">
        <v>58</v>
      </c>
      <c r="H37" s="1" t="s">
        <v>43</v>
      </c>
      <c r="I37" s="1">
        <v>1</v>
      </c>
      <c r="J37" s="1">
        <v>0</v>
      </c>
      <c r="K37" s="10" t="str">
        <f>+CONCATENATE(Datos_General[[#This Row],[Goles a Favor_Eq_local]],"-",Datos_General[[#This Row],[Gol a Favor_Eq_Visitante]])</f>
        <v>1-0</v>
      </c>
      <c r="L37" s="1" t="s">
        <v>133</v>
      </c>
      <c r="M37" s="1">
        <v>4</v>
      </c>
      <c r="N37" s="1" t="s">
        <v>140</v>
      </c>
      <c r="O37" s="1">
        <v>1</v>
      </c>
      <c r="P37" s="1" t="s">
        <v>2</v>
      </c>
      <c r="Q37" s="22">
        <v>1</v>
      </c>
      <c r="R37" s="9">
        <v>1</v>
      </c>
      <c r="S37" s="1">
        <v>90</v>
      </c>
      <c r="U37" s="1">
        <f>90-Datos_General[[#This Row],[Minutos Jugados]]</f>
        <v>0</v>
      </c>
      <c r="V37" s="1">
        <v>0</v>
      </c>
      <c r="W37" s="1">
        <v>0</v>
      </c>
      <c r="X37" s="1">
        <v>1</v>
      </c>
      <c r="Y37" s="10">
        <f>+IF(Datos_General[[#This Row],[Resultado]]="Victoria", "3", IF(Datos_General[[#This Row],[Resultado]]="Empate","1",0))</f>
        <v>0</v>
      </c>
      <c r="Z37" s="11">
        <f>+Datos_General[[#This Row],[Minutos Jugados]]*Datos_General[[#This Row],[Puntos Jug_Campo]]</f>
        <v>0</v>
      </c>
      <c r="AA3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" s="10" t="str">
        <f>+IF(Datos_General[[#This Row],[Resultado Jug_Campo]] = "Empate", "1",IF(Datos_General[[#This Row],[Resultado Jug_Campo]] = "Victoria", "3","0"))</f>
        <v>0</v>
      </c>
    </row>
    <row r="38" spans="1:28">
      <c r="A38" s="1">
        <v>3</v>
      </c>
      <c r="B38" s="6">
        <v>45927</v>
      </c>
      <c r="C38" s="1" t="s">
        <v>134</v>
      </c>
      <c r="D38" s="1" t="s">
        <v>133</v>
      </c>
      <c r="E38" s="10" t="str">
        <f>+CONCATENATE(Datos_General[[#This Row],[Eq.Local]], "-", Datos_General[[#This Row],[Eq.Visitante]])</f>
        <v>Céltiga F.C.-Conxo Santiago B</v>
      </c>
      <c r="F38" s="1" t="s">
        <v>158</v>
      </c>
      <c r="G38" s="1" t="s">
        <v>58</v>
      </c>
      <c r="H38" s="1" t="s">
        <v>43</v>
      </c>
      <c r="I38" s="1">
        <v>1</v>
      </c>
      <c r="J38" s="1">
        <v>0</v>
      </c>
      <c r="K38" s="10" t="str">
        <f>+CONCATENATE(Datos_General[[#This Row],[Goles a Favor_Eq_local]],"-",Datos_General[[#This Row],[Gol a Favor_Eq_Visitante]])</f>
        <v>1-0</v>
      </c>
      <c r="L38" s="1" t="s">
        <v>133</v>
      </c>
      <c r="M38" s="1">
        <v>5</v>
      </c>
      <c r="N38" s="1" t="s">
        <v>146</v>
      </c>
      <c r="O38" s="1">
        <v>1</v>
      </c>
      <c r="P38" s="1" t="s">
        <v>2</v>
      </c>
      <c r="Q38" s="22">
        <v>1</v>
      </c>
      <c r="R38" s="9">
        <v>1</v>
      </c>
      <c r="S38" s="1">
        <v>90</v>
      </c>
      <c r="U38" s="1">
        <f>90-Datos_General[[#This Row],[Minutos Jugados]]</f>
        <v>0</v>
      </c>
      <c r="V38" s="1">
        <v>0</v>
      </c>
      <c r="W38" s="1">
        <v>0</v>
      </c>
      <c r="X38" s="1">
        <v>1</v>
      </c>
      <c r="Y38" s="10">
        <f>+IF(Datos_General[[#This Row],[Resultado]]="Victoria", "3", IF(Datos_General[[#This Row],[Resultado]]="Empate","1",0))</f>
        <v>0</v>
      </c>
      <c r="Z38" s="11">
        <f>+Datos_General[[#This Row],[Minutos Jugados]]*Datos_General[[#This Row],[Puntos Jug_Campo]]</f>
        <v>0</v>
      </c>
      <c r="AA3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8" s="10" t="str">
        <f>+IF(Datos_General[[#This Row],[Resultado Jug_Campo]] = "Empate", "1",IF(Datos_General[[#This Row],[Resultado Jug_Campo]] = "Victoria", "3","0"))</f>
        <v>0</v>
      </c>
    </row>
    <row r="39" spans="1:28">
      <c r="A39" s="1">
        <v>3</v>
      </c>
      <c r="B39" s="6">
        <v>45927</v>
      </c>
      <c r="C39" s="1" t="s">
        <v>134</v>
      </c>
      <c r="D39" s="1" t="s">
        <v>133</v>
      </c>
      <c r="E39" s="10" t="str">
        <f>+CONCATENATE(Datos_General[[#This Row],[Eq.Local]], "-", Datos_General[[#This Row],[Eq.Visitante]])</f>
        <v>Céltiga F.C.-Conxo Santiago B</v>
      </c>
      <c r="F39" s="1" t="s">
        <v>158</v>
      </c>
      <c r="G39" s="1" t="s">
        <v>58</v>
      </c>
      <c r="H39" s="1" t="s">
        <v>43</v>
      </c>
      <c r="I39" s="1">
        <v>1</v>
      </c>
      <c r="J39" s="1">
        <v>0</v>
      </c>
      <c r="K39" s="10" t="str">
        <f>+CONCATENATE(Datos_General[[#This Row],[Goles a Favor_Eq_local]],"-",Datos_General[[#This Row],[Gol a Favor_Eq_Visitante]])</f>
        <v>1-0</v>
      </c>
      <c r="L39" s="1" t="s">
        <v>133</v>
      </c>
      <c r="M39" s="1">
        <v>6</v>
      </c>
      <c r="N39" s="1" t="s">
        <v>142</v>
      </c>
      <c r="O39" s="1">
        <v>1</v>
      </c>
      <c r="P39" s="1" t="s">
        <v>2</v>
      </c>
      <c r="Q39" s="22">
        <v>1</v>
      </c>
      <c r="R39" s="9">
        <v>1</v>
      </c>
      <c r="S39" s="1">
        <v>90</v>
      </c>
      <c r="U39" s="1">
        <f>90-Datos_General[[#This Row],[Minutos Jugados]]</f>
        <v>0</v>
      </c>
      <c r="V39" s="1">
        <v>0</v>
      </c>
      <c r="W39" s="1">
        <v>0</v>
      </c>
      <c r="X39" s="1">
        <v>1</v>
      </c>
      <c r="Y39" s="10">
        <f>+IF(Datos_General[[#This Row],[Resultado]]="Victoria", "3", IF(Datos_General[[#This Row],[Resultado]]="Empate","1",0))</f>
        <v>0</v>
      </c>
      <c r="Z39" s="11">
        <f>+Datos_General[[#This Row],[Minutos Jugados]]*Datos_General[[#This Row],[Puntos Jug_Campo]]</f>
        <v>0</v>
      </c>
      <c r="AA3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9" s="10" t="str">
        <f>+IF(Datos_General[[#This Row],[Resultado Jug_Campo]] = "Empate", "1",IF(Datos_General[[#This Row],[Resultado Jug_Campo]] = "Victoria", "3","0"))</f>
        <v>0</v>
      </c>
    </row>
    <row r="40" spans="1:28">
      <c r="A40" s="1">
        <v>3</v>
      </c>
      <c r="B40" s="6">
        <v>45927</v>
      </c>
      <c r="C40" s="1" t="s">
        <v>134</v>
      </c>
      <c r="D40" s="1" t="s">
        <v>133</v>
      </c>
      <c r="E40" s="10" t="str">
        <f>+CONCATENATE(Datos_General[[#This Row],[Eq.Local]], "-", Datos_General[[#This Row],[Eq.Visitante]])</f>
        <v>Céltiga F.C.-Conxo Santiago B</v>
      </c>
      <c r="F40" s="1" t="s">
        <v>158</v>
      </c>
      <c r="G40" s="1" t="s">
        <v>58</v>
      </c>
      <c r="H40" s="1" t="s">
        <v>43</v>
      </c>
      <c r="I40" s="1">
        <v>1</v>
      </c>
      <c r="J40" s="1">
        <v>0</v>
      </c>
      <c r="K40" s="10" t="str">
        <f>+CONCATENATE(Datos_General[[#This Row],[Goles a Favor_Eq_local]],"-",Datos_General[[#This Row],[Gol a Favor_Eq_Visitante]])</f>
        <v>1-0</v>
      </c>
      <c r="L40" s="1" t="s">
        <v>133</v>
      </c>
      <c r="M40" s="1">
        <v>7</v>
      </c>
      <c r="N40" s="1" t="s">
        <v>150</v>
      </c>
      <c r="O40" s="1">
        <v>1</v>
      </c>
      <c r="P40" s="1" t="s">
        <v>2</v>
      </c>
      <c r="Q40" s="22">
        <v>1</v>
      </c>
      <c r="R40" s="9">
        <v>1</v>
      </c>
      <c r="S40" s="1">
        <v>53</v>
      </c>
      <c r="T40" s="1" t="s">
        <v>149</v>
      </c>
      <c r="U40" s="1">
        <f>90-Datos_General[[#This Row],[Minutos Jugados]]</f>
        <v>37</v>
      </c>
      <c r="V40" s="1">
        <v>0</v>
      </c>
      <c r="W40" s="1">
        <v>0</v>
      </c>
      <c r="X40" s="1">
        <v>0</v>
      </c>
      <c r="Y40" s="10">
        <f>+IF(Datos_General[[#This Row],[Resultado]]="Victoria", "3", IF(Datos_General[[#This Row],[Resultado]]="Empate","1",0))</f>
        <v>0</v>
      </c>
      <c r="Z40" s="11">
        <f>+Datos_General[[#This Row],[Minutos Jugados]]*Datos_General[[#This Row],[Puntos Jug_Campo]]</f>
        <v>53</v>
      </c>
      <c r="AA4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0" s="10" t="str">
        <f>+IF(Datos_General[[#This Row],[Resultado Jug_Campo]] = "Empate", "1",IF(Datos_General[[#This Row],[Resultado Jug_Campo]] = "Victoria", "3","0"))</f>
        <v>1</v>
      </c>
    </row>
    <row r="41" spans="1:28">
      <c r="A41" s="1">
        <v>3</v>
      </c>
      <c r="B41" s="6">
        <v>45927</v>
      </c>
      <c r="C41" s="1" t="s">
        <v>134</v>
      </c>
      <c r="D41" s="1" t="s">
        <v>133</v>
      </c>
      <c r="E41" s="10" t="str">
        <f>+CONCATENATE(Datos_General[[#This Row],[Eq.Local]], "-", Datos_General[[#This Row],[Eq.Visitante]])</f>
        <v>Céltiga F.C.-Conxo Santiago B</v>
      </c>
      <c r="F41" s="1" t="s">
        <v>158</v>
      </c>
      <c r="G41" s="1" t="s">
        <v>58</v>
      </c>
      <c r="H41" s="1" t="s">
        <v>43</v>
      </c>
      <c r="I41" s="1">
        <v>1</v>
      </c>
      <c r="J41" s="1">
        <v>0</v>
      </c>
      <c r="K41" s="10" t="str">
        <f>+CONCATENATE(Datos_General[[#This Row],[Goles a Favor_Eq_local]],"-",Datos_General[[#This Row],[Gol a Favor_Eq_Visitante]])</f>
        <v>1-0</v>
      </c>
      <c r="L41" s="1" t="s">
        <v>133</v>
      </c>
      <c r="M41" s="1">
        <v>8</v>
      </c>
      <c r="N41" s="1" t="s">
        <v>151</v>
      </c>
      <c r="O41" s="1">
        <v>1</v>
      </c>
      <c r="P41" s="1" t="s">
        <v>2</v>
      </c>
      <c r="Q41" s="22">
        <v>1</v>
      </c>
      <c r="R41" s="9">
        <v>1</v>
      </c>
      <c r="S41" s="1">
        <v>65</v>
      </c>
      <c r="T41" s="1" t="s">
        <v>139</v>
      </c>
      <c r="U41" s="1">
        <f>90-Datos_General[[#This Row],[Minutos Jugados]]</f>
        <v>25</v>
      </c>
      <c r="V41" s="1">
        <v>0</v>
      </c>
      <c r="W41" s="1">
        <v>0</v>
      </c>
      <c r="X41" s="1">
        <v>0</v>
      </c>
      <c r="Y41" s="10">
        <f>+IF(Datos_General[[#This Row],[Resultado]]="Victoria", "3", IF(Datos_General[[#This Row],[Resultado]]="Empate","1",0))</f>
        <v>0</v>
      </c>
      <c r="Z41" s="11">
        <f>+Datos_General[[#This Row],[Minutos Jugados]]*Datos_General[[#This Row],[Puntos Jug_Campo]]</f>
        <v>65</v>
      </c>
      <c r="AA4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1" s="10" t="str">
        <f>+IF(Datos_General[[#This Row],[Resultado Jug_Campo]] = "Empate", "1",IF(Datos_General[[#This Row],[Resultado Jug_Campo]] = "Victoria", "3","0"))</f>
        <v>1</v>
      </c>
    </row>
    <row r="42" spans="1:28">
      <c r="A42" s="1">
        <v>3</v>
      </c>
      <c r="B42" s="6">
        <v>45927</v>
      </c>
      <c r="C42" s="1" t="s">
        <v>134</v>
      </c>
      <c r="D42" s="1" t="s">
        <v>133</v>
      </c>
      <c r="E42" s="10" t="str">
        <f>+CONCATENATE(Datos_General[[#This Row],[Eq.Local]], "-", Datos_General[[#This Row],[Eq.Visitante]])</f>
        <v>Céltiga F.C.-Conxo Santiago B</v>
      </c>
      <c r="F42" s="1" t="s">
        <v>158</v>
      </c>
      <c r="G42" s="1" t="s">
        <v>58</v>
      </c>
      <c r="H42" s="1" t="s">
        <v>43</v>
      </c>
      <c r="I42" s="1">
        <v>1</v>
      </c>
      <c r="J42" s="1">
        <v>0</v>
      </c>
      <c r="K42" s="10" t="str">
        <f>+CONCATENATE(Datos_General[[#This Row],[Goles a Favor_Eq_local]],"-",Datos_General[[#This Row],[Gol a Favor_Eq_Visitante]])</f>
        <v>1-0</v>
      </c>
      <c r="L42" s="1" t="s">
        <v>133</v>
      </c>
      <c r="M42" s="1">
        <v>9</v>
      </c>
      <c r="N42" s="1" t="s">
        <v>152</v>
      </c>
      <c r="O42" s="1">
        <v>1</v>
      </c>
      <c r="P42" s="1" t="s">
        <v>2</v>
      </c>
      <c r="Q42" s="22">
        <v>1</v>
      </c>
      <c r="R42" s="9">
        <v>1</v>
      </c>
      <c r="S42" s="1">
        <v>53</v>
      </c>
      <c r="T42" s="1" t="s">
        <v>143</v>
      </c>
      <c r="U42" s="1">
        <f>90-Datos_General[[#This Row],[Minutos Jugados]]</f>
        <v>37</v>
      </c>
      <c r="V42" s="1">
        <v>0</v>
      </c>
      <c r="W42" s="1">
        <v>0</v>
      </c>
      <c r="X42" s="1">
        <v>0</v>
      </c>
      <c r="Y42" s="10">
        <f>+IF(Datos_General[[#This Row],[Resultado]]="Victoria", "3", IF(Datos_General[[#This Row],[Resultado]]="Empate","1",0))</f>
        <v>0</v>
      </c>
      <c r="Z42" s="11">
        <f>+Datos_General[[#This Row],[Minutos Jugados]]*Datos_General[[#This Row],[Puntos Jug_Campo]]</f>
        <v>53</v>
      </c>
      <c r="AA4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2" s="10" t="str">
        <f>+IF(Datos_General[[#This Row],[Resultado Jug_Campo]] = "Empate", "1",IF(Datos_General[[#This Row],[Resultado Jug_Campo]] = "Victoria", "3","0"))</f>
        <v>1</v>
      </c>
    </row>
    <row r="43" spans="1:28">
      <c r="A43" s="1">
        <v>3</v>
      </c>
      <c r="B43" s="6">
        <v>45927</v>
      </c>
      <c r="C43" s="1" t="s">
        <v>134</v>
      </c>
      <c r="D43" s="1" t="s">
        <v>133</v>
      </c>
      <c r="E43" s="10" t="str">
        <f>+CONCATENATE(Datos_General[[#This Row],[Eq.Local]], "-", Datos_General[[#This Row],[Eq.Visitante]])</f>
        <v>Céltiga F.C.-Conxo Santiago B</v>
      </c>
      <c r="F43" s="1" t="s">
        <v>158</v>
      </c>
      <c r="G43" s="1" t="s">
        <v>58</v>
      </c>
      <c r="H43" s="1" t="s">
        <v>43</v>
      </c>
      <c r="I43" s="1">
        <v>1</v>
      </c>
      <c r="J43" s="1">
        <v>0</v>
      </c>
      <c r="K43" s="10" t="str">
        <f>+CONCATENATE(Datos_General[[#This Row],[Goles a Favor_Eq_local]],"-",Datos_General[[#This Row],[Gol a Favor_Eq_Visitante]])</f>
        <v>1-0</v>
      </c>
      <c r="L43" s="1" t="s">
        <v>133</v>
      </c>
      <c r="M43" s="1">
        <v>10</v>
      </c>
      <c r="N43" s="1" t="s">
        <v>156</v>
      </c>
      <c r="O43" s="1">
        <v>1</v>
      </c>
      <c r="P43" s="1" t="s">
        <v>2</v>
      </c>
      <c r="Q43" s="22">
        <v>1</v>
      </c>
      <c r="R43" s="9">
        <v>1</v>
      </c>
      <c r="S43" s="1">
        <v>53</v>
      </c>
      <c r="T43" s="1" t="s">
        <v>154</v>
      </c>
      <c r="U43" s="1">
        <f>90-Datos_General[[#This Row],[Minutos Jugados]]</f>
        <v>37</v>
      </c>
      <c r="V43" s="1">
        <v>0</v>
      </c>
      <c r="W43" s="1">
        <v>0</v>
      </c>
      <c r="X43" s="1">
        <v>0</v>
      </c>
      <c r="Y43" s="10">
        <f>+IF(Datos_General[[#This Row],[Resultado]]="Victoria", "3", IF(Datos_General[[#This Row],[Resultado]]="Empate","1",0))</f>
        <v>0</v>
      </c>
      <c r="Z43" s="11">
        <f>+Datos_General[[#This Row],[Minutos Jugados]]*Datos_General[[#This Row],[Puntos Jug_Campo]]</f>
        <v>53</v>
      </c>
      <c r="AA4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3" s="10" t="str">
        <f>+IF(Datos_General[[#This Row],[Resultado Jug_Campo]] = "Empate", "1",IF(Datos_General[[#This Row],[Resultado Jug_Campo]] = "Victoria", "3","0"))</f>
        <v>1</v>
      </c>
    </row>
    <row r="44" spans="1:28">
      <c r="A44" s="1">
        <v>3</v>
      </c>
      <c r="B44" s="6">
        <v>45927</v>
      </c>
      <c r="C44" s="1" t="s">
        <v>134</v>
      </c>
      <c r="D44" s="1" t="s">
        <v>133</v>
      </c>
      <c r="E44" s="10" t="str">
        <f>+CONCATENATE(Datos_General[[#This Row],[Eq.Local]], "-", Datos_General[[#This Row],[Eq.Visitante]])</f>
        <v>Céltiga F.C.-Conxo Santiago B</v>
      </c>
      <c r="F44" s="1" t="s">
        <v>158</v>
      </c>
      <c r="G44" s="1" t="s">
        <v>58</v>
      </c>
      <c r="H44" s="1" t="s">
        <v>43</v>
      </c>
      <c r="I44" s="1">
        <v>1</v>
      </c>
      <c r="J44" s="1">
        <v>0</v>
      </c>
      <c r="K44" s="10" t="str">
        <f>+CONCATENATE(Datos_General[[#This Row],[Goles a Favor_Eq_local]],"-",Datos_General[[#This Row],[Gol a Favor_Eq_Visitante]])</f>
        <v>1-0</v>
      </c>
      <c r="L44" s="1" t="s">
        <v>133</v>
      </c>
      <c r="M44" s="1">
        <v>11</v>
      </c>
      <c r="N44" s="1" t="s">
        <v>147</v>
      </c>
      <c r="O44" s="1">
        <v>1</v>
      </c>
      <c r="P44" s="1" t="s">
        <v>2</v>
      </c>
      <c r="Q44" s="22">
        <v>1</v>
      </c>
      <c r="R44" s="9">
        <v>1</v>
      </c>
      <c r="S44" s="1">
        <v>90</v>
      </c>
      <c r="U44" s="1">
        <f>90-Datos_General[[#This Row],[Minutos Jugados]]</f>
        <v>0</v>
      </c>
      <c r="V44" s="1">
        <v>0</v>
      </c>
      <c r="W44" s="1">
        <v>0</v>
      </c>
      <c r="X44" s="1">
        <v>1</v>
      </c>
      <c r="Y44" s="10">
        <f>+IF(Datos_General[[#This Row],[Resultado]]="Victoria", "3", IF(Datos_General[[#This Row],[Resultado]]="Empate","1",0))</f>
        <v>0</v>
      </c>
      <c r="Z44" s="11">
        <f>+Datos_General[[#This Row],[Minutos Jugados]]*Datos_General[[#This Row],[Puntos Jug_Campo]]</f>
        <v>0</v>
      </c>
      <c r="AA4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" s="10" t="str">
        <f>+IF(Datos_General[[#This Row],[Resultado Jug_Campo]] = "Empate", "1",IF(Datos_General[[#This Row],[Resultado Jug_Campo]] = "Victoria", "3","0"))</f>
        <v>0</v>
      </c>
    </row>
    <row r="45" spans="1:28">
      <c r="A45" s="1">
        <v>3</v>
      </c>
      <c r="B45" s="6">
        <v>45927</v>
      </c>
      <c r="C45" s="1" t="s">
        <v>134</v>
      </c>
      <c r="D45" s="1" t="s">
        <v>133</v>
      </c>
      <c r="E45" s="10" t="str">
        <f>+CONCATENATE(Datos_General[[#This Row],[Eq.Local]], "-", Datos_General[[#This Row],[Eq.Visitante]])</f>
        <v>Céltiga F.C.-Conxo Santiago B</v>
      </c>
      <c r="F45" s="1" t="s">
        <v>158</v>
      </c>
      <c r="G45" s="1" t="s">
        <v>58</v>
      </c>
      <c r="H45" s="1" t="s">
        <v>43</v>
      </c>
      <c r="I45" s="1">
        <v>1</v>
      </c>
      <c r="J45" s="1">
        <v>0</v>
      </c>
      <c r="K45" s="10" t="str">
        <f>+CONCATENATE(Datos_General[[#This Row],[Goles a Favor_Eq_local]],"-",Datos_General[[#This Row],[Gol a Favor_Eq_Visitante]])</f>
        <v>1-0</v>
      </c>
      <c r="L45" s="1" t="s">
        <v>133</v>
      </c>
      <c r="M45" s="1">
        <v>13</v>
      </c>
      <c r="N45" s="1" t="s">
        <v>137</v>
      </c>
      <c r="O45" s="1">
        <v>1</v>
      </c>
      <c r="P45" s="1" t="s">
        <v>70</v>
      </c>
      <c r="Q45" s="7">
        <f>+IF(Datos_General[[#This Row],[Minutos Jugados]]&gt;0, 1, 0)</f>
        <v>0</v>
      </c>
      <c r="R45" s="23">
        <v>0</v>
      </c>
      <c r="S45" s="8">
        <f>IFERROR(IF(MATCH(N45,$T$34:$T$49,0), INDEX($U$34:$U$49,MATCH(N45,$T$34:$T$49,0))),0)</f>
        <v>0</v>
      </c>
      <c r="U45" s="1">
        <f>90-Datos_General[[#This Row],[Minutos Jugados]]</f>
        <v>90</v>
      </c>
      <c r="V45" s="1">
        <v>0</v>
      </c>
      <c r="W45" s="1">
        <v>0</v>
      </c>
      <c r="X45" s="1">
        <v>0</v>
      </c>
      <c r="Y45" s="10">
        <f>+IF(Datos_General[[#This Row],[Resultado]]="Victoria", "3", IF(Datos_General[[#This Row],[Resultado]]="Empate","1",0))</f>
        <v>0</v>
      </c>
      <c r="Z45" s="11">
        <f>+Datos_General[[#This Row],[Minutos Jugados]]*Datos_General[[#This Row],[Puntos Jug_Campo]]</f>
        <v>0</v>
      </c>
      <c r="AA4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45" s="10" t="str">
        <f>+IF(Datos_General[[#This Row],[Resultado Jug_Campo]] = "Empate", "1",IF(Datos_General[[#This Row],[Resultado Jug_Campo]] = "Victoria", "3","0"))</f>
        <v>0</v>
      </c>
    </row>
    <row r="46" spans="1:28">
      <c r="A46" s="1">
        <v>3</v>
      </c>
      <c r="B46" s="6">
        <v>45927</v>
      </c>
      <c r="C46" s="1" t="s">
        <v>134</v>
      </c>
      <c r="D46" s="1" t="s">
        <v>133</v>
      </c>
      <c r="E46" s="10" t="str">
        <f>+CONCATENATE(Datos_General[[#This Row],[Eq.Local]], "-", Datos_General[[#This Row],[Eq.Visitante]])</f>
        <v>Céltiga F.C.-Conxo Santiago B</v>
      </c>
      <c r="F46" s="1" t="s">
        <v>158</v>
      </c>
      <c r="G46" s="1" t="s">
        <v>58</v>
      </c>
      <c r="H46" s="1" t="s">
        <v>43</v>
      </c>
      <c r="I46" s="1">
        <v>1</v>
      </c>
      <c r="J46" s="1">
        <v>0</v>
      </c>
      <c r="K46" s="10" t="str">
        <f>+CONCATENATE(Datos_General[[#This Row],[Goles a Favor_Eq_local]],"-",Datos_General[[#This Row],[Gol a Favor_Eq_Visitante]])</f>
        <v>1-0</v>
      </c>
      <c r="L46" s="1" t="s">
        <v>133</v>
      </c>
      <c r="M46" s="1">
        <v>12</v>
      </c>
      <c r="N46" s="1" t="s">
        <v>143</v>
      </c>
      <c r="O46" s="1">
        <v>1</v>
      </c>
      <c r="P46" s="1" t="s">
        <v>70</v>
      </c>
      <c r="Q46" s="7">
        <f>+IF(Datos_General[[#This Row],[Minutos Jugados]]&gt;0, 1, 0)</f>
        <v>1</v>
      </c>
      <c r="R46" s="23">
        <v>0</v>
      </c>
      <c r="S46" s="8">
        <f>IFERROR(IF(MATCH(N46,$T$34:$T$49,0), INDEX($U$34:$U$49,MATCH(N46,$T$34:$T$49,0))),0)</f>
        <v>37</v>
      </c>
      <c r="U46" s="1">
        <f>90-Datos_General[[#This Row],[Minutos Jugados]]</f>
        <v>53</v>
      </c>
      <c r="V46" s="1">
        <v>0</v>
      </c>
      <c r="W46" s="1">
        <v>0</v>
      </c>
      <c r="X46" s="1">
        <v>1</v>
      </c>
      <c r="Y46" s="10">
        <f>+IF(Datos_General[[#This Row],[Resultado]]="Victoria", "3", IF(Datos_General[[#This Row],[Resultado]]="Empate","1",0))</f>
        <v>0</v>
      </c>
      <c r="Z46" s="11">
        <f>+Datos_General[[#This Row],[Minutos Jugados]]*Datos_General[[#This Row],[Puntos Jug_Campo]]</f>
        <v>0</v>
      </c>
      <c r="AA4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6" s="10" t="str">
        <f>+IF(Datos_General[[#This Row],[Resultado Jug_Campo]] = "Empate", "1",IF(Datos_General[[#This Row],[Resultado Jug_Campo]] = "Victoria", "3","0"))</f>
        <v>0</v>
      </c>
    </row>
    <row r="47" spans="1:28">
      <c r="A47" s="1">
        <v>3</v>
      </c>
      <c r="B47" s="6">
        <v>45927</v>
      </c>
      <c r="C47" s="1" t="s">
        <v>134</v>
      </c>
      <c r="D47" s="1" t="s">
        <v>133</v>
      </c>
      <c r="E47" s="10" t="str">
        <f>+CONCATENATE(Datos_General[[#This Row],[Eq.Local]], "-", Datos_General[[#This Row],[Eq.Visitante]])</f>
        <v>Céltiga F.C.-Conxo Santiago B</v>
      </c>
      <c r="F47" s="1" t="s">
        <v>158</v>
      </c>
      <c r="G47" s="1" t="s">
        <v>58</v>
      </c>
      <c r="H47" s="1" t="s">
        <v>43</v>
      </c>
      <c r="I47" s="1">
        <v>1</v>
      </c>
      <c r="J47" s="1">
        <v>0</v>
      </c>
      <c r="K47" s="10" t="str">
        <f>+CONCATENATE(Datos_General[[#This Row],[Goles a Favor_Eq_local]],"-",Datos_General[[#This Row],[Gol a Favor_Eq_Visitante]])</f>
        <v>1-0</v>
      </c>
      <c r="L47" s="1" t="s">
        <v>133</v>
      </c>
      <c r="M47" s="1">
        <v>14</v>
      </c>
      <c r="N47" s="1" t="s">
        <v>154</v>
      </c>
      <c r="O47" s="1">
        <v>1</v>
      </c>
      <c r="P47" s="1" t="s">
        <v>70</v>
      </c>
      <c r="Q47" s="7">
        <f>+IF(Datos_General[[#This Row],[Minutos Jugados]]&gt;0, 1, 0)</f>
        <v>1</v>
      </c>
      <c r="R47" s="23">
        <v>0</v>
      </c>
      <c r="S47" s="8">
        <f>IFERROR(IF(MATCH(N47,$T$34:$T$49,0), INDEX($U$34:$U$49,MATCH(N47,$T$34:$T$49,0))),0)</f>
        <v>37</v>
      </c>
      <c r="U47" s="1">
        <f>90-Datos_General[[#This Row],[Minutos Jugados]]</f>
        <v>53</v>
      </c>
      <c r="V47" s="1">
        <v>0</v>
      </c>
      <c r="W47" s="1">
        <v>0</v>
      </c>
      <c r="X47" s="1">
        <v>1</v>
      </c>
      <c r="Y47" s="10">
        <f>+IF(Datos_General[[#This Row],[Resultado]]="Victoria", "3", IF(Datos_General[[#This Row],[Resultado]]="Empate","1",0))</f>
        <v>0</v>
      </c>
      <c r="Z47" s="11">
        <f>+Datos_General[[#This Row],[Minutos Jugados]]*Datos_General[[#This Row],[Puntos Jug_Campo]]</f>
        <v>0</v>
      </c>
      <c r="AA4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7" s="10" t="str">
        <f>+IF(Datos_General[[#This Row],[Resultado Jug_Campo]] = "Empate", "1",IF(Datos_General[[#This Row],[Resultado Jug_Campo]] = "Victoria", "3","0"))</f>
        <v>0</v>
      </c>
    </row>
    <row r="48" spans="1:28">
      <c r="A48" s="1">
        <v>3</v>
      </c>
      <c r="B48" s="6">
        <v>45927</v>
      </c>
      <c r="C48" s="1" t="s">
        <v>134</v>
      </c>
      <c r="D48" s="1" t="s">
        <v>133</v>
      </c>
      <c r="E48" s="10" t="str">
        <f>+CONCATENATE(Datos_General[[#This Row],[Eq.Local]], "-", Datos_General[[#This Row],[Eq.Visitante]])</f>
        <v>Céltiga F.C.-Conxo Santiago B</v>
      </c>
      <c r="F48" s="1" t="s">
        <v>158</v>
      </c>
      <c r="G48" s="1" t="s">
        <v>58</v>
      </c>
      <c r="H48" s="1" t="s">
        <v>43</v>
      </c>
      <c r="I48" s="1">
        <v>1</v>
      </c>
      <c r="J48" s="1">
        <v>0</v>
      </c>
      <c r="K48" s="10" t="str">
        <f>+CONCATENATE(Datos_General[[#This Row],[Goles a Favor_Eq_local]],"-",Datos_General[[#This Row],[Gol a Favor_Eq_Visitante]])</f>
        <v>1-0</v>
      </c>
      <c r="L48" s="1" t="s">
        <v>133</v>
      </c>
      <c r="M48" s="1">
        <v>15</v>
      </c>
      <c r="N48" s="1" t="s">
        <v>149</v>
      </c>
      <c r="O48" s="1">
        <v>1</v>
      </c>
      <c r="P48" s="1" t="s">
        <v>70</v>
      </c>
      <c r="Q48" s="7">
        <f>+IF(Datos_General[[#This Row],[Minutos Jugados]]&gt;0, 1, 0)</f>
        <v>1</v>
      </c>
      <c r="R48" s="23">
        <v>0</v>
      </c>
      <c r="S48" s="8">
        <f>IFERROR(IF(MATCH(N48,$T$34:$T$49,0), INDEX($U$34:$U$49,MATCH(N48,$T$34:$T$49,0))),0)</f>
        <v>37</v>
      </c>
      <c r="U48" s="1">
        <f>90-Datos_General[[#This Row],[Minutos Jugados]]</f>
        <v>53</v>
      </c>
      <c r="V48" s="1">
        <v>0</v>
      </c>
      <c r="W48" s="1">
        <v>0</v>
      </c>
      <c r="X48" s="1">
        <v>1</v>
      </c>
      <c r="Y48" s="10">
        <f>+IF(Datos_General[[#This Row],[Resultado]]="Victoria", "3", IF(Datos_General[[#This Row],[Resultado]]="Empate","1",0))</f>
        <v>0</v>
      </c>
      <c r="Z48" s="11">
        <f>+Datos_General[[#This Row],[Minutos Jugados]]*Datos_General[[#This Row],[Puntos Jug_Campo]]</f>
        <v>0</v>
      </c>
      <c r="AA4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8" s="10" t="str">
        <f>+IF(Datos_General[[#This Row],[Resultado Jug_Campo]] = "Empate", "1",IF(Datos_General[[#This Row],[Resultado Jug_Campo]] = "Victoria", "3","0"))</f>
        <v>0</v>
      </c>
    </row>
    <row r="49" spans="1:28">
      <c r="A49" s="1">
        <v>3</v>
      </c>
      <c r="B49" s="6">
        <v>45927</v>
      </c>
      <c r="C49" s="1" t="s">
        <v>134</v>
      </c>
      <c r="D49" s="1" t="s">
        <v>133</v>
      </c>
      <c r="E49" s="10" t="str">
        <f>+CONCATENATE(Datos_General[[#This Row],[Eq.Local]], "-", Datos_General[[#This Row],[Eq.Visitante]])</f>
        <v>Céltiga F.C.-Conxo Santiago B</v>
      </c>
      <c r="F49" s="1" t="s">
        <v>158</v>
      </c>
      <c r="G49" s="1" t="s">
        <v>58</v>
      </c>
      <c r="H49" s="1" t="s">
        <v>43</v>
      </c>
      <c r="I49" s="1">
        <v>1</v>
      </c>
      <c r="J49" s="1">
        <v>0</v>
      </c>
      <c r="K49" s="10" t="str">
        <f>+CONCATENATE(Datos_General[[#This Row],[Goles a Favor_Eq_local]],"-",Datos_General[[#This Row],[Gol a Favor_Eq_Visitante]])</f>
        <v>1-0</v>
      </c>
      <c r="L49" s="1" t="s">
        <v>133</v>
      </c>
      <c r="M49" s="1">
        <v>16</v>
      </c>
      <c r="N49" s="1" t="s">
        <v>139</v>
      </c>
      <c r="O49" s="1">
        <v>1</v>
      </c>
      <c r="P49" s="1" t="s">
        <v>70</v>
      </c>
      <c r="Q49" s="7">
        <f>+IF(Datos_General[[#This Row],[Minutos Jugados]]&gt;0, 1, 0)</f>
        <v>1</v>
      </c>
      <c r="R49" s="23">
        <v>0</v>
      </c>
      <c r="S49" s="8">
        <f>IFERROR(IF(MATCH(N49,$T$34:$T$49,0), INDEX($U$34:$U$49,MATCH(N49,$T$34:$T$49,0))),0)</f>
        <v>25</v>
      </c>
      <c r="U49" s="1">
        <f>90-Datos_General[[#This Row],[Minutos Jugados]]</f>
        <v>65</v>
      </c>
      <c r="V49" s="1">
        <v>0</v>
      </c>
      <c r="W49" s="1">
        <v>0</v>
      </c>
      <c r="X49" s="1">
        <v>1</v>
      </c>
      <c r="Y49" s="10">
        <f>+IF(Datos_General[[#This Row],[Resultado]]="Victoria", "3", IF(Datos_General[[#This Row],[Resultado]]="Empate","1",0))</f>
        <v>0</v>
      </c>
      <c r="Z49" s="11">
        <f>+Datos_General[[#This Row],[Minutos Jugados]]*Datos_General[[#This Row],[Puntos Jug_Campo]]</f>
        <v>0</v>
      </c>
      <c r="AA4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9" s="10" t="str">
        <f>+IF(Datos_General[[#This Row],[Resultado Jug_Campo]] = "Empate", "1",IF(Datos_General[[#This Row],[Resultado Jug_Campo]] = "Victoria", "3","0"))</f>
        <v>0</v>
      </c>
    </row>
    <row r="50" spans="1:28">
      <c r="A50" s="1">
        <v>4</v>
      </c>
      <c r="B50" s="6">
        <v>45935</v>
      </c>
      <c r="C50" s="1" t="s">
        <v>133</v>
      </c>
      <c r="D50" s="1" t="s">
        <v>135</v>
      </c>
      <c r="E50" s="10" t="str">
        <f>+CONCATENATE(Datos_General[[#This Row],[Eq.Local]], "-", Datos_General[[#This Row],[Eq.Visitante]])</f>
        <v>Conxo Santiago B-C.D. Choco B</v>
      </c>
      <c r="F50" s="1" t="s">
        <v>157</v>
      </c>
      <c r="G50" s="1" t="s">
        <v>57</v>
      </c>
      <c r="H50" s="1" t="s">
        <v>12</v>
      </c>
      <c r="I50" s="9">
        <v>2</v>
      </c>
      <c r="J50" s="9">
        <v>1</v>
      </c>
      <c r="K50" s="10" t="str">
        <f>+CONCATENATE(Datos_General[[#This Row],[Goles a Favor_Eq_local]],"-",Datos_General[[#This Row],[Gol a Favor_Eq_Visitante]])</f>
        <v>2-1</v>
      </c>
      <c r="L50" s="1" t="s">
        <v>133</v>
      </c>
      <c r="M50" s="1">
        <v>1</v>
      </c>
      <c r="N50" s="1" t="s">
        <v>137</v>
      </c>
      <c r="O50" s="1">
        <v>1</v>
      </c>
      <c r="P50" s="1" t="s">
        <v>2</v>
      </c>
      <c r="Q50" s="22">
        <v>1</v>
      </c>
      <c r="R50" s="9">
        <v>1</v>
      </c>
      <c r="S50" s="1">
        <v>90</v>
      </c>
      <c r="U50" s="1">
        <f>90-Datos_General[[#This Row],[Minutos Jugados]]</f>
        <v>0</v>
      </c>
      <c r="V50" s="1">
        <v>0</v>
      </c>
      <c r="W50" s="1">
        <v>2</v>
      </c>
      <c r="X50" s="1">
        <v>1</v>
      </c>
      <c r="Y50" s="10" t="str">
        <f>+IF(Datos_General[[#This Row],[Resultado]]="Victoria", "3", IF(Datos_General[[#This Row],[Resultado]]="Empate","1",0))</f>
        <v>3</v>
      </c>
      <c r="Z50" s="11">
        <f>+Datos_General[[#This Row],[Minutos Jugados]]*Datos_General[[#This Row],[Puntos Jug_Campo]]</f>
        <v>270</v>
      </c>
      <c r="AA5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0" s="10" t="str">
        <f>+IF(Datos_General[[#This Row],[Resultado Jug_Campo]] = "Empate", "1",IF(Datos_General[[#This Row],[Resultado Jug_Campo]] = "Victoria", "3","0"))</f>
        <v>3</v>
      </c>
    </row>
    <row r="51" spans="1:28">
      <c r="A51" s="1">
        <v>4</v>
      </c>
      <c r="B51" s="6">
        <v>45935</v>
      </c>
      <c r="C51" s="1" t="s">
        <v>133</v>
      </c>
      <c r="D51" s="1" t="s">
        <v>135</v>
      </c>
      <c r="E51" s="10" t="str">
        <f>+CONCATENATE(Datos_General[[#This Row],[Eq.Local]], "-", Datos_General[[#This Row],[Eq.Visitante]])</f>
        <v>Conxo Santiago B-C.D. Choco B</v>
      </c>
      <c r="F51" s="1" t="s">
        <v>157</v>
      </c>
      <c r="G51" s="1" t="s">
        <v>57</v>
      </c>
      <c r="H51" s="1" t="s">
        <v>12</v>
      </c>
      <c r="I51" s="9">
        <v>2</v>
      </c>
      <c r="J51" s="9">
        <v>1</v>
      </c>
      <c r="K51" s="10" t="str">
        <f>+CONCATENATE(Datos_General[[#This Row],[Goles a Favor_Eq_local]],"-",Datos_General[[#This Row],[Gol a Favor_Eq_Visitante]])</f>
        <v>2-1</v>
      </c>
      <c r="L51" s="1" t="s">
        <v>133</v>
      </c>
      <c r="M51" s="1">
        <v>2</v>
      </c>
      <c r="N51" s="1" t="s">
        <v>138</v>
      </c>
      <c r="O51" s="1">
        <v>1</v>
      </c>
      <c r="P51" s="1" t="s">
        <v>2</v>
      </c>
      <c r="Q51" s="22">
        <v>1</v>
      </c>
      <c r="R51" s="9">
        <v>1</v>
      </c>
      <c r="S51" s="1">
        <v>90</v>
      </c>
      <c r="U51" s="1">
        <f>90-Datos_General[[#This Row],[Minutos Jugados]]</f>
        <v>0</v>
      </c>
      <c r="V51" s="1">
        <v>0</v>
      </c>
      <c r="W51" s="1">
        <v>2</v>
      </c>
      <c r="X51" s="1">
        <v>1</v>
      </c>
      <c r="Y51" s="10" t="str">
        <f>+IF(Datos_General[[#This Row],[Resultado]]="Victoria", "3", IF(Datos_General[[#This Row],[Resultado]]="Empate","1",0))</f>
        <v>3</v>
      </c>
      <c r="Z51" s="11">
        <f>+Datos_General[[#This Row],[Minutos Jugados]]*Datos_General[[#This Row],[Puntos Jug_Campo]]</f>
        <v>270</v>
      </c>
      <c r="AA5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1" s="10" t="str">
        <f>+IF(Datos_General[[#This Row],[Resultado Jug_Campo]] = "Empate", "1",IF(Datos_General[[#This Row],[Resultado Jug_Campo]] = "Victoria", "3","0"))</f>
        <v>3</v>
      </c>
    </row>
    <row r="52" spans="1:28">
      <c r="A52" s="1">
        <v>4</v>
      </c>
      <c r="B52" s="6">
        <v>45935</v>
      </c>
      <c r="C52" s="1" t="s">
        <v>133</v>
      </c>
      <c r="D52" s="1" t="s">
        <v>135</v>
      </c>
      <c r="E52" s="10" t="str">
        <f>+CONCATENATE(Datos_General[[#This Row],[Eq.Local]], "-", Datos_General[[#This Row],[Eq.Visitante]])</f>
        <v>Conxo Santiago B-C.D. Choco B</v>
      </c>
      <c r="F52" s="1" t="s">
        <v>157</v>
      </c>
      <c r="G52" s="1" t="s">
        <v>57</v>
      </c>
      <c r="H52" s="1" t="s">
        <v>12</v>
      </c>
      <c r="I52" s="9">
        <v>2</v>
      </c>
      <c r="J52" s="9">
        <v>1</v>
      </c>
      <c r="K52" s="10" t="str">
        <f>+CONCATENATE(Datos_General[[#This Row],[Goles a Favor_Eq_local]],"-",Datos_General[[#This Row],[Gol a Favor_Eq_Visitante]])</f>
        <v>2-1</v>
      </c>
      <c r="L52" s="1" t="s">
        <v>133</v>
      </c>
      <c r="M52" s="1">
        <v>3</v>
      </c>
      <c r="N52" s="1" t="s">
        <v>144</v>
      </c>
      <c r="O52" s="1">
        <v>1</v>
      </c>
      <c r="P52" s="1" t="s">
        <v>2</v>
      </c>
      <c r="Q52" s="22">
        <v>1</v>
      </c>
      <c r="R52" s="9">
        <v>1</v>
      </c>
      <c r="S52" s="1">
        <v>90</v>
      </c>
      <c r="U52" s="1">
        <f>90-Datos_General[[#This Row],[Minutos Jugados]]</f>
        <v>0</v>
      </c>
      <c r="V52" s="1">
        <v>0</v>
      </c>
      <c r="W52" s="1">
        <v>2</v>
      </c>
      <c r="X52" s="1">
        <v>1</v>
      </c>
      <c r="Y52" s="10" t="str">
        <f>+IF(Datos_General[[#This Row],[Resultado]]="Victoria", "3", IF(Datos_General[[#This Row],[Resultado]]="Empate","1",0))</f>
        <v>3</v>
      </c>
      <c r="Z52" s="11">
        <f>+Datos_General[[#This Row],[Minutos Jugados]]*Datos_General[[#This Row],[Puntos Jug_Campo]]</f>
        <v>270</v>
      </c>
      <c r="AA5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2" s="10" t="str">
        <f>+IF(Datos_General[[#This Row],[Resultado Jug_Campo]] = "Empate", "1",IF(Datos_General[[#This Row],[Resultado Jug_Campo]] = "Victoria", "3","0"))</f>
        <v>3</v>
      </c>
    </row>
    <row r="53" spans="1:28">
      <c r="A53" s="1">
        <v>4</v>
      </c>
      <c r="B53" s="6">
        <v>45935</v>
      </c>
      <c r="C53" s="1" t="s">
        <v>133</v>
      </c>
      <c r="D53" s="1" t="s">
        <v>135</v>
      </c>
      <c r="E53" s="10" t="str">
        <f>+CONCATENATE(Datos_General[[#This Row],[Eq.Local]], "-", Datos_General[[#This Row],[Eq.Visitante]])</f>
        <v>Conxo Santiago B-C.D. Choco B</v>
      </c>
      <c r="F53" s="1" t="s">
        <v>157</v>
      </c>
      <c r="G53" s="1" t="s">
        <v>57</v>
      </c>
      <c r="H53" s="1" t="s">
        <v>12</v>
      </c>
      <c r="I53" s="9">
        <v>2</v>
      </c>
      <c r="J53" s="9">
        <v>1</v>
      </c>
      <c r="K53" s="10" t="str">
        <f>+CONCATENATE(Datos_General[[#This Row],[Goles a Favor_Eq_local]],"-",Datos_General[[#This Row],[Gol a Favor_Eq_Visitante]])</f>
        <v>2-1</v>
      </c>
      <c r="L53" s="1" t="s">
        <v>133</v>
      </c>
      <c r="M53" s="1">
        <v>4</v>
      </c>
      <c r="N53" s="1" t="s">
        <v>140</v>
      </c>
      <c r="O53" s="1">
        <v>1</v>
      </c>
      <c r="P53" s="1" t="s">
        <v>2</v>
      </c>
      <c r="Q53" s="22">
        <v>1</v>
      </c>
      <c r="R53" s="9">
        <v>1</v>
      </c>
      <c r="S53" s="1">
        <v>90</v>
      </c>
      <c r="U53" s="1">
        <f>90-Datos_General[[#This Row],[Minutos Jugados]]</f>
        <v>0</v>
      </c>
      <c r="V53" s="1">
        <v>0</v>
      </c>
      <c r="W53" s="1">
        <v>2</v>
      </c>
      <c r="X53" s="1">
        <v>1</v>
      </c>
      <c r="Y53" s="10" t="str">
        <f>+IF(Datos_General[[#This Row],[Resultado]]="Victoria", "3", IF(Datos_General[[#This Row],[Resultado]]="Empate","1",0))</f>
        <v>3</v>
      </c>
      <c r="Z53" s="11">
        <f>+Datos_General[[#This Row],[Minutos Jugados]]*Datos_General[[#This Row],[Puntos Jug_Campo]]</f>
        <v>270</v>
      </c>
      <c r="AA5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3" s="10" t="str">
        <f>+IF(Datos_General[[#This Row],[Resultado Jug_Campo]] = "Empate", "1",IF(Datos_General[[#This Row],[Resultado Jug_Campo]] = "Victoria", "3","0"))</f>
        <v>3</v>
      </c>
    </row>
    <row r="54" spans="1:28">
      <c r="A54" s="1">
        <v>4</v>
      </c>
      <c r="B54" s="6">
        <v>45935</v>
      </c>
      <c r="C54" s="1" t="s">
        <v>133</v>
      </c>
      <c r="D54" s="1" t="s">
        <v>135</v>
      </c>
      <c r="E54" s="10" t="str">
        <f>+CONCATENATE(Datos_General[[#This Row],[Eq.Local]], "-", Datos_General[[#This Row],[Eq.Visitante]])</f>
        <v>Conxo Santiago B-C.D. Choco B</v>
      </c>
      <c r="F54" s="1" t="s">
        <v>157</v>
      </c>
      <c r="G54" s="1" t="s">
        <v>57</v>
      </c>
      <c r="H54" s="1" t="s">
        <v>12</v>
      </c>
      <c r="I54" s="9">
        <v>2</v>
      </c>
      <c r="J54" s="9">
        <v>1</v>
      </c>
      <c r="K54" s="10" t="str">
        <f>+CONCATENATE(Datos_General[[#This Row],[Goles a Favor_Eq_local]],"-",Datos_General[[#This Row],[Gol a Favor_Eq_Visitante]])</f>
        <v>2-1</v>
      </c>
      <c r="L54" s="1" t="s">
        <v>133</v>
      </c>
      <c r="M54" s="1">
        <v>5</v>
      </c>
      <c r="N54" s="1" t="s">
        <v>142</v>
      </c>
      <c r="O54" s="1">
        <v>1</v>
      </c>
      <c r="P54" s="1" t="s">
        <v>2</v>
      </c>
      <c r="Q54" s="22">
        <v>1</v>
      </c>
      <c r="R54" s="9">
        <v>1</v>
      </c>
      <c r="S54" s="1">
        <v>90</v>
      </c>
      <c r="U54" s="1">
        <f>90-Datos_General[[#This Row],[Minutos Jugados]]</f>
        <v>0</v>
      </c>
      <c r="V54" s="1">
        <v>0</v>
      </c>
      <c r="W54" s="1">
        <v>2</v>
      </c>
      <c r="X54" s="1">
        <v>1</v>
      </c>
      <c r="Y54" s="10" t="str">
        <f>+IF(Datos_General[[#This Row],[Resultado]]="Victoria", "3", IF(Datos_General[[#This Row],[Resultado]]="Empate","1",0))</f>
        <v>3</v>
      </c>
      <c r="Z54" s="11">
        <f>+Datos_General[[#This Row],[Minutos Jugados]]*Datos_General[[#This Row],[Puntos Jug_Campo]]</f>
        <v>270</v>
      </c>
      <c r="AA5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4" s="10" t="str">
        <f>+IF(Datos_General[[#This Row],[Resultado Jug_Campo]] = "Empate", "1",IF(Datos_General[[#This Row],[Resultado Jug_Campo]] = "Victoria", "3","0"))</f>
        <v>3</v>
      </c>
    </row>
    <row r="55" spans="1:28">
      <c r="A55" s="1">
        <v>4</v>
      </c>
      <c r="B55" s="6">
        <v>45935</v>
      </c>
      <c r="C55" s="1" t="s">
        <v>133</v>
      </c>
      <c r="D55" s="1" t="s">
        <v>135</v>
      </c>
      <c r="E55" s="10" t="str">
        <f>+CONCATENATE(Datos_General[[#This Row],[Eq.Local]], "-", Datos_General[[#This Row],[Eq.Visitante]])</f>
        <v>Conxo Santiago B-C.D. Choco B</v>
      </c>
      <c r="F55" s="1" t="s">
        <v>157</v>
      </c>
      <c r="G55" s="1" t="s">
        <v>57</v>
      </c>
      <c r="H55" s="1" t="s">
        <v>12</v>
      </c>
      <c r="I55" s="9">
        <v>2</v>
      </c>
      <c r="J55" s="9">
        <v>1</v>
      </c>
      <c r="K55" s="10" t="str">
        <f>+CONCATENATE(Datos_General[[#This Row],[Goles a Favor_Eq_local]],"-",Datos_General[[#This Row],[Gol a Favor_Eq_Visitante]])</f>
        <v>2-1</v>
      </c>
      <c r="L55" s="1" t="s">
        <v>133</v>
      </c>
      <c r="M55" s="1">
        <v>6</v>
      </c>
      <c r="N55" s="1" t="s">
        <v>146</v>
      </c>
      <c r="O55" s="1">
        <v>1</v>
      </c>
      <c r="P55" s="1" t="s">
        <v>2</v>
      </c>
      <c r="Q55" s="22">
        <v>1</v>
      </c>
      <c r="R55" s="9">
        <v>1</v>
      </c>
      <c r="S55" s="1">
        <v>90</v>
      </c>
      <c r="U55" s="1">
        <f>90-Datos_General[[#This Row],[Minutos Jugados]]</f>
        <v>0</v>
      </c>
      <c r="V55" s="1">
        <v>0</v>
      </c>
      <c r="W55" s="1">
        <v>2</v>
      </c>
      <c r="X55" s="1">
        <v>1</v>
      </c>
      <c r="Y55" s="10" t="str">
        <f>+IF(Datos_General[[#This Row],[Resultado]]="Victoria", "3", IF(Datos_General[[#This Row],[Resultado]]="Empate","1",0))</f>
        <v>3</v>
      </c>
      <c r="Z55" s="11">
        <f>+Datos_General[[#This Row],[Minutos Jugados]]*Datos_General[[#This Row],[Puntos Jug_Campo]]</f>
        <v>270</v>
      </c>
      <c r="AA5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5" s="10" t="str">
        <f>+IF(Datos_General[[#This Row],[Resultado Jug_Campo]] = "Empate", "1",IF(Datos_General[[#This Row],[Resultado Jug_Campo]] = "Victoria", "3","0"))</f>
        <v>3</v>
      </c>
    </row>
    <row r="56" spans="1:28">
      <c r="A56" s="1">
        <v>4</v>
      </c>
      <c r="B56" s="6">
        <v>45935</v>
      </c>
      <c r="C56" s="1" t="s">
        <v>133</v>
      </c>
      <c r="D56" s="1" t="s">
        <v>135</v>
      </c>
      <c r="E56" s="10" t="str">
        <f>+CONCATENATE(Datos_General[[#This Row],[Eq.Local]], "-", Datos_General[[#This Row],[Eq.Visitante]])</f>
        <v>Conxo Santiago B-C.D. Choco B</v>
      </c>
      <c r="F56" s="1" t="s">
        <v>157</v>
      </c>
      <c r="G56" s="1" t="s">
        <v>57</v>
      </c>
      <c r="H56" s="1" t="s">
        <v>12</v>
      </c>
      <c r="I56" s="9">
        <v>2</v>
      </c>
      <c r="J56" s="9">
        <v>1</v>
      </c>
      <c r="K56" s="10" t="str">
        <f>+CONCATENATE(Datos_General[[#This Row],[Goles a Favor_Eq_local]],"-",Datos_General[[#This Row],[Gol a Favor_Eq_Visitante]])</f>
        <v>2-1</v>
      </c>
      <c r="L56" s="1" t="s">
        <v>133</v>
      </c>
      <c r="M56" s="1">
        <v>7</v>
      </c>
      <c r="N56" s="1" t="s">
        <v>159</v>
      </c>
      <c r="O56" s="1">
        <v>1</v>
      </c>
      <c r="P56" s="1" t="s">
        <v>2</v>
      </c>
      <c r="Q56" s="22">
        <v>1</v>
      </c>
      <c r="R56" s="9">
        <v>1</v>
      </c>
      <c r="S56" s="1">
        <v>58</v>
      </c>
      <c r="T56" s="1" t="s">
        <v>149</v>
      </c>
      <c r="U56" s="1">
        <f>90-Datos_General[[#This Row],[Minutos Jugados]]</f>
        <v>32</v>
      </c>
      <c r="V56" s="1">
        <v>0</v>
      </c>
      <c r="W56" s="1">
        <v>1</v>
      </c>
      <c r="X56" s="1">
        <v>0</v>
      </c>
      <c r="Y56" s="10" t="str">
        <f>+IF(Datos_General[[#This Row],[Resultado]]="Victoria", "3", IF(Datos_General[[#This Row],[Resultado]]="Empate","1",0))</f>
        <v>3</v>
      </c>
      <c r="Z56" s="11">
        <f>+Datos_General[[#This Row],[Minutos Jugados]]*Datos_General[[#This Row],[Puntos Jug_Campo]]</f>
        <v>174</v>
      </c>
      <c r="AA5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6" s="10" t="str">
        <f>+IF(Datos_General[[#This Row],[Resultado Jug_Campo]] = "Empate", "1",IF(Datos_General[[#This Row],[Resultado Jug_Campo]] = "Victoria", "3","0"))</f>
        <v>3</v>
      </c>
    </row>
    <row r="57" spans="1:28">
      <c r="A57" s="1">
        <v>4</v>
      </c>
      <c r="B57" s="6">
        <v>45935</v>
      </c>
      <c r="C57" s="1" t="s">
        <v>133</v>
      </c>
      <c r="D57" s="1" t="s">
        <v>135</v>
      </c>
      <c r="E57" s="10" t="str">
        <f>+CONCATENATE(Datos_General[[#This Row],[Eq.Local]], "-", Datos_General[[#This Row],[Eq.Visitante]])</f>
        <v>Conxo Santiago B-C.D. Choco B</v>
      </c>
      <c r="F57" s="1" t="s">
        <v>157</v>
      </c>
      <c r="G57" s="1" t="s">
        <v>57</v>
      </c>
      <c r="H57" s="1" t="s">
        <v>12</v>
      </c>
      <c r="I57" s="9">
        <v>2</v>
      </c>
      <c r="J57" s="9">
        <v>1</v>
      </c>
      <c r="K57" s="10" t="str">
        <f>+CONCATENATE(Datos_General[[#This Row],[Goles a Favor_Eq_local]],"-",Datos_General[[#This Row],[Gol a Favor_Eq_Visitante]])</f>
        <v>2-1</v>
      </c>
      <c r="L57" s="1" t="s">
        <v>133</v>
      </c>
      <c r="M57" s="1">
        <v>8</v>
      </c>
      <c r="N57" s="1" t="s">
        <v>151</v>
      </c>
      <c r="O57" s="1">
        <v>1</v>
      </c>
      <c r="P57" s="1" t="s">
        <v>2</v>
      </c>
      <c r="Q57" s="22">
        <v>1</v>
      </c>
      <c r="R57" s="9">
        <v>1</v>
      </c>
      <c r="S57" s="1">
        <v>58</v>
      </c>
      <c r="T57" s="1" t="s">
        <v>154</v>
      </c>
      <c r="U57" s="1">
        <f>90-Datos_General[[#This Row],[Minutos Jugados]]</f>
        <v>32</v>
      </c>
      <c r="V57" s="1">
        <v>0</v>
      </c>
      <c r="W57" s="1">
        <v>1</v>
      </c>
      <c r="X57" s="1">
        <v>0</v>
      </c>
      <c r="Y57" s="10" t="str">
        <f>+IF(Datos_General[[#This Row],[Resultado]]="Victoria", "3", IF(Datos_General[[#This Row],[Resultado]]="Empate","1",0))</f>
        <v>3</v>
      </c>
      <c r="Z57" s="11">
        <f>+Datos_General[[#This Row],[Minutos Jugados]]*Datos_General[[#This Row],[Puntos Jug_Campo]]</f>
        <v>174</v>
      </c>
      <c r="AA5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7" s="10" t="str">
        <f>+IF(Datos_General[[#This Row],[Resultado Jug_Campo]] = "Empate", "1",IF(Datos_General[[#This Row],[Resultado Jug_Campo]] = "Victoria", "3","0"))</f>
        <v>3</v>
      </c>
    </row>
    <row r="58" spans="1:28">
      <c r="A58" s="1">
        <v>4</v>
      </c>
      <c r="B58" s="6">
        <v>45935</v>
      </c>
      <c r="C58" s="1" t="s">
        <v>133</v>
      </c>
      <c r="D58" s="1" t="s">
        <v>135</v>
      </c>
      <c r="E58" s="10" t="str">
        <f>+CONCATENATE(Datos_General[[#This Row],[Eq.Local]], "-", Datos_General[[#This Row],[Eq.Visitante]])</f>
        <v>Conxo Santiago B-C.D. Choco B</v>
      </c>
      <c r="F58" s="1" t="s">
        <v>157</v>
      </c>
      <c r="G58" s="1" t="s">
        <v>57</v>
      </c>
      <c r="H58" s="1" t="s">
        <v>12</v>
      </c>
      <c r="I58" s="9">
        <v>2</v>
      </c>
      <c r="J58" s="9">
        <v>1</v>
      </c>
      <c r="K58" s="10" t="str">
        <f>+CONCATENATE(Datos_General[[#This Row],[Goles a Favor_Eq_local]],"-",Datos_General[[#This Row],[Gol a Favor_Eq_Visitante]])</f>
        <v>2-1</v>
      </c>
      <c r="L58" s="1" t="s">
        <v>133</v>
      </c>
      <c r="M58" s="1">
        <v>9</v>
      </c>
      <c r="N58" s="1" t="s">
        <v>145</v>
      </c>
      <c r="O58" s="1">
        <v>1</v>
      </c>
      <c r="P58" s="1" t="s">
        <v>2</v>
      </c>
      <c r="Q58" s="22">
        <v>1</v>
      </c>
      <c r="R58" s="9">
        <v>1</v>
      </c>
      <c r="S58" s="1">
        <v>64</v>
      </c>
      <c r="T58" s="1" t="s">
        <v>156</v>
      </c>
      <c r="U58" s="1">
        <f>90-Datos_General[[#This Row],[Minutos Jugados]]</f>
        <v>26</v>
      </c>
      <c r="V58" s="1">
        <v>1</v>
      </c>
      <c r="W58" s="1">
        <v>1</v>
      </c>
      <c r="X58" s="1">
        <v>0</v>
      </c>
      <c r="Y58" s="10" t="str">
        <f>+IF(Datos_General[[#This Row],[Resultado]]="Victoria", "3", IF(Datos_General[[#This Row],[Resultado]]="Empate","1",0))</f>
        <v>3</v>
      </c>
      <c r="Z58" s="11">
        <f>+Datos_General[[#This Row],[Minutos Jugados]]*Datos_General[[#This Row],[Puntos Jug_Campo]]</f>
        <v>192</v>
      </c>
      <c r="AA5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8" s="10" t="str">
        <f>+IF(Datos_General[[#This Row],[Resultado Jug_Campo]] = "Empate", "1",IF(Datos_General[[#This Row],[Resultado Jug_Campo]] = "Victoria", "3","0"))</f>
        <v>3</v>
      </c>
    </row>
    <row r="59" spans="1:28">
      <c r="A59" s="1">
        <v>4</v>
      </c>
      <c r="B59" s="6">
        <v>45935</v>
      </c>
      <c r="C59" s="1" t="s">
        <v>133</v>
      </c>
      <c r="D59" s="1" t="s">
        <v>135</v>
      </c>
      <c r="E59" s="10" t="str">
        <f>+CONCATENATE(Datos_General[[#This Row],[Eq.Local]], "-", Datos_General[[#This Row],[Eq.Visitante]])</f>
        <v>Conxo Santiago B-C.D. Choco B</v>
      </c>
      <c r="F59" s="1" t="s">
        <v>157</v>
      </c>
      <c r="G59" s="1" t="s">
        <v>57</v>
      </c>
      <c r="H59" s="1" t="s">
        <v>12</v>
      </c>
      <c r="I59" s="9">
        <v>2</v>
      </c>
      <c r="J59" s="9">
        <v>1</v>
      </c>
      <c r="K59" s="10" t="str">
        <f>+CONCATENATE(Datos_General[[#This Row],[Goles a Favor_Eq_local]],"-",Datos_General[[#This Row],[Gol a Favor_Eq_Visitante]])</f>
        <v>2-1</v>
      </c>
      <c r="L59" s="1" t="s">
        <v>133</v>
      </c>
      <c r="M59" s="1">
        <v>10</v>
      </c>
      <c r="N59" s="1" t="s">
        <v>143</v>
      </c>
      <c r="O59" s="1">
        <v>1</v>
      </c>
      <c r="P59" s="1" t="s">
        <v>2</v>
      </c>
      <c r="Q59" s="22">
        <v>1</v>
      </c>
      <c r="R59" s="9">
        <v>1</v>
      </c>
      <c r="S59" s="1">
        <v>64</v>
      </c>
      <c r="T59" s="1" t="s">
        <v>152</v>
      </c>
      <c r="U59" s="1">
        <f>90-Datos_General[[#This Row],[Minutos Jugados]]</f>
        <v>26</v>
      </c>
      <c r="V59" s="1">
        <v>0</v>
      </c>
      <c r="W59" s="1">
        <v>1</v>
      </c>
      <c r="X59" s="1">
        <v>0</v>
      </c>
      <c r="Y59" s="10" t="str">
        <f>+IF(Datos_General[[#This Row],[Resultado]]="Victoria", "3", IF(Datos_General[[#This Row],[Resultado]]="Empate","1",0))</f>
        <v>3</v>
      </c>
      <c r="Z59" s="11">
        <f>+Datos_General[[#This Row],[Minutos Jugados]]*Datos_General[[#This Row],[Puntos Jug_Campo]]</f>
        <v>192</v>
      </c>
      <c r="AA5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59" s="10" t="str">
        <f>+IF(Datos_General[[#This Row],[Resultado Jug_Campo]] = "Empate", "1",IF(Datos_General[[#This Row],[Resultado Jug_Campo]] = "Victoria", "3","0"))</f>
        <v>3</v>
      </c>
    </row>
    <row r="60" spans="1:28">
      <c r="A60" s="1">
        <v>4</v>
      </c>
      <c r="B60" s="6">
        <v>45935</v>
      </c>
      <c r="C60" s="1" t="s">
        <v>133</v>
      </c>
      <c r="D60" s="1" t="s">
        <v>135</v>
      </c>
      <c r="E60" s="10" t="str">
        <f>+CONCATENATE(Datos_General[[#This Row],[Eq.Local]], "-", Datos_General[[#This Row],[Eq.Visitante]])</f>
        <v>Conxo Santiago B-C.D. Choco B</v>
      </c>
      <c r="F60" s="1" t="s">
        <v>157</v>
      </c>
      <c r="G60" s="1" t="s">
        <v>57</v>
      </c>
      <c r="H60" s="1" t="s">
        <v>12</v>
      </c>
      <c r="I60" s="9">
        <v>2</v>
      </c>
      <c r="J60" s="9">
        <v>1</v>
      </c>
      <c r="K60" s="10" t="str">
        <f>+CONCATENATE(Datos_General[[#This Row],[Goles a Favor_Eq_local]],"-",Datos_General[[#This Row],[Gol a Favor_Eq_Visitante]])</f>
        <v>2-1</v>
      </c>
      <c r="L60" s="1" t="s">
        <v>133</v>
      </c>
      <c r="M60" s="1">
        <v>11</v>
      </c>
      <c r="N60" s="1" t="s">
        <v>147</v>
      </c>
      <c r="O60" s="1">
        <v>1</v>
      </c>
      <c r="P60" s="1" t="s">
        <v>2</v>
      </c>
      <c r="Q60" s="22">
        <v>1</v>
      </c>
      <c r="R60" s="9">
        <v>1</v>
      </c>
      <c r="S60" s="1">
        <v>90</v>
      </c>
      <c r="U60" s="1">
        <f>90-Datos_General[[#This Row],[Minutos Jugados]]</f>
        <v>0</v>
      </c>
      <c r="V60" s="1">
        <v>0</v>
      </c>
      <c r="W60" s="1">
        <v>2</v>
      </c>
      <c r="X60" s="1">
        <v>1</v>
      </c>
      <c r="Y60" s="10" t="str">
        <f>+IF(Datos_General[[#This Row],[Resultado]]="Victoria", "3", IF(Datos_General[[#This Row],[Resultado]]="Empate","1",0))</f>
        <v>3</v>
      </c>
      <c r="Z60" s="11">
        <f>+Datos_General[[#This Row],[Minutos Jugados]]*Datos_General[[#This Row],[Puntos Jug_Campo]]</f>
        <v>270</v>
      </c>
      <c r="AA6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60" s="10" t="str">
        <f>+IF(Datos_General[[#This Row],[Resultado Jug_Campo]] = "Empate", "1",IF(Datos_General[[#This Row],[Resultado Jug_Campo]] = "Victoria", "3","0"))</f>
        <v>3</v>
      </c>
    </row>
    <row r="61" spans="1:28">
      <c r="A61" s="1">
        <v>4</v>
      </c>
      <c r="B61" s="6">
        <v>45935</v>
      </c>
      <c r="C61" s="1" t="s">
        <v>133</v>
      </c>
      <c r="D61" s="1" t="s">
        <v>135</v>
      </c>
      <c r="E61" s="10" t="str">
        <f>+CONCATENATE(Datos_General[[#This Row],[Eq.Local]], "-", Datos_General[[#This Row],[Eq.Visitante]])</f>
        <v>Conxo Santiago B-C.D. Choco B</v>
      </c>
      <c r="F61" s="1" t="s">
        <v>157</v>
      </c>
      <c r="G61" s="1" t="s">
        <v>57</v>
      </c>
      <c r="H61" s="1" t="s">
        <v>12</v>
      </c>
      <c r="I61" s="9">
        <v>2</v>
      </c>
      <c r="J61" s="9">
        <v>1</v>
      </c>
      <c r="K61" s="10" t="str">
        <f>+CONCATENATE(Datos_General[[#This Row],[Goles a Favor_Eq_local]],"-",Datos_General[[#This Row],[Gol a Favor_Eq_Visitante]])</f>
        <v>2-1</v>
      </c>
      <c r="L61" s="1" t="s">
        <v>133</v>
      </c>
      <c r="M61" s="1">
        <v>13</v>
      </c>
      <c r="N61" s="1" t="s">
        <v>148</v>
      </c>
      <c r="O61" s="1">
        <v>1</v>
      </c>
      <c r="P61" s="1" t="s">
        <v>70</v>
      </c>
      <c r="Q61" s="7">
        <f>+IF(Datos_General[[#This Row],[Minutos Jugados]]&gt;0, 1, 0)</f>
        <v>0</v>
      </c>
      <c r="R61" s="23">
        <v>0</v>
      </c>
      <c r="S61" s="8">
        <f>IFERROR(IF(MATCH(N61,$T$50:$T$65,0), INDEX($U$50:$U$65,MATCH(N61,$T$50:$T$65,0))),0)</f>
        <v>0</v>
      </c>
      <c r="U61" s="1">
        <f>90-Datos_General[[#This Row],[Minutos Jugados]]</f>
        <v>90</v>
      </c>
      <c r="V61" s="1">
        <v>0</v>
      </c>
      <c r="W61" s="1">
        <v>0</v>
      </c>
      <c r="X61" s="1">
        <v>0</v>
      </c>
      <c r="Y61" s="10" t="str">
        <f>+IF(Datos_General[[#This Row],[Resultado]]="Victoria", "3", IF(Datos_General[[#This Row],[Resultado]]="Empate","1",0))</f>
        <v>3</v>
      </c>
      <c r="Z61" s="11">
        <f>+Datos_General[[#This Row],[Minutos Jugados]]*Datos_General[[#This Row],[Puntos Jug_Campo]]</f>
        <v>0</v>
      </c>
      <c r="AA6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61" s="10" t="str">
        <f>+IF(Datos_General[[#This Row],[Resultado Jug_Campo]] = "Empate", "1",IF(Datos_General[[#This Row],[Resultado Jug_Campo]] = "Victoria", "3","0"))</f>
        <v>0</v>
      </c>
    </row>
    <row r="62" spans="1:28">
      <c r="A62" s="1">
        <v>4</v>
      </c>
      <c r="B62" s="6">
        <v>45935</v>
      </c>
      <c r="C62" s="1" t="s">
        <v>133</v>
      </c>
      <c r="D62" s="1" t="s">
        <v>135</v>
      </c>
      <c r="E62" s="10" t="str">
        <f>+CONCATENATE(Datos_General[[#This Row],[Eq.Local]], "-", Datos_General[[#This Row],[Eq.Visitante]])</f>
        <v>Conxo Santiago B-C.D. Choco B</v>
      </c>
      <c r="F62" s="1" t="s">
        <v>157</v>
      </c>
      <c r="G62" s="1" t="s">
        <v>57</v>
      </c>
      <c r="H62" s="1" t="s">
        <v>12</v>
      </c>
      <c r="I62" s="9">
        <v>2</v>
      </c>
      <c r="J62" s="9">
        <v>1</v>
      </c>
      <c r="K62" s="10" t="str">
        <f>+CONCATENATE(Datos_General[[#This Row],[Goles a Favor_Eq_local]],"-",Datos_General[[#This Row],[Gol a Favor_Eq_Visitante]])</f>
        <v>2-1</v>
      </c>
      <c r="L62" s="1" t="s">
        <v>133</v>
      </c>
      <c r="M62" s="1">
        <v>12</v>
      </c>
      <c r="N62" s="1" t="s">
        <v>156</v>
      </c>
      <c r="O62" s="1">
        <v>1</v>
      </c>
      <c r="P62" s="1" t="s">
        <v>70</v>
      </c>
      <c r="Q62" s="7">
        <f>+IF(Datos_General[[#This Row],[Minutos Jugados]]&gt;0, 1, 0)</f>
        <v>1</v>
      </c>
      <c r="R62" s="23">
        <v>0</v>
      </c>
      <c r="S62" s="8">
        <f>IFERROR(IF(MATCH(N62,$T$50:$T$65,0), INDEX($U$50:$U$65,MATCH(N62,$T$50:$T$65,0))),0)</f>
        <v>26</v>
      </c>
      <c r="U62" s="1">
        <f>90-Datos_General[[#This Row],[Minutos Jugados]]</f>
        <v>64</v>
      </c>
      <c r="V62" s="1">
        <v>0</v>
      </c>
      <c r="W62" s="1">
        <v>1</v>
      </c>
      <c r="X62" s="1">
        <v>1</v>
      </c>
      <c r="Y62" s="10" t="str">
        <f>+IF(Datos_General[[#This Row],[Resultado]]="Victoria", "3", IF(Datos_General[[#This Row],[Resultado]]="Empate","1",0))</f>
        <v>3</v>
      </c>
      <c r="Z62" s="11">
        <f>+Datos_General[[#This Row],[Minutos Jugados]]*Datos_General[[#This Row],[Puntos Jug_Campo]]</f>
        <v>26</v>
      </c>
      <c r="AA6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62" s="10" t="str">
        <f>+IF(Datos_General[[#This Row],[Resultado Jug_Campo]] = "Empate", "1",IF(Datos_General[[#This Row],[Resultado Jug_Campo]] = "Victoria", "3","0"))</f>
        <v>1</v>
      </c>
    </row>
    <row r="63" spans="1:28">
      <c r="A63" s="1">
        <v>4</v>
      </c>
      <c r="B63" s="6">
        <v>45935</v>
      </c>
      <c r="C63" s="1" t="s">
        <v>133</v>
      </c>
      <c r="D63" s="1" t="s">
        <v>135</v>
      </c>
      <c r="E63" s="10" t="str">
        <f>+CONCATENATE(Datos_General[[#This Row],[Eq.Local]], "-", Datos_General[[#This Row],[Eq.Visitante]])</f>
        <v>Conxo Santiago B-C.D. Choco B</v>
      </c>
      <c r="F63" s="1" t="s">
        <v>157</v>
      </c>
      <c r="G63" s="1" t="s">
        <v>57</v>
      </c>
      <c r="H63" s="1" t="s">
        <v>12</v>
      </c>
      <c r="I63" s="9">
        <v>2</v>
      </c>
      <c r="J63" s="9">
        <v>1</v>
      </c>
      <c r="K63" s="10" t="str">
        <f>+CONCATENATE(Datos_General[[#This Row],[Goles a Favor_Eq_local]],"-",Datos_General[[#This Row],[Gol a Favor_Eq_Visitante]])</f>
        <v>2-1</v>
      </c>
      <c r="L63" s="1" t="s">
        <v>133</v>
      </c>
      <c r="M63" s="1">
        <v>14</v>
      </c>
      <c r="N63" s="1" t="s">
        <v>149</v>
      </c>
      <c r="O63" s="1">
        <v>1</v>
      </c>
      <c r="P63" s="1" t="s">
        <v>70</v>
      </c>
      <c r="Q63" s="7">
        <f>+IF(Datos_General[[#This Row],[Minutos Jugados]]&gt;0, 1, 0)</f>
        <v>1</v>
      </c>
      <c r="R63" s="23">
        <v>0</v>
      </c>
      <c r="S63" s="8">
        <f>IFERROR(IF(MATCH(N63,$T$50:$T$65,0), INDEX($U$50:$U$65,MATCH(N63,$T$50:$T$65,0))),0)</f>
        <v>32</v>
      </c>
      <c r="U63" s="1">
        <f>90-Datos_General[[#This Row],[Minutos Jugados]]</f>
        <v>58</v>
      </c>
      <c r="V63" s="1">
        <v>0</v>
      </c>
      <c r="W63" s="1">
        <v>1</v>
      </c>
      <c r="X63" s="1">
        <v>1</v>
      </c>
      <c r="Y63" s="10" t="str">
        <f>+IF(Datos_General[[#This Row],[Resultado]]="Victoria", "3", IF(Datos_General[[#This Row],[Resultado]]="Empate","1",0))</f>
        <v>3</v>
      </c>
      <c r="Z63" s="11">
        <f>+Datos_General[[#This Row],[Minutos Jugados]]*Datos_General[[#This Row],[Puntos Jug_Campo]]</f>
        <v>32</v>
      </c>
      <c r="AA6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63" s="10" t="str">
        <f>+IF(Datos_General[[#This Row],[Resultado Jug_Campo]] = "Empate", "1",IF(Datos_General[[#This Row],[Resultado Jug_Campo]] = "Victoria", "3","0"))</f>
        <v>1</v>
      </c>
    </row>
    <row r="64" spans="1:28">
      <c r="A64" s="1">
        <v>4</v>
      </c>
      <c r="B64" s="6">
        <v>45935</v>
      </c>
      <c r="C64" s="1" t="s">
        <v>133</v>
      </c>
      <c r="D64" s="1" t="s">
        <v>135</v>
      </c>
      <c r="E64" s="10" t="str">
        <f>+CONCATENATE(Datos_General[[#This Row],[Eq.Local]], "-", Datos_General[[#This Row],[Eq.Visitante]])</f>
        <v>Conxo Santiago B-C.D. Choco B</v>
      </c>
      <c r="F64" s="1" t="s">
        <v>157</v>
      </c>
      <c r="G64" s="1" t="s">
        <v>57</v>
      </c>
      <c r="H64" s="1" t="s">
        <v>12</v>
      </c>
      <c r="I64" s="9">
        <v>2</v>
      </c>
      <c r="J64" s="9">
        <v>1</v>
      </c>
      <c r="K64" s="10" t="str">
        <f>+CONCATENATE(Datos_General[[#This Row],[Goles a Favor_Eq_local]],"-",Datos_General[[#This Row],[Gol a Favor_Eq_Visitante]])</f>
        <v>2-1</v>
      </c>
      <c r="L64" s="1" t="s">
        <v>133</v>
      </c>
      <c r="M64" s="1">
        <v>15</v>
      </c>
      <c r="N64" s="1" t="s">
        <v>152</v>
      </c>
      <c r="O64" s="1">
        <v>1</v>
      </c>
      <c r="P64" s="1" t="s">
        <v>70</v>
      </c>
      <c r="Q64" s="7">
        <f>+IF(Datos_General[[#This Row],[Minutos Jugados]]&gt;0, 1, 0)</f>
        <v>1</v>
      </c>
      <c r="R64" s="23">
        <v>0</v>
      </c>
      <c r="S64" s="8">
        <f>IFERROR(IF(MATCH(N64,$T$50:$T$65,0), INDEX($U$50:$U$65,MATCH(N64,$T$50:$T$65,0))),0)</f>
        <v>26</v>
      </c>
      <c r="U64" s="1">
        <f>90-Datos_General[[#This Row],[Minutos Jugados]]</f>
        <v>64</v>
      </c>
      <c r="V64" s="1">
        <v>1</v>
      </c>
      <c r="W64" s="1">
        <v>1</v>
      </c>
      <c r="X64" s="1">
        <v>1</v>
      </c>
      <c r="Y64" s="10" t="str">
        <f>+IF(Datos_General[[#This Row],[Resultado]]="Victoria", "3", IF(Datos_General[[#This Row],[Resultado]]="Empate","1",0))</f>
        <v>3</v>
      </c>
      <c r="Z64" s="11">
        <f>+Datos_General[[#This Row],[Minutos Jugados]]*Datos_General[[#This Row],[Puntos Jug_Campo]]</f>
        <v>26</v>
      </c>
      <c r="AA6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64" s="10" t="str">
        <f>+IF(Datos_General[[#This Row],[Resultado Jug_Campo]] = "Empate", "1",IF(Datos_General[[#This Row],[Resultado Jug_Campo]] = "Victoria", "3","0"))</f>
        <v>1</v>
      </c>
    </row>
    <row r="65" spans="1:28">
      <c r="A65" s="1">
        <v>4</v>
      </c>
      <c r="B65" s="6">
        <v>45935</v>
      </c>
      <c r="C65" s="1" t="s">
        <v>133</v>
      </c>
      <c r="D65" s="1" t="s">
        <v>135</v>
      </c>
      <c r="E65" s="10" t="str">
        <f>+CONCATENATE(Datos_General[[#This Row],[Eq.Local]], "-", Datos_General[[#This Row],[Eq.Visitante]])</f>
        <v>Conxo Santiago B-C.D. Choco B</v>
      </c>
      <c r="F65" s="1" t="s">
        <v>157</v>
      </c>
      <c r="G65" s="1" t="s">
        <v>57</v>
      </c>
      <c r="H65" s="1" t="s">
        <v>12</v>
      </c>
      <c r="I65" s="9">
        <v>2</v>
      </c>
      <c r="J65" s="9">
        <v>1</v>
      </c>
      <c r="K65" s="10" t="str">
        <f>+CONCATENATE(Datos_General[[#This Row],[Goles a Favor_Eq_local]],"-",Datos_General[[#This Row],[Gol a Favor_Eq_Visitante]])</f>
        <v>2-1</v>
      </c>
      <c r="L65" s="1" t="s">
        <v>133</v>
      </c>
      <c r="M65" s="1">
        <v>16</v>
      </c>
      <c r="N65" s="1" t="s">
        <v>154</v>
      </c>
      <c r="O65" s="1">
        <v>1</v>
      </c>
      <c r="P65" s="1" t="s">
        <v>70</v>
      </c>
      <c r="Q65" s="7">
        <f>+IF(Datos_General[[#This Row],[Minutos Jugados]]&gt;0, 1, 0)</f>
        <v>1</v>
      </c>
      <c r="R65" s="23">
        <v>0</v>
      </c>
      <c r="S65" s="8">
        <f>IFERROR(IF(MATCH(N65,$T$50:$T$65,0), INDEX($U$50:$U$65,MATCH(N65,$T$50:$T$65,0))),0)</f>
        <v>32</v>
      </c>
      <c r="U65" s="1">
        <f>90-Datos_General[[#This Row],[Minutos Jugados]]</f>
        <v>58</v>
      </c>
      <c r="V65" s="1">
        <v>0</v>
      </c>
      <c r="W65" s="1">
        <v>1</v>
      </c>
      <c r="X65" s="1">
        <v>1</v>
      </c>
      <c r="Y65" s="10" t="str">
        <f>+IF(Datos_General[[#This Row],[Resultado]]="Victoria", "3", IF(Datos_General[[#This Row],[Resultado]]="Empate","1",0))</f>
        <v>3</v>
      </c>
      <c r="Z65" s="11">
        <f>+Datos_General[[#This Row],[Minutos Jugados]]*Datos_General[[#This Row],[Puntos Jug_Campo]]</f>
        <v>32</v>
      </c>
      <c r="AA6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65" s="10" t="str">
        <f>+IF(Datos_General[[#This Row],[Resultado Jug_Campo]] = "Empate", "1",IF(Datos_General[[#This Row],[Resultado Jug_Campo]] = "Victoria", "3","0"))</f>
        <v>1</v>
      </c>
    </row>
    <row r="66" spans="1:28">
      <c r="A66" s="1">
        <v>5</v>
      </c>
      <c r="B66" s="6">
        <v>45941</v>
      </c>
      <c r="C66" s="1" t="s">
        <v>122</v>
      </c>
      <c r="D66" s="1" t="s">
        <v>133</v>
      </c>
      <c r="E66" s="10" t="str">
        <f>+CONCATENATE(Datos_General[[#This Row],[Eq.Local]], "-", Datos_General[[#This Row],[Eq.Visitante]])</f>
        <v>Cidade de Ribeira-Conxo Santiago B</v>
      </c>
      <c r="F66" s="1" t="s">
        <v>160</v>
      </c>
      <c r="G66" s="1" t="s">
        <v>58</v>
      </c>
      <c r="H66" s="1" t="s">
        <v>43</v>
      </c>
      <c r="I66" s="9">
        <v>1</v>
      </c>
      <c r="J66" s="9">
        <v>0</v>
      </c>
      <c r="K66" s="10" t="str">
        <f>+CONCATENATE(Datos_General[[#This Row],[Goles a Favor_Eq_local]],"-",Datos_General[[#This Row],[Gol a Favor_Eq_Visitante]])</f>
        <v>1-0</v>
      </c>
      <c r="L66" s="1" t="s">
        <v>133</v>
      </c>
      <c r="M66" s="1">
        <v>1</v>
      </c>
      <c r="N66" s="1" t="s">
        <v>148</v>
      </c>
      <c r="O66" s="1">
        <v>1</v>
      </c>
      <c r="P66" s="1" t="s">
        <v>2</v>
      </c>
      <c r="Q66" s="22">
        <v>1</v>
      </c>
      <c r="R66" s="9">
        <v>1</v>
      </c>
      <c r="S66" s="1">
        <v>90</v>
      </c>
      <c r="U66" s="1">
        <f>90-Datos_General[[#This Row],[Minutos Jugados]]</f>
        <v>0</v>
      </c>
      <c r="V66" s="1">
        <v>0</v>
      </c>
      <c r="W66" s="1">
        <v>0</v>
      </c>
      <c r="X66" s="1">
        <v>1</v>
      </c>
      <c r="Y66" s="10">
        <f>+IF(Datos_General[[#This Row],[Resultado]]="Victoria", "3", IF(Datos_General[[#This Row],[Resultado]]="Empate","1",0))</f>
        <v>0</v>
      </c>
      <c r="Z66" s="11">
        <f>+Datos_General[[#This Row],[Minutos Jugados]]*Datos_General[[#This Row],[Puntos Jug_Campo]]</f>
        <v>0</v>
      </c>
      <c r="AA6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66" s="10" t="str">
        <f>+IF(Datos_General[[#This Row],[Resultado Jug_Campo]] = "Empate", "1",IF(Datos_General[[#This Row],[Resultado Jug_Campo]] = "Victoria", "3","0"))</f>
        <v>0</v>
      </c>
    </row>
    <row r="67" spans="1:28">
      <c r="A67" s="1">
        <v>5</v>
      </c>
      <c r="B67" s="6">
        <v>45941</v>
      </c>
      <c r="C67" s="1" t="s">
        <v>122</v>
      </c>
      <c r="D67" s="1" t="s">
        <v>133</v>
      </c>
      <c r="E67" s="10" t="str">
        <f>+CONCATENATE(Datos_General[[#This Row],[Eq.Local]], "-", Datos_General[[#This Row],[Eq.Visitante]])</f>
        <v>Cidade de Ribeira-Conxo Santiago B</v>
      </c>
      <c r="F67" s="1" t="s">
        <v>160</v>
      </c>
      <c r="G67" s="1" t="s">
        <v>58</v>
      </c>
      <c r="H67" s="1" t="s">
        <v>43</v>
      </c>
      <c r="I67" s="9">
        <v>1</v>
      </c>
      <c r="J67" s="9">
        <v>0</v>
      </c>
      <c r="K67" s="10" t="str">
        <f>+CONCATENATE(Datos_General[[#This Row],[Goles a Favor_Eq_local]],"-",Datos_General[[#This Row],[Gol a Favor_Eq_Visitante]])</f>
        <v>1-0</v>
      </c>
      <c r="L67" s="1" t="s">
        <v>133</v>
      </c>
      <c r="M67" s="1">
        <v>2</v>
      </c>
      <c r="N67" s="1" t="s">
        <v>138</v>
      </c>
      <c r="O67" s="1">
        <v>1</v>
      </c>
      <c r="P67" s="1" t="s">
        <v>2</v>
      </c>
      <c r="Q67" s="22">
        <v>1</v>
      </c>
      <c r="R67" s="9">
        <v>1</v>
      </c>
      <c r="S67" s="1">
        <v>90</v>
      </c>
      <c r="U67" s="1">
        <f>90-Datos_General[[#This Row],[Minutos Jugados]]</f>
        <v>0</v>
      </c>
      <c r="V67" s="1">
        <v>0</v>
      </c>
      <c r="W67" s="1">
        <v>0</v>
      </c>
      <c r="X67" s="1">
        <v>1</v>
      </c>
      <c r="Y67" s="10">
        <f>+IF(Datos_General[[#This Row],[Resultado]]="Victoria", "3", IF(Datos_General[[#This Row],[Resultado]]="Empate","1",0))</f>
        <v>0</v>
      </c>
      <c r="Z67" s="11">
        <f>+Datos_General[[#This Row],[Minutos Jugados]]*Datos_General[[#This Row],[Puntos Jug_Campo]]</f>
        <v>0</v>
      </c>
      <c r="AA6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67" s="10" t="str">
        <f>+IF(Datos_General[[#This Row],[Resultado Jug_Campo]] = "Empate", "1",IF(Datos_General[[#This Row],[Resultado Jug_Campo]] = "Victoria", "3","0"))</f>
        <v>0</v>
      </c>
    </row>
    <row r="68" spans="1:28">
      <c r="A68" s="1">
        <v>5</v>
      </c>
      <c r="B68" s="6">
        <v>45941</v>
      </c>
      <c r="C68" s="1" t="s">
        <v>122</v>
      </c>
      <c r="D68" s="1" t="s">
        <v>133</v>
      </c>
      <c r="E68" s="10" t="str">
        <f>+CONCATENATE(Datos_General[[#This Row],[Eq.Local]], "-", Datos_General[[#This Row],[Eq.Visitante]])</f>
        <v>Cidade de Ribeira-Conxo Santiago B</v>
      </c>
      <c r="F68" s="1" t="s">
        <v>160</v>
      </c>
      <c r="G68" s="1" t="s">
        <v>58</v>
      </c>
      <c r="H68" s="1" t="s">
        <v>43</v>
      </c>
      <c r="I68" s="9">
        <v>1</v>
      </c>
      <c r="J68" s="9">
        <v>0</v>
      </c>
      <c r="K68" s="10" t="str">
        <f>+CONCATENATE(Datos_General[[#This Row],[Goles a Favor_Eq_local]],"-",Datos_General[[#This Row],[Gol a Favor_Eq_Visitante]])</f>
        <v>1-0</v>
      </c>
      <c r="L68" s="1" t="s">
        <v>133</v>
      </c>
      <c r="M68" s="1">
        <v>3</v>
      </c>
      <c r="N68" s="1" t="s">
        <v>144</v>
      </c>
      <c r="O68" s="1">
        <v>1</v>
      </c>
      <c r="P68" s="1" t="s">
        <v>2</v>
      </c>
      <c r="Q68" s="22">
        <v>1</v>
      </c>
      <c r="R68" s="9">
        <v>1</v>
      </c>
      <c r="S68" s="1">
        <v>90</v>
      </c>
      <c r="U68" s="1">
        <f>90-Datos_General[[#This Row],[Minutos Jugados]]</f>
        <v>0</v>
      </c>
      <c r="V68" s="1">
        <v>0</v>
      </c>
      <c r="W68" s="1">
        <v>0</v>
      </c>
      <c r="X68" s="1">
        <v>1</v>
      </c>
      <c r="Y68" s="10">
        <f>+IF(Datos_General[[#This Row],[Resultado]]="Victoria", "3", IF(Datos_General[[#This Row],[Resultado]]="Empate","1",0))</f>
        <v>0</v>
      </c>
      <c r="Z68" s="11">
        <f>+Datos_General[[#This Row],[Minutos Jugados]]*Datos_General[[#This Row],[Puntos Jug_Campo]]</f>
        <v>0</v>
      </c>
      <c r="AA6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68" s="10" t="str">
        <f>+IF(Datos_General[[#This Row],[Resultado Jug_Campo]] = "Empate", "1",IF(Datos_General[[#This Row],[Resultado Jug_Campo]] = "Victoria", "3","0"))</f>
        <v>0</v>
      </c>
    </row>
    <row r="69" spans="1:28">
      <c r="A69" s="1">
        <v>5</v>
      </c>
      <c r="B69" s="6">
        <v>45941</v>
      </c>
      <c r="C69" s="1" t="s">
        <v>122</v>
      </c>
      <c r="D69" s="1" t="s">
        <v>133</v>
      </c>
      <c r="E69" s="10" t="str">
        <f>+CONCATENATE(Datos_General[[#This Row],[Eq.Local]], "-", Datos_General[[#This Row],[Eq.Visitante]])</f>
        <v>Cidade de Ribeira-Conxo Santiago B</v>
      </c>
      <c r="F69" s="1" t="s">
        <v>160</v>
      </c>
      <c r="G69" s="1" t="s">
        <v>58</v>
      </c>
      <c r="H69" s="1" t="s">
        <v>43</v>
      </c>
      <c r="I69" s="9">
        <v>1</v>
      </c>
      <c r="J69" s="9">
        <v>0</v>
      </c>
      <c r="K69" s="10" t="str">
        <f>+CONCATENATE(Datos_General[[#This Row],[Goles a Favor_Eq_local]],"-",Datos_General[[#This Row],[Gol a Favor_Eq_Visitante]])</f>
        <v>1-0</v>
      </c>
      <c r="L69" s="1" t="s">
        <v>133</v>
      </c>
      <c r="M69" s="1">
        <v>4</v>
      </c>
      <c r="N69" s="1" t="s">
        <v>140</v>
      </c>
      <c r="O69" s="1">
        <v>1</v>
      </c>
      <c r="P69" s="1" t="s">
        <v>2</v>
      </c>
      <c r="Q69" s="22">
        <v>1</v>
      </c>
      <c r="R69" s="9">
        <v>1</v>
      </c>
      <c r="S69" s="1">
        <v>90</v>
      </c>
      <c r="U69" s="1">
        <f>90-Datos_General[[#This Row],[Minutos Jugados]]</f>
        <v>0</v>
      </c>
      <c r="V69" s="1">
        <v>0</v>
      </c>
      <c r="W69" s="1">
        <v>0</v>
      </c>
      <c r="X69" s="1">
        <v>1</v>
      </c>
      <c r="Y69" s="10">
        <f>+IF(Datos_General[[#This Row],[Resultado]]="Victoria", "3", IF(Datos_General[[#This Row],[Resultado]]="Empate","1",0))</f>
        <v>0</v>
      </c>
      <c r="Z69" s="11">
        <f>+Datos_General[[#This Row],[Minutos Jugados]]*Datos_General[[#This Row],[Puntos Jug_Campo]]</f>
        <v>0</v>
      </c>
      <c r="AA6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69" s="10" t="str">
        <f>+IF(Datos_General[[#This Row],[Resultado Jug_Campo]] = "Empate", "1",IF(Datos_General[[#This Row],[Resultado Jug_Campo]] = "Victoria", "3","0"))</f>
        <v>0</v>
      </c>
    </row>
    <row r="70" spans="1:28">
      <c r="A70" s="1">
        <v>5</v>
      </c>
      <c r="B70" s="6">
        <v>45941</v>
      </c>
      <c r="C70" s="1" t="s">
        <v>122</v>
      </c>
      <c r="D70" s="1" t="s">
        <v>133</v>
      </c>
      <c r="E70" s="10" t="str">
        <f>+CONCATENATE(Datos_General[[#This Row],[Eq.Local]], "-", Datos_General[[#This Row],[Eq.Visitante]])</f>
        <v>Cidade de Ribeira-Conxo Santiago B</v>
      </c>
      <c r="F70" s="1" t="s">
        <v>160</v>
      </c>
      <c r="G70" s="1" t="s">
        <v>58</v>
      </c>
      <c r="H70" s="1" t="s">
        <v>43</v>
      </c>
      <c r="I70" s="9">
        <v>1</v>
      </c>
      <c r="J70" s="9">
        <v>0</v>
      </c>
      <c r="K70" s="10" t="str">
        <f>+CONCATENATE(Datos_General[[#This Row],[Goles a Favor_Eq_local]],"-",Datos_General[[#This Row],[Gol a Favor_Eq_Visitante]])</f>
        <v>1-0</v>
      </c>
      <c r="L70" s="1" t="s">
        <v>133</v>
      </c>
      <c r="M70" s="1">
        <v>5</v>
      </c>
      <c r="N70" s="1" t="s">
        <v>146</v>
      </c>
      <c r="O70" s="1">
        <v>1</v>
      </c>
      <c r="P70" s="1" t="s">
        <v>2</v>
      </c>
      <c r="Q70" s="22">
        <v>1</v>
      </c>
      <c r="R70" s="9">
        <v>1</v>
      </c>
      <c r="S70" s="1">
        <v>90</v>
      </c>
      <c r="U70" s="1">
        <f>90-Datos_General[[#This Row],[Minutos Jugados]]</f>
        <v>0</v>
      </c>
      <c r="V70" s="1">
        <v>0</v>
      </c>
      <c r="W70" s="1">
        <v>0</v>
      </c>
      <c r="X70" s="1">
        <v>1</v>
      </c>
      <c r="Y70" s="10">
        <f>+IF(Datos_General[[#This Row],[Resultado]]="Victoria", "3", IF(Datos_General[[#This Row],[Resultado]]="Empate","1",0))</f>
        <v>0</v>
      </c>
      <c r="Z70" s="11">
        <f>+Datos_General[[#This Row],[Minutos Jugados]]*Datos_General[[#This Row],[Puntos Jug_Campo]]</f>
        <v>0</v>
      </c>
      <c r="AA7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70" s="10" t="str">
        <f>+IF(Datos_General[[#This Row],[Resultado Jug_Campo]] = "Empate", "1",IF(Datos_General[[#This Row],[Resultado Jug_Campo]] = "Victoria", "3","0"))</f>
        <v>0</v>
      </c>
    </row>
    <row r="71" spans="1:28">
      <c r="A71" s="1">
        <v>5</v>
      </c>
      <c r="B71" s="6">
        <v>45941</v>
      </c>
      <c r="C71" s="1" t="s">
        <v>122</v>
      </c>
      <c r="D71" s="1" t="s">
        <v>133</v>
      </c>
      <c r="E71" s="10" t="str">
        <f>+CONCATENATE(Datos_General[[#This Row],[Eq.Local]], "-", Datos_General[[#This Row],[Eq.Visitante]])</f>
        <v>Cidade de Ribeira-Conxo Santiago B</v>
      </c>
      <c r="F71" s="1" t="s">
        <v>160</v>
      </c>
      <c r="G71" s="1" t="s">
        <v>58</v>
      </c>
      <c r="H71" s="1" t="s">
        <v>43</v>
      </c>
      <c r="I71" s="9">
        <v>1</v>
      </c>
      <c r="J71" s="9">
        <v>0</v>
      </c>
      <c r="K71" s="10" t="str">
        <f>+CONCATENATE(Datos_General[[#This Row],[Goles a Favor_Eq_local]],"-",Datos_General[[#This Row],[Gol a Favor_Eq_Visitante]])</f>
        <v>1-0</v>
      </c>
      <c r="L71" s="1" t="s">
        <v>133</v>
      </c>
      <c r="M71" s="1">
        <v>6</v>
      </c>
      <c r="N71" s="1" t="s">
        <v>142</v>
      </c>
      <c r="O71" s="1">
        <v>1</v>
      </c>
      <c r="P71" s="1" t="s">
        <v>2</v>
      </c>
      <c r="Q71" s="22">
        <v>1</v>
      </c>
      <c r="R71" s="9">
        <v>1</v>
      </c>
      <c r="S71" s="1">
        <v>90</v>
      </c>
      <c r="U71" s="1">
        <f>90-Datos_General[[#This Row],[Minutos Jugados]]</f>
        <v>0</v>
      </c>
      <c r="V71" s="1">
        <v>0</v>
      </c>
      <c r="W71" s="1">
        <v>0</v>
      </c>
      <c r="X71" s="1">
        <v>1</v>
      </c>
      <c r="Y71" s="10">
        <f>+IF(Datos_General[[#This Row],[Resultado]]="Victoria", "3", IF(Datos_General[[#This Row],[Resultado]]="Empate","1",0))</f>
        <v>0</v>
      </c>
      <c r="Z71" s="11">
        <f>+Datos_General[[#This Row],[Minutos Jugados]]*Datos_General[[#This Row],[Puntos Jug_Campo]]</f>
        <v>0</v>
      </c>
      <c r="AA7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71" s="10" t="str">
        <f>+IF(Datos_General[[#This Row],[Resultado Jug_Campo]] = "Empate", "1",IF(Datos_General[[#This Row],[Resultado Jug_Campo]] = "Victoria", "3","0"))</f>
        <v>0</v>
      </c>
    </row>
    <row r="72" spans="1:28">
      <c r="A72" s="1">
        <v>5</v>
      </c>
      <c r="B72" s="6">
        <v>45941</v>
      </c>
      <c r="C72" s="1" t="s">
        <v>122</v>
      </c>
      <c r="D72" s="1" t="s">
        <v>133</v>
      </c>
      <c r="E72" s="10" t="str">
        <f>+CONCATENATE(Datos_General[[#This Row],[Eq.Local]], "-", Datos_General[[#This Row],[Eq.Visitante]])</f>
        <v>Cidade de Ribeira-Conxo Santiago B</v>
      </c>
      <c r="F72" s="1" t="s">
        <v>160</v>
      </c>
      <c r="G72" s="1" t="s">
        <v>58</v>
      </c>
      <c r="H72" s="1" t="s">
        <v>43</v>
      </c>
      <c r="I72" s="9">
        <v>1</v>
      </c>
      <c r="J72" s="9">
        <v>0</v>
      </c>
      <c r="K72" s="10" t="str">
        <f>+CONCATENATE(Datos_General[[#This Row],[Goles a Favor_Eq_local]],"-",Datos_General[[#This Row],[Gol a Favor_Eq_Visitante]])</f>
        <v>1-0</v>
      </c>
      <c r="L72" s="1" t="s">
        <v>133</v>
      </c>
      <c r="M72" s="1">
        <v>7</v>
      </c>
      <c r="N72" s="1" t="s">
        <v>154</v>
      </c>
      <c r="O72" s="1">
        <v>1</v>
      </c>
      <c r="P72" s="1" t="s">
        <v>2</v>
      </c>
      <c r="Q72" s="22">
        <v>1</v>
      </c>
      <c r="R72" s="9">
        <v>1</v>
      </c>
      <c r="S72" s="1">
        <v>67</v>
      </c>
      <c r="T72" s="1" t="s">
        <v>150</v>
      </c>
      <c r="U72" s="1">
        <f>90-Datos_General[[#This Row],[Minutos Jugados]]</f>
        <v>23</v>
      </c>
      <c r="V72" s="1">
        <v>0</v>
      </c>
      <c r="W72" s="1">
        <v>0</v>
      </c>
      <c r="X72" s="1">
        <v>1</v>
      </c>
      <c r="Y72" s="10">
        <f>+IF(Datos_General[[#This Row],[Resultado]]="Victoria", "3", IF(Datos_General[[#This Row],[Resultado]]="Empate","1",0))</f>
        <v>0</v>
      </c>
      <c r="Z72" s="11">
        <f>+Datos_General[[#This Row],[Minutos Jugados]]*Datos_General[[#This Row],[Puntos Jug_Campo]]</f>
        <v>0</v>
      </c>
      <c r="AA7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72" s="10" t="str">
        <f>+IF(Datos_General[[#This Row],[Resultado Jug_Campo]] = "Empate", "1",IF(Datos_General[[#This Row],[Resultado Jug_Campo]] = "Victoria", "3","0"))</f>
        <v>0</v>
      </c>
    </row>
    <row r="73" spans="1:28">
      <c r="A73" s="1">
        <v>5</v>
      </c>
      <c r="B73" s="6">
        <v>45941</v>
      </c>
      <c r="C73" s="1" t="s">
        <v>122</v>
      </c>
      <c r="D73" s="1" t="s">
        <v>133</v>
      </c>
      <c r="E73" s="10" t="str">
        <f>+CONCATENATE(Datos_General[[#This Row],[Eq.Local]], "-", Datos_General[[#This Row],[Eq.Visitante]])</f>
        <v>Cidade de Ribeira-Conxo Santiago B</v>
      </c>
      <c r="F73" s="1" t="s">
        <v>160</v>
      </c>
      <c r="G73" s="1" t="s">
        <v>58</v>
      </c>
      <c r="H73" s="1" t="s">
        <v>43</v>
      </c>
      <c r="I73" s="9">
        <v>1</v>
      </c>
      <c r="J73" s="9">
        <v>0</v>
      </c>
      <c r="K73" s="10" t="str">
        <f>+CONCATENATE(Datos_General[[#This Row],[Goles a Favor_Eq_local]],"-",Datos_General[[#This Row],[Gol a Favor_Eq_Visitante]])</f>
        <v>1-0</v>
      </c>
      <c r="L73" s="1" t="s">
        <v>133</v>
      </c>
      <c r="M73" s="1">
        <v>8</v>
      </c>
      <c r="N73" s="1" t="s">
        <v>156</v>
      </c>
      <c r="O73" s="1">
        <v>1</v>
      </c>
      <c r="P73" s="1" t="s">
        <v>2</v>
      </c>
      <c r="Q73" s="22">
        <v>1</v>
      </c>
      <c r="R73" s="9">
        <v>1</v>
      </c>
      <c r="S73" s="1">
        <v>67</v>
      </c>
      <c r="T73" s="1" t="s">
        <v>143</v>
      </c>
      <c r="U73" s="1">
        <f>90-Datos_General[[#This Row],[Minutos Jugados]]</f>
        <v>23</v>
      </c>
      <c r="V73" s="1">
        <v>0</v>
      </c>
      <c r="W73" s="1">
        <v>0</v>
      </c>
      <c r="X73" s="1">
        <v>1</v>
      </c>
      <c r="Y73" s="10">
        <f>+IF(Datos_General[[#This Row],[Resultado]]="Victoria", "3", IF(Datos_General[[#This Row],[Resultado]]="Empate","1",0))</f>
        <v>0</v>
      </c>
      <c r="Z73" s="11">
        <f>+Datos_General[[#This Row],[Minutos Jugados]]*Datos_General[[#This Row],[Puntos Jug_Campo]]</f>
        <v>0</v>
      </c>
      <c r="AA7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73" s="10" t="str">
        <f>+IF(Datos_General[[#This Row],[Resultado Jug_Campo]] = "Empate", "1",IF(Datos_General[[#This Row],[Resultado Jug_Campo]] = "Victoria", "3","0"))</f>
        <v>0</v>
      </c>
    </row>
    <row r="74" spans="1:28">
      <c r="A74" s="1">
        <v>5</v>
      </c>
      <c r="B74" s="6">
        <v>45941</v>
      </c>
      <c r="C74" s="1" t="s">
        <v>122</v>
      </c>
      <c r="D74" s="1" t="s">
        <v>133</v>
      </c>
      <c r="E74" s="10" t="str">
        <f>+CONCATENATE(Datos_General[[#This Row],[Eq.Local]], "-", Datos_General[[#This Row],[Eq.Visitante]])</f>
        <v>Cidade de Ribeira-Conxo Santiago B</v>
      </c>
      <c r="F74" s="1" t="s">
        <v>160</v>
      </c>
      <c r="G74" s="1" t="s">
        <v>58</v>
      </c>
      <c r="H74" s="1" t="s">
        <v>43</v>
      </c>
      <c r="I74" s="9">
        <v>1</v>
      </c>
      <c r="J74" s="9">
        <v>0</v>
      </c>
      <c r="K74" s="10" t="str">
        <f>+CONCATENATE(Datos_General[[#This Row],[Goles a Favor_Eq_local]],"-",Datos_General[[#This Row],[Gol a Favor_Eq_Visitante]])</f>
        <v>1-0</v>
      </c>
      <c r="L74" s="1" t="s">
        <v>133</v>
      </c>
      <c r="M74" s="1">
        <v>9</v>
      </c>
      <c r="N74" s="1" t="s">
        <v>145</v>
      </c>
      <c r="O74" s="1">
        <v>1</v>
      </c>
      <c r="P74" s="1" t="s">
        <v>2</v>
      </c>
      <c r="Q74" s="22">
        <v>1</v>
      </c>
      <c r="R74" s="9">
        <v>1</v>
      </c>
      <c r="S74" s="1">
        <v>90</v>
      </c>
      <c r="U74" s="1">
        <f>90-Datos_General[[#This Row],[Minutos Jugados]]</f>
        <v>0</v>
      </c>
      <c r="V74" s="1">
        <v>0</v>
      </c>
      <c r="W74" s="1">
        <v>0</v>
      </c>
      <c r="X74" s="1">
        <v>1</v>
      </c>
      <c r="Y74" s="10">
        <f>+IF(Datos_General[[#This Row],[Resultado]]="Victoria", "3", IF(Datos_General[[#This Row],[Resultado]]="Empate","1",0))</f>
        <v>0</v>
      </c>
      <c r="Z74" s="11">
        <f>+Datos_General[[#This Row],[Minutos Jugados]]*Datos_General[[#This Row],[Puntos Jug_Campo]]</f>
        <v>0</v>
      </c>
      <c r="AA7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74" s="10" t="str">
        <f>+IF(Datos_General[[#This Row],[Resultado Jug_Campo]] = "Empate", "1",IF(Datos_General[[#This Row],[Resultado Jug_Campo]] = "Victoria", "3","0"))</f>
        <v>0</v>
      </c>
    </row>
    <row r="75" spans="1:28">
      <c r="A75" s="1">
        <v>5</v>
      </c>
      <c r="B75" s="6">
        <v>45941</v>
      </c>
      <c r="C75" s="1" t="s">
        <v>122</v>
      </c>
      <c r="D75" s="1" t="s">
        <v>133</v>
      </c>
      <c r="E75" s="10" t="str">
        <f>+CONCATENATE(Datos_General[[#This Row],[Eq.Local]], "-", Datos_General[[#This Row],[Eq.Visitante]])</f>
        <v>Cidade de Ribeira-Conxo Santiago B</v>
      </c>
      <c r="F75" s="1" t="s">
        <v>160</v>
      </c>
      <c r="G75" s="1" t="s">
        <v>58</v>
      </c>
      <c r="H75" s="1" t="s">
        <v>43</v>
      </c>
      <c r="I75" s="9">
        <v>1</v>
      </c>
      <c r="J75" s="9">
        <v>0</v>
      </c>
      <c r="K75" s="10" t="str">
        <f>+CONCATENATE(Datos_General[[#This Row],[Goles a Favor_Eq_local]],"-",Datos_General[[#This Row],[Gol a Favor_Eq_Visitante]])</f>
        <v>1-0</v>
      </c>
      <c r="L75" s="1" t="s">
        <v>133</v>
      </c>
      <c r="M75" s="1">
        <v>10</v>
      </c>
      <c r="N75" s="1" t="s">
        <v>159</v>
      </c>
      <c r="O75" s="1">
        <v>1</v>
      </c>
      <c r="P75" s="1" t="s">
        <v>2</v>
      </c>
      <c r="Q75" s="22">
        <v>1</v>
      </c>
      <c r="R75" s="9">
        <v>1</v>
      </c>
      <c r="S75" s="1">
        <v>46</v>
      </c>
      <c r="T75" s="1" t="s">
        <v>151</v>
      </c>
      <c r="U75" s="1">
        <f>90-Datos_General[[#This Row],[Minutos Jugados]]</f>
        <v>44</v>
      </c>
      <c r="V75" s="1">
        <v>0</v>
      </c>
      <c r="W75" s="1">
        <v>0</v>
      </c>
      <c r="X75" s="1">
        <v>1</v>
      </c>
      <c r="Y75" s="10">
        <f>+IF(Datos_General[[#This Row],[Resultado]]="Victoria", "3", IF(Datos_General[[#This Row],[Resultado]]="Empate","1",0))</f>
        <v>0</v>
      </c>
      <c r="Z75" s="11">
        <f>+Datos_General[[#This Row],[Minutos Jugados]]*Datos_General[[#This Row],[Puntos Jug_Campo]]</f>
        <v>0</v>
      </c>
      <c r="AA7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75" s="10" t="str">
        <f>+IF(Datos_General[[#This Row],[Resultado Jug_Campo]] = "Empate", "1",IF(Datos_General[[#This Row],[Resultado Jug_Campo]] = "Victoria", "3","0"))</f>
        <v>0</v>
      </c>
    </row>
    <row r="76" spans="1:28">
      <c r="A76" s="1">
        <v>5</v>
      </c>
      <c r="B76" s="6">
        <v>45941</v>
      </c>
      <c r="C76" s="1" t="s">
        <v>122</v>
      </c>
      <c r="D76" s="1" t="s">
        <v>133</v>
      </c>
      <c r="E76" s="10" t="str">
        <f>+CONCATENATE(Datos_General[[#This Row],[Eq.Local]], "-", Datos_General[[#This Row],[Eq.Visitante]])</f>
        <v>Cidade de Ribeira-Conxo Santiago B</v>
      </c>
      <c r="F76" s="1" t="s">
        <v>160</v>
      </c>
      <c r="G76" s="1" t="s">
        <v>58</v>
      </c>
      <c r="H76" s="1" t="s">
        <v>43</v>
      </c>
      <c r="I76" s="9">
        <v>1</v>
      </c>
      <c r="J76" s="9">
        <v>0</v>
      </c>
      <c r="K76" s="10" t="str">
        <f>+CONCATENATE(Datos_General[[#This Row],[Goles a Favor_Eq_local]],"-",Datos_General[[#This Row],[Gol a Favor_Eq_Visitante]])</f>
        <v>1-0</v>
      </c>
      <c r="L76" s="1" t="s">
        <v>133</v>
      </c>
      <c r="M76" s="1">
        <v>11</v>
      </c>
      <c r="N76" s="1" t="s">
        <v>147</v>
      </c>
      <c r="O76" s="1">
        <v>1</v>
      </c>
      <c r="P76" s="1" t="s">
        <v>2</v>
      </c>
      <c r="Q76" s="22">
        <v>1</v>
      </c>
      <c r="R76" s="9">
        <v>1</v>
      </c>
      <c r="S76" s="1">
        <v>67</v>
      </c>
      <c r="T76" s="1" t="s">
        <v>152</v>
      </c>
      <c r="U76" s="1">
        <f>90-Datos_General[[#This Row],[Minutos Jugados]]</f>
        <v>23</v>
      </c>
      <c r="V76" s="1">
        <v>0</v>
      </c>
      <c r="W76" s="1">
        <v>0</v>
      </c>
      <c r="X76" s="1">
        <v>1</v>
      </c>
      <c r="Y76" s="10">
        <f>+IF(Datos_General[[#This Row],[Resultado]]="Victoria", "3", IF(Datos_General[[#This Row],[Resultado]]="Empate","1",0))</f>
        <v>0</v>
      </c>
      <c r="Z76" s="11">
        <f>+Datos_General[[#This Row],[Minutos Jugados]]*Datos_General[[#This Row],[Puntos Jug_Campo]]</f>
        <v>0</v>
      </c>
      <c r="AA7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76" s="10" t="str">
        <f>+IF(Datos_General[[#This Row],[Resultado Jug_Campo]] = "Empate", "1",IF(Datos_General[[#This Row],[Resultado Jug_Campo]] = "Victoria", "3","0"))</f>
        <v>0</v>
      </c>
    </row>
    <row r="77" spans="1:28">
      <c r="A77" s="1">
        <v>5</v>
      </c>
      <c r="B77" s="6">
        <v>45941</v>
      </c>
      <c r="C77" s="1" t="s">
        <v>122</v>
      </c>
      <c r="D77" s="1" t="s">
        <v>133</v>
      </c>
      <c r="E77" s="10" t="str">
        <f>+CONCATENATE(Datos_General[[#This Row],[Eq.Local]], "-", Datos_General[[#This Row],[Eq.Visitante]])</f>
        <v>Cidade de Ribeira-Conxo Santiago B</v>
      </c>
      <c r="F77" s="1" t="s">
        <v>160</v>
      </c>
      <c r="G77" s="1" t="s">
        <v>58</v>
      </c>
      <c r="H77" s="1" t="s">
        <v>43</v>
      </c>
      <c r="I77" s="9">
        <v>1</v>
      </c>
      <c r="J77" s="9">
        <v>0</v>
      </c>
      <c r="K77" s="10" t="str">
        <f>+CONCATENATE(Datos_General[[#This Row],[Goles a Favor_Eq_local]],"-",Datos_General[[#This Row],[Gol a Favor_Eq_Visitante]])</f>
        <v>1-0</v>
      </c>
      <c r="L77" s="1" t="s">
        <v>133</v>
      </c>
      <c r="M77" s="1">
        <v>13</v>
      </c>
      <c r="N77" s="1" t="s">
        <v>137</v>
      </c>
      <c r="O77" s="1">
        <v>1</v>
      </c>
      <c r="P77" s="1" t="s">
        <v>70</v>
      </c>
      <c r="Q77" s="7">
        <f>+IF(Datos_General[[#This Row],[Minutos Jugados]]&gt;0, 1, 0)</f>
        <v>0</v>
      </c>
      <c r="R77" s="23">
        <v>0</v>
      </c>
      <c r="S77" s="8">
        <f>IFERROR(IF(MATCH(N77,$T$66:$T$81,0), INDEX($U$66:$U$81,MATCH(N77,$T$66:$T$81,0))),0)</f>
        <v>0</v>
      </c>
      <c r="U77" s="1">
        <f>90-Datos_General[[#This Row],[Minutos Jugados]]</f>
        <v>90</v>
      </c>
      <c r="V77" s="1">
        <v>0</v>
      </c>
      <c r="W77" s="1">
        <v>0</v>
      </c>
      <c r="X77" s="1">
        <v>0</v>
      </c>
      <c r="Y77" s="10">
        <f>+IF(Datos_General[[#This Row],[Resultado]]="Victoria", "3", IF(Datos_General[[#This Row],[Resultado]]="Empate","1",0))</f>
        <v>0</v>
      </c>
      <c r="Z77" s="11">
        <f>+Datos_General[[#This Row],[Minutos Jugados]]*Datos_General[[#This Row],[Puntos Jug_Campo]]</f>
        <v>0</v>
      </c>
      <c r="AA7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77" s="10" t="str">
        <f>+IF(Datos_General[[#This Row],[Resultado Jug_Campo]] = "Empate", "1",IF(Datos_General[[#This Row],[Resultado Jug_Campo]] = "Victoria", "3","0"))</f>
        <v>0</v>
      </c>
    </row>
    <row r="78" spans="1:28">
      <c r="A78" s="1">
        <v>5</v>
      </c>
      <c r="B78" s="6">
        <v>45941</v>
      </c>
      <c r="C78" s="1" t="s">
        <v>122</v>
      </c>
      <c r="D78" s="1" t="s">
        <v>133</v>
      </c>
      <c r="E78" s="10" t="str">
        <f>+CONCATENATE(Datos_General[[#This Row],[Eq.Local]], "-", Datos_General[[#This Row],[Eq.Visitante]])</f>
        <v>Cidade de Ribeira-Conxo Santiago B</v>
      </c>
      <c r="F78" s="1" t="s">
        <v>160</v>
      </c>
      <c r="G78" s="1" t="s">
        <v>58</v>
      </c>
      <c r="H78" s="1" t="s">
        <v>43</v>
      </c>
      <c r="I78" s="9">
        <v>1</v>
      </c>
      <c r="J78" s="9">
        <v>0</v>
      </c>
      <c r="K78" s="10" t="str">
        <f>+CONCATENATE(Datos_General[[#This Row],[Goles a Favor_Eq_local]],"-",Datos_General[[#This Row],[Gol a Favor_Eq_Visitante]])</f>
        <v>1-0</v>
      </c>
      <c r="L78" s="1" t="s">
        <v>133</v>
      </c>
      <c r="M78" s="1">
        <v>12</v>
      </c>
      <c r="N78" s="1" t="s">
        <v>143</v>
      </c>
      <c r="O78" s="1">
        <v>1</v>
      </c>
      <c r="P78" s="1" t="s">
        <v>70</v>
      </c>
      <c r="Q78" s="7">
        <f>+IF(Datos_General[[#This Row],[Minutos Jugados]]&gt;0, 1, 0)</f>
        <v>1</v>
      </c>
      <c r="R78" s="23">
        <v>0</v>
      </c>
      <c r="S78" s="8">
        <f>IFERROR(IF(MATCH(N78,$T$66:$T$81,0), INDEX($U$66:$U$81,MATCH(N78,$T$66:$T$81,0))),0)</f>
        <v>23</v>
      </c>
      <c r="U78" s="1">
        <f>90-Datos_General[[#This Row],[Minutos Jugados]]</f>
        <v>67</v>
      </c>
      <c r="V78" s="1">
        <v>0</v>
      </c>
      <c r="W78" s="1">
        <v>0</v>
      </c>
      <c r="X78" s="1">
        <v>0</v>
      </c>
      <c r="Y78" s="10">
        <f>+IF(Datos_General[[#This Row],[Resultado]]="Victoria", "3", IF(Datos_General[[#This Row],[Resultado]]="Empate","1",0))</f>
        <v>0</v>
      </c>
      <c r="Z78" s="11">
        <f>+Datos_General[[#This Row],[Minutos Jugados]]*Datos_General[[#This Row],[Puntos Jug_Campo]]</f>
        <v>23</v>
      </c>
      <c r="AA7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78" s="10" t="str">
        <f>+IF(Datos_General[[#This Row],[Resultado Jug_Campo]] = "Empate", "1",IF(Datos_General[[#This Row],[Resultado Jug_Campo]] = "Victoria", "3","0"))</f>
        <v>1</v>
      </c>
    </row>
    <row r="79" spans="1:28">
      <c r="A79" s="1">
        <v>5</v>
      </c>
      <c r="B79" s="6">
        <v>45941</v>
      </c>
      <c r="C79" s="1" t="s">
        <v>122</v>
      </c>
      <c r="D79" s="1" t="s">
        <v>133</v>
      </c>
      <c r="E79" s="10" t="str">
        <f>+CONCATENATE(Datos_General[[#This Row],[Eq.Local]], "-", Datos_General[[#This Row],[Eq.Visitante]])</f>
        <v>Cidade de Ribeira-Conxo Santiago B</v>
      </c>
      <c r="F79" s="1" t="s">
        <v>160</v>
      </c>
      <c r="G79" s="1" t="s">
        <v>58</v>
      </c>
      <c r="H79" s="1" t="s">
        <v>43</v>
      </c>
      <c r="I79" s="9">
        <v>1</v>
      </c>
      <c r="J79" s="9">
        <v>0</v>
      </c>
      <c r="K79" s="10" t="str">
        <f>+CONCATENATE(Datos_General[[#This Row],[Goles a Favor_Eq_local]],"-",Datos_General[[#This Row],[Gol a Favor_Eq_Visitante]])</f>
        <v>1-0</v>
      </c>
      <c r="L79" s="1" t="s">
        <v>133</v>
      </c>
      <c r="M79" s="1">
        <v>14</v>
      </c>
      <c r="N79" s="1" t="s">
        <v>150</v>
      </c>
      <c r="O79" s="1">
        <v>1</v>
      </c>
      <c r="P79" s="1" t="s">
        <v>70</v>
      </c>
      <c r="Q79" s="7">
        <f>+IF(Datos_General[[#This Row],[Minutos Jugados]]&gt;0, 1, 0)</f>
        <v>1</v>
      </c>
      <c r="R79" s="23">
        <v>0</v>
      </c>
      <c r="S79" s="8">
        <f>IFERROR(IF(MATCH(N79,$T$66:$T$81,0), INDEX($U$66:$U$81,MATCH(N79,$T$66:$T$81,0))),0)</f>
        <v>23</v>
      </c>
      <c r="U79" s="1">
        <f>90-Datos_General[[#This Row],[Minutos Jugados]]</f>
        <v>67</v>
      </c>
      <c r="V79" s="1">
        <v>0</v>
      </c>
      <c r="W79" s="1">
        <v>0</v>
      </c>
      <c r="X79" s="1">
        <v>0</v>
      </c>
      <c r="Y79" s="10">
        <f>+IF(Datos_General[[#This Row],[Resultado]]="Victoria", "3", IF(Datos_General[[#This Row],[Resultado]]="Empate","1",0))</f>
        <v>0</v>
      </c>
      <c r="Z79" s="11">
        <f>+Datos_General[[#This Row],[Minutos Jugados]]*Datos_General[[#This Row],[Puntos Jug_Campo]]</f>
        <v>23</v>
      </c>
      <c r="AA7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79" s="10" t="str">
        <f>+IF(Datos_General[[#This Row],[Resultado Jug_Campo]] = "Empate", "1",IF(Datos_General[[#This Row],[Resultado Jug_Campo]] = "Victoria", "3","0"))</f>
        <v>1</v>
      </c>
    </row>
    <row r="80" spans="1:28">
      <c r="A80" s="1">
        <v>5</v>
      </c>
      <c r="B80" s="6">
        <v>45941</v>
      </c>
      <c r="C80" s="1" t="s">
        <v>122</v>
      </c>
      <c r="D80" s="1" t="s">
        <v>133</v>
      </c>
      <c r="E80" s="10" t="str">
        <f>+CONCATENATE(Datos_General[[#This Row],[Eq.Local]], "-", Datos_General[[#This Row],[Eq.Visitante]])</f>
        <v>Cidade de Ribeira-Conxo Santiago B</v>
      </c>
      <c r="F80" s="1" t="s">
        <v>160</v>
      </c>
      <c r="G80" s="1" t="s">
        <v>58</v>
      </c>
      <c r="H80" s="1" t="s">
        <v>43</v>
      </c>
      <c r="I80" s="9">
        <v>1</v>
      </c>
      <c r="J80" s="9">
        <v>0</v>
      </c>
      <c r="K80" s="10" t="str">
        <f>+CONCATENATE(Datos_General[[#This Row],[Goles a Favor_Eq_local]],"-",Datos_General[[#This Row],[Gol a Favor_Eq_Visitante]])</f>
        <v>1-0</v>
      </c>
      <c r="L80" s="1" t="s">
        <v>133</v>
      </c>
      <c r="M80" s="1">
        <v>15</v>
      </c>
      <c r="N80" s="1" t="s">
        <v>152</v>
      </c>
      <c r="O80" s="1">
        <v>1</v>
      </c>
      <c r="P80" s="1" t="s">
        <v>70</v>
      </c>
      <c r="Q80" s="7">
        <f>+IF(Datos_General[[#This Row],[Minutos Jugados]]&gt;0, 1, 0)</f>
        <v>1</v>
      </c>
      <c r="R80" s="23">
        <v>0</v>
      </c>
      <c r="S80" s="8">
        <f>IFERROR(IF(MATCH(N80,$T$66:$T$81,0), INDEX($U$66:$U$81,MATCH(N80,$T$66:$T$81,0))),0)</f>
        <v>23</v>
      </c>
      <c r="U80" s="1">
        <f>90-Datos_General[[#This Row],[Minutos Jugados]]</f>
        <v>67</v>
      </c>
      <c r="V80" s="1">
        <v>0</v>
      </c>
      <c r="W80" s="1">
        <v>0</v>
      </c>
      <c r="X80" s="1">
        <v>0</v>
      </c>
      <c r="Y80" s="10">
        <f>+IF(Datos_General[[#This Row],[Resultado]]="Victoria", "3", IF(Datos_General[[#This Row],[Resultado]]="Empate","1",0))</f>
        <v>0</v>
      </c>
      <c r="Z80" s="11">
        <f>+Datos_General[[#This Row],[Minutos Jugados]]*Datos_General[[#This Row],[Puntos Jug_Campo]]</f>
        <v>23</v>
      </c>
      <c r="AA8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80" s="10" t="str">
        <f>+IF(Datos_General[[#This Row],[Resultado Jug_Campo]] = "Empate", "1",IF(Datos_General[[#This Row],[Resultado Jug_Campo]] = "Victoria", "3","0"))</f>
        <v>1</v>
      </c>
    </row>
    <row r="81" spans="1:28">
      <c r="A81" s="1">
        <v>5</v>
      </c>
      <c r="B81" s="6">
        <v>45941</v>
      </c>
      <c r="C81" s="1" t="s">
        <v>122</v>
      </c>
      <c r="D81" s="1" t="s">
        <v>133</v>
      </c>
      <c r="E81" s="10" t="str">
        <f>+CONCATENATE(Datos_General[[#This Row],[Eq.Local]], "-", Datos_General[[#This Row],[Eq.Visitante]])</f>
        <v>Cidade de Ribeira-Conxo Santiago B</v>
      </c>
      <c r="F81" s="1" t="s">
        <v>160</v>
      </c>
      <c r="G81" s="1" t="s">
        <v>58</v>
      </c>
      <c r="H81" s="1" t="s">
        <v>43</v>
      </c>
      <c r="I81" s="9">
        <v>1</v>
      </c>
      <c r="J81" s="9">
        <v>0</v>
      </c>
      <c r="K81" s="10" t="str">
        <f>+CONCATENATE(Datos_General[[#This Row],[Goles a Favor_Eq_local]],"-",Datos_General[[#This Row],[Gol a Favor_Eq_Visitante]])</f>
        <v>1-0</v>
      </c>
      <c r="L81" s="1" t="s">
        <v>133</v>
      </c>
      <c r="M81" s="1">
        <v>16</v>
      </c>
      <c r="N81" s="1" t="s">
        <v>151</v>
      </c>
      <c r="O81" s="1">
        <v>1</v>
      </c>
      <c r="P81" s="1" t="s">
        <v>70</v>
      </c>
      <c r="Q81" s="7">
        <f>+IF(Datos_General[[#This Row],[Minutos Jugados]]&gt;0, 1, 0)</f>
        <v>1</v>
      </c>
      <c r="R81" s="23">
        <v>0</v>
      </c>
      <c r="S81" s="8">
        <f>IFERROR(IF(MATCH(N81,$T$66:$T$81,0), INDEX($U$66:$U$81,MATCH(N81,$T$66:$T$81,0))),0)</f>
        <v>44</v>
      </c>
      <c r="U81" s="1">
        <f>90-Datos_General[[#This Row],[Minutos Jugados]]</f>
        <v>46</v>
      </c>
      <c r="V81" s="1">
        <v>0</v>
      </c>
      <c r="W81" s="1">
        <v>0</v>
      </c>
      <c r="X81" s="1">
        <v>0</v>
      </c>
      <c r="Y81" s="10">
        <f>+IF(Datos_General[[#This Row],[Resultado]]="Victoria", "3", IF(Datos_General[[#This Row],[Resultado]]="Empate","1",0))</f>
        <v>0</v>
      </c>
      <c r="Z81" s="11">
        <f>+Datos_General[[#This Row],[Minutos Jugados]]*Datos_General[[#This Row],[Puntos Jug_Campo]]</f>
        <v>44</v>
      </c>
      <c r="AA8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81" s="10" t="str">
        <f>+IF(Datos_General[[#This Row],[Resultado Jug_Campo]] = "Empate", "1",IF(Datos_General[[#This Row],[Resultado Jug_Campo]] = "Victoria", "3","0"))</f>
        <v>1</v>
      </c>
    </row>
    <row r="82" spans="1:28">
      <c r="A82" s="1">
        <v>6</v>
      </c>
      <c r="B82" s="6">
        <v>45949</v>
      </c>
      <c r="C82" s="1" t="s">
        <v>133</v>
      </c>
      <c r="D82" s="1" t="s">
        <v>126</v>
      </c>
      <c r="E82" s="10" t="str">
        <f>+CONCATENATE(Datos_General[[#This Row],[Eq.Local]], "-", Datos_General[[#This Row],[Eq.Visitante]])</f>
        <v>Conxo Santiago B-Porriño Industrial</v>
      </c>
      <c r="F82" s="1" t="s">
        <v>157</v>
      </c>
      <c r="G82" s="1" t="s">
        <v>57</v>
      </c>
      <c r="H82" s="1" t="s">
        <v>43</v>
      </c>
      <c r="I82" s="9">
        <v>0</v>
      </c>
      <c r="J82" s="9">
        <v>2</v>
      </c>
      <c r="K82" s="10" t="str">
        <f>+CONCATENATE(Datos_General[[#This Row],[Goles a Favor_Eq_local]],"-",Datos_General[[#This Row],[Gol a Favor_Eq_Visitante]])</f>
        <v>0-2</v>
      </c>
      <c r="L82" s="1" t="s">
        <v>133</v>
      </c>
      <c r="M82" s="1">
        <v>1</v>
      </c>
      <c r="N82" s="1" t="s">
        <v>148</v>
      </c>
      <c r="O82" s="1">
        <v>1</v>
      </c>
      <c r="P82" s="1" t="s">
        <v>2</v>
      </c>
      <c r="Q82" s="22">
        <v>1</v>
      </c>
      <c r="R82" s="9">
        <v>1</v>
      </c>
      <c r="S82" s="1">
        <v>90</v>
      </c>
      <c r="U82" s="1">
        <f>90-Datos_General[[#This Row],[Minutos Jugados]]</f>
        <v>0</v>
      </c>
      <c r="V82" s="1">
        <v>0</v>
      </c>
      <c r="W82" s="1">
        <v>0</v>
      </c>
      <c r="X82" s="1">
        <v>2</v>
      </c>
      <c r="Y82" s="10">
        <f>+IF(Datos_General[[#This Row],[Resultado]]="Victoria", "3", IF(Datos_General[[#This Row],[Resultado]]="Empate","1",0))</f>
        <v>0</v>
      </c>
      <c r="Z82" s="11">
        <f>+Datos_General[[#This Row],[Minutos Jugados]]*Datos_General[[#This Row],[Puntos Jug_Campo]]</f>
        <v>0</v>
      </c>
      <c r="AA8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82" s="10" t="str">
        <f>+IF(Datos_General[[#This Row],[Resultado Jug_Campo]] = "Empate", "1",IF(Datos_General[[#This Row],[Resultado Jug_Campo]] = "Victoria", "3","0"))</f>
        <v>0</v>
      </c>
    </row>
    <row r="83" spans="1:28">
      <c r="A83" s="1">
        <v>6</v>
      </c>
      <c r="B83" s="6">
        <v>45949</v>
      </c>
      <c r="C83" s="1" t="s">
        <v>133</v>
      </c>
      <c r="D83" s="1" t="s">
        <v>126</v>
      </c>
      <c r="E83" s="10" t="str">
        <f>+CONCATENATE(Datos_General[[#This Row],[Eq.Local]], "-", Datos_General[[#This Row],[Eq.Visitante]])</f>
        <v>Conxo Santiago B-Porriño Industrial</v>
      </c>
      <c r="F83" s="1" t="s">
        <v>157</v>
      </c>
      <c r="G83" s="1" t="s">
        <v>57</v>
      </c>
      <c r="H83" s="1" t="s">
        <v>43</v>
      </c>
      <c r="I83" s="9">
        <v>0</v>
      </c>
      <c r="J83" s="9">
        <v>2</v>
      </c>
      <c r="K83" s="10" t="str">
        <f>+CONCATENATE(Datos_General[[#This Row],[Goles a Favor_Eq_local]],"-",Datos_General[[#This Row],[Gol a Favor_Eq_Visitante]])</f>
        <v>0-2</v>
      </c>
      <c r="L83" s="1" t="s">
        <v>133</v>
      </c>
      <c r="M83" s="1">
        <v>2</v>
      </c>
      <c r="N83" s="1" t="s">
        <v>138</v>
      </c>
      <c r="O83" s="1">
        <v>1</v>
      </c>
      <c r="P83" s="1" t="s">
        <v>2</v>
      </c>
      <c r="Q83" s="22">
        <v>1</v>
      </c>
      <c r="R83" s="9">
        <v>1</v>
      </c>
      <c r="S83" s="1">
        <v>90</v>
      </c>
      <c r="U83" s="1">
        <f>90-Datos_General[[#This Row],[Minutos Jugados]]</f>
        <v>0</v>
      </c>
      <c r="V83" s="1">
        <v>0</v>
      </c>
      <c r="W83" s="1">
        <v>0</v>
      </c>
      <c r="X83" s="1">
        <v>2</v>
      </c>
      <c r="Y83" s="10">
        <f>+IF(Datos_General[[#This Row],[Resultado]]="Victoria", "3", IF(Datos_General[[#This Row],[Resultado]]="Empate","1",0))</f>
        <v>0</v>
      </c>
      <c r="Z83" s="11">
        <f>+Datos_General[[#This Row],[Minutos Jugados]]*Datos_General[[#This Row],[Puntos Jug_Campo]]</f>
        <v>0</v>
      </c>
      <c r="AA8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83" s="10" t="str">
        <f>+IF(Datos_General[[#This Row],[Resultado Jug_Campo]] = "Empate", "1",IF(Datos_General[[#This Row],[Resultado Jug_Campo]] = "Victoria", "3","0"))</f>
        <v>0</v>
      </c>
    </row>
    <row r="84" spans="1:28">
      <c r="A84" s="1">
        <v>6</v>
      </c>
      <c r="B84" s="6">
        <v>45949</v>
      </c>
      <c r="C84" s="1" t="s">
        <v>133</v>
      </c>
      <c r="D84" s="1" t="s">
        <v>126</v>
      </c>
      <c r="E84" s="10" t="str">
        <f>+CONCATENATE(Datos_General[[#This Row],[Eq.Local]], "-", Datos_General[[#This Row],[Eq.Visitante]])</f>
        <v>Conxo Santiago B-Porriño Industrial</v>
      </c>
      <c r="F84" s="1" t="s">
        <v>157</v>
      </c>
      <c r="G84" s="1" t="s">
        <v>57</v>
      </c>
      <c r="H84" s="1" t="s">
        <v>43</v>
      </c>
      <c r="I84" s="9">
        <v>0</v>
      </c>
      <c r="J84" s="9">
        <v>2</v>
      </c>
      <c r="K84" s="10" t="str">
        <f>+CONCATENATE(Datos_General[[#This Row],[Goles a Favor_Eq_local]],"-",Datos_General[[#This Row],[Gol a Favor_Eq_Visitante]])</f>
        <v>0-2</v>
      </c>
      <c r="L84" s="1" t="s">
        <v>133</v>
      </c>
      <c r="M84" s="1">
        <v>3</v>
      </c>
      <c r="N84" s="1" t="s">
        <v>144</v>
      </c>
      <c r="O84" s="1">
        <v>1</v>
      </c>
      <c r="P84" s="1" t="s">
        <v>2</v>
      </c>
      <c r="Q84" s="22">
        <v>1</v>
      </c>
      <c r="R84" s="9">
        <v>1</v>
      </c>
      <c r="S84" s="1">
        <v>90</v>
      </c>
      <c r="U84" s="1">
        <f>90-Datos_General[[#This Row],[Minutos Jugados]]</f>
        <v>0</v>
      </c>
      <c r="V84" s="1">
        <v>0</v>
      </c>
      <c r="W84" s="1">
        <v>0</v>
      </c>
      <c r="X84" s="1">
        <v>2</v>
      </c>
      <c r="Y84" s="10">
        <f>+IF(Datos_General[[#This Row],[Resultado]]="Victoria", "3", IF(Datos_General[[#This Row],[Resultado]]="Empate","1",0))</f>
        <v>0</v>
      </c>
      <c r="Z84" s="11">
        <f>+Datos_General[[#This Row],[Minutos Jugados]]*Datos_General[[#This Row],[Puntos Jug_Campo]]</f>
        <v>0</v>
      </c>
      <c r="AA8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84" s="10" t="str">
        <f>+IF(Datos_General[[#This Row],[Resultado Jug_Campo]] = "Empate", "1",IF(Datos_General[[#This Row],[Resultado Jug_Campo]] = "Victoria", "3","0"))</f>
        <v>0</v>
      </c>
    </row>
    <row r="85" spans="1:28">
      <c r="A85" s="1">
        <v>6</v>
      </c>
      <c r="B85" s="6">
        <v>45949</v>
      </c>
      <c r="C85" s="1" t="s">
        <v>133</v>
      </c>
      <c r="D85" s="1" t="s">
        <v>126</v>
      </c>
      <c r="E85" s="10" t="str">
        <f>+CONCATENATE(Datos_General[[#This Row],[Eq.Local]], "-", Datos_General[[#This Row],[Eq.Visitante]])</f>
        <v>Conxo Santiago B-Porriño Industrial</v>
      </c>
      <c r="F85" s="1" t="s">
        <v>157</v>
      </c>
      <c r="G85" s="1" t="s">
        <v>57</v>
      </c>
      <c r="H85" s="1" t="s">
        <v>43</v>
      </c>
      <c r="I85" s="9">
        <v>0</v>
      </c>
      <c r="J85" s="9">
        <v>2</v>
      </c>
      <c r="K85" s="10" t="str">
        <f>+CONCATENATE(Datos_General[[#This Row],[Goles a Favor_Eq_local]],"-",Datos_General[[#This Row],[Gol a Favor_Eq_Visitante]])</f>
        <v>0-2</v>
      </c>
      <c r="L85" s="1" t="s">
        <v>133</v>
      </c>
      <c r="M85" s="1">
        <v>4</v>
      </c>
      <c r="N85" s="1" t="s">
        <v>140</v>
      </c>
      <c r="O85" s="1">
        <v>1</v>
      </c>
      <c r="P85" s="1" t="s">
        <v>2</v>
      </c>
      <c r="Q85" s="22">
        <v>1</v>
      </c>
      <c r="R85" s="9">
        <v>1</v>
      </c>
      <c r="S85" s="1">
        <v>90</v>
      </c>
      <c r="U85" s="1">
        <f>90-Datos_General[[#This Row],[Minutos Jugados]]</f>
        <v>0</v>
      </c>
      <c r="V85" s="1">
        <v>0</v>
      </c>
      <c r="W85" s="1">
        <v>0</v>
      </c>
      <c r="X85" s="1">
        <v>2</v>
      </c>
      <c r="Y85" s="10">
        <f>+IF(Datos_General[[#This Row],[Resultado]]="Victoria", "3", IF(Datos_General[[#This Row],[Resultado]]="Empate","1",0))</f>
        <v>0</v>
      </c>
      <c r="Z85" s="11">
        <f>+Datos_General[[#This Row],[Minutos Jugados]]*Datos_General[[#This Row],[Puntos Jug_Campo]]</f>
        <v>0</v>
      </c>
      <c r="AA8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85" s="10" t="str">
        <f>+IF(Datos_General[[#This Row],[Resultado Jug_Campo]] = "Empate", "1",IF(Datos_General[[#This Row],[Resultado Jug_Campo]] = "Victoria", "3","0"))</f>
        <v>0</v>
      </c>
    </row>
    <row r="86" spans="1:28">
      <c r="A86" s="1">
        <v>6</v>
      </c>
      <c r="B86" s="6">
        <v>45949</v>
      </c>
      <c r="C86" s="1" t="s">
        <v>133</v>
      </c>
      <c r="D86" s="1" t="s">
        <v>126</v>
      </c>
      <c r="E86" s="10" t="str">
        <f>+CONCATENATE(Datos_General[[#This Row],[Eq.Local]], "-", Datos_General[[#This Row],[Eq.Visitante]])</f>
        <v>Conxo Santiago B-Porriño Industrial</v>
      </c>
      <c r="F86" s="1" t="s">
        <v>157</v>
      </c>
      <c r="G86" s="1" t="s">
        <v>57</v>
      </c>
      <c r="H86" s="1" t="s">
        <v>43</v>
      </c>
      <c r="I86" s="9">
        <v>0</v>
      </c>
      <c r="J86" s="9">
        <v>2</v>
      </c>
      <c r="K86" s="10" t="str">
        <f>+CONCATENATE(Datos_General[[#This Row],[Goles a Favor_Eq_local]],"-",Datos_General[[#This Row],[Gol a Favor_Eq_Visitante]])</f>
        <v>0-2</v>
      </c>
      <c r="L86" s="1" t="s">
        <v>133</v>
      </c>
      <c r="M86" s="1">
        <v>5</v>
      </c>
      <c r="N86" s="1" t="s">
        <v>146</v>
      </c>
      <c r="O86" s="1">
        <v>1</v>
      </c>
      <c r="P86" s="1" t="s">
        <v>2</v>
      </c>
      <c r="Q86" s="22">
        <v>1</v>
      </c>
      <c r="R86" s="9">
        <v>1</v>
      </c>
      <c r="S86" s="1">
        <v>65</v>
      </c>
      <c r="T86" s="1" t="s">
        <v>150</v>
      </c>
      <c r="U86" s="1">
        <f>90-Datos_General[[#This Row],[Minutos Jugados]]</f>
        <v>25</v>
      </c>
      <c r="V86" s="1">
        <v>0</v>
      </c>
      <c r="W86" s="1">
        <v>0</v>
      </c>
      <c r="X86" s="1">
        <v>2</v>
      </c>
      <c r="Y86" s="10">
        <f>+IF(Datos_General[[#This Row],[Resultado]]="Victoria", "3", IF(Datos_General[[#This Row],[Resultado]]="Empate","1",0))</f>
        <v>0</v>
      </c>
      <c r="Z86" s="11">
        <f>+Datos_General[[#This Row],[Minutos Jugados]]*Datos_General[[#This Row],[Puntos Jug_Campo]]</f>
        <v>0</v>
      </c>
      <c r="AA8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86" s="10" t="str">
        <f>+IF(Datos_General[[#This Row],[Resultado Jug_Campo]] = "Empate", "1",IF(Datos_General[[#This Row],[Resultado Jug_Campo]] = "Victoria", "3","0"))</f>
        <v>0</v>
      </c>
    </row>
    <row r="87" spans="1:28">
      <c r="A87" s="1">
        <v>6</v>
      </c>
      <c r="B87" s="6">
        <v>45949</v>
      </c>
      <c r="C87" s="1" t="s">
        <v>133</v>
      </c>
      <c r="D87" s="1" t="s">
        <v>126</v>
      </c>
      <c r="E87" s="10" t="str">
        <f>+CONCATENATE(Datos_General[[#This Row],[Eq.Local]], "-", Datos_General[[#This Row],[Eq.Visitante]])</f>
        <v>Conxo Santiago B-Porriño Industrial</v>
      </c>
      <c r="F87" s="1" t="s">
        <v>157</v>
      </c>
      <c r="G87" s="1" t="s">
        <v>57</v>
      </c>
      <c r="H87" s="1" t="s">
        <v>43</v>
      </c>
      <c r="I87" s="9">
        <v>0</v>
      </c>
      <c r="J87" s="9">
        <v>2</v>
      </c>
      <c r="K87" s="10" t="str">
        <f>+CONCATENATE(Datos_General[[#This Row],[Goles a Favor_Eq_local]],"-",Datos_General[[#This Row],[Gol a Favor_Eq_Visitante]])</f>
        <v>0-2</v>
      </c>
      <c r="L87" s="1" t="s">
        <v>133</v>
      </c>
      <c r="M87" s="1">
        <v>6</v>
      </c>
      <c r="N87" s="1" t="s">
        <v>142</v>
      </c>
      <c r="O87" s="1">
        <v>1</v>
      </c>
      <c r="P87" s="1" t="s">
        <v>2</v>
      </c>
      <c r="Q87" s="22">
        <v>1</v>
      </c>
      <c r="R87" s="9">
        <v>1</v>
      </c>
      <c r="S87" s="1">
        <v>90</v>
      </c>
      <c r="U87" s="1">
        <f>90-Datos_General[[#This Row],[Minutos Jugados]]</f>
        <v>0</v>
      </c>
      <c r="V87" s="1">
        <v>0</v>
      </c>
      <c r="W87" s="1">
        <v>0</v>
      </c>
      <c r="X87" s="1">
        <v>2</v>
      </c>
      <c r="Y87" s="10">
        <f>+IF(Datos_General[[#This Row],[Resultado]]="Victoria", "3", IF(Datos_General[[#This Row],[Resultado]]="Empate","1",0))</f>
        <v>0</v>
      </c>
      <c r="Z87" s="11">
        <f>+Datos_General[[#This Row],[Minutos Jugados]]*Datos_General[[#This Row],[Puntos Jug_Campo]]</f>
        <v>0</v>
      </c>
      <c r="AA8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87" s="10" t="str">
        <f>+IF(Datos_General[[#This Row],[Resultado Jug_Campo]] = "Empate", "1",IF(Datos_General[[#This Row],[Resultado Jug_Campo]] = "Victoria", "3","0"))</f>
        <v>0</v>
      </c>
    </row>
    <row r="88" spans="1:28">
      <c r="A88" s="1">
        <v>6</v>
      </c>
      <c r="B88" s="6">
        <v>45949</v>
      </c>
      <c r="C88" s="1" t="s">
        <v>133</v>
      </c>
      <c r="D88" s="1" t="s">
        <v>126</v>
      </c>
      <c r="E88" s="10" t="str">
        <f>+CONCATENATE(Datos_General[[#This Row],[Eq.Local]], "-", Datos_General[[#This Row],[Eq.Visitante]])</f>
        <v>Conxo Santiago B-Porriño Industrial</v>
      </c>
      <c r="F88" s="1" t="s">
        <v>157</v>
      </c>
      <c r="G88" s="1" t="s">
        <v>57</v>
      </c>
      <c r="H88" s="1" t="s">
        <v>43</v>
      </c>
      <c r="I88" s="9">
        <v>0</v>
      </c>
      <c r="J88" s="9">
        <v>2</v>
      </c>
      <c r="K88" s="10" t="str">
        <f>+CONCATENATE(Datos_General[[#This Row],[Goles a Favor_Eq_local]],"-",Datos_General[[#This Row],[Gol a Favor_Eq_Visitante]])</f>
        <v>0-2</v>
      </c>
      <c r="L88" s="1" t="s">
        <v>133</v>
      </c>
      <c r="M88" s="1">
        <v>7</v>
      </c>
      <c r="N88" s="1" t="s">
        <v>159</v>
      </c>
      <c r="O88" s="1">
        <v>1</v>
      </c>
      <c r="P88" s="1" t="s">
        <v>2</v>
      </c>
      <c r="Q88" s="22">
        <v>1</v>
      </c>
      <c r="R88" s="9">
        <v>1</v>
      </c>
      <c r="S88" s="1">
        <v>65</v>
      </c>
      <c r="T88" s="1" t="s">
        <v>149</v>
      </c>
      <c r="U88" s="1">
        <f>90-Datos_General[[#This Row],[Minutos Jugados]]</f>
        <v>25</v>
      </c>
      <c r="V88" s="1">
        <v>0</v>
      </c>
      <c r="W88" s="1">
        <v>0</v>
      </c>
      <c r="X88" s="1">
        <v>2</v>
      </c>
      <c r="Y88" s="10">
        <f>+IF(Datos_General[[#This Row],[Resultado]]="Victoria", "3", IF(Datos_General[[#This Row],[Resultado]]="Empate","1",0))</f>
        <v>0</v>
      </c>
      <c r="Z88" s="11">
        <f>+Datos_General[[#This Row],[Minutos Jugados]]*Datos_General[[#This Row],[Puntos Jug_Campo]]</f>
        <v>0</v>
      </c>
      <c r="AA8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88" s="10" t="str">
        <f>+IF(Datos_General[[#This Row],[Resultado Jug_Campo]] = "Empate", "1",IF(Datos_General[[#This Row],[Resultado Jug_Campo]] = "Victoria", "3","0"))</f>
        <v>0</v>
      </c>
    </row>
    <row r="89" spans="1:28">
      <c r="A89" s="1">
        <v>6</v>
      </c>
      <c r="B89" s="6">
        <v>45949</v>
      </c>
      <c r="C89" s="1" t="s">
        <v>133</v>
      </c>
      <c r="D89" s="1" t="s">
        <v>126</v>
      </c>
      <c r="E89" s="10" t="str">
        <f>+CONCATENATE(Datos_General[[#This Row],[Eq.Local]], "-", Datos_General[[#This Row],[Eq.Visitante]])</f>
        <v>Conxo Santiago B-Porriño Industrial</v>
      </c>
      <c r="F89" s="1" t="s">
        <v>157</v>
      </c>
      <c r="G89" s="1" t="s">
        <v>57</v>
      </c>
      <c r="H89" s="1" t="s">
        <v>43</v>
      </c>
      <c r="I89" s="9">
        <v>0</v>
      </c>
      <c r="J89" s="9">
        <v>2</v>
      </c>
      <c r="K89" s="10" t="str">
        <f>+CONCATENATE(Datos_General[[#This Row],[Goles a Favor_Eq_local]],"-",Datos_General[[#This Row],[Gol a Favor_Eq_Visitante]])</f>
        <v>0-2</v>
      </c>
      <c r="L89" s="1" t="s">
        <v>133</v>
      </c>
      <c r="M89" s="1">
        <v>8</v>
      </c>
      <c r="N89" s="1" t="s">
        <v>151</v>
      </c>
      <c r="O89" s="1">
        <v>1</v>
      </c>
      <c r="P89" s="1" t="s">
        <v>2</v>
      </c>
      <c r="Q89" s="22">
        <v>1</v>
      </c>
      <c r="R89" s="9">
        <v>1</v>
      </c>
      <c r="S89" s="1">
        <v>52</v>
      </c>
      <c r="T89" s="1" t="s">
        <v>156</v>
      </c>
      <c r="U89" s="1">
        <f>90-Datos_General[[#This Row],[Minutos Jugados]]</f>
        <v>38</v>
      </c>
      <c r="V89" s="1">
        <v>0</v>
      </c>
      <c r="W89" s="1">
        <v>0</v>
      </c>
      <c r="X89" s="1">
        <v>1</v>
      </c>
      <c r="Y89" s="10">
        <f>+IF(Datos_General[[#This Row],[Resultado]]="Victoria", "3", IF(Datos_General[[#This Row],[Resultado]]="Empate","1",0))</f>
        <v>0</v>
      </c>
      <c r="Z89" s="11">
        <f>+Datos_General[[#This Row],[Minutos Jugados]]*Datos_General[[#This Row],[Puntos Jug_Campo]]</f>
        <v>0</v>
      </c>
      <c r="AA8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89" s="10" t="str">
        <f>+IF(Datos_General[[#This Row],[Resultado Jug_Campo]] = "Empate", "1",IF(Datos_General[[#This Row],[Resultado Jug_Campo]] = "Victoria", "3","0"))</f>
        <v>0</v>
      </c>
    </row>
    <row r="90" spans="1:28">
      <c r="A90" s="1">
        <v>6</v>
      </c>
      <c r="B90" s="6">
        <v>45949</v>
      </c>
      <c r="C90" s="1" t="s">
        <v>133</v>
      </c>
      <c r="D90" s="1" t="s">
        <v>126</v>
      </c>
      <c r="E90" s="10" t="str">
        <f>+CONCATENATE(Datos_General[[#This Row],[Eq.Local]], "-", Datos_General[[#This Row],[Eq.Visitante]])</f>
        <v>Conxo Santiago B-Porriño Industrial</v>
      </c>
      <c r="F90" s="1" t="s">
        <v>157</v>
      </c>
      <c r="G90" s="1" t="s">
        <v>57</v>
      </c>
      <c r="H90" s="1" t="s">
        <v>43</v>
      </c>
      <c r="I90" s="9">
        <v>0</v>
      </c>
      <c r="J90" s="9">
        <v>2</v>
      </c>
      <c r="K90" s="10" t="str">
        <f>+CONCATENATE(Datos_General[[#This Row],[Goles a Favor_Eq_local]],"-",Datos_General[[#This Row],[Gol a Favor_Eq_Visitante]])</f>
        <v>0-2</v>
      </c>
      <c r="L90" s="1" t="s">
        <v>133</v>
      </c>
      <c r="M90" s="1">
        <v>9</v>
      </c>
      <c r="N90" s="1" t="s">
        <v>145</v>
      </c>
      <c r="O90" s="1">
        <v>1</v>
      </c>
      <c r="P90" s="1" t="s">
        <v>2</v>
      </c>
      <c r="Q90" s="22">
        <v>1</v>
      </c>
      <c r="R90" s="9">
        <v>1</v>
      </c>
      <c r="S90" s="1">
        <v>90</v>
      </c>
      <c r="U90" s="1">
        <f>90-Datos_General[[#This Row],[Minutos Jugados]]</f>
        <v>0</v>
      </c>
      <c r="V90" s="1">
        <v>0</v>
      </c>
      <c r="W90" s="1">
        <v>0</v>
      </c>
      <c r="X90" s="1">
        <v>2</v>
      </c>
      <c r="Y90" s="10">
        <f>+IF(Datos_General[[#This Row],[Resultado]]="Victoria", "3", IF(Datos_General[[#This Row],[Resultado]]="Empate","1",0))</f>
        <v>0</v>
      </c>
      <c r="Z90" s="11">
        <f>+Datos_General[[#This Row],[Minutos Jugados]]*Datos_General[[#This Row],[Puntos Jug_Campo]]</f>
        <v>0</v>
      </c>
      <c r="AA9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90" s="10" t="str">
        <f>+IF(Datos_General[[#This Row],[Resultado Jug_Campo]] = "Empate", "1",IF(Datos_General[[#This Row],[Resultado Jug_Campo]] = "Victoria", "3","0"))</f>
        <v>0</v>
      </c>
    </row>
    <row r="91" spans="1:28">
      <c r="A91" s="1">
        <v>6</v>
      </c>
      <c r="B91" s="6">
        <v>45949</v>
      </c>
      <c r="C91" s="1" t="s">
        <v>133</v>
      </c>
      <c r="D91" s="1" t="s">
        <v>126</v>
      </c>
      <c r="E91" s="10" t="str">
        <f>+CONCATENATE(Datos_General[[#This Row],[Eq.Local]], "-", Datos_General[[#This Row],[Eq.Visitante]])</f>
        <v>Conxo Santiago B-Porriño Industrial</v>
      </c>
      <c r="F91" s="1" t="s">
        <v>157</v>
      </c>
      <c r="G91" s="1" t="s">
        <v>57</v>
      </c>
      <c r="H91" s="1" t="s">
        <v>43</v>
      </c>
      <c r="I91" s="9">
        <v>0</v>
      </c>
      <c r="J91" s="9">
        <v>2</v>
      </c>
      <c r="K91" s="10" t="str">
        <f>+CONCATENATE(Datos_General[[#This Row],[Goles a Favor_Eq_local]],"-",Datos_General[[#This Row],[Gol a Favor_Eq_Visitante]])</f>
        <v>0-2</v>
      </c>
      <c r="L91" s="1" t="s">
        <v>133</v>
      </c>
      <c r="M91" s="1">
        <v>10</v>
      </c>
      <c r="N91" s="1" t="s">
        <v>152</v>
      </c>
      <c r="O91" s="1">
        <v>1</v>
      </c>
      <c r="P91" s="1" t="s">
        <v>2</v>
      </c>
      <c r="Q91" s="22">
        <v>1</v>
      </c>
      <c r="R91" s="9">
        <v>1</v>
      </c>
      <c r="S91" s="1">
        <v>52</v>
      </c>
      <c r="T91" s="1" t="s">
        <v>143</v>
      </c>
      <c r="U91" s="1">
        <f>90-Datos_General[[#This Row],[Minutos Jugados]]</f>
        <v>38</v>
      </c>
      <c r="V91" s="1">
        <v>0</v>
      </c>
      <c r="W91" s="1">
        <v>0</v>
      </c>
      <c r="X91" s="1">
        <v>1</v>
      </c>
      <c r="Y91" s="10">
        <f>+IF(Datos_General[[#This Row],[Resultado]]="Victoria", "3", IF(Datos_General[[#This Row],[Resultado]]="Empate","1",0))</f>
        <v>0</v>
      </c>
      <c r="Z91" s="11">
        <f>+Datos_General[[#This Row],[Minutos Jugados]]*Datos_General[[#This Row],[Puntos Jug_Campo]]</f>
        <v>0</v>
      </c>
      <c r="AA9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91" s="10" t="str">
        <f>+IF(Datos_General[[#This Row],[Resultado Jug_Campo]] = "Empate", "1",IF(Datos_General[[#This Row],[Resultado Jug_Campo]] = "Victoria", "3","0"))</f>
        <v>0</v>
      </c>
    </row>
    <row r="92" spans="1:28">
      <c r="A92" s="1">
        <v>6</v>
      </c>
      <c r="B92" s="6">
        <v>45949</v>
      </c>
      <c r="C92" s="1" t="s">
        <v>133</v>
      </c>
      <c r="D92" s="1" t="s">
        <v>126</v>
      </c>
      <c r="E92" s="10" t="str">
        <f>+CONCATENATE(Datos_General[[#This Row],[Eq.Local]], "-", Datos_General[[#This Row],[Eq.Visitante]])</f>
        <v>Conxo Santiago B-Porriño Industrial</v>
      </c>
      <c r="F92" s="1" t="s">
        <v>157</v>
      </c>
      <c r="G92" s="1" t="s">
        <v>57</v>
      </c>
      <c r="H92" s="1" t="s">
        <v>43</v>
      </c>
      <c r="I92" s="9">
        <v>0</v>
      </c>
      <c r="J92" s="9">
        <v>2</v>
      </c>
      <c r="K92" s="10" t="str">
        <f>+CONCATENATE(Datos_General[[#This Row],[Goles a Favor_Eq_local]],"-",Datos_General[[#This Row],[Gol a Favor_Eq_Visitante]])</f>
        <v>0-2</v>
      </c>
      <c r="L92" s="1" t="s">
        <v>133</v>
      </c>
      <c r="M92" s="1">
        <v>11</v>
      </c>
      <c r="N92" s="1" t="s">
        <v>147</v>
      </c>
      <c r="O92" s="1">
        <v>1</v>
      </c>
      <c r="P92" s="1" t="s">
        <v>2</v>
      </c>
      <c r="Q92" s="22">
        <v>1</v>
      </c>
      <c r="R92" s="9">
        <v>1</v>
      </c>
      <c r="S92" s="1">
        <v>90</v>
      </c>
      <c r="U92" s="1">
        <f>90-Datos_General[[#This Row],[Minutos Jugados]]</f>
        <v>0</v>
      </c>
      <c r="V92" s="1">
        <v>0</v>
      </c>
      <c r="W92" s="1">
        <v>0</v>
      </c>
      <c r="X92" s="1">
        <v>2</v>
      </c>
      <c r="Y92" s="10">
        <f>+IF(Datos_General[[#This Row],[Resultado]]="Victoria", "3", IF(Datos_General[[#This Row],[Resultado]]="Empate","1",0))</f>
        <v>0</v>
      </c>
      <c r="Z92" s="11">
        <f>+Datos_General[[#This Row],[Minutos Jugados]]*Datos_General[[#This Row],[Puntos Jug_Campo]]</f>
        <v>0</v>
      </c>
      <c r="AA9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92" s="10" t="str">
        <f>+IF(Datos_General[[#This Row],[Resultado Jug_Campo]] = "Empate", "1",IF(Datos_General[[#This Row],[Resultado Jug_Campo]] = "Victoria", "3","0"))</f>
        <v>0</v>
      </c>
    </row>
    <row r="93" spans="1:28">
      <c r="A93" s="1">
        <v>6</v>
      </c>
      <c r="B93" s="6">
        <v>45949</v>
      </c>
      <c r="C93" s="1" t="s">
        <v>133</v>
      </c>
      <c r="D93" s="1" t="s">
        <v>126</v>
      </c>
      <c r="E93" s="10" t="str">
        <f>+CONCATENATE(Datos_General[[#This Row],[Eq.Local]], "-", Datos_General[[#This Row],[Eq.Visitante]])</f>
        <v>Conxo Santiago B-Porriño Industrial</v>
      </c>
      <c r="F93" s="1" t="s">
        <v>157</v>
      </c>
      <c r="G93" s="1" t="s">
        <v>57</v>
      </c>
      <c r="H93" s="1" t="s">
        <v>43</v>
      </c>
      <c r="I93" s="9">
        <v>0</v>
      </c>
      <c r="J93" s="9">
        <v>2</v>
      </c>
      <c r="K93" s="10" t="str">
        <f>+CONCATENATE(Datos_General[[#This Row],[Goles a Favor_Eq_local]],"-",Datos_General[[#This Row],[Gol a Favor_Eq_Visitante]])</f>
        <v>0-2</v>
      </c>
      <c r="L93" s="1" t="s">
        <v>133</v>
      </c>
      <c r="M93" s="1">
        <v>12</v>
      </c>
      <c r="N93" s="1" t="s">
        <v>150</v>
      </c>
      <c r="O93" s="1">
        <v>1</v>
      </c>
      <c r="P93" s="1" t="s">
        <v>70</v>
      </c>
      <c r="Q93" s="7">
        <f>+IF(Datos_General[[#This Row],[Minutos Jugados]]&gt;0, 1, 0)</f>
        <v>1</v>
      </c>
      <c r="R93" s="23">
        <v>0</v>
      </c>
      <c r="S93" s="8">
        <f>IFERROR(IF(MATCH(N93,$T$82:$T$96,0), INDEX($U$82:$U$96,MATCH(N93,$T$82:$T$96,0))),0)</f>
        <v>25</v>
      </c>
      <c r="U93" s="1">
        <f>90-Datos_General[[#This Row],[Minutos Jugados]]</f>
        <v>65</v>
      </c>
      <c r="V93" s="1">
        <v>0</v>
      </c>
      <c r="W93" s="1">
        <v>0</v>
      </c>
      <c r="X93" s="1">
        <v>0</v>
      </c>
      <c r="Y93" s="10">
        <f>+IF(Datos_General[[#This Row],[Resultado]]="Victoria", "3", IF(Datos_General[[#This Row],[Resultado]]="Empate","1",0))</f>
        <v>0</v>
      </c>
      <c r="Z93" s="11">
        <f>+Datos_General[[#This Row],[Minutos Jugados]]*Datos_General[[#This Row],[Puntos Jug_Campo]]</f>
        <v>25</v>
      </c>
      <c r="AA9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93" s="10" t="str">
        <f>+IF(Datos_General[[#This Row],[Resultado Jug_Campo]] = "Empate", "1",IF(Datos_General[[#This Row],[Resultado Jug_Campo]] = "Victoria", "3","0"))</f>
        <v>1</v>
      </c>
    </row>
    <row r="94" spans="1:28">
      <c r="A94" s="1">
        <v>6</v>
      </c>
      <c r="B94" s="6">
        <v>45949</v>
      </c>
      <c r="C94" s="1" t="s">
        <v>133</v>
      </c>
      <c r="D94" s="1" t="s">
        <v>126</v>
      </c>
      <c r="E94" s="10" t="str">
        <f>+CONCATENATE(Datos_General[[#This Row],[Eq.Local]], "-", Datos_General[[#This Row],[Eq.Visitante]])</f>
        <v>Conxo Santiago B-Porriño Industrial</v>
      </c>
      <c r="F94" s="1" t="s">
        <v>157</v>
      </c>
      <c r="G94" s="1" t="s">
        <v>57</v>
      </c>
      <c r="H94" s="1" t="s">
        <v>43</v>
      </c>
      <c r="I94" s="9">
        <v>0</v>
      </c>
      <c r="J94" s="9">
        <v>2</v>
      </c>
      <c r="K94" s="10" t="str">
        <f>+CONCATENATE(Datos_General[[#This Row],[Goles a Favor_Eq_local]],"-",Datos_General[[#This Row],[Gol a Favor_Eq_Visitante]])</f>
        <v>0-2</v>
      </c>
      <c r="L94" s="1" t="s">
        <v>133</v>
      </c>
      <c r="M94" s="1">
        <v>14</v>
      </c>
      <c r="N94" s="1" t="s">
        <v>149</v>
      </c>
      <c r="O94" s="1">
        <v>1</v>
      </c>
      <c r="P94" s="1" t="s">
        <v>70</v>
      </c>
      <c r="Q94" s="7">
        <f>+IF(Datos_General[[#This Row],[Minutos Jugados]]&gt;0, 1, 0)</f>
        <v>1</v>
      </c>
      <c r="R94" s="23">
        <v>0</v>
      </c>
      <c r="S94" s="8">
        <f>IFERROR(IF(MATCH(N94,$T$82:$T$96,0), INDEX($U$82:$U$96,MATCH(N94,$T$82:$T$96,0))),0)</f>
        <v>25</v>
      </c>
      <c r="U94" s="1">
        <f>90-Datos_General[[#This Row],[Minutos Jugados]]</f>
        <v>65</v>
      </c>
      <c r="V94" s="1">
        <v>0</v>
      </c>
      <c r="W94" s="1">
        <v>0</v>
      </c>
      <c r="X94" s="1">
        <v>0</v>
      </c>
      <c r="Y94" s="10">
        <f>+IF(Datos_General[[#This Row],[Resultado]]="Victoria", "3", IF(Datos_General[[#This Row],[Resultado]]="Empate","1",0))</f>
        <v>0</v>
      </c>
      <c r="Z94" s="11">
        <f>+Datos_General[[#This Row],[Minutos Jugados]]*Datos_General[[#This Row],[Puntos Jug_Campo]]</f>
        <v>25</v>
      </c>
      <c r="AA9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94" s="10" t="str">
        <f>+IF(Datos_General[[#This Row],[Resultado Jug_Campo]] = "Empate", "1",IF(Datos_General[[#This Row],[Resultado Jug_Campo]] = "Victoria", "3","0"))</f>
        <v>1</v>
      </c>
    </row>
    <row r="95" spans="1:28">
      <c r="A95" s="1">
        <v>6</v>
      </c>
      <c r="B95" s="6">
        <v>45949</v>
      </c>
      <c r="C95" s="1" t="s">
        <v>133</v>
      </c>
      <c r="D95" s="1" t="s">
        <v>126</v>
      </c>
      <c r="E95" s="10" t="str">
        <f>+CONCATENATE(Datos_General[[#This Row],[Eq.Local]], "-", Datos_General[[#This Row],[Eq.Visitante]])</f>
        <v>Conxo Santiago B-Porriño Industrial</v>
      </c>
      <c r="F95" s="1" t="s">
        <v>157</v>
      </c>
      <c r="G95" s="1" t="s">
        <v>57</v>
      </c>
      <c r="H95" s="1" t="s">
        <v>43</v>
      </c>
      <c r="I95" s="9">
        <v>0</v>
      </c>
      <c r="J95" s="9">
        <v>2</v>
      </c>
      <c r="K95" s="10" t="str">
        <f>+CONCATENATE(Datos_General[[#This Row],[Goles a Favor_Eq_local]],"-",Datos_General[[#This Row],[Gol a Favor_Eq_Visitante]])</f>
        <v>0-2</v>
      </c>
      <c r="L95" s="1" t="s">
        <v>133</v>
      </c>
      <c r="M95" s="1">
        <v>15</v>
      </c>
      <c r="N95" s="1" t="s">
        <v>156</v>
      </c>
      <c r="O95" s="1">
        <v>1</v>
      </c>
      <c r="P95" s="1" t="s">
        <v>70</v>
      </c>
      <c r="Q95" s="7">
        <f>+IF(Datos_General[[#This Row],[Minutos Jugados]]&gt;0, 1, 0)</f>
        <v>1</v>
      </c>
      <c r="R95" s="23">
        <v>0</v>
      </c>
      <c r="S95" s="8">
        <f>IFERROR(IF(MATCH(N95,$T$82:$T$96,0), INDEX($U$82:$U$96,MATCH(N95,$T$82:$T$96,0))),0)</f>
        <v>38</v>
      </c>
      <c r="U95" s="1">
        <f>90-Datos_General[[#This Row],[Minutos Jugados]]</f>
        <v>52</v>
      </c>
      <c r="V95" s="1">
        <v>0</v>
      </c>
      <c r="W95" s="1">
        <v>0</v>
      </c>
      <c r="X95" s="1">
        <v>1</v>
      </c>
      <c r="Y95" s="10">
        <f>+IF(Datos_General[[#This Row],[Resultado]]="Victoria", "3", IF(Datos_General[[#This Row],[Resultado]]="Empate","1",0))</f>
        <v>0</v>
      </c>
      <c r="Z95" s="11">
        <f>+Datos_General[[#This Row],[Minutos Jugados]]*Datos_General[[#This Row],[Puntos Jug_Campo]]</f>
        <v>0</v>
      </c>
      <c r="AA9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95" s="10" t="str">
        <f>+IF(Datos_General[[#This Row],[Resultado Jug_Campo]] = "Empate", "1",IF(Datos_General[[#This Row],[Resultado Jug_Campo]] = "Victoria", "3","0"))</f>
        <v>0</v>
      </c>
    </row>
    <row r="96" spans="1:28">
      <c r="A96" s="1">
        <v>6</v>
      </c>
      <c r="B96" s="6">
        <v>45949</v>
      </c>
      <c r="C96" s="1" t="s">
        <v>133</v>
      </c>
      <c r="D96" s="1" t="s">
        <v>126</v>
      </c>
      <c r="E96" s="10" t="str">
        <f>+CONCATENATE(Datos_General[[#This Row],[Eq.Local]], "-", Datos_General[[#This Row],[Eq.Visitante]])</f>
        <v>Conxo Santiago B-Porriño Industrial</v>
      </c>
      <c r="F96" s="1" t="s">
        <v>157</v>
      </c>
      <c r="G96" s="1" t="s">
        <v>57</v>
      </c>
      <c r="H96" s="1" t="s">
        <v>43</v>
      </c>
      <c r="I96" s="9">
        <v>0</v>
      </c>
      <c r="J96" s="9">
        <v>2</v>
      </c>
      <c r="K96" s="10" t="str">
        <f>+CONCATENATE(Datos_General[[#This Row],[Goles a Favor_Eq_local]],"-",Datos_General[[#This Row],[Gol a Favor_Eq_Visitante]])</f>
        <v>0-2</v>
      </c>
      <c r="L96" s="1" t="s">
        <v>133</v>
      </c>
      <c r="M96" s="1">
        <v>16</v>
      </c>
      <c r="N96" s="1" t="s">
        <v>143</v>
      </c>
      <c r="O96" s="1">
        <v>1</v>
      </c>
      <c r="P96" s="1" t="s">
        <v>70</v>
      </c>
      <c r="Q96" s="7">
        <f>+IF(Datos_General[[#This Row],[Minutos Jugados]]&gt;0, 1, 0)</f>
        <v>1</v>
      </c>
      <c r="R96" s="23">
        <v>0</v>
      </c>
      <c r="S96" s="8">
        <f>IFERROR(IF(MATCH(N96,$T$82:$T$96,0), INDEX($U$82:$U$96,MATCH(N96,$T$82:$T$96,0))),0)</f>
        <v>38</v>
      </c>
      <c r="U96" s="1">
        <f>90-Datos_General[[#This Row],[Minutos Jugados]]</f>
        <v>52</v>
      </c>
      <c r="V96" s="1">
        <v>0</v>
      </c>
      <c r="W96" s="1">
        <v>0</v>
      </c>
      <c r="X96" s="1">
        <v>1</v>
      </c>
      <c r="Y96" s="10">
        <f>+IF(Datos_General[[#This Row],[Resultado]]="Victoria", "3", IF(Datos_General[[#This Row],[Resultado]]="Empate","1",0))</f>
        <v>0</v>
      </c>
      <c r="Z96" s="11">
        <f>+Datos_General[[#This Row],[Minutos Jugados]]*Datos_General[[#This Row],[Puntos Jug_Campo]]</f>
        <v>0</v>
      </c>
      <c r="AA9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96" s="10" t="str">
        <f>+IF(Datos_General[[#This Row],[Resultado Jug_Campo]] = "Empate", "1",IF(Datos_General[[#This Row],[Resultado Jug_Campo]] = "Victoria", "3","0"))</f>
        <v>0</v>
      </c>
    </row>
    <row r="97" spans="1:28">
      <c r="A97" s="1">
        <v>7</v>
      </c>
      <c r="B97" s="6">
        <v>45956</v>
      </c>
      <c r="C97" s="1" t="s">
        <v>130</v>
      </c>
      <c r="D97" s="1" t="s">
        <v>133</v>
      </c>
      <c r="E97" s="10" t="str">
        <f>+CONCATENATE(Datos_General[[#This Row],[Eq.Local]], "-", Datos_General[[#This Row],[Eq.Visitante]])</f>
        <v>Arosa S.C. B-Conxo Santiago B</v>
      </c>
      <c r="F97" s="1" t="s">
        <v>161</v>
      </c>
      <c r="G97" s="1" t="s">
        <v>58</v>
      </c>
      <c r="H97" s="1" t="s">
        <v>43</v>
      </c>
      <c r="I97" s="9">
        <v>2</v>
      </c>
      <c r="J97" s="9">
        <v>1</v>
      </c>
      <c r="K97" s="10" t="str">
        <f>+CONCATENATE(Datos_General[[#This Row],[Goles a Favor_Eq_local]],"-",Datos_General[[#This Row],[Gol a Favor_Eq_Visitante]])</f>
        <v>2-1</v>
      </c>
      <c r="L97" s="1" t="s">
        <v>133</v>
      </c>
      <c r="M97" s="1">
        <v>1</v>
      </c>
      <c r="N97" s="1" t="s">
        <v>148</v>
      </c>
      <c r="O97" s="1">
        <v>1</v>
      </c>
      <c r="P97" s="1" t="s">
        <v>2</v>
      </c>
      <c r="Q97" s="22">
        <v>1</v>
      </c>
      <c r="R97" s="9">
        <v>1</v>
      </c>
      <c r="S97" s="1">
        <v>90</v>
      </c>
      <c r="U97" s="1">
        <f>90-Datos_General[[#This Row],[Minutos Jugados]]</f>
        <v>0</v>
      </c>
      <c r="V97" s="1">
        <v>0</v>
      </c>
      <c r="W97" s="1">
        <v>1</v>
      </c>
      <c r="X97" s="1">
        <v>2</v>
      </c>
      <c r="Y97" s="10">
        <f>+IF(Datos_General[[#This Row],[Resultado]]="Victoria", "3", IF(Datos_General[[#This Row],[Resultado]]="Empate","1",0))</f>
        <v>0</v>
      </c>
      <c r="Z97" s="11">
        <f>+Datos_General[[#This Row],[Minutos Jugados]]*Datos_General[[#This Row],[Puntos Jug_Campo]]</f>
        <v>0</v>
      </c>
      <c r="AA9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97" s="10" t="str">
        <f>+IF(Datos_General[[#This Row],[Resultado Jug_Campo]] = "Empate", "1",IF(Datos_General[[#This Row],[Resultado Jug_Campo]] = "Victoria", "3","0"))</f>
        <v>0</v>
      </c>
    </row>
    <row r="98" spans="1:28">
      <c r="A98" s="1">
        <v>7</v>
      </c>
      <c r="B98" s="6">
        <v>45956</v>
      </c>
      <c r="C98" s="1" t="s">
        <v>130</v>
      </c>
      <c r="D98" s="1" t="s">
        <v>133</v>
      </c>
      <c r="E98" s="10" t="str">
        <f>+CONCATENATE(Datos_General[[#This Row],[Eq.Local]], "-", Datos_General[[#This Row],[Eq.Visitante]])</f>
        <v>Arosa S.C. B-Conxo Santiago B</v>
      </c>
      <c r="F98" s="1" t="s">
        <v>161</v>
      </c>
      <c r="G98" s="1" t="s">
        <v>58</v>
      </c>
      <c r="H98" s="1" t="s">
        <v>43</v>
      </c>
      <c r="I98" s="9">
        <v>2</v>
      </c>
      <c r="J98" s="9">
        <v>1</v>
      </c>
      <c r="K98" s="10" t="str">
        <f>+CONCATENATE(Datos_General[[#This Row],[Goles a Favor_Eq_local]],"-",Datos_General[[#This Row],[Gol a Favor_Eq_Visitante]])</f>
        <v>2-1</v>
      </c>
      <c r="L98" s="1" t="s">
        <v>133</v>
      </c>
      <c r="M98" s="1">
        <v>2</v>
      </c>
      <c r="N98" s="1" t="s">
        <v>144</v>
      </c>
      <c r="O98" s="1">
        <v>1</v>
      </c>
      <c r="P98" s="1" t="s">
        <v>2</v>
      </c>
      <c r="Q98" s="7">
        <v>1</v>
      </c>
      <c r="R98" s="9">
        <v>1</v>
      </c>
      <c r="S98" s="1">
        <v>90</v>
      </c>
      <c r="U98" s="1">
        <f>90-Datos_General[[#This Row],[Minutos Jugados]]</f>
        <v>0</v>
      </c>
      <c r="V98" s="1">
        <v>0</v>
      </c>
      <c r="W98" s="1">
        <v>1</v>
      </c>
      <c r="X98" s="1">
        <v>2</v>
      </c>
      <c r="Y98" s="1">
        <f>+IF(Datos_General[[#This Row],[Resultado]]="Victoria", "3", IF(Datos_General[[#This Row],[Resultado]]="Empate","1",0))</f>
        <v>0</v>
      </c>
      <c r="Z98" s="9">
        <f>+Datos_General[[#This Row],[Minutos Jugados]]*Datos_General[[#This Row],[Puntos Jug_Campo]]</f>
        <v>0</v>
      </c>
      <c r="AA98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98" s="26" t="str">
        <f>+IF(Datos_General[[#This Row],[Resultado Jug_Campo]] = "Empate", "1",IF(Datos_General[[#This Row],[Resultado Jug_Campo]] = "Victoria", "3","0"))</f>
        <v>0</v>
      </c>
    </row>
    <row r="99" spans="1:28">
      <c r="A99" s="1">
        <v>7</v>
      </c>
      <c r="B99" s="6">
        <v>45956</v>
      </c>
      <c r="C99" s="1" t="s">
        <v>130</v>
      </c>
      <c r="D99" s="1" t="s">
        <v>133</v>
      </c>
      <c r="E99" s="10" t="str">
        <f>+CONCATENATE(Datos_General[[#This Row],[Eq.Local]], "-", Datos_General[[#This Row],[Eq.Visitante]])</f>
        <v>Arosa S.C. B-Conxo Santiago B</v>
      </c>
      <c r="F99" s="1" t="s">
        <v>161</v>
      </c>
      <c r="G99" s="1" t="s">
        <v>58</v>
      </c>
      <c r="H99" s="1" t="s">
        <v>43</v>
      </c>
      <c r="I99" s="9">
        <v>2</v>
      </c>
      <c r="J99" s="9">
        <v>1</v>
      </c>
      <c r="K99" s="10" t="str">
        <f>+CONCATENATE(Datos_General[[#This Row],[Goles a Favor_Eq_local]],"-",Datos_General[[#This Row],[Gol a Favor_Eq_Visitante]])</f>
        <v>2-1</v>
      </c>
      <c r="L99" s="1" t="s">
        <v>133</v>
      </c>
      <c r="M99" s="1">
        <v>3</v>
      </c>
      <c r="N99" s="1" t="s">
        <v>162</v>
      </c>
      <c r="O99" s="1">
        <v>1</v>
      </c>
      <c r="P99" s="1" t="s">
        <v>2</v>
      </c>
      <c r="Q99" s="7">
        <v>1</v>
      </c>
      <c r="R99" s="9">
        <v>1</v>
      </c>
      <c r="S99" s="1">
        <v>90</v>
      </c>
      <c r="U99" s="1">
        <f>90-Datos_General[[#This Row],[Minutos Jugados]]</f>
        <v>0</v>
      </c>
      <c r="V99" s="1">
        <v>0</v>
      </c>
      <c r="W99" s="1">
        <v>1</v>
      </c>
      <c r="X99" s="1">
        <v>2</v>
      </c>
      <c r="Y99" s="1">
        <f>+IF(Datos_General[[#This Row],[Resultado]]="Victoria", "3", IF(Datos_General[[#This Row],[Resultado]]="Empate","1",0))</f>
        <v>0</v>
      </c>
      <c r="Z99" s="9">
        <f>+Datos_General[[#This Row],[Minutos Jugados]]*Datos_General[[#This Row],[Puntos Jug_Campo]]</f>
        <v>0</v>
      </c>
      <c r="AA99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99" s="26" t="str">
        <f>+IF(Datos_General[[#This Row],[Resultado Jug_Campo]] = "Empate", "1",IF(Datos_General[[#This Row],[Resultado Jug_Campo]] = "Victoria", "3","0"))</f>
        <v>0</v>
      </c>
    </row>
    <row r="100" spans="1:28">
      <c r="A100" s="1">
        <v>7</v>
      </c>
      <c r="B100" s="6">
        <v>45956</v>
      </c>
      <c r="C100" s="1" t="s">
        <v>130</v>
      </c>
      <c r="D100" s="1" t="s">
        <v>133</v>
      </c>
      <c r="E100" s="10" t="str">
        <f>+CONCATENATE(Datos_General[[#This Row],[Eq.Local]], "-", Datos_General[[#This Row],[Eq.Visitante]])</f>
        <v>Arosa S.C. B-Conxo Santiago B</v>
      </c>
      <c r="F100" s="1" t="s">
        <v>161</v>
      </c>
      <c r="G100" s="1" t="s">
        <v>58</v>
      </c>
      <c r="H100" s="1" t="s">
        <v>43</v>
      </c>
      <c r="I100" s="9">
        <v>2</v>
      </c>
      <c r="J100" s="9">
        <v>1</v>
      </c>
      <c r="K100" s="10" t="str">
        <f>+CONCATENATE(Datos_General[[#This Row],[Goles a Favor_Eq_local]],"-",Datos_General[[#This Row],[Gol a Favor_Eq_Visitante]])</f>
        <v>2-1</v>
      </c>
      <c r="L100" s="1" t="s">
        <v>133</v>
      </c>
      <c r="M100" s="1">
        <v>4</v>
      </c>
      <c r="N100" s="1" t="s">
        <v>140</v>
      </c>
      <c r="O100" s="1">
        <v>1</v>
      </c>
      <c r="P100" s="1" t="s">
        <v>2</v>
      </c>
      <c r="Q100" s="7">
        <v>1</v>
      </c>
      <c r="R100" s="9">
        <v>1</v>
      </c>
      <c r="S100" s="1">
        <v>90</v>
      </c>
      <c r="U100" s="1">
        <f>90-Datos_General[[#This Row],[Minutos Jugados]]</f>
        <v>0</v>
      </c>
      <c r="V100" s="1">
        <v>0</v>
      </c>
      <c r="W100" s="1">
        <v>1</v>
      </c>
      <c r="X100" s="1">
        <v>2</v>
      </c>
      <c r="Y100" s="1">
        <f>+IF(Datos_General[[#This Row],[Resultado]]="Victoria", "3", IF(Datos_General[[#This Row],[Resultado]]="Empate","1",0))</f>
        <v>0</v>
      </c>
      <c r="Z100" s="9">
        <f>+Datos_General[[#This Row],[Minutos Jugados]]*Datos_General[[#This Row],[Puntos Jug_Campo]]</f>
        <v>0</v>
      </c>
      <c r="AA100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00" s="26" t="str">
        <f>+IF(Datos_General[[#This Row],[Resultado Jug_Campo]] = "Empate", "1",IF(Datos_General[[#This Row],[Resultado Jug_Campo]] = "Victoria", "3","0"))</f>
        <v>0</v>
      </c>
    </row>
    <row r="101" spans="1:28">
      <c r="A101" s="1">
        <v>7</v>
      </c>
      <c r="B101" s="6">
        <v>45956</v>
      </c>
      <c r="C101" s="1" t="s">
        <v>130</v>
      </c>
      <c r="D101" s="1" t="s">
        <v>133</v>
      </c>
      <c r="E101" s="10" t="str">
        <f>+CONCATENATE(Datos_General[[#This Row],[Eq.Local]], "-", Datos_General[[#This Row],[Eq.Visitante]])</f>
        <v>Arosa S.C. B-Conxo Santiago B</v>
      </c>
      <c r="F101" s="1" t="s">
        <v>161</v>
      </c>
      <c r="G101" s="1" t="s">
        <v>58</v>
      </c>
      <c r="H101" s="1" t="s">
        <v>43</v>
      </c>
      <c r="I101" s="9">
        <v>2</v>
      </c>
      <c r="J101" s="9">
        <v>1</v>
      </c>
      <c r="K101" s="10" t="str">
        <f>+CONCATENATE(Datos_General[[#This Row],[Goles a Favor_Eq_local]],"-",Datos_General[[#This Row],[Gol a Favor_Eq_Visitante]])</f>
        <v>2-1</v>
      </c>
      <c r="L101" s="1" t="s">
        <v>133</v>
      </c>
      <c r="M101" s="1">
        <v>5</v>
      </c>
      <c r="N101" s="1" t="s">
        <v>146</v>
      </c>
      <c r="O101" s="1">
        <v>1</v>
      </c>
      <c r="P101" s="1" t="s">
        <v>2</v>
      </c>
      <c r="Q101" s="7">
        <v>1</v>
      </c>
      <c r="R101" s="9">
        <v>1</v>
      </c>
      <c r="S101" s="1">
        <v>80</v>
      </c>
      <c r="T101" s="1" t="s">
        <v>163</v>
      </c>
      <c r="U101" s="1">
        <f>90-Datos_General[[#This Row],[Minutos Jugados]]</f>
        <v>10</v>
      </c>
      <c r="V101" s="1">
        <v>0</v>
      </c>
      <c r="W101" s="1">
        <v>1</v>
      </c>
      <c r="X101" s="1">
        <v>1</v>
      </c>
      <c r="Y101" s="1">
        <f>+IF(Datos_General[[#This Row],[Resultado]]="Victoria", "3", IF(Datos_General[[#This Row],[Resultado]]="Empate","1",0))</f>
        <v>0</v>
      </c>
      <c r="Z101" s="9">
        <f>+Datos_General[[#This Row],[Minutos Jugados]]*Datos_General[[#This Row],[Puntos Jug_Campo]]</f>
        <v>80</v>
      </c>
      <c r="AA101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01" s="26" t="str">
        <f>+IF(Datos_General[[#This Row],[Resultado Jug_Campo]] = "Empate", "1",IF(Datos_General[[#This Row],[Resultado Jug_Campo]] = "Victoria", "3","0"))</f>
        <v>1</v>
      </c>
    </row>
    <row r="102" spans="1:28">
      <c r="A102" s="1">
        <v>7</v>
      </c>
      <c r="B102" s="6">
        <v>45956</v>
      </c>
      <c r="C102" s="1" t="s">
        <v>130</v>
      </c>
      <c r="D102" s="1" t="s">
        <v>133</v>
      </c>
      <c r="E102" s="10" t="str">
        <f>+CONCATENATE(Datos_General[[#This Row],[Eq.Local]], "-", Datos_General[[#This Row],[Eq.Visitante]])</f>
        <v>Arosa S.C. B-Conxo Santiago B</v>
      </c>
      <c r="F102" s="1" t="s">
        <v>161</v>
      </c>
      <c r="G102" s="1" t="s">
        <v>58</v>
      </c>
      <c r="H102" s="1" t="s">
        <v>43</v>
      </c>
      <c r="I102" s="9">
        <v>2</v>
      </c>
      <c r="J102" s="9">
        <v>1</v>
      </c>
      <c r="K102" s="10" t="str">
        <f>+CONCATENATE(Datos_General[[#This Row],[Goles a Favor_Eq_local]],"-",Datos_General[[#This Row],[Gol a Favor_Eq_Visitante]])</f>
        <v>2-1</v>
      </c>
      <c r="L102" s="1" t="s">
        <v>133</v>
      </c>
      <c r="M102" s="1">
        <v>6</v>
      </c>
      <c r="N102" s="1" t="s">
        <v>142</v>
      </c>
      <c r="O102" s="1">
        <v>1</v>
      </c>
      <c r="P102" s="1" t="s">
        <v>2</v>
      </c>
      <c r="Q102" s="7">
        <v>1</v>
      </c>
      <c r="R102" s="9">
        <v>1</v>
      </c>
      <c r="S102" s="1">
        <v>90</v>
      </c>
      <c r="U102" s="1">
        <f>90-Datos_General[[#This Row],[Minutos Jugados]]</f>
        <v>0</v>
      </c>
      <c r="V102" s="1">
        <v>0</v>
      </c>
      <c r="W102" s="1">
        <v>1</v>
      </c>
      <c r="X102" s="1">
        <v>2</v>
      </c>
      <c r="Y102" s="1">
        <f>+IF(Datos_General[[#This Row],[Resultado]]="Victoria", "3", IF(Datos_General[[#This Row],[Resultado]]="Empate","1",0))</f>
        <v>0</v>
      </c>
      <c r="Z102" s="9">
        <f>+Datos_General[[#This Row],[Minutos Jugados]]*Datos_General[[#This Row],[Puntos Jug_Campo]]</f>
        <v>0</v>
      </c>
      <c r="AA102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02" s="26" t="str">
        <f>+IF(Datos_General[[#This Row],[Resultado Jug_Campo]] = "Empate", "1",IF(Datos_General[[#This Row],[Resultado Jug_Campo]] = "Victoria", "3","0"))</f>
        <v>0</v>
      </c>
    </row>
    <row r="103" spans="1:28">
      <c r="A103" s="1">
        <v>7</v>
      </c>
      <c r="B103" s="6">
        <v>45956</v>
      </c>
      <c r="C103" s="1" t="s">
        <v>130</v>
      </c>
      <c r="D103" s="1" t="s">
        <v>133</v>
      </c>
      <c r="E103" s="10" t="str">
        <f>+CONCATENATE(Datos_General[[#This Row],[Eq.Local]], "-", Datos_General[[#This Row],[Eq.Visitante]])</f>
        <v>Arosa S.C. B-Conxo Santiago B</v>
      </c>
      <c r="F103" s="1" t="s">
        <v>161</v>
      </c>
      <c r="G103" s="1" t="s">
        <v>58</v>
      </c>
      <c r="H103" s="1" t="s">
        <v>43</v>
      </c>
      <c r="I103" s="9">
        <v>2</v>
      </c>
      <c r="J103" s="9">
        <v>1</v>
      </c>
      <c r="K103" s="10" t="str">
        <f>+CONCATENATE(Datos_General[[#This Row],[Goles a Favor_Eq_local]],"-",Datos_General[[#This Row],[Gol a Favor_Eq_Visitante]])</f>
        <v>2-1</v>
      </c>
      <c r="L103" s="1" t="s">
        <v>133</v>
      </c>
      <c r="M103" s="1">
        <v>7</v>
      </c>
      <c r="N103" s="1" t="s">
        <v>150</v>
      </c>
      <c r="O103" s="1">
        <v>1</v>
      </c>
      <c r="P103" s="1" t="s">
        <v>2</v>
      </c>
      <c r="Q103" s="7">
        <v>1</v>
      </c>
      <c r="R103" s="9">
        <v>1</v>
      </c>
      <c r="S103" s="1">
        <v>74</v>
      </c>
      <c r="T103" s="1" t="s">
        <v>152</v>
      </c>
      <c r="U103" s="1">
        <f>90-Datos_General[[#This Row],[Minutos Jugados]]</f>
        <v>16</v>
      </c>
      <c r="V103" s="1">
        <v>0</v>
      </c>
      <c r="W103" s="1">
        <v>1</v>
      </c>
      <c r="X103" s="1">
        <v>1</v>
      </c>
      <c r="Y103" s="1">
        <f>+IF(Datos_General[[#This Row],[Resultado]]="Victoria", "3", IF(Datos_General[[#This Row],[Resultado]]="Empate","1",0))</f>
        <v>0</v>
      </c>
      <c r="Z103" s="9">
        <f>+Datos_General[[#This Row],[Minutos Jugados]]*Datos_General[[#This Row],[Puntos Jug_Campo]]</f>
        <v>74</v>
      </c>
      <c r="AA103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03" s="26" t="str">
        <f>+IF(Datos_General[[#This Row],[Resultado Jug_Campo]] = "Empate", "1",IF(Datos_General[[#This Row],[Resultado Jug_Campo]] = "Victoria", "3","0"))</f>
        <v>1</v>
      </c>
    </row>
    <row r="104" spans="1:28">
      <c r="A104" s="1">
        <v>7</v>
      </c>
      <c r="B104" s="6">
        <v>45956</v>
      </c>
      <c r="C104" s="1" t="s">
        <v>130</v>
      </c>
      <c r="D104" s="1" t="s">
        <v>133</v>
      </c>
      <c r="E104" s="10" t="str">
        <f>+CONCATENATE(Datos_General[[#This Row],[Eq.Local]], "-", Datos_General[[#This Row],[Eq.Visitante]])</f>
        <v>Arosa S.C. B-Conxo Santiago B</v>
      </c>
      <c r="F104" s="1" t="s">
        <v>161</v>
      </c>
      <c r="G104" s="1" t="s">
        <v>58</v>
      </c>
      <c r="H104" s="1" t="s">
        <v>43</v>
      </c>
      <c r="I104" s="9">
        <v>2</v>
      </c>
      <c r="J104" s="9">
        <v>1</v>
      </c>
      <c r="K104" s="10" t="str">
        <f>+CONCATENATE(Datos_General[[#This Row],[Goles a Favor_Eq_local]],"-",Datos_General[[#This Row],[Gol a Favor_Eq_Visitante]])</f>
        <v>2-1</v>
      </c>
      <c r="L104" s="1" t="s">
        <v>133</v>
      </c>
      <c r="M104" s="1">
        <v>8</v>
      </c>
      <c r="N104" s="1" t="s">
        <v>156</v>
      </c>
      <c r="O104" s="1">
        <v>1</v>
      </c>
      <c r="P104" s="1" t="s">
        <v>2</v>
      </c>
      <c r="Q104" s="7">
        <v>1</v>
      </c>
      <c r="R104" s="9">
        <v>1</v>
      </c>
      <c r="S104" s="1">
        <v>80</v>
      </c>
      <c r="T104" s="1" t="s">
        <v>164</v>
      </c>
      <c r="U104" s="1">
        <f>90-Datos_General[[#This Row],[Minutos Jugados]]</f>
        <v>10</v>
      </c>
      <c r="V104" s="1">
        <v>0</v>
      </c>
      <c r="W104" s="1">
        <v>1</v>
      </c>
      <c r="X104" s="1">
        <v>1</v>
      </c>
      <c r="Y104" s="1">
        <f>+IF(Datos_General[[#This Row],[Resultado]]="Victoria", "3", IF(Datos_General[[#This Row],[Resultado]]="Empate","1",0))</f>
        <v>0</v>
      </c>
      <c r="Z104" s="9">
        <f>+Datos_General[[#This Row],[Minutos Jugados]]*Datos_General[[#This Row],[Puntos Jug_Campo]]</f>
        <v>80</v>
      </c>
      <c r="AA104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04" s="26" t="str">
        <f>+IF(Datos_General[[#This Row],[Resultado Jug_Campo]] = "Empate", "1",IF(Datos_General[[#This Row],[Resultado Jug_Campo]] = "Victoria", "3","0"))</f>
        <v>1</v>
      </c>
    </row>
    <row r="105" spans="1:28">
      <c r="A105" s="1">
        <v>7</v>
      </c>
      <c r="B105" s="6">
        <v>45956</v>
      </c>
      <c r="C105" s="1" t="s">
        <v>130</v>
      </c>
      <c r="D105" s="1" t="s">
        <v>133</v>
      </c>
      <c r="E105" s="10" t="str">
        <f>+CONCATENATE(Datos_General[[#This Row],[Eq.Local]], "-", Datos_General[[#This Row],[Eq.Visitante]])</f>
        <v>Arosa S.C. B-Conxo Santiago B</v>
      </c>
      <c r="F105" s="1" t="s">
        <v>161</v>
      </c>
      <c r="G105" s="1" t="s">
        <v>58</v>
      </c>
      <c r="H105" s="1" t="s">
        <v>43</v>
      </c>
      <c r="I105" s="9">
        <v>2</v>
      </c>
      <c r="J105" s="9">
        <v>1</v>
      </c>
      <c r="K105" s="10" t="str">
        <f>+CONCATENATE(Datos_General[[#This Row],[Goles a Favor_Eq_local]],"-",Datos_General[[#This Row],[Gol a Favor_Eq_Visitante]])</f>
        <v>2-1</v>
      </c>
      <c r="L105" s="1" t="s">
        <v>133</v>
      </c>
      <c r="M105" s="1">
        <v>9</v>
      </c>
      <c r="N105" s="1" t="s">
        <v>145</v>
      </c>
      <c r="O105" s="1">
        <v>1</v>
      </c>
      <c r="P105" s="1" t="s">
        <v>2</v>
      </c>
      <c r="Q105" s="7">
        <v>1</v>
      </c>
      <c r="R105" s="9">
        <v>1</v>
      </c>
      <c r="S105" s="1">
        <v>90</v>
      </c>
      <c r="U105" s="1">
        <f>90-Datos_General[[#This Row],[Minutos Jugados]]</f>
        <v>0</v>
      </c>
      <c r="V105" s="1">
        <v>1</v>
      </c>
      <c r="W105" s="1">
        <v>1</v>
      </c>
      <c r="X105" s="1">
        <v>2</v>
      </c>
      <c r="Y105" s="1">
        <f>+IF(Datos_General[[#This Row],[Resultado]]="Victoria", "3", IF(Datos_General[[#This Row],[Resultado]]="Empate","1",0))</f>
        <v>0</v>
      </c>
      <c r="Z105" s="9">
        <f>+Datos_General[[#This Row],[Minutos Jugados]]*Datos_General[[#This Row],[Puntos Jug_Campo]]</f>
        <v>0</v>
      </c>
      <c r="AA105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05" s="26" t="str">
        <f>+IF(Datos_General[[#This Row],[Resultado Jug_Campo]] = "Empate", "1",IF(Datos_General[[#This Row],[Resultado Jug_Campo]] = "Victoria", "3","0"))</f>
        <v>0</v>
      </c>
    </row>
    <row r="106" spans="1:28">
      <c r="A106" s="1">
        <v>7</v>
      </c>
      <c r="B106" s="6">
        <v>45956</v>
      </c>
      <c r="C106" s="1" t="s">
        <v>130</v>
      </c>
      <c r="D106" s="1" t="s">
        <v>133</v>
      </c>
      <c r="E106" s="10" t="str">
        <f>+CONCATENATE(Datos_General[[#This Row],[Eq.Local]], "-", Datos_General[[#This Row],[Eq.Visitante]])</f>
        <v>Arosa S.C. B-Conxo Santiago B</v>
      </c>
      <c r="F106" s="1" t="s">
        <v>161</v>
      </c>
      <c r="G106" s="1" t="s">
        <v>58</v>
      </c>
      <c r="H106" s="1" t="s">
        <v>43</v>
      </c>
      <c r="I106" s="9">
        <v>2</v>
      </c>
      <c r="J106" s="9">
        <v>1</v>
      </c>
      <c r="K106" s="10" t="str">
        <f>+CONCATENATE(Datos_General[[#This Row],[Goles a Favor_Eq_local]],"-",Datos_General[[#This Row],[Gol a Favor_Eq_Visitante]])</f>
        <v>2-1</v>
      </c>
      <c r="L106" s="1" t="s">
        <v>133</v>
      </c>
      <c r="M106" s="1">
        <v>10</v>
      </c>
      <c r="N106" s="1" t="s">
        <v>151</v>
      </c>
      <c r="O106" s="1">
        <v>1</v>
      </c>
      <c r="P106" s="1" t="s">
        <v>2</v>
      </c>
      <c r="Q106" s="7">
        <v>1</v>
      </c>
      <c r="R106" s="9">
        <v>1</v>
      </c>
      <c r="S106" s="1">
        <v>90</v>
      </c>
      <c r="T106" s="1" t="s">
        <v>149</v>
      </c>
      <c r="U106" s="1">
        <f>90-Datos_General[[#This Row],[Minutos Jugados]]</f>
        <v>0</v>
      </c>
      <c r="V106" s="1">
        <v>0</v>
      </c>
      <c r="W106" s="1">
        <v>1</v>
      </c>
      <c r="X106" s="1">
        <v>1</v>
      </c>
      <c r="Y106" s="1">
        <f>+IF(Datos_General[[#This Row],[Resultado]]="Victoria", "3", IF(Datos_General[[#This Row],[Resultado]]="Empate","1",0))</f>
        <v>0</v>
      </c>
      <c r="Z106" s="9">
        <f>+Datos_General[[#This Row],[Minutos Jugados]]*Datos_General[[#This Row],[Puntos Jug_Campo]]</f>
        <v>90</v>
      </c>
      <c r="AA106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06" s="26" t="str">
        <f>+IF(Datos_General[[#This Row],[Resultado Jug_Campo]] = "Empate", "1",IF(Datos_General[[#This Row],[Resultado Jug_Campo]] = "Victoria", "3","0"))</f>
        <v>1</v>
      </c>
    </row>
    <row r="107" spans="1:28">
      <c r="A107" s="1">
        <v>7</v>
      </c>
      <c r="B107" s="6">
        <v>45956</v>
      </c>
      <c r="C107" s="1" t="s">
        <v>130</v>
      </c>
      <c r="D107" s="1" t="s">
        <v>133</v>
      </c>
      <c r="E107" s="10" t="str">
        <f>+CONCATENATE(Datos_General[[#This Row],[Eq.Local]], "-", Datos_General[[#This Row],[Eq.Visitante]])</f>
        <v>Arosa S.C. B-Conxo Santiago B</v>
      </c>
      <c r="F107" s="1" t="s">
        <v>161</v>
      </c>
      <c r="G107" s="1" t="s">
        <v>58</v>
      </c>
      <c r="H107" s="1" t="s">
        <v>43</v>
      </c>
      <c r="I107" s="9">
        <v>2</v>
      </c>
      <c r="J107" s="9">
        <v>1</v>
      </c>
      <c r="K107" s="10" t="str">
        <f>+CONCATENATE(Datos_General[[#This Row],[Goles a Favor_Eq_local]],"-",Datos_General[[#This Row],[Gol a Favor_Eq_Visitante]])</f>
        <v>2-1</v>
      </c>
      <c r="L107" s="1" t="s">
        <v>133</v>
      </c>
      <c r="M107" s="1">
        <v>11</v>
      </c>
      <c r="N107" s="1" t="s">
        <v>143</v>
      </c>
      <c r="O107" s="1">
        <v>1</v>
      </c>
      <c r="P107" s="1" t="s">
        <v>2</v>
      </c>
      <c r="Q107" s="7">
        <v>1</v>
      </c>
      <c r="R107" s="9">
        <v>1</v>
      </c>
      <c r="S107" s="1">
        <v>90</v>
      </c>
      <c r="U107" s="1">
        <f>90-Datos_General[[#This Row],[Minutos Jugados]]</f>
        <v>0</v>
      </c>
      <c r="V107" s="1">
        <v>0</v>
      </c>
      <c r="W107" s="1">
        <v>1</v>
      </c>
      <c r="X107" s="1">
        <v>2</v>
      </c>
      <c r="Y107" s="1">
        <f>+IF(Datos_General[[#This Row],[Resultado]]="Victoria", "3", IF(Datos_General[[#This Row],[Resultado]]="Empate","1",0))</f>
        <v>0</v>
      </c>
      <c r="Z107" s="9">
        <f>+Datos_General[[#This Row],[Minutos Jugados]]*Datos_General[[#This Row],[Puntos Jug_Campo]]</f>
        <v>0</v>
      </c>
      <c r="AA107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07" s="26" t="str">
        <f>+IF(Datos_General[[#This Row],[Resultado Jug_Campo]] = "Empate", "1",IF(Datos_General[[#This Row],[Resultado Jug_Campo]] = "Victoria", "3","0"))</f>
        <v>0</v>
      </c>
    </row>
    <row r="108" spans="1:28">
      <c r="A108" s="1">
        <v>7</v>
      </c>
      <c r="B108" s="6">
        <v>45956</v>
      </c>
      <c r="C108" s="1" t="s">
        <v>130</v>
      </c>
      <c r="D108" s="1" t="s">
        <v>133</v>
      </c>
      <c r="E108" s="10" t="str">
        <f>+CONCATENATE(Datos_General[[#This Row],[Eq.Local]], "-", Datos_General[[#This Row],[Eq.Visitante]])</f>
        <v>Arosa S.C. B-Conxo Santiago B</v>
      </c>
      <c r="F108" s="1" t="s">
        <v>161</v>
      </c>
      <c r="G108" s="1" t="s">
        <v>58</v>
      </c>
      <c r="H108" s="1" t="s">
        <v>43</v>
      </c>
      <c r="I108" s="9">
        <v>2</v>
      </c>
      <c r="J108" s="9">
        <v>1</v>
      </c>
      <c r="K108" s="10" t="str">
        <f>+CONCATENATE(Datos_General[[#This Row],[Goles a Favor_Eq_local]],"-",Datos_General[[#This Row],[Gol a Favor_Eq_Visitante]])</f>
        <v>2-1</v>
      </c>
      <c r="L108" s="1" t="s">
        <v>133</v>
      </c>
      <c r="M108" s="1">
        <v>13</v>
      </c>
      <c r="N108" s="1" t="s">
        <v>137</v>
      </c>
      <c r="O108" s="1">
        <v>1</v>
      </c>
      <c r="P108" s="1" t="s">
        <v>70</v>
      </c>
      <c r="Q108" s="7">
        <f>+IF(Datos_General[[#This Row],[Minutos Jugados]]&gt;0, 1, 0)</f>
        <v>1</v>
      </c>
      <c r="R108" s="23">
        <v>0</v>
      </c>
      <c r="S108" s="8">
        <f>IFERROR(IF(MATCH(N109,$T$97:$T$112,0), INDEX($U$97:$U$112,MATCH(N109,$T$97:$T$112,0))),0)</f>
        <v>16</v>
      </c>
      <c r="U108" s="1">
        <f>90-Datos_General[[#This Row],[Minutos Jugados]]</f>
        <v>74</v>
      </c>
      <c r="V108" s="1">
        <v>0</v>
      </c>
      <c r="W108" s="1">
        <v>0</v>
      </c>
      <c r="X108" s="1">
        <v>1</v>
      </c>
      <c r="Y108" s="1">
        <f>+IF(Datos_General[[#This Row],[Resultado]]="Victoria", "3", IF(Datos_General[[#This Row],[Resultado]]="Empate","1",0))</f>
        <v>0</v>
      </c>
      <c r="Z108" s="9">
        <f>+Datos_General[[#This Row],[Minutos Jugados]]*Datos_General[[#This Row],[Puntos Jug_Campo]]</f>
        <v>0</v>
      </c>
      <c r="AA108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08" s="26" t="str">
        <f>+IF(Datos_General[[#This Row],[Resultado Jug_Campo]] = "Empate", "1",IF(Datos_General[[#This Row],[Resultado Jug_Campo]] = "Victoria", "3","0"))</f>
        <v>0</v>
      </c>
    </row>
    <row r="109" spans="1:28">
      <c r="A109" s="1">
        <v>7</v>
      </c>
      <c r="B109" s="6">
        <v>45956</v>
      </c>
      <c r="C109" s="1" t="s">
        <v>130</v>
      </c>
      <c r="D109" s="1" t="s">
        <v>133</v>
      </c>
      <c r="E109" s="10" t="str">
        <f>+CONCATENATE(Datos_General[[#This Row],[Eq.Local]], "-", Datos_General[[#This Row],[Eq.Visitante]])</f>
        <v>Arosa S.C. B-Conxo Santiago B</v>
      </c>
      <c r="F109" s="1" t="s">
        <v>161</v>
      </c>
      <c r="G109" s="1" t="s">
        <v>58</v>
      </c>
      <c r="H109" s="1" t="s">
        <v>43</v>
      </c>
      <c r="I109" s="9">
        <v>2</v>
      </c>
      <c r="J109" s="9">
        <v>1</v>
      </c>
      <c r="K109" s="10" t="str">
        <f>+CONCATENATE(Datos_General[[#This Row],[Goles a Favor_Eq_local]],"-",Datos_General[[#This Row],[Gol a Favor_Eq_Visitante]])</f>
        <v>2-1</v>
      </c>
      <c r="L109" s="1" t="s">
        <v>133</v>
      </c>
      <c r="M109" s="1">
        <v>12</v>
      </c>
      <c r="N109" s="1" t="s">
        <v>152</v>
      </c>
      <c r="O109" s="1">
        <v>1</v>
      </c>
      <c r="P109" s="1" t="s">
        <v>70</v>
      </c>
      <c r="Q109" s="7">
        <f>+IF(Datos_General[[#This Row],[Minutos Jugados]]&gt;0, 1, 0)</f>
        <v>0</v>
      </c>
      <c r="R109" s="23">
        <v>0</v>
      </c>
      <c r="S109" s="8">
        <f>IFERROR(IF(MATCH(N110,$T$97:$T$112,0), INDEX($U$97:$U$112,MATCH(N110,$T$97:$T$112,0))),0)</f>
        <v>0</v>
      </c>
      <c r="U109" s="1">
        <f>90-Datos_General[[#This Row],[Minutos Jugados]]</f>
        <v>90</v>
      </c>
      <c r="V109" s="1">
        <v>0</v>
      </c>
      <c r="W109" s="1">
        <v>0</v>
      </c>
      <c r="X109" s="1">
        <v>0</v>
      </c>
      <c r="Y109" s="1">
        <f>+IF(Datos_General[[#This Row],[Resultado]]="Victoria", "3", IF(Datos_General[[#This Row],[Resultado]]="Empate","1",0))</f>
        <v>0</v>
      </c>
      <c r="Z109" s="9">
        <f>+Datos_General[[#This Row],[Minutos Jugados]]*Datos_General[[#This Row],[Puntos Jug_Campo]]</f>
        <v>0</v>
      </c>
      <c r="AA109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109" s="26" t="str">
        <f>+IF(Datos_General[[#This Row],[Resultado Jug_Campo]] = "Empate", "1",IF(Datos_General[[#This Row],[Resultado Jug_Campo]] = "Victoria", "3","0"))</f>
        <v>0</v>
      </c>
    </row>
    <row r="110" spans="1:28">
      <c r="A110" s="1">
        <v>7</v>
      </c>
      <c r="B110" s="6">
        <v>45956</v>
      </c>
      <c r="C110" s="1" t="s">
        <v>130</v>
      </c>
      <c r="D110" s="1" t="s">
        <v>133</v>
      </c>
      <c r="E110" s="10" t="str">
        <f>+CONCATENATE(Datos_General[[#This Row],[Eq.Local]], "-", Datos_General[[#This Row],[Eq.Visitante]])</f>
        <v>Arosa S.C. B-Conxo Santiago B</v>
      </c>
      <c r="F110" s="1" t="s">
        <v>161</v>
      </c>
      <c r="G110" s="1" t="s">
        <v>58</v>
      </c>
      <c r="H110" s="1" t="s">
        <v>43</v>
      </c>
      <c r="I110" s="9">
        <v>2</v>
      </c>
      <c r="J110" s="9">
        <v>1</v>
      </c>
      <c r="K110" s="10" t="str">
        <f>+CONCATENATE(Datos_General[[#This Row],[Goles a Favor_Eq_local]],"-",Datos_General[[#This Row],[Gol a Favor_Eq_Visitante]])</f>
        <v>2-1</v>
      </c>
      <c r="L110" s="1" t="s">
        <v>133</v>
      </c>
      <c r="M110" s="1">
        <v>14</v>
      </c>
      <c r="N110" s="1" t="s">
        <v>149</v>
      </c>
      <c r="O110" s="1">
        <v>1</v>
      </c>
      <c r="P110" s="1" t="s">
        <v>70</v>
      </c>
      <c r="Q110" s="7">
        <f>+IF(Datos_General[[#This Row],[Minutos Jugados]]&gt;0, 1, 0)</f>
        <v>1</v>
      </c>
      <c r="R110" s="23">
        <v>0</v>
      </c>
      <c r="S110" s="8">
        <f>IFERROR(IF(MATCH(N111,$T$97:$T$112,0), INDEX($U$97:$U$112,MATCH(N111,$T$97:$T$112,0))),0)</f>
        <v>10</v>
      </c>
      <c r="U110" s="1">
        <f>90-Datos_General[[#This Row],[Minutos Jugados]]</f>
        <v>80</v>
      </c>
      <c r="V110" s="1">
        <v>0</v>
      </c>
      <c r="W110" s="1">
        <v>0</v>
      </c>
      <c r="X110" s="1">
        <v>1</v>
      </c>
      <c r="Y110" s="1">
        <f>+IF(Datos_General[[#This Row],[Resultado]]="Victoria", "3", IF(Datos_General[[#This Row],[Resultado]]="Empate","1",0))</f>
        <v>0</v>
      </c>
      <c r="Z110" s="9">
        <f>+Datos_General[[#This Row],[Minutos Jugados]]*Datos_General[[#This Row],[Puntos Jug_Campo]]</f>
        <v>0</v>
      </c>
      <c r="AA110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0" s="26" t="str">
        <f>+IF(Datos_General[[#This Row],[Resultado Jug_Campo]] = "Empate", "1",IF(Datos_General[[#This Row],[Resultado Jug_Campo]] = "Victoria", "3","0"))</f>
        <v>0</v>
      </c>
    </row>
    <row r="111" spans="1:28">
      <c r="A111" s="1">
        <v>7</v>
      </c>
      <c r="B111" s="6">
        <v>45956</v>
      </c>
      <c r="C111" s="1" t="s">
        <v>130</v>
      </c>
      <c r="D111" s="1" t="s">
        <v>133</v>
      </c>
      <c r="E111" s="10" t="str">
        <f>+CONCATENATE(Datos_General[[#This Row],[Eq.Local]], "-", Datos_General[[#This Row],[Eq.Visitante]])</f>
        <v>Arosa S.C. B-Conxo Santiago B</v>
      </c>
      <c r="F111" s="1" t="s">
        <v>161</v>
      </c>
      <c r="G111" s="1" t="s">
        <v>58</v>
      </c>
      <c r="H111" s="1" t="s">
        <v>43</v>
      </c>
      <c r="I111" s="9">
        <v>2</v>
      </c>
      <c r="J111" s="9">
        <v>1</v>
      </c>
      <c r="K111" s="10" t="str">
        <f>+CONCATENATE(Datos_General[[#This Row],[Goles a Favor_Eq_local]],"-",Datos_General[[#This Row],[Gol a Favor_Eq_Visitante]])</f>
        <v>2-1</v>
      </c>
      <c r="L111" s="1" t="s">
        <v>133</v>
      </c>
      <c r="M111" s="1">
        <v>15</v>
      </c>
      <c r="N111" s="1" t="s">
        <v>163</v>
      </c>
      <c r="O111" s="1">
        <v>1</v>
      </c>
      <c r="P111" s="1" t="s">
        <v>70</v>
      </c>
      <c r="Q111" s="7">
        <f>+IF(Datos_General[[#This Row],[Minutos Jugados]]&gt;0, 1, 0)</f>
        <v>1</v>
      </c>
      <c r="R111" s="23">
        <v>0</v>
      </c>
      <c r="S111" s="8">
        <f>IFERROR(IF(MATCH(N112,$T$97:$T$112,0), INDEX($U$97:$U$112,MATCH(N112,$T$97:$T$112,0))),0)</f>
        <v>10</v>
      </c>
      <c r="U111" s="1">
        <f>90-Datos_General[[#This Row],[Minutos Jugados]]</f>
        <v>80</v>
      </c>
      <c r="V111" s="1">
        <v>0</v>
      </c>
      <c r="W111" s="1">
        <v>0</v>
      </c>
      <c r="X111" s="1">
        <v>1</v>
      </c>
      <c r="Y111" s="1">
        <f>+IF(Datos_General[[#This Row],[Resultado]]="Victoria", "3", IF(Datos_General[[#This Row],[Resultado]]="Empate","1",0))</f>
        <v>0</v>
      </c>
      <c r="Z111" s="9">
        <f>+Datos_General[[#This Row],[Minutos Jugados]]*Datos_General[[#This Row],[Puntos Jug_Campo]]</f>
        <v>0</v>
      </c>
      <c r="AA111" s="1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1" s="26" t="str">
        <f>+IF(Datos_General[[#This Row],[Resultado Jug_Campo]] = "Empate", "1",IF(Datos_General[[#This Row],[Resultado Jug_Campo]] = "Victoria", "3","0"))</f>
        <v>0</v>
      </c>
    </row>
    <row r="112" spans="1:28">
      <c r="A112" s="1">
        <v>7</v>
      </c>
      <c r="B112" s="6">
        <v>45956</v>
      </c>
      <c r="C112" s="1" t="s">
        <v>130</v>
      </c>
      <c r="D112" s="1" t="s">
        <v>133</v>
      </c>
      <c r="E112" s="10" t="str">
        <f>+CONCATENATE(Datos_General[[#This Row],[Eq.Local]], "-", Datos_General[[#This Row],[Eq.Visitante]])</f>
        <v>Arosa S.C. B-Conxo Santiago B</v>
      </c>
      <c r="F112" s="1" t="s">
        <v>161</v>
      </c>
      <c r="G112" s="1" t="s">
        <v>58</v>
      </c>
      <c r="H112" s="1" t="s">
        <v>43</v>
      </c>
      <c r="I112" s="9">
        <v>2</v>
      </c>
      <c r="J112" s="9">
        <v>1</v>
      </c>
      <c r="K112" s="10" t="str">
        <f>+CONCATENATE(Datos_General[[#This Row],[Goles a Favor_Eq_local]],"-",Datos_General[[#This Row],[Gol a Favor_Eq_Visitante]])</f>
        <v>2-1</v>
      </c>
      <c r="L112" s="1" t="s">
        <v>133</v>
      </c>
      <c r="M112" s="1">
        <v>16</v>
      </c>
      <c r="N112" s="1" t="s">
        <v>164</v>
      </c>
      <c r="O112" s="1">
        <v>1</v>
      </c>
      <c r="P112" s="1" t="s">
        <v>70</v>
      </c>
      <c r="Q112" s="7">
        <f>+IF(Datos_General[[#This Row],[Minutos Jugados]]&gt;0, 1, 0)</f>
        <v>1</v>
      </c>
      <c r="R112" s="23">
        <v>0</v>
      </c>
      <c r="S112" s="8">
        <v>10</v>
      </c>
      <c r="U112" s="1">
        <v>80</v>
      </c>
      <c r="V112" s="1">
        <v>0</v>
      </c>
      <c r="W112" s="1">
        <v>0</v>
      </c>
      <c r="X112" s="1">
        <v>1</v>
      </c>
      <c r="Z112" s="9"/>
      <c r="AB112" s="26"/>
    </row>
    <row r="113" spans="1:28">
      <c r="A113" s="1">
        <v>8</v>
      </c>
      <c r="B113" s="6">
        <v>45970</v>
      </c>
      <c r="C113" s="1" t="s">
        <v>133</v>
      </c>
      <c r="D113" s="1" t="s">
        <v>128</v>
      </c>
      <c r="E113" s="10" t="str">
        <f>+CONCATENATE(Datos_General[[#This Row],[Eq.Local]], "-", Datos_General[[#This Row],[Eq.Visitante]])</f>
        <v>Conxo Santiago B-S.D. Compostela B</v>
      </c>
      <c r="F113" s="1" t="s">
        <v>157</v>
      </c>
      <c r="G113" s="1" t="s">
        <v>57</v>
      </c>
      <c r="H113" s="1" t="s">
        <v>43</v>
      </c>
      <c r="I113" s="9">
        <v>0</v>
      </c>
      <c r="J113" s="9">
        <v>4</v>
      </c>
      <c r="K113" s="10" t="str">
        <f>+CONCATENATE(Datos_General[[#This Row],[Goles a Favor_Eq_local]],"-",Datos_General[[#This Row],[Gol a Favor_Eq_Visitante]])</f>
        <v>0-4</v>
      </c>
      <c r="L113" s="1" t="s">
        <v>133</v>
      </c>
      <c r="M113" s="1">
        <v>1</v>
      </c>
      <c r="N113" s="1" t="s">
        <v>137</v>
      </c>
      <c r="O113" s="1">
        <v>1</v>
      </c>
      <c r="P113" s="1" t="s">
        <v>2</v>
      </c>
      <c r="Q113" s="22">
        <v>1</v>
      </c>
      <c r="R113" s="9">
        <v>1</v>
      </c>
      <c r="S113" s="1">
        <v>90</v>
      </c>
      <c r="U113" s="1">
        <f>90-Datos_General[[#This Row],[Minutos Jugados]]</f>
        <v>0</v>
      </c>
      <c r="V113" s="1">
        <v>0</v>
      </c>
      <c r="W113" s="1">
        <v>0</v>
      </c>
      <c r="X113" s="1">
        <v>4</v>
      </c>
      <c r="Y113" s="10">
        <f>+IF(Datos_General[[#This Row],[Resultado]]="Victoria", "3", IF(Datos_General[[#This Row],[Resultado]]="Empate","1",0))</f>
        <v>0</v>
      </c>
      <c r="Z113" s="11">
        <f>+Datos_General[[#This Row],[Minutos Jugados]]*Datos_General[[#This Row],[Puntos Jug_Campo]]</f>
        <v>0</v>
      </c>
      <c r="AA11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3" s="10" t="str">
        <f>+IF(Datos_General[[#This Row],[Resultado Jug_Campo]] = "Empate", "1",IF(Datos_General[[#This Row],[Resultado Jug_Campo]] = "Victoria", "3","0"))</f>
        <v>0</v>
      </c>
    </row>
    <row r="114" spans="1:28">
      <c r="A114" s="1">
        <v>8</v>
      </c>
      <c r="B114" s="6">
        <v>45970</v>
      </c>
      <c r="C114" s="1" t="s">
        <v>133</v>
      </c>
      <c r="D114" s="1" t="s">
        <v>128</v>
      </c>
      <c r="E114" s="10" t="str">
        <f>+CONCATENATE(Datos_General[[#This Row],[Eq.Local]], "-", Datos_General[[#This Row],[Eq.Visitante]])</f>
        <v>Conxo Santiago B-S.D. Compostela B</v>
      </c>
      <c r="F114" s="1" t="s">
        <v>157</v>
      </c>
      <c r="G114" s="1" t="s">
        <v>57</v>
      </c>
      <c r="H114" s="1" t="s">
        <v>43</v>
      </c>
      <c r="I114" s="9">
        <v>0</v>
      </c>
      <c r="J114" s="9">
        <v>4</v>
      </c>
      <c r="K114" s="10" t="str">
        <f>+CONCATENATE(Datos_General[[#This Row],[Goles a Favor_Eq_local]],"-",Datos_General[[#This Row],[Gol a Favor_Eq_Visitante]])</f>
        <v>0-4</v>
      </c>
      <c r="L114" s="1" t="s">
        <v>133</v>
      </c>
      <c r="M114" s="1">
        <v>2</v>
      </c>
      <c r="N114" s="1" t="s">
        <v>138</v>
      </c>
      <c r="O114" s="1">
        <v>1</v>
      </c>
      <c r="P114" s="1" t="s">
        <v>2</v>
      </c>
      <c r="Q114" s="7">
        <v>1</v>
      </c>
      <c r="R114" s="9">
        <v>1</v>
      </c>
      <c r="S114" s="1">
        <v>90</v>
      </c>
      <c r="U114" s="1">
        <f>90-Datos_General[[#This Row],[Minutos Jugados]]</f>
        <v>0</v>
      </c>
      <c r="V114" s="1">
        <v>0</v>
      </c>
      <c r="W114" s="1">
        <v>0</v>
      </c>
      <c r="X114" s="1">
        <v>4</v>
      </c>
      <c r="Y114" s="10">
        <f>+IF(Datos_General[[#This Row],[Resultado]]="Victoria", "3", IF(Datos_General[[#This Row],[Resultado]]="Empate","1",0))</f>
        <v>0</v>
      </c>
      <c r="Z114" s="11">
        <f>+Datos_General[[#This Row],[Minutos Jugados]]*Datos_General[[#This Row],[Puntos Jug_Campo]]</f>
        <v>0</v>
      </c>
      <c r="AA11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4" s="10" t="str">
        <f>+IF(Datos_General[[#This Row],[Resultado Jug_Campo]] = "Empate", "1",IF(Datos_General[[#This Row],[Resultado Jug_Campo]] = "Victoria", "3","0"))</f>
        <v>0</v>
      </c>
    </row>
    <row r="115" spans="1:28">
      <c r="A115" s="1">
        <v>8</v>
      </c>
      <c r="B115" s="6">
        <v>45970</v>
      </c>
      <c r="C115" s="1" t="s">
        <v>133</v>
      </c>
      <c r="D115" s="1" t="s">
        <v>128</v>
      </c>
      <c r="E115" s="10" t="str">
        <f>+CONCATENATE(Datos_General[[#This Row],[Eq.Local]], "-", Datos_General[[#This Row],[Eq.Visitante]])</f>
        <v>Conxo Santiago B-S.D. Compostela B</v>
      </c>
      <c r="F115" s="1" t="s">
        <v>157</v>
      </c>
      <c r="G115" s="1" t="s">
        <v>57</v>
      </c>
      <c r="H115" s="1" t="s">
        <v>43</v>
      </c>
      <c r="I115" s="9">
        <v>0</v>
      </c>
      <c r="J115" s="9">
        <v>4</v>
      </c>
      <c r="K115" s="10" t="str">
        <f>+CONCATENATE(Datos_General[[#This Row],[Goles a Favor_Eq_local]],"-",Datos_General[[#This Row],[Gol a Favor_Eq_Visitante]])</f>
        <v>0-4</v>
      </c>
      <c r="L115" s="1" t="s">
        <v>133</v>
      </c>
      <c r="M115" s="1">
        <v>3</v>
      </c>
      <c r="N115" s="1" t="s">
        <v>144</v>
      </c>
      <c r="O115" s="1">
        <v>1</v>
      </c>
      <c r="P115" s="1" t="s">
        <v>2</v>
      </c>
      <c r="Q115" s="7">
        <v>1</v>
      </c>
      <c r="R115" s="9">
        <v>1</v>
      </c>
      <c r="S115" s="1">
        <v>90</v>
      </c>
      <c r="U115" s="1">
        <f>90-Datos_General[[#This Row],[Minutos Jugados]]</f>
        <v>0</v>
      </c>
      <c r="V115" s="1">
        <v>0</v>
      </c>
      <c r="W115" s="1">
        <v>0</v>
      </c>
      <c r="X115" s="1">
        <v>4</v>
      </c>
      <c r="Y115" s="10">
        <f>+IF(Datos_General[[#This Row],[Resultado]]="Victoria", "3", IF(Datos_General[[#This Row],[Resultado]]="Empate","1",0))</f>
        <v>0</v>
      </c>
      <c r="Z115" s="11">
        <f>+Datos_General[[#This Row],[Minutos Jugados]]*Datos_General[[#This Row],[Puntos Jug_Campo]]</f>
        <v>0</v>
      </c>
      <c r="AA11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5" s="10" t="str">
        <f>+IF(Datos_General[[#This Row],[Resultado Jug_Campo]] = "Empate", "1",IF(Datos_General[[#This Row],[Resultado Jug_Campo]] = "Victoria", "3","0"))</f>
        <v>0</v>
      </c>
    </row>
    <row r="116" spans="1:28">
      <c r="A116" s="1">
        <v>8</v>
      </c>
      <c r="B116" s="6">
        <v>45970</v>
      </c>
      <c r="C116" s="1" t="s">
        <v>133</v>
      </c>
      <c r="D116" s="1" t="s">
        <v>128</v>
      </c>
      <c r="E116" s="10" t="str">
        <f>+CONCATENATE(Datos_General[[#This Row],[Eq.Local]], "-", Datos_General[[#This Row],[Eq.Visitante]])</f>
        <v>Conxo Santiago B-S.D. Compostela B</v>
      </c>
      <c r="F116" s="1" t="s">
        <v>157</v>
      </c>
      <c r="G116" s="1" t="s">
        <v>57</v>
      </c>
      <c r="H116" s="1" t="s">
        <v>43</v>
      </c>
      <c r="I116" s="9">
        <v>0</v>
      </c>
      <c r="J116" s="9">
        <v>4</v>
      </c>
      <c r="K116" s="10" t="str">
        <f>+CONCATENATE(Datos_General[[#This Row],[Goles a Favor_Eq_local]],"-",Datos_General[[#This Row],[Gol a Favor_Eq_Visitante]])</f>
        <v>0-4</v>
      </c>
      <c r="L116" s="1" t="s">
        <v>133</v>
      </c>
      <c r="M116" s="1">
        <v>4</v>
      </c>
      <c r="N116" s="1" t="s">
        <v>140</v>
      </c>
      <c r="O116" s="1">
        <v>1</v>
      </c>
      <c r="P116" s="1" t="s">
        <v>2</v>
      </c>
      <c r="Q116" s="7">
        <v>1</v>
      </c>
      <c r="R116" s="9">
        <v>1</v>
      </c>
      <c r="S116" s="1">
        <v>90</v>
      </c>
      <c r="U116" s="1">
        <f>90-Datos_General[[#This Row],[Minutos Jugados]]</f>
        <v>0</v>
      </c>
      <c r="V116" s="1">
        <v>0</v>
      </c>
      <c r="W116" s="1">
        <v>0</v>
      </c>
      <c r="X116" s="1">
        <v>4</v>
      </c>
      <c r="Y116" s="10">
        <f>+IF(Datos_General[[#This Row],[Resultado]]="Victoria", "3", IF(Datos_General[[#This Row],[Resultado]]="Empate","1",0))</f>
        <v>0</v>
      </c>
      <c r="Z116" s="11">
        <f>+Datos_General[[#This Row],[Minutos Jugados]]*Datos_General[[#This Row],[Puntos Jug_Campo]]</f>
        <v>0</v>
      </c>
      <c r="AA11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6" s="10" t="str">
        <f>+IF(Datos_General[[#This Row],[Resultado Jug_Campo]] = "Empate", "1",IF(Datos_General[[#This Row],[Resultado Jug_Campo]] = "Victoria", "3","0"))</f>
        <v>0</v>
      </c>
    </row>
    <row r="117" spans="1:28">
      <c r="A117" s="1">
        <v>8</v>
      </c>
      <c r="B117" s="6">
        <v>45970</v>
      </c>
      <c r="C117" s="1" t="s">
        <v>133</v>
      </c>
      <c r="D117" s="1" t="s">
        <v>128</v>
      </c>
      <c r="E117" s="10" t="str">
        <f>+CONCATENATE(Datos_General[[#This Row],[Eq.Local]], "-", Datos_General[[#This Row],[Eq.Visitante]])</f>
        <v>Conxo Santiago B-S.D. Compostela B</v>
      </c>
      <c r="F117" s="1" t="s">
        <v>157</v>
      </c>
      <c r="G117" s="1" t="s">
        <v>57</v>
      </c>
      <c r="H117" s="1" t="s">
        <v>43</v>
      </c>
      <c r="I117" s="9">
        <v>0</v>
      </c>
      <c r="J117" s="9">
        <v>4</v>
      </c>
      <c r="K117" s="10" t="str">
        <f>+CONCATENATE(Datos_General[[#This Row],[Goles a Favor_Eq_local]],"-",Datos_General[[#This Row],[Gol a Favor_Eq_Visitante]])</f>
        <v>0-4</v>
      </c>
      <c r="L117" s="1" t="s">
        <v>133</v>
      </c>
      <c r="M117" s="1">
        <v>5</v>
      </c>
      <c r="N117" s="1" t="s">
        <v>162</v>
      </c>
      <c r="O117" s="1">
        <v>1</v>
      </c>
      <c r="P117" s="1" t="s">
        <v>2</v>
      </c>
      <c r="Q117" s="7">
        <v>1</v>
      </c>
      <c r="R117" s="9">
        <v>1</v>
      </c>
      <c r="S117" s="1">
        <v>90</v>
      </c>
      <c r="U117" s="1">
        <f>90-Datos_General[[#This Row],[Minutos Jugados]]</f>
        <v>0</v>
      </c>
      <c r="V117" s="1">
        <v>0</v>
      </c>
      <c r="W117" s="1">
        <v>0</v>
      </c>
      <c r="X117" s="1">
        <v>4</v>
      </c>
      <c r="Y117" s="10">
        <f>+IF(Datos_General[[#This Row],[Resultado]]="Victoria", "3", IF(Datos_General[[#This Row],[Resultado]]="Empate","1",0))</f>
        <v>0</v>
      </c>
      <c r="Z117" s="11">
        <f>+Datos_General[[#This Row],[Minutos Jugados]]*Datos_General[[#This Row],[Puntos Jug_Campo]]</f>
        <v>0</v>
      </c>
      <c r="AA11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7" s="10" t="str">
        <f>+IF(Datos_General[[#This Row],[Resultado Jug_Campo]] = "Empate", "1",IF(Datos_General[[#This Row],[Resultado Jug_Campo]] = "Victoria", "3","0"))</f>
        <v>0</v>
      </c>
    </row>
    <row r="118" spans="1:28">
      <c r="A118" s="1">
        <v>8</v>
      </c>
      <c r="B118" s="6">
        <v>45970</v>
      </c>
      <c r="C118" s="1" t="s">
        <v>133</v>
      </c>
      <c r="D118" s="1" t="s">
        <v>128</v>
      </c>
      <c r="E118" s="10" t="str">
        <f>+CONCATENATE(Datos_General[[#This Row],[Eq.Local]], "-", Datos_General[[#This Row],[Eq.Visitante]])</f>
        <v>Conxo Santiago B-S.D. Compostela B</v>
      </c>
      <c r="F118" s="1" t="s">
        <v>157</v>
      </c>
      <c r="G118" s="1" t="s">
        <v>57</v>
      </c>
      <c r="H118" s="1" t="s">
        <v>43</v>
      </c>
      <c r="I118" s="9">
        <v>0</v>
      </c>
      <c r="J118" s="9">
        <v>4</v>
      </c>
      <c r="K118" s="10" t="str">
        <f>+CONCATENATE(Datos_General[[#This Row],[Goles a Favor_Eq_local]],"-",Datos_General[[#This Row],[Gol a Favor_Eq_Visitante]])</f>
        <v>0-4</v>
      </c>
      <c r="L118" s="1" t="s">
        <v>133</v>
      </c>
      <c r="M118" s="1">
        <v>6</v>
      </c>
      <c r="N118" s="1" t="s">
        <v>142</v>
      </c>
      <c r="O118" s="1">
        <v>1</v>
      </c>
      <c r="P118" s="1" t="s">
        <v>2</v>
      </c>
      <c r="Q118" s="7">
        <v>1</v>
      </c>
      <c r="R118" s="9">
        <v>1</v>
      </c>
      <c r="S118" s="1">
        <v>90</v>
      </c>
      <c r="U118" s="1">
        <f>90-Datos_General[[#This Row],[Minutos Jugados]]</f>
        <v>0</v>
      </c>
      <c r="V118" s="1">
        <v>0</v>
      </c>
      <c r="W118" s="1">
        <v>0</v>
      </c>
      <c r="X118" s="1">
        <v>4</v>
      </c>
      <c r="Y118" s="10">
        <f>+IF(Datos_General[[#This Row],[Resultado]]="Victoria", "3", IF(Datos_General[[#This Row],[Resultado]]="Empate","1",0))</f>
        <v>0</v>
      </c>
      <c r="Z118" s="11">
        <f>+Datos_General[[#This Row],[Minutos Jugados]]*Datos_General[[#This Row],[Puntos Jug_Campo]]</f>
        <v>0</v>
      </c>
      <c r="AA11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8" s="10" t="str">
        <f>+IF(Datos_General[[#This Row],[Resultado Jug_Campo]] = "Empate", "1",IF(Datos_General[[#This Row],[Resultado Jug_Campo]] = "Victoria", "3","0"))</f>
        <v>0</v>
      </c>
    </row>
    <row r="119" spans="1:28">
      <c r="A119" s="1">
        <v>8</v>
      </c>
      <c r="B119" s="6">
        <v>45970</v>
      </c>
      <c r="C119" s="1" t="s">
        <v>133</v>
      </c>
      <c r="D119" s="1" t="s">
        <v>128</v>
      </c>
      <c r="E119" s="10" t="str">
        <f>+CONCATENATE(Datos_General[[#This Row],[Eq.Local]], "-", Datos_General[[#This Row],[Eq.Visitante]])</f>
        <v>Conxo Santiago B-S.D. Compostela B</v>
      </c>
      <c r="F119" s="1" t="s">
        <v>157</v>
      </c>
      <c r="G119" s="1" t="s">
        <v>57</v>
      </c>
      <c r="H119" s="1" t="s">
        <v>43</v>
      </c>
      <c r="I119" s="9">
        <v>0</v>
      </c>
      <c r="J119" s="9">
        <v>4</v>
      </c>
      <c r="K119" s="10" t="str">
        <f>+CONCATENATE(Datos_General[[#This Row],[Goles a Favor_Eq_local]],"-",Datos_General[[#This Row],[Gol a Favor_Eq_Visitante]])</f>
        <v>0-4</v>
      </c>
      <c r="L119" s="1" t="s">
        <v>133</v>
      </c>
      <c r="M119" s="1">
        <v>7</v>
      </c>
      <c r="N119" s="1" t="s">
        <v>143</v>
      </c>
      <c r="O119" s="1">
        <v>1</v>
      </c>
      <c r="P119" s="1" t="s">
        <v>2</v>
      </c>
      <c r="Q119" s="7">
        <v>1</v>
      </c>
      <c r="R119" s="9">
        <v>1</v>
      </c>
      <c r="S119" s="1">
        <v>57</v>
      </c>
      <c r="T119" s="1" t="s">
        <v>151</v>
      </c>
      <c r="U119" s="1">
        <f>90-Datos_General[[#This Row],[Minutos Jugados]]</f>
        <v>33</v>
      </c>
      <c r="V119" s="1">
        <v>0</v>
      </c>
      <c r="W119" s="1">
        <v>0</v>
      </c>
      <c r="X119" s="1">
        <v>1</v>
      </c>
      <c r="Y119" s="10">
        <f>+IF(Datos_General[[#This Row],[Resultado]]="Victoria", "3", IF(Datos_General[[#This Row],[Resultado]]="Empate","1",0))</f>
        <v>0</v>
      </c>
      <c r="Z119" s="11">
        <f>+Datos_General[[#This Row],[Minutos Jugados]]*Datos_General[[#This Row],[Puntos Jug_Campo]]</f>
        <v>0</v>
      </c>
      <c r="AA11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19" s="10" t="str">
        <f>+IF(Datos_General[[#This Row],[Resultado Jug_Campo]] = "Empate", "1",IF(Datos_General[[#This Row],[Resultado Jug_Campo]] = "Victoria", "3","0"))</f>
        <v>0</v>
      </c>
    </row>
    <row r="120" spans="1:28">
      <c r="A120" s="1">
        <v>8</v>
      </c>
      <c r="B120" s="6">
        <v>45970</v>
      </c>
      <c r="C120" s="1" t="s">
        <v>133</v>
      </c>
      <c r="D120" s="1" t="s">
        <v>128</v>
      </c>
      <c r="E120" s="10" t="str">
        <f>+CONCATENATE(Datos_General[[#This Row],[Eq.Local]], "-", Datos_General[[#This Row],[Eq.Visitante]])</f>
        <v>Conxo Santiago B-S.D. Compostela B</v>
      </c>
      <c r="F120" s="1" t="s">
        <v>157</v>
      </c>
      <c r="G120" s="1" t="s">
        <v>57</v>
      </c>
      <c r="H120" s="1" t="s">
        <v>43</v>
      </c>
      <c r="I120" s="9">
        <v>0</v>
      </c>
      <c r="J120" s="9">
        <v>4</v>
      </c>
      <c r="K120" s="10" t="str">
        <f>+CONCATENATE(Datos_General[[#This Row],[Goles a Favor_Eq_local]],"-",Datos_General[[#This Row],[Gol a Favor_Eq_Visitante]])</f>
        <v>0-4</v>
      </c>
      <c r="L120" s="1" t="s">
        <v>133</v>
      </c>
      <c r="M120" s="1">
        <v>8</v>
      </c>
      <c r="N120" s="1" t="s">
        <v>146</v>
      </c>
      <c r="O120" s="1">
        <v>1</v>
      </c>
      <c r="P120" s="1" t="s">
        <v>2</v>
      </c>
      <c r="Q120" s="7">
        <v>1</v>
      </c>
      <c r="R120" s="9">
        <v>1</v>
      </c>
      <c r="S120" s="1">
        <v>90</v>
      </c>
      <c r="U120" s="1">
        <f>90-Datos_General[[#This Row],[Minutos Jugados]]</f>
        <v>0</v>
      </c>
      <c r="V120" s="1">
        <v>0</v>
      </c>
      <c r="W120" s="1">
        <v>0</v>
      </c>
      <c r="X120" s="1">
        <v>4</v>
      </c>
      <c r="Y120" s="10">
        <f>+IF(Datos_General[[#This Row],[Resultado]]="Victoria", "3", IF(Datos_General[[#This Row],[Resultado]]="Empate","1",0))</f>
        <v>0</v>
      </c>
      <c r="Z120" s="11">
        <f>+Datos_General[[#This Row],[Minutos Jugados]]*Datos_General[[#This Row],[Puntos Jug_Campo]]</f>
        <v>0</v>
      </c>
      <c r="AA12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0" s="10" t="str">
        <f>+IF(Datos_General[[#This Row],[Resultado Jug_Campo]] = "Empate", "1",IF(Datos_General[[#This Row],[Resultado Jug_Campo]] = "Victoria", "3","0"))</f>
        <v>0</v>
      </c>
    </row>
    <row r="121" spans="1:28">
      <c r="A121" s="1">
        <v>8</v>
      </c>
      <c r="B121" s="6">
        <v>45970</v>
      </c>
      <c r="C121" s="1" t="s">
        <v>133</v>
      </c>
      <c r="D121" s="1" t="s">
        <v>128</v>
      </c>
      <c r="E121" s="10" t="str">
        <f>+CONCATENATE(Datos_General[[#This Row],[Eq.Local]], "-", Datos_General[[#This Row],[Eq.Visitante]])</f>
        <v>Conxo Santiago B-S.D. Compostela B</v>
      </c>
      <c r="F121" s="1" t="s">
        <v>157</v>
      </c>
      <c r="G121" s="1" t="s">
        <v>57</v>
      </c>
      <c r="H121" s="1" t="s">
        <v>43</v>
      </c>
      <c r="I121" s="9">
        <v>0</v>
      </c>
      <c r="J121" s="9">
        <v>4</v>
      </c>
      <c r="K121" s="10" t="str">
        <f>+CONCATENATE(Datos_General[[#This Row],[Goles a Favor_Eq_local]],"-",Datos_General[[#This Row],[Gol a Favor_Eq_Visitante]])</f>
        <v>0-4</v>
      </c>
      <c r="L121" s="1" t="s">
        <v>133</v>
      </c>
      <c r="M121" s="1">
        <v>9</v>
      </c>
      <c r="N121" s="1" t="s">
        <v>145</v>
      </c>
      <c r="O121" s="1">
        <v>1</v>
      </c>
      <c r="P121" s="1" t="s">
        <v>2</v>
      </c>
      <c r="Q121" s="7">
        <v>1</v>
      </c>
      <c r="R121" s="9">
        <v>1</v>
      </c>
      <c r="S121" s="1">
        <v>65</v>
      </c>
      <c r="T121" s="1" t="s">
        <v>163</v>
      </c>
      <c r="U121" s="1">
        <f>90-Datos_General[[#This Row],[Minutos Jugados]]</f>
        <v>25</v>
      </c>
      <c r="V121" s="1">
        <v>0</v>
      </c>
      <c r="W121" s="1">
        <v>0</v>
      </c>
      <c r="X121" s="1">
        <v>2</v>
      </c>
      <c r="Y121" s="10">
        <f>+IF(Datos_General[[#This Row],[Resultado]]="Victoria", "3", IF(Datos_General[[#This Row],[Resultado]]="Empate","1",0))</f>
        <v>0</v>
      </c>
      <c r="Z121" s="11">
        <f>+Datos_General[[#This Row],[Minutos Jugados]]*Datos_General[[#This Row],[Puntos Jug_Campo]]</f>
        <v>0</v>
      </c>
      <c r="AA12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1" s="10" t="str">
        <f>+IF(Datos_General[[#This Row],[Resultado Jug_Campo]] = "Empate", "1",IF(Datos_General[[#This Row],[Resultado Jug_Campo]] = "Victoria", "3","0"))</f>
        <v>0</v>
      </c>
    </row>
    <row r="122" spans="1:28">
      <c r="A122" s="1">
        <v>8</v>
      </c>
      <c r="B122" s="6">
        <v>45970</v>
      </c>
      <c r="C122" s="1" t="s">
        <v>133</v>
      </c>
      <c r="D122" s="1" t="s">
        <v>128</v>
      </c>
      <c r="E122" s="10" t="str">
        <f>+CONCATENATE(Datos_General[[#This Row],[Eq.Local]], "-", Datos_General[[#This Row],[Eq.Visitante]])</f>
        <v>Conxo Santiago B-S.D. Compostela B</v>
      </c>
      <c r="F122" s="1" t="s">
        <v>157</v>
      </c>
      <c r="G122" s="1" t="s">
        <v>57</v>
      </c>
      <c r="H122" s="1" t="s">
        <v>43</v>
      </c>
      <c r="I122" s="9">
        <v>0</v>
      </c>
      <c r="J122" s="9">
        <v>4</v>
      </c>
      <c r="K122" s="10" t="str">
        <f>+CONCATENATE(Datos_General[[#This Row],[Goles a Favor_Eq_local]],"-",Datos_General[[#This Row],[Gol a Favor_Eq_Visitante]])</f>
        <v>0-4</v>
      </c>
      <c r="L122" s="1" t="s">
        <v>133</v>
      </c>
      <c r="M122" s="1">
        <v>10</v>
      </c>
      <c r="N122" s="1" t="s">
        <v>156</v>
      </c>
      <c r="O122" s="1">
        <v>1</v>
      </c>
      <c r="P122" s="1" t="s">
        <v>2</v>
      </c>
      <c r="Q122" s="7">
        <v>1</v>
      </c>
      <c r="R122" s="9">
        <v>1</v>
      </c>
      <c r="S122" s="1">
        <v>57</v>
      </c>
      <c r="T122" s="1" t="s">
        <v>152</v>
      </c>
      <c r="U122" s="1">
        <f>90-Datos_General[[#This Row],[Minutos Jugados]]</f>
        <v>33</v>
      </c>
      <c r="V122" s="1">
        <v>0</v>
      </c>
      <c r="W122" s="1">
        <v>0</v>
      </c>
      <c r="X122" s="1">
        <v>1</v>
      </c>
      <c r="Y122" s="10">
        <f>+IF(Datos_General[[#This Row],[Resultado]]="Victoria", "3", IF(Datos_General[[#This Row],[Resultado]]="Empate","1",0))</f>
        <v>0</v>
      </c>
      <c r="Z122" s="11">
        <f>+Datos_General[[#This Row],[Minutos Jugados]]*Datos_General[[#This Row],[Puntos Jug_Campo]]</f>
        <v>0</v>
      </c>
      <c r="AA12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2" s="10" t="str">
        <f>+IF(Datos_General[[#This Row],[Resultado Jug_Campo]] = "Empate", "1",IF(Datos_General[[#This Row],[Resultado Jug_Campo]] = "Victoria", "3","0"))</f>
        <v>0</v>
      </c>
    </row>
    <row r="123" spans="1:28">
      <c r="A123" s="1">
        <v>8</v>
      </c>
      <c r="B123" s="6">
        <v>45970</v>
      </c>
      <c r="C123" s="1" t="s">
        <v>133</v>
      </c>
      <c r="D123" s="1" t="s">
        <v>128</v>
      </c>
      <c r="E123" s="10" t="str">
        <f>+CONCATENATE(Datos_General[[#This Row],[Eq.Local]], "-", Datos_General[[#This Row],[Eq.Visitante]])</f>
        <v>Conxo Santiago B-S.D. Compostela B</v>
      </c>
      <c r="F123" s="1" t="s">
        <v>157</v>
      </c>
      <c r="G123" s="1" t="s">
        <v>57</v>
      </c>
      <c r="H123" s="1" t="s">
        <v>43</v>
      </c>
      <c r="I123" s="9">
        <v>0</v>
      </c>
      <c r="J123" s="9">
        <v>4</v>
      </c>
      <c r="K123" s="10" t="str">
        <f>+CONCATENATE(Datos_General[[#This Row],[Goles a Favor_Eq_local]],"-",Datos_General[[#This Row],[Gol a Favor_Eq_Visitante]])</f>
        <v>0-4</v>
      </c>
      <c r="L123" s="1" t="s">
        <v>133</v>
      </c>
      <c r="M123" s="1">
        <v>11</v>
      </c>
      <c r="N123" s="1" t="s">
        <v>147</v>
      </c>
      <c r="O123" s="1">
        <v>1</v>
      </c>
      <c r="P123" s="1" t="s">
        <v>2</v>
      </c>
      <c r="Q123" s="7">
        <v>1</v>
      </c>
      <c r="R123" s="9">
        <v>1</v>
      </c>
      <c r="S123" s="1">
        <v>65</v>
      </c>
      <c r="T123" s="1" t="s">
        <v>165</v>
      </c>
      <c r="U123" s="1">
        <f>90-Datos_General[[#This Row],[Minutos Jugados]]</f>
        <v>25</v>
      </c>
      <c r="V123" s="1">
        <v>0</v>
      </c>
      <c r="W123" s="1">
        <v>0</v>
      </c>
      <c r="X123" s="1">
        <v>2</v>
      </c>
      <c r="Y123" s="10">
        <f>+IF(Datos_General[[#This Row],[Resultado]]="Victoria", "3", IF(Datos_General[[#This Row],[Resultado]]="Empate","1",0))</f>
        <v>0</v>
      </c>
      <c r="Z123" s="11">
        <f>+Datos_General[[#This Row],[Minutos Jugados]]*Datos_General[[#This Row],[Puntos Jug_Campo]]</f>
        <v>0</v>
      </c>
      <c r="AA12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3" s="10" t="str">
        <f>+IF(Datos_General[[#This Row],[Resultado Jug_Campo]] = "Empate", "1",IF(Datos_General[[#This Row],[Resultado Jug_Campo]] = "Victoria", "3","0"))</f>
        <v>0</v>
      </c>
    </row>
    <row r="124" spans="1:28">
      <c r="A124" s="1">
        <v>8</v>
      </c>
      <c r="B124" s="6">
        <v>45970</v>
      </c>
      <c r="C124" s="1" t="s">
        <v>133</v>
      </c>
      <c r="D124" s="1" t="s">
        <v>128</v>
      </c>
      <c r="E124" s="10" t="str">
        <f>+CONCATENATE(Datos_General[[#This Row],[Eq.Local]], "-", Datos_General[[#This Row],[Eq.Visitante]])</f>
        <v>Conxo Santiago B-S.D. Compostela B</v>
      </c>
      <c r="F124" s="1" t="s">
        <v>157</v>
      </c>
      <c r="G124" s="1" t="s">
        <v>57</v>
      </c>
      <c r="H124" s="1" t="s">
        <v>43</v>
      </c>
      <c r="I124" s="9">
        <v>0</v>
      </c>
      <c r="J124" s="9">
        <v>4</v>
      </c>
      <c r="K124" s="10" t="str">
        <f>+CONCATENATE(Datos_General[[#This Row],[Goles a Favor_Eq_local]],"-",Datos_General[[#This Row],[Gol a Favor_Eq_Visitante]])</f>
        <v>0-4</v>
      </c>
      <c r="L124" s="1" t="s">
        <v>133</v>
      </c>
      <c r="M124" s="1">
        <v>13</v>
      </c>
      <c r="N124" s="1" t="s">
        <v>148</v>
      </c>
      <c r="O124" s="1">
        <v>1</v>
      </c>
      <c r="P124" s="1" t="s">
        <v>70</v>
      </c>
      <c r="Q124" s="7">
        <f>+IF(Datos_General[[#This Row],[Minutos Jugados]]&gt;0, 1, 0)</f>
        <v>0</v>
      </c>
      <c r="R124" s="23">
        <v>0</v>
      </c>
      <c r="S124" s="8">
        <v>0</v>
      </c>
      <c r="U124" s="1">
        <f>90-Datos_General[[#This Row],[Minutos Jugados]]</f>
        <v>90</v>
      </c>
      <c r="V124" s="1">
        <v>0</v>
      </c>
      <c r="W124" s="1">
        <v>0</v>
      </c>
      <c r="X124" s="1">
        <v>0</v>
      </c>
      <c r="Y124" s="10">
        <f>+IF(Datos_General[[#This Row],[Resultado]]="Victoria", "3", IF(Datos_General[[#This Row],[Resultado]]="Empate","1",0))</f>
        <v>0</v>
      </c>
      <c r="Z124" s="11">
        <f>+Datos_General[[#This Row],[Minutos Jugados]]*Datos_General[[#This Row],[Puntos Jug_Campo]]</f>
        <v>0</v>
      </c>
      <c r="AA12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124" s="10" t="str">
        <f>+IF(Datos_General[[#This Row],[Resultado Jug_Campo]] = "Empate", "1",IF(Datos_General[[#This Row],[Resultado Jug_Campo]] = "Victoria", "3","0"))</f>
        <v>0</v>
      </c>
    </row>
    <row r="125" spans="1:28">
      <c r="A125" s="1">
        <v>8</v>
      </c>
      <c r="B125" s="6">
        <v>45970</v>
      </c>
      <c r="C125" s="1" t="s">
        <v>133</v>
      </c>
      <c r="D125" s="1" t="s">
        <v>128</v>
      </c>
      <c r="E125" s="10" t="str">
        <f>+CONCATENATE(Datos_General[[#This Row],[Eq.Local]], "-", Datos_General[[#This Row],[Eq.Visitante]])</f>
        <v>Conxo Santiago B-S.D. Compostela B</v>
      </c>
      <c r="F125" s="1" t="s">
        <v>157</v>
      </c>
      <c r="G125" s="1" t="s">
        <v>57</v>
      </c>
      <c r="H125" s="1" t="s">
        <v>43</v>
      </c>
      <c r="I125" s="9">
        <v>0</v>
      </c>
      <c r="J125" s="9">
        <v>4</v>
      </c>
      <c r="K125" s="10" t="str">
        <f>+CONCATENATE(Datos_General[[#This Row],[Goles a Favor_Eq_local]],"-",Datos_General[[#This Row],[Gol a Favor_Eq_Visitante]])</f>
        <v>0-4</v>
      </c>
      <c r="L125" s="1" t="s">
        <v>133</v>
      </c>
      <c r="M125" s="1">
        <v>12</v>
      </c>
      <c r="N125" s="1" t="s">
        <v>151</v>
      </c>
      <c r="O125" s="1">
        <v>1</v>
      </c>
      <c r="P125" s="1" t="s">
        <v>70</v>
      </c>
      <c r="Q125" s="7">
        <f>+IF(Datos_General[[#This Row],[Minutos Jugados]]&gt;0, 1, 0)</f>
        <v>1</v>
      </c>
      <c r="R125" s="23">
        <v>0</v>
      </c>
      <c r="S125" s="8">
        <v>33</v>
      </c>
      <c r="U125" s="1">
        <f>90-Datos_General[[#This Row],[Minutos Jugados]]</f>
        <v>57</v>
      </c>
      <c r="V125" s="1">
        <v>0</v>
      </c>
      <c r="W125" s="1">
        <v>0</v>
      </c>
      <c r="X125" s="1">
        <v>3</v>
      </c>
      <c r="Y125" s="10">
        <f>+IF(Datos_General[[#This Row],[Resultado]]="Victoria", "3", IF(Datos_General[[#This Row],[Resultado]]="Empate","1",0))</f>
        <v>0</v>
      </c>
      <c r="Z125" s="11">
        <f>+Datos_General[[#This Row],[Minutos Jugados]]*Datos_General[[#This Row],[Puntos Jug_Campo]]</f>
        <v>0</v>
      </c>
      <c r="AA12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5" s="10" t="str">
        <f>+IF(Datos_General[[#This Row],[Resultado Jug_Campo]] = "Empate", "1",IF(Datos_General[[#This Row],[Resultado Jug_Campo]] = "Victoria", "3","0"))</f>
        <v>0</v>
      </c>
    </row>
    <row r="126" spans="1:28">
      <c r="A126" s="1">
        <v>8</v>
      </c>
      <c r="B126" s="6">
        <v>45970</v>
      </c>
      <c r="C126" s="1" t="s">
        <v>133</v>
      </c>
      <c r="D126" s="1" t="s">
        <v>128</v>
      </c>
      <c r="E126" s="10" t="str">
        <f>+CONCATENATE(Datos_General[[#This Row],[Eq.Local]], "-", Datos_General[[#This Row],[Eq.Visitante]])</f>
        <v>Conxo Santiago B-S.D. Compostela B</v>
      </c>
      <c r="F126" s="1" t="s">
        <v>157</v>
      </c>
      <c r="G126" s="1" t="s">
        <v>57</v>
      </c>
      <c r="H126" s="1" t="s">
        <v>43</v>
      </c>
      <c r="I126" s="9">
        <v>0</v>
      </c>
      <c r="J126" s="9">
        <v>4</v>
      </c>
      <c r="K126" s="10" t="str">
        <f>+CONCATENATE(Datos_General[[#This Row],[Goles a Favor_Eq_local]],"-",Datos_General[[#This Row],[Gol a Favor_Eq_Visitante]])</f>
        <v>0-4</v>
      </c>
      <c r="L126" s="1" t="s">
        <v>133</v>
      </c>
      <c r="M126" s="1">
        <v>14</v>
      </c>
      <c r="N126" s="1" t="s">
        <v>152</v>
      </c>
      <c r="O126" s="1">
        <v>1</v>
      </c>
      <c r="P126" s="1" t="s">
        <v>70</v>
      </c>
      <c r="Q126" s="7">
        <f>+IF(Datos_General[[#This Row],[Minutos Jugados]]&gt;0, 1, 0)</f>
        <v>1</v>
      </c>
      <c r="R126" s="23">
        <v>0</v>
      </c>
      <c r="S126" s="8">
        <v>33</v>
      </c>
      <c r="U126" s="1">
        <f>90-Datos_General[[#This Row],[Minutos Jugados]]</f>
        <v>57</v>
      </c>
      <c r="V126" s="1">
        <v>0</v>
      </c>
      <c r="W126" s="1">
        <v>0</v>
      </c>
      <c r="X126" s="1">
        <v>3</v>
      </c>
      <c r="Y126" s="10">
        <f>+IF(Datos_General[[#This Row],[Resultado]]="Victoria", "3", IF(Datos_General[[#This Row],[Resultado]]="Empate","1",0))</f>
        <v>0</v>
      </c>
      <c r="Z126" s="11">
        <f>+Datos_General[[#This Row],[Minutos Jugados]]*Datos_General[[#This Row],[Puntos Jug_Campo]]</f>
        <v>0</v>
      </c>
      <c r="AA12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6" s="10" t="str">
        <f>+IF(Datos_General[[#This Row],[Resultado Jug_Campo]] = "Empate", "1",IF(Datos_General[[#This Row],[Resultado Jug_Campo]] = "Victoria", "3","0"))</f>
        <v>0</v>
      </c>
    </row>
    <row r="127" spans="1:28">
      <c r="A127" s="1">
        <v>8</v>
      </c>
      <c r="B127" s="6">
        <v>45970</v>
      </c>
      <c r="C127" s="1" t="s">
        <v>133</v>
      </c>
      <c r="D127" s="1" t="s">
        <v>128</v>
      </c>
      <c r="E127" s="10" t="str">
        <f>+CONCATENATE(Datos_General[[#This Row],[Eq.Local]], "-", Datos_General[[#This Row],[Eq.Visitante]])</f>
        <v>Conxo Santiago B-S.D. Compostela B</v>
      </c>
      <c r="F127" s="1" t="s">
        <v>157</v>
      </c>
      <c r="G127" s="1" t="s">
        <v>57</v>
      </c>
      <c r="H127" s="1" t="s">
        <v>43</v>
      </c>
      <c r="I127" s="9">
        <v>0</v>
      </c>
      <c r="J127" s="9">
        <v>4</v>
      </c>
      <c r="K127" s="10" t="str">
        <f>+CONCATENATE(Datos_General[[#This Row],[Goles a Favor_Eq_local]],"-",Datos_General[[#This Row],[Gol a Favor_Eq_Visitante]])</f>
        <v>0-4</v>
      </c>
      <c r="L127" s="1" t="s">
        <v>133</v>
      </c>
      <c r="M127" s="1">
        <v>15</v>
      </c>
      <c r="N127" s="1" t="s">
        <v>165</v>
      </c>
      <c r="O127" s="1">
        <v>1</v>
      </c>
      <c r="P127" s="1" t="s">
        <v>70</v>
      </c>
      <c r="Q127" s="7">
        <f>+IF(Datos_General[[#This Row],[Minutos Jugados]]&gt;0, 1, 0)</f>
        <v>1</v>
      </c>
      <c r="R127" s="23">
        <v>0</v>
      </c>
      <c r="S127" s="8">
        <v>25</v>
      </c>
      <c r="U127" s="1">
        <f>90-Datos_General[[#This Row],[Minutos Jugados]]</f>
        <v>65</v>
      </c>
      <c r="V127" s="1">
        <v>0</v>
      </c>
      <c r="W127" s="1">
        <v>0</v>
      </c>
      <c r="X127" s="1">
        <v>2</v>
      </c>
      <c r="Y127" s="10">
        <f>+IF(Datos_General[[#This Row],[Resultado]]="Victoria", "3", IF(Datos_General[[#This Row],[Resultado]]="Empate","1",0))</f>
        <v>0</v>
      </c>
      <c r="Z127" s="11">
        <f>+Datos_General[[#This Row],[Minutos Jugados]]*Datos_General[[#This Row],[Puntos Jug_Campo]]</f>
        <v>0</v>
      </c>
      <c r="AA12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7" s="10" t="str">
        <f>+IF(Datos_General[[#This Row],[Resultado Jug_Campo]] = "Empate", "1",IF(Datos_General[[#This Row],[Resultado Jug_Campo]] = "Victoria", "3","0"))</f>
        <v>0</v>
      </c>
    </row>
    <row r="128" spans="1:28">
      <c r="A128" s="1">
        <v>8</v>
      </c>
      <c r="B128" s="6">
        <v>45970</v>
      </c>
      <c r="C128" s="1" t="s">
        <v>133</v>
      </c>
      <c r="D128" s="1" t="s">
        <v>128</v>
      </c>
      <c r="E128" s="10" t="str">
        <f>+CONCATENATE(Datos_General[[#This Row],[Eq.Local]], "-", Datos_General[[#This Row],[Eq.Visitante]])</f>
        <v>Conxo Santiago B-S.D. Compostela B</v>
      </c>
      <c r="F128" s="1" t="s">
        <v>157</v>
      </c>
      <c r="G128" s="1" t="s">
        <v>57</v>
      </c>
      <c r="H128" s="1" t="s">
        <v>43</v>
      </c>
      <c r="I128" s="9">
        <v>0</v>
      </c>
      <c r="J128" s="9">
        <v>4</v>
      </c>
      <c r="K128" s="10" t="str">
        <f>+CONCATENATE(Datos_General[[#This Row],[Goles a Favor_Eq_local]],"-",Datos_General[[#This Row],[Gol a Favor_Eq_Visitante]])</f>
        <v>0-4</v>
      </c>
      <c r="L128" s="1" t="s">
        <v>133</v>
      </c>
      <c r="M128" s="1">
        <v>16</v>
      </c>
      <c r="N128" s="1" t="s">
        <v>163</v>
      </c>
      <c r="O128" s="1">
        <v>1</v>
      </c>
      <c r="P128" s="1" t="s">
        <v>70</v>
      </c>
      <c r="Q128" s="7">
        <f>+IF(Datos_General[[#This Row],[Minutos Jugados]]&gt;0, 1, 0)</f>
        <v>1</v>
      </c>
      <c r="R128" s="23">
        <v>0</v>
      </c>
      <c r="S128" s="8">
        <v>25</v>
      </c>
      <c r="U128" s="1">
        <f>90-Datos_General[[#This Row],[Minutos Jugados]]</f>
        <v>65</v>
      </c>
      <c r="V128" s="1">
        <v>0</v>
      </c>
      <c r="W128" s="1">
        <v>0</v>
      </c>
      <c r="X128" s="1">
        <v>2</v>
      </c>
      <c r="Y128" s="10">
        <f>+IF(Datos_General[[#This Row],[Resultado]]="Victoria", "3", IF(Datos_General[[#This Row],[Resultado]]="Empate","1",0))</f>
        <v>0</v>
      </c>
      <c r="Z128" s="11">
        <f>+Datos_General[[#This Row],[Minutos Jugados]]*Datos_General[[#This Row],[Puntos Jug_Campo]]</f>
        <v>0</v>
      </c>
      <c r="AA12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8" s="10" t="str">
        <f>+IF(Datos_General[[#This Row],[Resultado Jug_Campo]] = "Empate", "1",IF(Datos_General[[#This Row],[Resultado Jug_Campo]] = "Victoria", "3","0"))</f>
        <v>0</v>
      </c>
    </row>
    <row r="129" spans="1:28">
      <c r="A129" s="1">
        <v>9</v>
      </c>
      <c r="B129" s="6">
        <v>45977</v>
      </c>
      <c r="C129" s="1" t="s">
        <v>127</v>
      </c>
      <c r="D129" s="1" t="s">
        <v>133</v>
      </c>
      <c r="E129" s="10" t="str">
        <f>+CONCATENATE(Datos_General[[#This Row],[Eq.Local]], "-", Datos_General[[#This Row],[Eq.Visitante]])</f>
        <v>Amio S.D.-Conxo Santiago B</v>
      </c>
      <c r="F129" s="1" t="s">
        <v>167</v>
      </c>
      <c r="G129" s="1" t="s">
        <v>58</v>
      </c>
      <c r="H129" s="1" t="s">
        <v>43</v>
      </c>
      <c r="I129" s="9">
        <v>3</v>
      </c>
      <c r="J129" s="9">
        <v>1</v>
      </c>
      <c r="K129" s="10" t="str">
        <f>+CONCATENATE(Datos_General[[#This Row],[Goles a Favor_Eq_local]],"-",Datos_General[[#This Row],[Gol a Favor_Eq_Visitante]])</f>
        <v>3-1</v>
      </c>
      <c r="L129" s="1" t="s">
        <v>133</v>
      </c>
      <c r="M129" s="1">
        <v>1</v>
      </c>
      <c r="N129" s="1" t="s">
        <v>137</v>
      </c>
      <c r="O129" s="1">
        <v>1</v>
      </c>
      <c r="P129" s="1" t="s">
        <v>2</v>
      </c>
      <c r="Q129" s="22">
        <v>1</v>
      </c>
      <c r="R129" s="9">
        <v>1</v>
      </c>
      <c r="S129" s="1">
        <v>90</v>
      </c>
      <c r="U129" s="1">
        <f>90-Datos_General[[#This Row],[Minutos Jugados]]</f>
        <v>0</v>
      </c>
      <c r="V129" s="1">
        <v>0</v>
      </c>
      <c r="W129" s="1">
        <v>1</v>
      </c>
      <c r="X129" s="1">
        <v>3</v>
      </c>
      <c r="Y129" s="10">
        <f>+IF(Datos_General[[#This Row],[Resultado]]="Victoria", "3", IF(Datos_General[[#This Row],[Resultado]]="Empate","1",0))</f>
        <v>0</v>
      </c>
      <c r="Z129" s="11">
        <f>+Datos_General[[#This Row],[Minutos Jugados]]*Datos_General[[#This Row],[Puntos Jug_Campo]]</f>
        <v>0</v>
      </c>
      <c r="AA12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29" s="10" t="str">
        <f>+IF(Datos_General[[#This Row],[Resultado Jug_Campo]] = "Empate", "1",IF(Datos_General[[#This Row],[Resultado Jug_Campo]] = "Victoria", "3","0"))</f>
        <v>0</v>
      </c>
    </row>
    <row r="130" spans="1:28">
      <c r="A130" s="1">
        <v>9</v>
      </c>
      <c r="B130" s="6">
        <v>45977</v>
      </c>
      <c r="C130" s="1" t="s">
        <v>127</v>
      </c>
      <c r="D130" s="1" t="s">
        <v>133</v>
      </c>
      <c r="E130" s="10" t="str">
        <f>+CONCATENATE(Datos_General[[#This Row],[Eq.Local]], "-", Datos_General[[#This Row],[Eq.Visitante]])</f>
        <v>Amio S.D.-Conxo Santiago B</v>
      </c>
      <c r="F130" s="1" t="s">
        <v>167</v>
      </c>
      <c r="G130" s="1" t="s">
        <v>58</v>
      </c>
      <c r="H130" s="1" t="s">
        <v>43</v>
      </c>
      <c r="I130" s="9">
        <v>3</v>
      </c>
      <c r="J130" s="9">
        <v>1</v>
      </c>
      <c r="K130" s="10" t="str">
        <f>+CONCATENATE(Datos_General[[#This Row],[Goles a Favor_Eq_local]],"-",Datos_General[[#This Row],[Gol a Favor_Eq_Visitante]])</f>
        <v>3-1</v>
      </c>
      <c r="L130" s="1" t="s">
        <v>133</v>
      </c>
      <c r="M130" s="1">
        <v>2</v>
      </c>
      <c r="N130" s="1" t="s">
        <v>138</v>
      </c>
      <c r="O130" s="1">
        <v>1</v>
      </c>
      <c r="P130" s="1" t="s">
        <v>2</v>
      </c>
      <c r="Q130" s="22">
        <v>1</v>
      </c>
      <c r="R130" s="9">
        <v>1</v>
      </c>
      <c r="S130" s="1">
        <v>90</v>
      </c>
      <c r="U130" s="1">
        <f>90-Datos_General[[#This Row],[Minutos Jugados]]</f>
        <v>0</v>
      </c>
      <c r="V130" s="1">
        <v>0</v>
      </c>
      <c r="W130" s="1">
        <v>1</v>
      </c>
      <c r="X130" s="1">
        <v>3</v>
      </c>
      <c r="Y130" s="10">
        <f>+IF(Datos_General[[#This Row],[Resultado]]="Victoria", "3", IF(Datos_General[[#This Row],[Resultado]]="Empate","1",0))</f>
        <v>0</v>
      </c>
      <c r="Z130" s="11">
        <f>+Datos_General[[#This Row],[Minutos Jugados]]*Datos_General[[#This Row],[Puntos Jug_Campo]]</f>
        <v>0</v>
      </c>
      <c r="AA13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0" s="10" t="str">
        <f>+IF(Datos_General[[#This Row],[Resultado Jug_Campo]] = "Empate", "1",IF(Datos_General[[#This Row],[Resultado Jug_Campo]] = "Victoria", "3","0"))</f>
        <v>0</v>
      </c>
    </row>
    <row r="131" spans="1:28">
      <c r="A131" s="1">
        <v>9</v>
      </c>
      <c r="B131" s="6">
        <v>45977</v>
      </c>
      <c r="C131" s="1" t="s">
        <v>127</v>
      </c>
      <c r="D131" s="1" t="s">
        <v>133</v>
      </c>
      <c r="E131" s="10" t="str">
        <f>+CONCATENATE(Datos_General[[#This Row],[Eq.Local]], "-", Datos_General[[#This Row],[Eq.Visitante]])</f>
        <v>Amio S.D.-Conxo Santiago B</v>
      </c>
      <c r="F131" s="1" t="s">
        <v>167</v>
      </c>
      <c r="G131" s="1" t="s">
        <v>58</v>
      </c>
      <c r="H131" s="1" t="s">
        <v>43</v>
      </c>
      <c r="I131" s="9">
        <v>3</v>
      </c>
      <c r="J131" s="9">
        <v>1</v>
      </c>
      <c r="K131" s="10" t="str">
        <f>+CONCATENATE(Datos_General[[#This Row],[Goles a Favor_Eq_local]],"-",Datos_General[[#This Row],[Gol a Favor_Eq_Visitante]])</f>
        <v>3-1</v>
      </c>
      <c r="L131" s="1" t="s">
        <v>133</v>
      </c>
      <c r="M131" s="1">
        <v>3</v>
      </c>
      <c r="N131" s="1" t="s">
        <v>144</v>
      </c>
      <c r="O131" s="1">
        <v>1</v>
      </c>
      <c r="P131" s="1" t="s">
        <v>2</v>
      </c>
      <c r="Q131" s="22">
        <v>1</v>
      </c>
      <c r="R131" s="9">
        <v>1</v>
      </c>
      <c r="S131" s="1">
        <v>90</v>
      </c>
      <c r="U131" s="1">
        <f>90-Datos_General[[#This Row],[Minutos Jugados]]</f>
        <v>0</v>
      </c>
      <c r="V131" s="1">
        <v>0</v>
      </c>
      <c r="W131" s="1">
        <v>1</v>
      </c>
      <c r="X131" s="1">
        <v>3</v>
      </c>
      <c r="Y131" s="10">
        <f>+IF(Datos_General[[#This Row],[Resultado]]="Victoria", "3", IF(Datos_General[[#This Row],[Resultado]]="Empate","1",0))</f>
        <v>0</v>
      </c>
      <c r="Z131" s="11">
        <f>+Datos_General[[#This Row],[Minutos Jugados]]*Datos_General[[#This Row],[Puntos Jug_Campo]]</f>
        <v>0</v>
      </c>
      <c r="AA13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1" s="10" t="str">
        <f>+IF(Datos_General[[#This Row],[Resultado Jug_Campo]] = "Empate", "1",IF(Datos_General[[#This Row],[Resultado Jug_Campo]] = "Victoria", "3","0"))</f>
        <v>0</v>
      </c>
    </row>
    <row r="132" spans="1:28">
      <c r="A132" s="1">
        <v>9</v>
      </c>
      <c r="B132" s="6">
        <v>45977</v>
      </c>
      <c r="C132" s="1" t="s">
        <v>127</v>
      </c>
      <c r="D132" s="1" t="s">
        <v>133</v>
      </c>
      <c r="E132" s="10" t="str">
        <f>+CONCATENATE(Datos_General[[#This Row],[Eq.Local]], "-", Datos_General[[#This Row],[Eq.Visitante]])</f>
        <v>Amio S.D.-Conxo Santiago B</v>
      </c>
      <c r="F132" s="1" t="s">
        <v>167</v>
      </c>
      <c r="G132" s="1" t="s">
        <v>58</v>
      </c>
      <c r="H132" s="1" t="s">
        <v>43</v>
      </c>
      <c r="I132" s="9">
        <v>3</v>
      </c>
      <c r="J132" s="9">
        <v>1</v>
      </c>
      <c r="K132" s="10" t="str">
        <f>+CONCATENATE(Datos_General[[#This Row],[Goles a Favor_Eq_local]],"-",Datos_General[[#This Row],[Gol a Favor_Eq_Visitante]])</f>
        <v>3-1</v>
      </c>
      <c r="L132" s="1" t="s">
        <v>133</v>
      </c>
      <c r="M132" s="1">
        <v>4</v>
      </c>
      <c r="N132" s="1" t="s">
        <v>140</v>
      </c>
      <c r="O132" s="1">
        <v>1</v>
      </c>
      <c r="P132" s="1" t="s">
        <v>2</v>
      </c>
      <c r="Q132" s="22">
        <v>1</v>
      </c>
      <c r="R132" s="9">
        <v>1</v>
      </c>
      <c r="S132" s="1">
        <v>61</v>
      </c>
      <c r="T132" s="1" t="s">
        <v>166</v>
      </c>
      <c r="U132" s="1">
        <f>90-Datos_General[[#This Row],[Minutos Jugados]]</f>
        <v>29</v>
      </c>
      <c r="V132" s="1">
        <v>0</v>
      </c>
      <c r="W132" s="1">
        <v>0</v>
      </c>
      <c r="X132" s="1">
        <v>3</v>
      </c>
      <c r="Y132" s="10">
        <f>+IF(Datos_General[[#This Row],[Resultado]]="Victoria", "3", IF(Datos_General[[#This Row],[Resultado]]="Empate","1",0))</f>
        <v>0</v>
      </c>
      <c r="Z132" s="11">
        <f>+Datos_General[[#This Row],[Minutos Jugados]]*Datos_General[[#This Row],[Puntos Jug_Campo]]</f>
        <v>0</v>
      </c>
      <c r="AA13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2" s="10" t="str">
        <f>+IF(Datos_General[[#This Row],[Resultado Jug_Campo]] = "Empate", "1",IF(Datos_General[[#This Row],[Resultado Jug_Campo]] = "Victoria", "3","0"))</f>
        <v>0</v>
      </c>
    </row>
    <row r="133" spans="1:28">
      <c r="A133" s="1">
        <v>9</v>
      </c>
      <c r="B133" s="6">
        <v>45977</v>
      </c>
      <c r="C133" s="1" t="s">
        <v>127</v>
      </c>
      <c r="D133" s="1" t="s">
        <v>133</v>
      </c>
      <c r="E133" s="10" t="str">
        <f>+CONCATENATE(Datos_General[[#This Row],[Eq.Local]], "-", Datos_General[[#This Row],[Eq.Visitante]])</f>
        <v>Amio S.D.-Conxo Santiago B</v>
      </c>
      <c r="F133" s="1" t="s">
        <v>167</v>
      </c>
      <c r="G133" s="1" t="s">
        <v>58</v>
      </c>
      <c r="H133" s="1" t="s">
        <v>43</v>
      </c>
      <c r="I133" s="9">
        <v>3</v>
      </c>
      <c r="J133" s="9">
        <v>1</v>
      </c>
      <c r="K133" s="10" t="str">
        <f>+CONCATENATE(Datos_General[[#This Row],[Goles a Favor_Eq_local]],"-",Datos_General[[#This Row],[Gol a Favor_Eq_Visitante]])</f>
        <v>3-1</v>
      </c>
      <c r="L133" s="1" t="s">
        <v>133</v>
      </c>
      <c r="M133" s="1">
        <v>5</v>
      </c>
      <c r="N133" s="1" t="s">
        <v>162</v>
      </c>
      <c r="O133" s="1">
        <v>1</v>
      </c>
      <c r="P133" s="1" t="s">
        <v>2</v>
      </c>
      <c r="Q133" s="22">
        <v>1</v>
      </c>
      <c r="R133" s="9">
        <v>1</v>
      </c>
      <c r="S133" s="1">
        <v>90</v>
      </c>
      <c r="U133" s="1">
        <f>90-Datos_General[[#This Row],[Minutos Jugados]]</f>
        <v>0</v>
      </c>
      <c r="V133" s="1">
        <v>0</v>
      </c>
      <c r="W133" s="1">
        <v>1</v>
      </c>
      <c r="X133" s="1">
        <v>3</v>
      </c>
      <c r="Y133" s="10">
        <f>+IF(Datos_General[[#This Row],[Resultado]]="Victoria", "3", IF(Datos_General[[#This Row],[Resultado]]="Empate","1",0))</f>
        <v>0</v>
      </c>
      <c r="Z133" s="11">
        <f>+Datos_General[[#This Row],[Minutos Jugados]]*Datos_General[[#This Row],[Puntos Jug_Campo]]</f>
        <v>0</v>
      </c>
      <c r="AA13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3" s="10" t="str">
        <f>+IF(Datos_General[[#This Row],[Resultado Jug_Campo]] = "Empate", "1",IF(Datos_General[[#This Row],[Resultado Jug_Campo]] = "Victoria", "3","0"))</f>
        <v>0</v>
      </c>
    </row>
    <row r="134" spans="1:28">
      <c r="A134" s="1">
        <v>9</v>
      </c>
      <c r="B134" s="6">
        <v>45977</v>
      </c>
      <c r="C134" s="1" t="s">
        <v>127</v>
      </c>
      <c r="D134" s="1" t="s">
        <v>133</v>
      </c>
      <c r="E134" s="10" t="str">
        <f>+CONCATENATE(Datos_General[[#This Row],[Eq.Local]], "-", Datos_General[[#This Row],[Eq.Visitante]])</f>
        <v>Amio S.D.-Conxo Santiago B</v>
      </c>
      <c r="F134" s="1" t="s">
        <v>167</v>
      </c>
      <c r="G134" s="1" t="s">
        <v>58</v>
      </c>
      <c r="H134" s="1" t="s">
        <v>43</v>
      </c>
      <c r="I134" s="9">
        <v>3</v>
      </c>
      <c r="J134" s="9">
        <v>1</v>
      </c>
      <c r="K134" s="10" t="str">
        <f>+CONCATENATE(Datos_General[[#This Row],[Goles a Favor_Eq_local]],"-",Datos_General[[#This Row],[Gol a Favor_Eq_Visitante]])</f>
        <v>3-1</v>
      </c>
      <c r="L134" s="1" t="s">
        <v>133</v>
      </c>
      <c r="M134" s="1">
        <v>6</v>
      </c>
      <c r="N134" s="1" t="s">
        <v>142</v>
      </c>
      <c r="O134" s="1">
        <v>1</v>
      </c>
      <c r="P134" s="1" t="s">
        <v>2</v>
      </c>
      <c r="Q134" s="22">
        <v>1</v>
      </c>
      <c r="R134" s="9">
        <v>1</v>
      </c>
      <c r="S134" s="1">
        <v>90</v>
      </c>
      <c r="U134" s="1">
        <f>90-Datos_General[[#This Row],[Minutos Jugados]]</f>
        <v>0</v>
      </c>
      <c r="V134" s="1">
        <v>1</v>
      </c>
      <c r="W134" s="1">
        <v>1</v>
      </c>
      <c r="X134" s="1">
        <v>3</v>
      </c>
      <c r="Y134" s="10">
        <f>+IF(Datos_General[[#This Row],[Resultado]]="Victoria", "3", IF(Datos_General[[#This Row],[Resultado]]="Empate","1",0))</f>
        <v>0</v>
      </c>
      <c r="Z134" s="11">
        <f>+Datos_General[[#This Row],[Minutos Jugados]]*Datos_General[[#This Row],[Puntos Jug_Campo]]</f>
        <v>0</v>
      </c>
      <c r="AA13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4" s="10" t="str">
        <f>+IF(Datos_General[[#This Row],[Resultado Jug_Campo]] = "Empate", "1",IF(Datos_General[[#This Row],[Resultado Jug_Campo]] = "Victoria", "3","0"))</f>
        <v>0</v>
      </c>
    </row>
    <row r="135" spans="1:28">
      <c r="A135" s="1">
        <v>9</v>
      </c>
      <c r="B135" s="6">
        <v>45977</v>
      </c>
      <c r="C135" s="1" t="s">
        <v>127</v>
      </c>
      <c r="D135" s="1" t="s">
        <v>133</v>
      </c>
      <c r="E135" s="10" t="str">
        <f>+CONCATENATE(Datos_General[[#This Row],[Eq.Local]], "-", Datos_General[[#This Row],[Eq.Visitante]])</f>
        <v>Amio S.D.-Conxo Santiago B</v>
      </c>
      <c r="F135" s="1" t="s">
        <v>167</v>
      </c>
      <c r="G135" s="1" t="s">
        <v>58</v>
      </c>
      <c r="H135" s="1" t="s">
        <v>43</v>
      </c>
      <c r="I135" s="9">
        <v>3</v>
      </c>
      <c r="J135" s="9">
        <v>1</v>
      </c>
      <c r="K135" s="10" t="str">
        <f>+CONCATENATE(Datos_General[[#This Row],[Goles a Favor_Eq_local]],"-",Datos_General[[#This Row],[Gol a Favor_Eq_Visitante]])</f>
        <v>3-1</v>
      </c>
      <c r="L135" s="1" t="s">
        <v>133</v>
      </c>
      <c r="M135" s="1">
        <v>7</v>
      </c>
      <c r="N135" s="1" t="s">
        <v>143</v>
      </c>
      <c r="O135" s="1">
        <v>1</v>
      </c>
      <c r="P135" s="1" t="s">
        <v>2</v>
      </c>
      <c r="Q135" s="22">
        <v>1</v>
      </c>
      <c r="R135" s="9">
        <v>1</v>
      </c>
      <c r="S135" s="1">
        <v>90</v>
      </c>
      <c r="U135" s="1">
        <f>90-Datos_General[[#This Row],[Minutos Jugados]]</f>
        <v>0</v>
      </c>
      <c r="V135" s="1">
        <v>0</v>
      </c>
      <c r="W135" s="1">
        <v>1</v>
      </c>
      <c r="X135" s="1">
        <v>3</v>
      </c>
      <c r="Y135" s="10">
        <f>+IF(Datos_General[[#This Row],[Resultado]]="Victoria", "3", IF(Datos_General[[#This Row],[Resultado]]="Empate","1",0))</f>
        <v>0</v>
      </c>
      <c r="Z135" s="11">
        <f>+Datos_General[[#This Row],[Minutos Jugados]]*Datos_General[[#This Row],[Puntos Jug_Campo]]</f>
        <v>0</v>
      </c>
      <c r="AA13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5" s="10" t="str">
        <f>+IF(Datos_General[[#This Row],[Resultado Jug_Campo]] = "Empate", "1",IF(Datos_General[[#This Row],[Resultado Jug_Campo]] = "Victoria", "3","0"))</f>
        <v>0</v>
      </c>
    </row>
    <row r="136" spans="1:28">
      <c r="A136" s="1">
        <v>9</v>
      </c>
      <c r="B136" s="6">
        <v>45977</v>
      </c>
      <c r="C136" s="1" t="s">
        <v>127</v>
      </c>
      <c r="D136" s="1" t="s">
        <v>133</v>
      </c>
      <c r="E136" s="10" t="str">
        <f>+CONCATENATE(Datos_General[[#This Row],[Eq.Local]], "-", Datos_General[[#This Row],[Eq.Visitante]])</f>
        <v>Amio S.D.-Conxo Santiago B</v>
      </c>
      <c r="F136" s="1" t="s">
        <v>167</v>
      </c>
      <c r="G136" s="1" t="s">
        <v>58</v>
      </c>
      <c r="H136" s="1" t="s">
        <v>43</v>
      </c>
      <c r="I136" s="9">
        <v>3</v>
      </c>
      <c r="J136" s="9">
        <v>1</v>
      </c>
      <c r="K136" s="10" t="str">
        <f>+CONCATENATE(Datos_General[[#This Row],[Goles a Favor_Eq_local]],"-",Datos_General[[#This Row],[Gol a Favor_Eq_Visitante]])</f>
        <v>3-1</v>
      </c>
      <c r="L136" s="1" t="s">
        <v>133</v>
      </c>
      <c r="M136" s="1">
        <v>8</v>
      </c>
      <c r="N136" s="1" t="s">
        <v>146</v>
      </c>
      <c r="O136" s="1">
        <v>1</v>
      </c>
      <c r="P136" s="1" t="s">
        <v>2</v>
      </c>
      <c r="Q136" s="22">
        <v>1</v>
      </c>
      <c r="R136" s="9">
        <v>1</v>
      </c>
      <c r="S136" s="1">
        <v>90</v>
      </c>
      <c r="U136" s="1">
        <f>90-Datos_General[[#This Row],[Minutos Jugados]]</f>
        <v>0</v>
      </c>
      <c r="V136" s="1">
        <v>0</v>
      </c>
      <c r="W136" s="1">
        <v>1</v>
      </c>
      <c r="X136" s="1">
        <v>3</v>
      </c>
      <c r="Y136" s="10">
        <f>+IF(Datos_General[[#This Row],[Resultado]]="Victoria", "3", IF(Datos_General[[#This Row],[Resultado]]="Empate","1",0))</f>
        <v>0</v>
      </c>
      <c r="Z136" s="11">
        <f>+Datos_General[[#This Row],[Minutos Jugados]]*Datos_General[[#This Row],[Puntos Jug_Campo]]</f>
        <v>0</v>
      </c>
      <c r="AA13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6" s="10" t="str">
        <f>+IF(Datos_General[[#This Row],[Resultado Jug_Campo]] = "Empate", "1",IF(Datos_General[[#This Row],[Resultado Jug_Campo]] = "Victoria", "3","0"))</f>
        <v>0</v>
      </c>
    </row>
    <row r="137" spans="1:28">
      <c r="A137" s="1">
        <v>9</v>
      </c>
      <c r="B137" s="6">
        <v>45977</v>
      </c>
      <c r="C137" s="1" t="s">
        <v>127</v>
      </c>
      <c r="D137" s="1" t="s">
        <v>133</v>
      </c>
      <c r="E137" s="10" t="str">
        <f>+CONCATENATE(Datos_General[[#This Row],[Eq.Local]], "-", Datos_General[[#This Row],[Eq.Visitante]])</f>
        <v>Amio S.D.-Conxo Santiago B</v>
      </c>
      <c r="F137" s="1" t="s">
        <v>167</v>
      </c>
      <c r="G137" s="1" t="s">
        <v>58</v>
      </c>
      <c r="H137" s="1" t="s">
        <v>43</v>
      </c>
      <c r="I137" s="9">
        <v>3</v>
      </c>
      <c r="J137" s="9">
        <v>1</v>
      </c>
      <c r="K137" s="10" t="str">
        <f>+CONCATENATE(Datos_General[[#This Row],[Goles a Favor_Eq_local]],"-",Datos_General[[#This Row],[Gol a Favor_Eq_Visitante]])</f>
        <v>3-1</v>
      </c>
      <c r="L137" s="1" t="s">
        <v>133</v>
      </c>
      <c r="M137" s="1">
        <v>9</v>
      </c>
      <c r="N137" s="1" t="s">
        <v>152</v>
      </c>
      <c r="O137" s="1">
        <v>1</v>
      </c>
      <c r="P137" s="1" t="s">
        <v>2</v>
      </c>
      <c r="Q137" s="22">
        <v>1</v>
      </c>
      <c r="R137" s="9">
        <v>1</v>
      </c>
      <c r="S137" s="1">
        <v>51</v>
      </c>
      <c r="T137" s="1" t="s">
        <v>154</v>
      </c>
      <c r="U137" s="1">
        <f>90-Datos_General[[#This Row],[Minutos Jugados]]</f>
        <v>39</v>
      </c>
      <c r="V137" s="1">
        <v>0</v>
      </c>
      <c r="W137" s="1">
        <v>0</v>
      </c>
      <c r="X137" s="1">
        <v>3</v>
      </c>
      <c r="Y137" s="10">
        <f>+IF(Datos_General[[#This Row],[Resultado]]="Victoria", "3", IF(Datos_General[[#This Row],[Resultado]]="Empate","1",0))</f>
        <v>0</v>
      </c>
      <c r="Z137" s="11">
        <f>+Datos_General[[#This Row],[Minutos Jugados]]*Datos_General[[#This Row],[Puntos Jug_Campo]]</f>
        <v>0</v>
      </c>
      <c r="AA13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7" s="10" t="str">
        <f>+IF(Datos_General[[#This Row],[Resultado Jug_Campo]] = "Empate", "1",IF(Datos_General[[#This Row],[Resultado Jug_Campo]] = "Victoria", "3","0"))</f>
        <v>0</v>
      </c>
    </row>
    <row r="138" spans="1:28">
      <c r="A138" s="1">
        <v>9</v>
      </c>
      <c r="B138" s="6">
        <v>45977</v>
      </c>
      <c r="C138" s="1" t="s">
        <v>127</v>
      </c>
      <c r="D138" s="1" t="s">
        <v>133</v>
      </c>
      <c r="E138" s="10" t="str">
        <f>+CONCATENATE(Datos_General[[#This Row],[Eq.Local]], "-", Datos_General[[#This Row],[Eq.Visitante]])</f>
        <v>Amio S.D.-Conxo Santiago B</v>
      </c>
      <c r="F138" s="1" t="s">
        <v>167</v>
      </c>
      <c r="G138" s="1" t="s">
        <v>58</v>
      </c>
      <c r="H138" s="1" t="s">
        <v>43</v>
      </c>
      <c r="I138" s="9">
        <v>3</v>
      </c>
      <c r="J138" s="9">
        <v>1</v>
      </c>
      <c r="K138" s="10" t="str">
        <f>+CONCATENATE(Datos_General[[#This Row],[Goles a Favor_Eq_local]],"-",Datos_General[[#This Row],[Gol a Favor_Eq_Visitante]])</f>
        <v>3-1</v>
      </c>
      <c r="L138" s="1" t="s">
        <v>133</v>
      </c>
      <c r="M138" s="1">
        <v>10</v>
      </c>
      <c r="N138" s="1" t="s">
        <v>156</v>
      </c>
      <c r="O138" s="1">
        <v>1</v>
      </c>
      <c r="P138" s="1" t="s">
        <v>2</v>
      </c>
      <c r="Q138" s="22">
        <v>1</v>
      </c>
      <c r="R138" s="9">
        <v>1</v>
      </c>
      <c r="S138" s="1">
        <v>61</v>
      </c>
      <c r="T138" s="1" t="s">
        <v>165</v>
      </c>
      <c r="U138" s="1">
        <f>90-Datos_General[[#This Row],[Minutos Jugados]]</f>
        <v>29</v>
      </c>
      <c r="V138" s="1">
        <v>0</v>
      </c>
      <c r="W138" s="1">
        <v>0</v>
      </c>
      <c r="X138" s="1">
        <v>3</v>
      </c>
      <c r="Y138" s="10">
        <f>+IF(Datos_General[[#This Row],[Resultado]]="Victoria", "3", IF(Datos_General[[#This Row],[Resultado]]="Empate","1",0))</f>
        <v>0</v>
      </c>
      <c r="Z138" s="11">
        <f>+Datos_General[[#This Row],[Minutos Jugados]]*Datos_General[[#This Row],[Puntos Jug_Campo]]</f>
        <v>0</v>
      </c>
      <c r="AA13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8" s="10" t="str">
        <f>+IF(Datos_General[[#This Row],[Resultado Jug_Campo]] = "Empate", "1",IF(Datos_General[[#This Row],[Resultado Jug_Campo]] = "Victoria", "3","0"))</f>
        <v>0</v>
      </c>
    </row>
    <row r="139" spans="1:28">
      <c r="A139" s="1">
        <v>9</v>
      </c>
      <c r="B139" s="6">
        <v>45977</v>
      </c>
      <c r="C139" s="1" t="s">
        <v>127</v>
      </c>
      <c r="D139" s="1" t="s">
        <v>133</v>
      </c>
      <c r="E139" s="10" t="str">
        <f>+CONCATENATE(Datos_General[[#This Row],[Eq.Local]], "-", Datos_General[[#This Row],[Eq.Visitante]])</f>
        <v>Amio S.D.-Conxo Santiago B</v>
      </c>
      <c r="F139" s="1" t="s">
        <v>167</v>
      </c>
      <c r="G139" s="1" t="s">
        <v>58</v>
      </c>
      <c r="H139" s="1" t="s">
        <v>43</v>
      </c>
      <c r="I139" s="9">
        <v>3</v>
      </c>
      <c r="J139" s="9">
        <v>1</v>
      </c>
      <c r="K139" s="10" t="str">
        <f>+CONCATENATE(Datos_General[[#This Row],[Goles a Favor_Eq_local]],"-",Datos_General[[#This Row],[Gol a Favor_Eq_Visitante]])</f>
        <v>3-1</v>
      </c>
      <c r="L139" s="1" t="s">
        <v>133</v>
      </c>
      <c r="M139" s="1">
        <v>11</v>
      </c>
      <c r="N139" s="1" t="s">
        <v>150</v>
      </c>
      <c r="O139" s="1">
        <v>1</v>
      </c>
      <c r="P139" s="1" t="s">
        <v>2</v>
      </c>
      <c r="Q139" s="22">
        <v>1</v>
      </c>
      <c r="R139" s="9">
        <v>1</v>
      </c>
      <c r="S139" s="1">
        <v>51</v>
      </c>
      <c r="T139" s="1" t="s">
        <v>163</v>
      </c>
      <c r="U139" s="1">
        <f>90-Datos_General[[#This Row],[Minutos Jugados]]</f>
        <v>39</v>
      </c>
      <c r="V139" s="1">
        <v>0</v>
      </c>
      <c r="W139" s="1">
        <v>0</v>
      </c>
      <c r="X139" s="1">
        <v>3</v>
      </c>
      <c r="Y139" s="10">
        <f>+IF(Datos_General[[#This Row],[Resultado]]="Victoria", "3", IF(Datos_General[[#This Row],[Resultado]]="Empate","1",0))</f>
        <v>0</v>
      </c>
      <c r="Z139" s="11">
        <f>+Datos_General[[#This Row],[Minutos Jugados]]*Datos_General[[#This Row],[Puntos Jug_Campo]]</f>
        <v>0</v>
      </c>
      <c r="AA13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39" s="10" t="str">
        <f>+IF(Datos_General[[#This Row],[Resultado Jug_Campo]] = "Empate", "1",IF(Datos_General[[#This Row],[Resultado Jug_Campo]] = "Victoria", "3","0"))</f>
        <v>0</v>
      </c>
    </row>
    <row r="140" spans="1:28">
      <c r="A140" s="1">
        <v>9</v>
      </c>
      <c r="B140" s="6">
        <v>45977</v>
      </c>
      <c r="C140" s="1" t="s">
        <v>127</v>
      </c>
      <c r="D140" s="1" t="s">
        <v>133</v>
      </c>
      <c r="E140" s="10" t="str">
        <f>+CONCATENATE(Datos_General[[#This Row],[Eq.Local]], "-", Datos_General[[#This Row],[Eq.Visitante]])</f>
        <v>Amio S.D.-Conxo Santiago B</v>
      </c>
      <c r="F140" s="1" t="s">
        <v>167</v>
      </c>
      <c r="G140" s="1" t="s">
        <v>58</v>
      </c>
      <c r="H140" s="1" t="s">
        <v>43</v>
      </c>
      <c r="I140" s="9">
        <v>3</v>
      </c>
      <c r="J140" s="9">
        <v>1</v>
      </c>
      <c r="K140" s="10" t="str">
        <f>+CONCATENATE(Datos_General[[#This Row],[Goles a Favor_Eq_local]],"-",Datos_General[[#This Row],[Gol a Favor_Eq_Visitante]])</f>
        <v>3-1</v>
      </c>
      <c r="L140" s="1" t="s">
        <v>133</v>
      </c>
      <c r="M140" s="1">
        <v>13</v>
      </c>
      <c r="N140" s="1" t="s">
        <v>148</v>
      </c>
      <c r="O140" s="1">
        <v>1</v>
      </c>
      <c r="P140" s="1" t="s">
        <v>70</v>
      </c>
      <c r="Q140" s="7">
        <f>+IF(Datos_General[[#This Row],[Minutos Jugados]]&gt;0, 1, 0)</f>
        <v>0</v>
      </c>
      <c r="R140" s="23">
        <v>0</v>
      </c>
      <c r="S140" s="8">
        <f>IFERROR(IF(MATCH(N140,$T$129:$T$144,0), INDEX($U$129:$U$144,MATCH(N140,$T$129:$T$144,0))),0)</f>
        <v>0</v>
      </c>
      <c r="U140" s="1">
        <f>90-Datos_General[[#This Row],[Minutos Jugados]]</f>
        <v>90</v>
      </c>
      <c r="V140" s="1">
        <v>0</v>
      </c>
      <c r="W140" s="1">
        <v>0</v>
      </c>
      <c r="X140" s="1">
        <v>0</v>
      </c>
      <c r="Y140" s="10">
        <f>+IF(Datos_General[[#This Row],[Resultado]]="Victoria", "3", IF(Datos_General[[#This Row],[Resultado]]="Empate","1",0))</f>
        <v>0</v>
      </c>
      <c r="Z140" s="11">
        <f>+Datos_General[[#This Row],[Minutos Jugados]]*Datos_General[[#This Row],[Puntos Jug_Campo]]</f>
        <v>0</v>
      </c>
      <c r="AA14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140" s="10" t="str">
        <f>+IF(Datos_General[[#This Row],[Resultado Jug_Campo]] = "Empate", "1",IF(Datos_General[[#This Row],[Resultado Jug_Campo]] = "Victoria", "3","0"))</f>
        <v>0</v>
      </c>
    </row>
    <row r="141" spans="1:28">
      <c r="A141" s="1">
        <v>9</v>
      </c>
      <c r="B141" s="6">
        <v>45977</v>
      </c>
      <c r="C141" s="1" t="s">
        <v>127</v>
      </c>
      <c r="D141" s="1" t="s">
        <v>133</v>
      </c>
      <c r="E141" s="10" t="str">
        <f>+CONCATENATE(Datos_General[[#This Row],[Eq.Local]], "-", Datos_General[[#This Row],[Eq.Visitante]])</f>
        <v>Amio S.D.-Conxo Santiago B</v>
      </c>
      <c r="F141" s="1" t="s">
        <v>167</v>
      </c>
      <c r="G141" s="1" t="s">
        <v>58</v>
      </c>
      <c r="H141" s="1" t="s">
        <v>43</v>
      </c>
      <c r="I141" s="9">
        <v>3</v>
      </c>
      <c r="J141" s="9">
        <v>1</v>
      </c>
      <c r="K141" s="10" t="str">
        <f>+CONCATENATE(Datos_General[[#This Row],[Goles a Favor_Eq_local]],"-",Datos_General[[#This Row],[Gol a Favor_Eq_Visitante]])</f>
        <v>3-1</v>
      </c>
      <c r="L141" s="1" t="s">
        <v>133</v>
      </c>
      <c r="M141" s="1">
        <v>14</v>
      </c>
      <c r="N141" s="1" t="s">
        <v>154</v>
      </c>
      <c r="O141" s="1">
        <v>1</v>
      </c>
      <c r="P141" s="1" t="s">
        <v>70</v>
      </c>
      <c r="Q141" s="7">
        <f>+IF(Datos_General[[#This Row],[Minutos Jugados]]&gt;0, 1, 0)</f>
        <v>1</v>
      </c>
      <c r="R141" s="23">
        <v>0</v>
      </c>
      <c r="S141" s="8">
        <f t="shared" ref="S141:S144" si="0">IFERROR(IF(MATCH(N141,$T$129:$T$144,0), INDEX($U$129:$U$144,MATCH(N141,$T$129:$T$144,0))),0)</f>
        <v>39</v>
      </c>
      <c r="U141" s="1">
        <f>90-Datos_General[[#This Row],[Minutos Jugados]]</f>
        <v>51</v>
      </c>
      <c r="V141" s="1">
        <v>0</v>
      </c>
      <c r="W141" s="1">
        <v>1</v>
      </c>
      <c r="X141" s="1">
        <v>0</v>
      </c>
      <c r="Y141" s="10">
        <f>+IF(Datos_General[[#This Row],[Resultado]]="Victoria", "3", IF(Datos_General[[#This Row],[Resultado]]="Empate","1",0))</f>
        <v>0</v>
      </c>
      <c r="Z141" s="11">
        <f>+Datos_General[[#This Row],[Minutos Jugados]]*Datos_General[[#This Row],[Puntos Jug_Campo]]</f>
        <v>117</v>
      </c>
      <c r="AA14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41" s="10" t="str">
        <f>+IF(Datos_General[[#This Row],[Resultado Jug_Campo]] = "Empate", "1",IF(Datos_General[[#This Row],[Resultado Jug_Campo]] = "Victoria", "3","0"))</f>
        <v>3</v>
      </c>
    </row>
    <row r="142" spans="1:28">
      <c r="A142" s="1">
        <v>9</v>
      </c>
      <c r="B142" s="6">
        <v>45977</v>
      </c>
      <c r="C142" s="1" t="s">
        <v>127</v>
      </c>
      <c r="D142" s="1" t="s">
        <v>133</v>
      </c>
      <c r="E142" s="10" t="str">
        <f>+CONCATENATE(Datos_General[[#This Row],[Eq.Local]], "-", Datos_General[[#This Row],[Eq.Visitante]])</f>
        <v>Amio S.D.-Conxo Santiago B</v>
      </c>
      <c r="F142" s="1" t="s">
        <v>167</v>
      </c>
      <c r="G142" s="1" t="s">
        <v>58</v>
      </c>
      <c r="H142" s="1" t="s">
        <v>43</v>
      </c>
      <c r="I142" s="9">
        <v>3</v>
      </c>
      <c r="J142" s="9">
        <v>1</v>
      </c>
      <c r="K142" s="10" t="str">
        <f>+CONCATENATE(Datos_General[[#This Row],[Goles a Favor_Eq_local]],"-",Datos_General[[#This Row],[Gol a Favor_Eq_Visitante]])</f>
        <v>3-1</v>
      </c>
      <c r="L142" s="1" t="s">
        <v>133</v>
      </c>
      <c r="M142" s="1">
        <v>15</v>
      </c>
      <c r="N142" s="1" t="s">
        <v>165</v>
      </c>
      <c r="O142" s="1">
        <v>1</v>
      </c>
      <c r="P142" s="1" t="s">
        <v>70</v>
      </c>
      <c r="Q142" s="7">
        <f>+IF(Datos_General[[#This Row],[Minutos Jugados]]&gt;0, 1, 0)</f>
        <v>1</v>
      </c>
      <c r="R142" s="23">
        <v>0</v>
      </c>
      <c r="S142" s="8">
        <f t="shared" si="0"/>
        <v>29</v>
      </c>
      <c r="U142" s="1">
        <f>90-Datos_General[[#This Row],[Minutos Jugados]]</f>
        <v>61</v>
      </c>
      <c r="V142" s="1">
        <v>0</v>
      </c>
      <c r="W142" s="1">
        <v>1</v>
      </c>
      <c r="X142" s="1">
        <v>0</v>
      </c>
      <c r="Y142" s="10">
        <f>+IF(Datos_General[[#This Row],[Resultado]]="Victoria", "3", IF(Datos_General[[#This Row],[Resultado]]="Empate","1",0))</f>
        <v>0</v>
      </c>
      <c r="Z142" s="11">
        <f>+Datos_General[[#This Row],[Minutos Jugados]]*Datos_General[[#This Row],[Puntos Jug_Campo]]</f>
        <v>87</v>
      </c>
      <c r="AA14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42" s="10" t="str">
        <f>+IF(Datos_General[[#This Row],[Resultado Jug_Campo]] = "Empate", "1",IF(Datos_General[[#This Row],[Resultado Jug_Campo]] = "Victoria", "3","0"))</f>
        <v>3</v>
      </c>
    </row>
    <row r="143" spans="1:28">
      <c r="A143" s="1">
        <v>9</v>
      </c>
      <c r="B143" s="6">
        <v>45977</v>
      </c>
      <c r="C143" s="1" t="s">
        <v>127</v>
      </c>
      <c r="D143" s="1" t="s">
        <v>133</v>
      </c>
      <c r="E143" s="10" t="str">
        <f>+CONCATENATE(Datos_General[[#This Row],[Eq.Local]], "-", Datos_General[[#This Row],[Eq.Visitante]])</f>
        <v>Amio S.D.-Conxo Santiago B</v>
      </c>
      <c r="F143" s="1" t="s">
        <v>167</v>
      </c>
      <c r="G143" s="1" t="s">
        <v>58</v>
      </c>
      <c r="H143" s="1" t="s">
        <v>43</v>
      </c>
      <c r="I143" s="9">
        <v>3</v>
      </c>
      <c r="J143" s="9">
        <v>1</v>
      </c>
      <c r="K143" s="10" t="str">
        <f>+CONCATENATE(Datos_General[[#This Row],[Goles a Favor_Eq_local]],"-",Datos_General[[#This Row],[Gol a Favor_Eq_Visitante]])</f>
        <v>3-1</v>
      </c>
      <c r="L143" s="1" t="s">
        <v>133</v>
      </c>
      <c r="M143" s="1">
        <v>16</v>
      </c>
      <c r="N143" s="1" t="s">
        <v>163</v>
      </c>
      <c r="O143" s="1">
        <v>1</v>
      </c>
      <c r="P143" s="1" t="s">
        <v>70</v>
      </c>
      <c r="Q143" s="7">
        <f>+IF(Datos_General[[#This Row],[Minutos Jugados]]&gt;0, 1, 0)</f>
        <v>1</v>
      </c>
      <c r="R143" s="23">
        <v>0</v>
      </c>
      <c r="S143" s="8">
        <f t="shared" si="0"/>
        <v>39</v>
      </c>
      <c r="U143" s="1">
        <f>90-Datos_General[[#This Row],[Minutos Jugados]]</f>
        <v>51</v>
      </c>
      <c r="V143" s="1">
        <v>0</v>
      </c>
      <c r="W143" s="1">
        <v>1</v>
      </c>
      <c r="X143" s="1">
        <v>0</v>
      </c>
      <c r="Y143" s="10">
        <f>+IF(Datos_General[[#This Row],[Resultado]]="Victoria", "3", IF(Datos_General[[#This Row],[Resultado]]="Empate","1",0))</f>
        <v>0</v>
      </c>
      <c r="Z143" s="11">
        <f>+Datos_General[[#This Row],[Minutos Jugados]]*Datos_General[[#This Row],[Puntos Jug_Campo]]</f>
        <v>117</v>
      </c>
      <c r="AA14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43" s="10" t="str">
        <f>+IF(Datos_General[[#This Row],[Resultado Jug_Campo]] = "Empate", "1",IF(Datos_General[[#This Row],[Resultado Jug_Campo]] = "Victoria", "3","0"))</f>
        <v>3</v>
      </c>
    </row>
    <row r="144" spans="1:28">
      <c r="A144" s="1">
        <v>9</v>
      </c>
      <c r="B144" s="6">
        <v>45977</v>
      </c>
      <c r="C144" s="1" t="s">
        <v>127</v>
      </c>
      <c r="D144" s="1" t="s">
        <v>133</v>
      </c>
      <c r="E144" s="10" t="str">
        <f>+CONCATENATE(Datos_General[[#This Row],[Eq.Local]], "-", Datos_General[[#This Row],[Eq.Visitante]])</f>
        <v>Amio S.D.-Conxo Santiago B</v>
      </c>
      <c r="F144" s="1" t="s">
        <v>167</v>
      </c>
      <c r="G144" s="1" t="s">
        <v>58</v>
      </c>
      <c r="H144" s="1" t="s">
        <v>43</v>
      </c>
      <c r="I144" s="9">
        <v>3</v>
      </c>
      <c r="J144" s="9">
        <v>1</v>
      </c>
      <c r="K144" s="10" t="str">
        <f>+CONCATENATE(Datos_General[[#This Row],[Goles a Favor_Eq_local]],"-",Datos_General[[#This Row],[Gol a Favor_Eq_Visitante]])</f>
        <v>3-1</v>
      </c>
      <c r="L144" s="1" t="s">
        <v>133</v>
      </c>
      <c r="M144" s="1">
        <v>17</v>
      </c>
      <c r="N144" s="1" t="s">
        <v>166</v>
      </c>
      <c r="O144" s="1">
        <v>1</v>
      </c>
      <c r="P144" s="1" t="s">
        <v>70</v>
      </c>
      <c r="Q144" s="7">
        <f>+IF(Datos_General[[#This Row],[Minutos Jugados]]&gt;0, 1, 0)</f>
        <v>1</v>
      </c>
      <c r="R144" s="23">
        <v>0</v>
      </c>
      <c r="S144" s="8">
        <f t="shared" si="0"/>
        <v>29</v>
      </c>
      <c r="U144" s="1">
        <f>90-Datos_General[[#This Row],[Minutos Jugados]]</f>
        <v>61</v>
      </c>
      <c r="V144" s="1">
        <v>0</v>
      </c>
      <c r="W144" s="1">
        <v>1</v>
      </c>
      <c r="X144" s="1">
        <v>0</v>
      </c>
      <c r="Y144" s="10">
        <f>+IF(Datos_General[[#This Row],[Resultado]]="Victoria", "3", IF(Datos_General[[#This Row],[Resultado]]="Empate","1",0))</f>
        <v>0</v>
      </c>
      <c r="Z144" s="11">
        <f>+Datos_General[[#This Row],[Minutos Jugados]]*Datos_General[[#This Row],[Puntos Jug_Campo]]</f>
        <v>87</v>
      </c>
      <c r="AA14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44" s="10" t="str">
        <f>+IF(Datos_General[[#This Row],[Resultado Jug_Campo]] = "Empate", "1",IF(Datos_General[[#This Row],[Resultado Jug_Campo]] = "Victoria", "3","0"))</f>
        <v>3</v>
      </c>
    </row>
    <row r="145" spans="1:28">
      <c r="A145" s="1">
        <v>10</v>
      </c>
      <c r="B145" s="6">
        <v>45983</v>
      </c>
      <c r="C145" s="1" t="s">
        <v>133</v>
      </c>
      <c r="D145" s="1" t="s">
        <v>129</v>
      </c>
      <c r="E145" s="10" t="str">
        <f>+CONCATENATE(Datos_General[[#This Row],[Eq.Local]], "-", Datos_General[[#This Row],[Eq.Visitante]])</f>
        <v>Conxo Santiago B-C.D. Ribadumia</v>
      </c>
      <c r="F145" s="1" t="s">
        <v>157</v>
      </c>
      <c r="G145" s="1" t="s">
        <v>57</v>
      </c>
      <c r="H145" s="1" t="s">
        <v>12</v>
      </c>
      <c r="I145" s="9">
        <v>2</v>
      </c>
      <c r="J145" s="9">
        <v>1</v>
      </c>
      <c r="K145" s="10" t="str">
        <f>+CONCATENATE(Datos_General[[#This Row],[Goles a Favor_Eq_local]],"-",Datos_General[[#This Row],[Gol a Favor_Eq_Visitante]])</f>
        <v>2-1</v>
      </c>
      <c r="L145" s="1" t="s">
        <v>133</v>
      </c>
      <c r="M145" s="1">
        <v>1</v>
      </c>
      <c r="N145" s="1" t="s">
        <v>148</v>
      </c>
      <c r="O145" s="1">
        <v>1</v>
      </c>
      <c r="P145" s="1" t="s">
        <v>2</v>
      </c>
      <c r="Q145" s="22">
        <v>1</v>
      </c>
      <c r="R145" s="9">
        <v>1</v>
      </c>
      <c r="S145" s="1">
        <v>90</v>
      </c>
      <c r="U145" s="1">
        <f>90-Datos_General[[#This Row],[Minutos Jugados]]</f>
        <v>0</v>
      </c>
      <c r="V145" s="1">
        <v>0</v>
      </c>
      <c r="W145" s="1">
        <v>2</v>
      </c>
      <c r="X145" s="1">
        <v>1</v>
      </c>
      <c r="Y145" s="10" t="str">
        <f>+IF(Datos_General[[#This Row],[Resultado]]="Victoria", "3", IF(Datos_General[[#This Row],[Resultado]]="Empate","1",0))</f>
        <v>3</v>
      </c>
      <c r="Z145" s="11">
        <f>+Datos_General[[#This Row],[Minutos Jugados]]*Datos_General[[#This Row],[Puntos Jug_Campo]]</f>
        <v>270</v>
      </c>
      <c r="AA14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45" s="10" t="str">
        <f>+IF(Datos_General[[#This Row],[Resultado Jug_Campo]] = "Empate", "1",IF(Datos_General[[#This Row],[Resultado Jug_Campo]] = "Victoria", "3","0"))</f>
        <v>3</v>
      </c>
    </row>
    <row r="146" spans="1:28">
      <c r="A146" s="1">
        <v>10</v>
      </c>
      <c r="B146" s="6">
        <v>45983</v>
      </c>
      <c r="C146" s="1" t="s">
        <v>133</v>
      </c>
      <c r="D146" s="1" t="s">
        <v>129</v>
      </c>
      <c r="E146" s="10" t="str">
        <f>+CONCATENATE(Datos_General[[#This Row],[Eq.Local]], "-", Datos_General[[#This Row],[Eq.Visitante]])</f>
        <v>Conxo Santiago B-C.D. Ribadumia</v>
      </c>
      <c r="F146" s="1" t="s">
        <v>157</v>
      </c>
      <c r="G146" s="1" t="s">
        <v>57</v>
      </c>
      <c r="H146" s="1" t="s">
        <v>12</v>
      </c>
      <c r="I146" s="9">
        <v>2</v>
      </c>
      <c r="J146" s="9">
        <v>1</v>
      </c>
      <c r="K146" s="10" t="str">
        <f>+CONCATENATE(Datos_General[[#This Row],[Goles a Favor_Eq_local]],"-",Datos_General[[#This Row],[Gol a Favor_Eq_Visitante]])</f>
        <v>2-1</v>
      </c>
      <c r="L146" s="1" t="s">
        <v>133</v>
      </c>
      <c r="M146" s="1">
        <v>2</v>
      </c>
      <c r="N146" s="1" t="s">
        <v>138</v>
      </c>
      <c r="O146" s="1">
        <v>1</v>
      </c>
      <c r="P146" s="1" t="s">
        <v>2</v>
      </c>
      <c r="Q146" s="22">
        <v>1</v>
      </c>
      <c r="R146" s="9">
        <v>1</v>
      </c>
      <c r="S146" s="1">
        <v>72</v>
      </c>
      <c r="T146" s="1" t="s">
        <v>150</v>
      </c>
      <c r="U146" s="1">
        <f>90-Datos_General[[#This Row],[Minutos Jugados]]</f>
        <v>18</v>
      </c>
      <c r="V146" s="1">
        <v>0</v>
      </c>
      <c r="W146" s="1">
        <v>1</v>
      </c>
      <c r="X146" s="1">
        <v>1</v>
      </c>
      <c r="Y146" s="10" t="str">
        <f>+IF(Datos_General[[#This Row],[Resultado]]="Victoria", "3", IF(Datos_General[[#This Row],[Resultado]]="Empate","1",0))</f>
        <v>3</v>
      </c>
      <c r="Z146" s="11">
        <f>+Datos_General[[#This Row],[Minutos Jugados]]*Datos_General[[#This Row],[Puntos Jug_Campo]]</f>
        <v>72</v>
      </c>
      <c r="AA14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46" s="10" t="str">
        <f>+IF(Datos_General[[#This Row],[Resultado Jug_Campo]] = "Empate", "1",IF(Datos_General[[#This Row],[Resultado Jug_Campo]] = "Victoria", "3","0"))</f>
        <v>1</v>
      </c>
    </row>
    <row r="147" spans="1:28">
      <c r="A147" s="1">
        <v>10</v>
      </c>
      <c r="B147" s="6">
        <v>45983</v>
      </c>
      <c r="C147" s="1" t="s">
        <v>133</v>
      </c>
      <c r="D147" s="1" t="s">
        <v>129</v>
      </c>
      <c r="E147" s="10" t="str">
        <f>+CONCATENATE(Datos_General[[#This Row],[Eq.Local]], "-", Datos_General[[#This Row],[Eq.Visitante]])</f>
        <v>Conxo Santiago B-C.D. Ribadumia</v>
      </c>
      <c r="F147" s="1" t="s">
        <v>157</v>
      </c>
      <c r="G147" s="1" t="s">
        <v>57</v>
      </c>
      <c r="H147" s="1" t="s">
        <v>12</v>
      </c>
      <c r="I147" s="9">
        <v>2</v>
      </c>
      <c r="J147" s="9">
        <v>1</v>
      </c>
      <c r="K147" s="10" t="str">
        <f>+CONCATENATE(Datos_General[[#This Row],[Goles a Favor_Eq_local]],"-",Datos_General[[#This Row],[Gol a Favor_Eq_Visitante]])</f>
        <v>2-1</v>
      </c>
      <c r="L147" s="1" t="s">
        <v>133</v>
      </c>
      <c r="M147" s="1">
        <v>3</v>
      </c>
      <c r="N147" s="1" t="s">
        <v>144</v>
      </c>
      <c r="O147" s="1">
        <v>1</v>
      </c>
      <c r="P147" s="1" t="s">
        <v>2</v>
      </c>
      <c r="Q147" s="22">
        <v>1</v>
      </c>
      <c r="R147" s="9">
        <v>1</v>
      </c>
      <c r="S147" s="1">
        <v>90</v>
      </c>
      <c r="U147" s="1">
        <f>90-Datos_General[[#This Row],[Minutos Jugados]]</f>
        <v>0</v>
      </c>
      <c r="V147" s="1">
        <v>1</v>
      </c>
      <c r="W147" s="1">
        <v>2</v>
      </c>
      <c r="X147" s="1">
        <v>1</v>
      </c>
      <c r="Y147" s="10" t="str">
        <f>+IF(Datos_General[[#This Row],[Resultado]]="Victoria", "3", IF(Datos_General[[#This Row],[Resultado]]="Empate","1",0))</f>
        <v>3</v>
      </c>
      <c r="Z147" s="11">
        <f>+Datos_General[[#This Row],[Minutos Jugados]]*Datos_General[[#This Row],[Puntos Jug_Campo]]</f>
        <v>270</v>
      </c>
      <c r="AA14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47" s="10" t="str">
        <f>+IF(Datos_General[[#This Row],[Resultado Jug_Campo]] = "Empate", "1",IF(Datos_General[[#This Row],[Resultado Jug_Campo]] = "Victoria", "3","0"))</f>
        <v>3</v>
      </c>
    </row>
    <row r="148" spans="1:28">
      <c r="A148" s="1">
        <v>10</v>
      </c>
      <c r="B148" s="6">
        <v>45983</v>
      </c>
      <c r="C148" s="1" t="s">
        <v>133</v>
      </c>
      <c r="D148" s="1" t="s">
        <v>129</v>
      </c>
      <c r="E148" s="10" t="str">
        <f>+CONCATENATE(Datos_General[[#This Row],[Eq.Local]], "-", Datos_General[[#This Row],[Eq.Visitante]])</f>
        <v>Conxo Santiago B-C.D. Ribadumia</v>
      </c>
      <c r="F148" s="1" t="s">
        <v>157</v>
      </c>
      <c r="G148" s="1" t="s">
        <v>57</v>
      </c>
      <c r="H148" s="1" t="s">
        <v>12</v>
      </c>
      <c r="I148" s="9">
        <v>2</v>
      </c>
      <c r="J148" s="9">
        <v>1</v>
      </c>
      <c r="K148" s="10" t="str">
        <f>+CONCATENATE(Datos_General[[#This Row],[Goles a Favor_Eq_local]],"-",Datos_General[[#This Row],[Gol a Favor_Eq_Visitante]])</f>
        <v>2-1</v>
      </c>
      <c r="L148" s="1" t="s">
        <v>133</v>
      </c>
      <c r="M148" s="1">
        <v>4</v>
      </c>
      <c r="N148" s="1" t="s">
        <v>140</v>
      </c>
      <c r="O148" s="1">
        <v>1</v>
      </c>
      <c r="P148" s="1" t="s">
        <v>2</v>
      </c>
      <c r="Q148" s="22">
        <v>1</v>
      </c>
      <c r="R148" s="9">
        <v>1</v>
      </c>
      <c r="S148" s="1">
        <v>90</v>
      </c>
      <c r="U148" s="1">
        <f>90-Datos_General[[#This Row],[Minutos Jugados]]</f>
        <v>0</v>
      </c>
      <c r="V148" s="1">
        <v>0</v>
      </c>
      <c r="W148" s="1">
        <v>2</v>
      </c>
      <c r="X148" s="1">
        <v>1</v>
      </c>
      <c r="Y148" s="10" t="str">
        <f>+IF(Datos_General[[#This Row],[Resultado]]="Victoria", "3", IF(Datos_General[[#This Row],[Resultado]]="Empate","1",0))</f>
        <v>3</v>
      </c>
      <c r="Z148" s="11">
        <f>+Datos_General[[#This Row],[Minutos Jugados]]*Datos_General[[#This Row],[Puntos Jug_Campo]]</f>
        <v>270</v>
      </c>
      <c r="AA14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48" s="10" t="str">
        <f>+IF(Datos_General[[#This Row],[Resultado Jug_Campo]] = "Empate", "1",IF(Datos_General[[#This Row],[Resultado Jug_Campo]] = "Victoria", "3","0"))</f>
        <v>3</v>
      </c>
    </row>
    <row r="149" spans="1:28">
      <c r="A149" s="1">
        <v>10</v>
      </c>
      <c r="B149" s="6">
        <v>45983</v>
      </c>
      <c r="C149" s="1" t="s">
        <v>133</v>
      </c>
      <c r="D149" s="1" t="s">
        <v>129</v>
      </c>
      <c r="E149" s="10" t="str">
        <f>+CONCATENATE(Datos_General[[#This Row],[Eq.Local]], "-", Datos_General[[#This Row],[Eq.Visitante]])</f>
        <v>Conxo Santiago B-C.D. Ribadumia</v>
      </c>
      <c r="F149" s="1" t="s">
        <v>157</v>
      </c>
      <c r="G149" s="1" t="s">
        <v>57</v>
      </c>
      <c r="H149" s="1" t="s">
        <v>12</v>
      </c>
      <c r="I149" s="9">
        <v>2</v>
      </c>
      <c r="J149" s="9">
        <v>1</v>
      </c>
      <c r="K149" s="10" t="str">
        <f>+CONCATENATE(Datos_General[[#This Row],[Goles a Favor_Eq_local]],"-",Datos_General[[#This Row],[Gol a Favor_Eq_Visitante]])</f>
        <v>2-1</v>
      </c>
      <c r="L149" s="1" t="s">
        <v>133</v>
      </c>
      <c r="M149" s="1">
        <v>5</v>
      </c>
      <c r="N149" s="1" t="s">
        <v>162</v>
      </c>
      <c r="O149" s="1">
        <v>1</v>
      </c>
      <c r="P149" s="1" t="s">
        <v>2</v>
      </c>
      <c r="Q149" s="22">
        <v>1</v>
      </c>
      <c r="R149" s="9">
        <v>1</v>
      </c>
      <c r="S149" s="1">
        <v>90</v>
      </c>
      <c r="U149" s="1">
        <f>90-Datos_General[[#This Row],[Minutos Jugados]]</f>
        <v>0</v>
      </c>
      <c r="V149" s="1">
        <v>0</v>
      </c>
      <c r="W149" s="1">
        <v>2</v>
      </c>
      <c r="X149" s="1">
        <v>1</v>
      </c>
      <c r="Y149" s="10" t="str">
        <f>+IF(Datos_General[[#This Row],[Resultado]]="Victoria", "3", IF(Datos_General[[#This Row],[Resultado]]="Empate","1",0))</f>
        <v>3</v>
      </c>
      <c r="Z149" s="11">
        <f>+Datos_General[[#This Row],[Minutos Jugados]]*Datos_General[[#This Row],[Puntos Jug_Campo]]</f>
        <v>270</v>
      </c>
      <c r="AA14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49" s="10" t="str">
        <f>+IF(Datos_General[[#This Row],[Resultado Jug_Campo]] = "Empate", "1",IF(Datos_General[[#This Row],[Resultado Jug_Campo]] = "Victoria", "3","0"))</f>
        <v>3</v>
      </c>
    </row>
    <row r="150" spans="1:28">
      <c r="A150" s="1">
        <v>10</v>
      </c>
      <c r="B150" s="6">
        <v>45983</v>
      </c>
      <c r="C150" s="1" t="s">
        <v>133</v>
      </c>
      <c r="D150" s="1" t="s">
        <v>129</v>
      </c>
      <c r="E150" s="10" t="str">
        <f>+CONCATENATE(Datos_General[[#This Row],[Eq.Local]], "-", Datos_General[[#This Row],[Eq.Visitante]])</f>
        <v>Conxo Santiago B-C.D. Ribadumia</v>
      </c>
      <c r="F150" s="1" t="s">
        <v>157</v>
      </c>
      <c r="G150" s="1" t="s">
        <v>57</v>
      </c>
      <c r="H150" s="1" t="s">
        <v>12</v>
      </c>
      <c r="I150" s="9">
        <v>2</v>
      </c>
      <c r="J150" s="9">
        <v>1</v>
      </c>
      <c r="K150" s="10" t="str">
        <f>+CONCATENATE(Datos_General[[#This Row],[Goles a Favor_Eq_local]],"-",Datos_General[[#This Row],[Gol a Favor_Eq_Visitante]])</f>
        <v>2-1</v>
      </c>
      <c r="L150" s="1" t="s">
        <v>133</v>
      </c>
      <c r="M150" s="1">
        <v>6</v>
      </c>
      <c r="N150" s="1" t="s">
        <v>165</v>
      </c>
      <c r="O150" s="1">
        <v>1</v>
      </c>
      <c r="P150" s="1" t="s">
        <v>2</v>
      </c>
      <c r="Q150" s="22">
        <v>1</v>
      </c>
      <c r="R150" s="9">
        <v>1</v>
      </c>
      <c r="S150" s="1">
        <v>63</v>
      </c>
      <c r="T150" s="1" t="s">
        <v>156</v>
      </c>
      <c r="U150" s="1">
        <f>90-Datos_General[[#This Row],[Minutos Jugados]]</f>
        <v>27</v>
      </c>
      <c r="V150" s="1">
        <v>0</v>
      </c>
      <c r="W150" s="1">
        <v>1</v>
      </c>
      <c r="X150" s="1">
        <v>1</v>
      </c>
      <c r="Y150" s="10" t="str">
        <f>+IF(Datos_General[[#This Row],[Resultado]]="Victoria", "3", IF(Datos_General[[#This Row],[Resultado]]="Empate","1",0))</f>
        <v>3</v>
      </c>
      <c r="Z150" s="11">
        <f>+Datos_General[[#This Row],[Minutos Jugados]]*Datos_General[[#This Row],[Puntos Jug_Campo]]</f>
        <v>63</v>
      </c>
      <c r="AA15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50" s="10" t="str">
        <f>+IF(Datos_General[[#This Row],[Resultado Jug_Campo]] = "Empate", "1",IF(Datos_General[[#This Row],[Resultado Jug_Campo]] = "Victoria", "3","0"))</f>
        <v>1</v>
      </c>
    </row>
    <row r="151" spans="1:28">
      <c r="A151" s="1">
        <v>10</v>
      </c>
      <c r="B151" s="6">
        <v>45983</v>
      </c>
      <c r="C151" s="1" t="s">
        <v>133</v>
      </c>
      <c r="D151" s="1" t="s">
        <v>129</v>
      </c>
      <c r="E151" s="10" t="str">
        <f>+CONCATENATE(Datos_General[[#This Row],[Eq.Local]], "-", Datos_General[[#This Row],[Eq.Visitante]])</f>
        <v>Conxo Santiago B-C.D. Ribadumia</v>
      </c>
      <c r="F151" s="1" t="s">
        <v>157</v>
      </c>
      <c r="G151" s="1" t="s">
        <v>57</v>
      </c>
      <c r="H151" s="1" t="s">
        <v>12</v>
      </c>
      <c r="I151" s="9">
        <v>2</v>
      </c>
      <c r="J151" s="9">
        <v>1</v>
      </c>
      <c r="K151" s="10" t="str">
        <f>+CONCATENATE(Datos_General[[#This Row],[Goles a Favor_Eq_local]],"-",Datos_General[[#This Row],[Gol a Favor_Eq_Visitante]])</f>
        <v>2-1</v>
      </c>
      <c r="L151" s="1" t="s">
        <v>133</v>
      </c>
      <c r="M151" s="1">
        <v>7</v>
      </c>
      <c r="N151" s="1" t="s">
        <v>154</v>
      </c>
      <c r="O151" s="1">
        <v>1</v>
      </c>
      <c r="P151" s="1" t="s">
        <v>2</v>
      </c>
      <c r="Q151" s="22">
        <v>1</v>
      </c>
      <c r="R151" s="9">
        <v>1</v>
      </c>
      <c r="S151" s="1">
        <v>63</v>
      </c>
      <c r="T151" s="1" t="s">
        <v>152</v>
      </c>
      <c r="U151" s="1">
        <f>90-Datos_General[[#This Row],[Minutos Jugados]]</f>
        <v>27</v>
      </c>
      <c r="V151" s="1">
        <v>0</v>
      </c>
      <c r="W151" s="1">
        <v>1</v>
      </c>
      <c r="X151" s="1">
        <v>1</v>
      </c>
      <c r="Y151" s="10" t="str">
        <f>+IF(Datos_General[[#This Row],[Resultado]]="Victoria", "3", IF(Datos_General[[#This Row],[Resultado]]="Empate","1",0))</f>
        <v>3</v>
      </c>
      <c r="Z151" s="11">
        <f>+Datos_General[[#This Row],[Minutos Jugados]]*Datos_General[[#This Row],[Puntos Jug_Campo]]</f>
        <v>63</v>
      </c>
      <c r="AA15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51" s="10" t="str">
        <f>+IF(Datos_General[[#This Row],[Resultado Jug_Campo]] = "Empate", "1",IF(Datos_General[[#This Row],[Resultado Jug_Campo]] = "Victoria", "3","0"))</f>
        <v>1</v>
      </c>
    </row>
    <row r="152" spans="1:28">
      <c r="A152" s="1">
        <v>10</v>
      </c>
      <c r="B152" s="6">
        <v>45983</v>
      </c>
      <c r="C152" s="1" t="s">
        <v>133</v>
      </c>
      <c r="D152" s="1" t="s">
        <v>129</v>
      </c>
      <c r="E152" s="10" t="str">
        <f>+CONCATENATE(Datos_General[[#This Row],[Eq.Local]], "-", Datos_General[[#This Row],[Eq.Visitante]])</f>
        <v>Conxo Santiago B-C.D. Ribadumia</v>
      </c>
      <c r="F152" s="1" t="s">
        <v>157</v>
      </c>
      <c r="G152" s="1" t="s">
        <v>57</v>
      </c>
      <c r="H152" s="1" t="s">
        <v>12</v>
      </c>
      <c r="I152" s="9">
        <v>2</v>
      </c>
      <c r="J152" s="9">
        <v>1</v>
      </c>
      <c r="K152" s="10" t="str">
        <f>+CONCATENATE(Datos_General[[#This Row],[Goles a Favor_Eq_local]],"-",Datos_General[[#This Row],[Gol a Favor_Eq_Visitante]])</f>
        <v>2-1</v>
      </c>
      <c r="L152" s="1" t="s">
        <v>133</v>
      </c>
      <c r="M152" s="1">
        <v>8</v>
      </c>
      <c r="N152" s="1" t="s">
        <v>146</v>
      </c>
      <c r="O152" s="1">
        <v>1</v>
      </c>
      <c r="P152" s="1" t="s">
        <v>2</v>
      </c>
      <c r="Q152" s="22">
        <v>1</v>
      </c>
      <c r="R152" s="9">
        <v>1</v>
      </c>
      <c r="S152" s="1">
        <v>90</v>
      </c>
      <c r="U152" s="1">
        <f>90-Datos_General[[#This Row],[Minutos Jugados]]</f>
        <v>0</v>
      </c>
      <c r="V152" s="1">
        <v>0</v>
      </c>
      <c r="W152" s="1">
        <v>2</v>
      </c>
      <c r="X152" s="1">
        <v>1</v>
      </c>
      <c r="Y152" s="10" t="str">
        <f>+IF(Datos_General[[#This Row],[Resultado]]="Victoria", "3", IF(Datos_General[[#This Row],[Resultado]]="Empate","1",0))</f>
        <v>3</v>
      </c>
      <c r="Z152" s="11">
        <f>+Datos_General[[#This Row],[Minutos Jugados]]*Datos_General[[#This Row],[Puntos Jug_Campo]]</f>
        <v>270</v>
      </c>
      <c r="AA15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52" s="10" t="str">
        <f>+IF(Datos_General[[#This Row],[Resultado Jug_Campo]] = "Empate", "1",IF(Datos_General[[#This Row],[Resultado Jug_Campo]] = "Victoria", "3","0"))</f>
        <v>3</v>
      </c>
    </row>
    <row r="153" spans="1:28">
      <c r="A153" s="1">
        <v>10</v>
      </c>
      <c r="B153" s="6">
        <v>45983</v>
      </c>
      <c r="C153" s="1" t="s">
        <v>133</v>
      </c>
      <c r="D153" s="1" t="s">
        <v>129</v>
      </c>
      <c r="E153" s="10" t="str">
        <f>+CONCATENATE(Datos_General[[#This Row],[Eq.Local]], "-", Datos_General[[#This Row],[Eq.Visitante]])</f>
        <v>Conxo Santiago B-C.D. Ribadumia</v>
      </c>
      <c r="F153" s="1" t="s">
        <v>157</v>
      </c>
      <c r="G153" s="1" t="s">
        <v>57</v>
      </c>
      <c r="H153" s="1" t="s">
        <v>12</v>
      </c>
      <c r="I153" s="9">
        <v>2</v>
      </c>
      <c r="J153" s="9">
        <v>1</v>
      </c>
      <c r="K153" s="10" t="str">
        <f>+CONCATENATE(Datos_General[[#This Row],[Goles a Favor_Eq_local]],"-",Datos_General[[#This Row],[Gol a Favor_Eq_Visitante]])</f>
        <v>2-1</v>
      </c>
      <c r="L153" s="1" t="s">
        <v>133</v>
      </c>
      <c r="M153" s="1">
        <v>9</v>
      </c>
      <c r="N153" s="1" t="s">
        <v>145</v>
      </c>
      <c r="O153" s="1">
        <v>1</v>
      </c>
      <c r="P153" s="1" t="s">
        <v>2</v>
      </c>
      <c r="Q153" s="22">
        <v>1</v>
      </c>
      <c r="R153" s="9">
        <v>1</v>
      </c>
      <c r="S153" s="1">
        <v>90</v>
      </c>
      <c r="U153" s="1">
        <f>90-Datos_General[[#This Row],[Minutos Jugados]]</f>
        <v>0</v>
      </c>
      <c r="V153" s="1">
        <v>0</v>
      </c>
      <c r="W153" s="1">
        <v>2</v>
      </c>
      <c r="X153" s="1">
        <v>1</v>
      </c>
      <c r="Y153" s="10" t="str">
        <f>+IF(Datos_General[[#This Row],[Resultado]]="Victoria", "3", IF(Datos_General[[#This Row],[Resultado]]="Empate","1",0))</f>
        <v>3</v>
      </c>
      <c r="Z153" s="11">
        <f>+Datos_General[[#This Row],[Minutos Jugados]]*Datos_General[[#This Row],[Puntos Jug_Campo]]</f>
        <v>270</v>
      </c>
      <c r="AA15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53" s="10" t="str">
        <f>+IF(Datos_General[[#This Row],[Resultado Jug_Campo]] = "Empate", "1",IF(Datos_General[[#This Row],[Resultado Jug_Campo]] = "Victoria", "3","0"))</f>
        <v>3</v>
      </c>
    </row>
    <row r="154" spans="1:28">
      <c r="A154" s="1">
        <v>10</v>
      </c>
      <c r="B154" s="6">
        <v>45983</v>
      </c>
      <c r="C154" s="1" t="s">
        <v>133</v>
      </c>
      <c r="D154" s="1" t="s">
        <v>129</v>
      </c>
      <c r="E154" s="10" t="str">
        <f>+CONCATENATE(Datos_General[[#This Row],[Eq.Local]], "-", Datos_General[[#This Row],[Eq.Visitante]])</f>
        <v>Conxo Santiago B-C.D. Ribadumia</v>
      </c>
      <c r="F154" s="1" t="s">
        <v>157</v>
      </c>
      <c r="G154" s="1" t="s">
        <v>57</v>
      </c>
      <c r="H154" s="1" t="s">
        <v>12</v>
      </c>
      <c r="I154" s="9">
        <v>2</v>
      </c>
      <c r="J154" s="9">
        <v>1</v>
      </c>
      <c r="K154" s="10" t="str">
        <f>+CONCATENATE(Datos_General[[#This Row],[Goles a Favor_Eq_local]],"-",Datos_General[[#This Row],[Gol a Favor_Eq_Visitante]])</f>
        <v>2-1</v>
      </c>
      <c r="L154" s="1" t="s">
        <v>133</v>
      </c>
      <c r="M154" s="1">
        <v>10</v>
      </c>
      <c r="N154" s="1" t="s">
        <v>147</v>
      </c>
      <c r="O154" s="1">
        <v>1</v>
      </c>
      <c r="P154" s="1" t="s">
        <v>2</v>
      </c>
      <c r="Q154" s="22">
        <v>1</v>
      </c>
      <c r="R154" s="9">
        <v>1</v>
      </c>
      <c r="S154" s="1">
        <v>90</v>
      </c>
      <c r="U154" s="1">
        <f>90-Datos_General[[#This Row],[Minutos Jugados]]</f>
        <v>0</v>
      </c>
      <c r="V154" s="1">
        <v>1</v>
      </c>
      <c r="W154" s="1">
        <v>2</v>
      </c>
      <c r="X154" s="1">
        <v>1</v>
      </c>
      <c r="Y154" s="10" t="str">
        <f>+IF(Datos_General[[#This Row],[Resultado]]="Victoria", "3", IF(Datos_General[[#This Row],[Resultado]]="Empate","1",0))</f>
        <v>3</v>
      </c>
      <c r="Z154" s="11">
        <f>+Datos_General[[#This Row],[Minutos Jugados]]*Datos_General[[#This Row],[Puntos Jug_Campo]]</f>
        <v>270</v>
      </c>
      <c r="AA15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54" s="10" t="str">
        <f>+IF(Datos_General[[#This Row],[Resultado Jug_Campo]] = "Empate", "1",IF(Datos_General[[#This Row],[Resultado Jug_Campo]] = "Victoria", "3","0"))</f>
        <v>3</v>
      </c>
    </row>
    <row r="155" spans="1:28">
      <c r="A155" s="1">
        <v>10</v>
      </c>
      <c r="B155" s="6">
        <v>45983</v>
      </c>
      <c r="C155" s="1" t="s">
        <v>133</v>
      </c>
      <c r="D155" s="1" t="s">
        <v>129</v>
      </c>
      <c r="E155" s="10" t="str">
        <f>+CONCATENATE(Datos_General[[#This Row],[Eq.Local]], "-", Datos_General[[#This Row],[Eq.Visitante]])</f>
        <v>Conxo Santiago B-C.D. Ribadumia</v>
      </c>
      <c r="F155" s="1" t="s">
        <v>157</v>
      </c>
      <c r="G155" s="1" t="s">
        <v>57</v>
      </c>
      <c r="H155" s="1" t="s">
        <v>12</v>
      </c>
      <c r="I155" s="9">
        <v>2</v>
      </c>
      <c r="J155" s="9">
        <v>1</v>
      </c>
      <c r="K155" s="10" t="str">
        <f>+CONCATENATE(Datos_General[[#This Row],[Goles a Favor_Eq_local]],"-",Datos_General[[#This Row],[Gol a Favor_Eq_Visitante]])</f>
        <v>2-1</v>
      </c>
      <c r="L155" s="1" t="s">
        <v>133</v>
      </c>
      <c r="M155" s="1">
        <v>11</v>
      </c>
      <c r="N155" s="1" t="s">
        <v>163</v>
      </c>
      <c r="O155" s="1">
        <v>1</v>
      </c>
      <c r="P155" s="1" t="s">
        <v>2</v>
      </c>
      <c r="Q155" s="22">
        <v>1</v>
      </c>
      <c r="R155" s="9">
        <v>1</v>
      </c>
      <c r="S155" s="1">
        <v>46</v>
      </c>
      <c r="T155" s="1" t="s">
        <v>143</v>
      </c>
      <c r="U155" s="1">
        <f>90-Datos_General[[#This Row],[Minutos Jugados]]</f>
        <v>44</v>
      </c>
      <c r="V155" s="1">
        <v>0</v>
      </c>
      <c r="W155" s="1">
        <v>1</v>
      </c>
      <c r="X155" s="1">
        <v>1</v>
      </c>
      <c r="Y155" s="10" t="str">
        <f>+IF(Datos_General[[#This Row],[Resultado]]="Victoria", "3", IF(Datos_General[[#This Row],[Resultado]]="Empate","1",0))</f>
        <v>3</v>
      </c>
      <c r="Z155" s="11">
        <f>+Datos_General[[#This Row],[Minutos Jugados]]*Datos_General[[#This Row],[Puntos Jug_Campo]]</f>
        <v>46</v>
      </c>
      <c r="AA15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55" s="10" t="str">
        <f>+IF(Datos_General[[#This Row],[Resultado Jug_Campo]] = "Empate", "1",IF(Datos_General[[#This Row],[Resultado Jug_Campo]] = "Victoria", "3","0"))</f>
        <v>1</v>
      </c>
    </row>
    <row r="156" spans="1:28">
      <c r="A156" s="1">
        <v>10</v>
      </c>
      <c r="B156" s="6">
        <v>45983</v>
      </c>
      <c r="C156" s="1" t="s">
        <v>133</v>
      </c>
      <c r="D156" s="1" t="s">
        <v>129</v>
      </c>
      <c r="E156" s="10" t="str">
        <f>+CONCATENATE(Datos_General[[#This Row],[Eq.Local]], "-", Datos_General[[#This Row],[Eq.Visitante]])</f>
        <v>Conxo Santiago B-C.D. Ribadumia</v>
      </c>
      <c r="F156" s="1" t="s">
        <v>157</v>
      </c>
      <c r="G156" s="1" t="s">
        <v>57</v>
      </c>
      <c r="H156" s="1" t="s">
        <v>12</v>
      </c>
      <c r="I156" s="9">
        <v>2</v>
      </c>
      <c r="J156" s="9">
        <v>1</v>
      </c>
      <c r="K156" s="10" t="str">
        <f>+CONCATENATE(Datos_General[[#This Row],[Goles a Favor_Eq_local]],"-",Datos_General[[#This Row],[Gol a Favor_Eq_Visitante]])</f>
        <v>2-1</v>
      </c>
      <c r="L156" s="1" t="s">
        <v>133</v>
      </c>
      <c r="M156" s="1">
        <v>13</v>
      </c>
      <c r="N156" s="1" t="s">
        <v>137</v>
      </c>
      <c r="O156" s="1">
        <v>1</v>
      </c>
      <c r="P156" s="1" t="s">
        <v>70</v>
      </c>
      <c r="Q156" s="7">
        <f>+IF(Datos_General[[#This Row],[Minutos Jugados]]&gt;0, 1, 0)</f>
        <v>0</v>
      </c>
      <c r="R156" s="23">
        <v>0</v>
      </c>
      <c r="S156" s="8">
        <f>IFERROR(IF(MATCH(N156,$T$145:$T$160,0), INDEX($U$145:$U$160,MATCH(N156,$T$145:$T$160,0))),0)</f>
        <v>0</v>
      </c>
      <c r="U156" s="1">
        <f>90-Datos_General[[#This Row],[Minutos Jugados]]</f>
        <v>90</v>
      </c>
      <c r="V156" s="1">
        <v>0</v>
      </c>
      <c r="W156" s="1">
        <v>0</v>
      </c>
      <c r="X156" s="1">
        <v>0</v>
      </c>
      <c r="Y156" s="10" t="str">
        <f>+IF(Datos_General[[#This Row],[Resultado]]="Victoria", "3", IF(Datos_General[[#This Row],[Resultado]]="Empate","1",0))</f>
        <v>3</v>
      </c>
      <c r="Z156" s="11">
        <f>+Datos_General[[#This Row],[Minutos Jugados]]*Datos_General[[#This Row],[Puntos Jug_Campo]]</f>
        <v>0</v>
      </c>
      <c r="AA15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156" s="10" t="str">
        <f>+IF(Datos_General[[#This Row],[Resultado Jug_Campo]] = "Empate", "1",IF(Datos_General[[#This Row],[Resultado Jug_Campo]] = "Victoria", "3","0"))</f>
        <v>0</v>
      </c>
    </row>
    <row r="157" spans="1:28">
      <c r="A157" s="1">
        <v>10</v>
      </c>
      <c r="B157" s="6">
        <v>45983</v>
      </c>
      <c r="C157" s="1" t="s">
        <v>133</v>
      </c>
      <c r="D157" s="1" t="s">
        <v>129</v>
      </c>
      <c r="E157" s="10" t="str">
        <f>+CONCATENATE(Datos_General[[#This Row],[Eq.Local]], "-", Datos_General[[#This Row],[Eq.Visitante]])</f>
        <v>Conxo Santiago B-C.D. Ribadumia</v>
      </c>
      <c r="F157" s="1" t="s">
        <v>157</v>
      </c>
      <c r="G157" s="1" t="s">
        <v>57</v>
      </c>
      <c r="H157" s="1" t="s">
        <v>12</v>
      </c>
      <c r="I157" s="9">
        <v>2</v>
      </c>
      <c r="J157" s="9">
        <v>1</v>
      </c>
      <c r="K157" s="10" t="str">
        <f>+CONCATENATE(Datos_General[[#This Row],[Goles a Favor_Eq_local]],"-",Datos_General[[#This Row],[Gol a Favor_Eq_Visitante]])</f>
        <v>2-1</v>
      </c>
      <c r="L157" s="1" t="s">
        <v>133</v>
      </c>
      <c r="M157" s="1">
        <v>12</v>
      </c>
      <c r="N157" s="1" t="s">
        <v>152</v>
      </c>
      <c r="O157" s="1">
        <v>1</v>
      </c>
      <c r="P157" s="1" t="s">
        <v>70</v>
      </c>
      <c r="Q157" s="7">
        <f>+IF(Datos_General[[#This Row],[Minutos Jugados]]&gt;0, 1, 0)</f>
        <v>1</v>
      </c>
      <c r="R157" s="23">
        <v>0</v>
      </c>
      <c r="S157" s="8">
        <f t="shared" ref="S157:S160" si="1">IFERROR(IF(MATCH(N157,$T$145:$T$160,0), INDEX($U$145:$U$160,MATCH(N157,$T$145:$T$160,0))),0)</f>
        <v>27</v>
      </c>
      <c r="U157" s="1">
        <f>90-Datos_General[[#This Row],[Minutos Jugados]]</f>
        <v>63</v>
      </c>
      <c r="V157" s="1">
        <v>0</v>
      </c>
      <c r="W157" s="1">
        <v>1</v>
      </c>
      <c r="X157" s="1">
        <v>0</v>
      </c>
      <c r="Y157" s="10" t="str">
        <f>+IF(Datos_General[[#This Row],[Resultado]]="Victoria", "3", IF(Datos_General[[#This Row],[Resultado]]="Empate","1",0))</f>
        <v>3</v>
      </c>
      <c r="Z157" s="11">
        <f>+Datos_General[[#This Row],[Minutos Jugados]]*Datos_General[[#This Row],[Puntos Jug_Campo]]</f>
        <v>81</v>
      </c>
      <c r="AA15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57" s="10" t="str">
        <f>+IF(Datos_General[[#This Row],[Resultado Jug_Campo]] = "Empate", "1",IF(Datos_General[[#This Row],[Resultado Jug_Campo]] = "Victoria", "3","0"))</f>
        <v>3</v>
      </c>
    </row>
    <row r="158" spans="1:28">
      <c r="A158" s="1">
        <v>10</v>
      </c>
      <c r="B158" s="6">
        <v>45983</v>
      </c>
      <c r="C158" s="1" t="s">
        <v>133</v>
      </c>
      <c r="D158" s="1" t="s">
        <v>129</v>
      </c>
      <c r="E158" s="10" t="str">
        <f>+CONCATENATE(Datos_General[[#This Row],[Eq.Local]], "-", Datos_General[[#This Row],[Eq.Visitante]])</f>
        <v>Conxo Santiago B-C.D. Ribadumia</v>
      </c>
      <c r="F158" s="1" t="s">
        <v>157</v>
      </c>
      <c r="G158" s="1" t="s">
        <v>57</v>
      </c>
      <c r="H158" s="1" t="s">
        <v>12</v>
      </c>
      <c r="I158" s="9">
        <v>2</v>
      </c>
      <c r="J158" s="9">
        <v>1</v>
      </c>
      <c r="K158" s="10" t="str">
        <f>+CONCATENATE(Datos_General[[#This Row],[Goles a Favor_Eq_local]],"-",Datos_General[[#This Row],[Gol a Favor_Eq_Visitante]])</f>
        <v>2-1</v>
      </c>
      <c r="L158" s="1" t="s">
        <v>133</v>
      </c>
      <c r="M158" s="1">
        <v>14</v>
      </c>
      <c r="N158" s="1" t="s">
        <v>156</v>
      </c>
      <c r="O158" s="1">
        <v>1</v>
      </c>
      <c r="P158" s="1" t="s">
        <v>70</v>
      </c>
      <c r="Q158" s="7">
        <f>+IF(Datos_General[[#This Row],[Minutos Jugados]]&gt;0, 1, 0)</f>
        <v>1</v>
      </c>
      <c r="R158" s="23">
        <v>0</v>
      </c>
      <c r="S158" s="8">
        <f t="shared" si="1"/>
        <v>27</v>
      </c>
      <c r="U158" s="1">
        <f>90-Datos_General[[#This Row],[Minutos Jugados]]</f>
        <v>63</v>
      </c>
      <c r="V158" s="1">
        <v>0</v>
      </c>
      <c r="W158" s="1">
        <v>1</v>
      </c>
      <c r="X158" s="1">
        <v>0</v>
      </c>
      <c r="Y158" s="10" t="str">
        <f>+IF(Datos_General[[#This Row],[Resultado]]="Victoria", "3", IF(Datos_General[[#This Row],[Resultado]]="Empate","1",0))</f>
        <v>3</v>
      </c>
      <c r="Z158" s="11">
        <f>+Datos_General[[#This Row],[Minutos Jugados]]*Datos_General[[#This Row],[Puntos Jug_Campo]]</f>
        <v>81</v>
      </c>
      <c r="AA15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58" s="10" t="str">
        <f>+IF(Datos_General[[#This Row],[Resultado Jug_Campo]] = "Empate", "1",IF(Datos_General[[#This Row],[Resultado Jug_Campo]] = "Victoria", "3","0"))</f>
        <v>3</v>
      </c>
    </row>
    <row r="159" spans="1:28">
      <c r="A159" s="1">
        <v>10</v>
      </c>
      <c r="B159" s="6">
        <v>45983</v>
      </c>
      <c r="C159" s="1" t="s">
        <v>133</v>
      </c>
      <c r="D159" s="1" t="s">
        <v>129</v>
      </c>
      <c r="E159" s="10" t="str">
        <f>+CONCATENATE(Datos_General[[#This Row],[Eq.Local]], "-", Datos_General[[#This Row],[Eq.Visitante]])</f>
        <v>Conxo Santiago B-C.D. Ribadumia</v>
      </c>
      <c r="F159" s="1" t="s">
        <v>157</v>
      </c>
      <c r="G159" s="1" t="s">
        <v>57</v>
      </c>
      <c r="H159" s="1" t="s">
        <v>12</v>
      </c>
      <c r="I159" s="9">
        <v>2</v>
      </c>
      <c r="J159" s="9">
        <v>1</v>
      </c>
      <c r="K159" s="10" t="str">
        <f>+CONCATENATE(Datos_General[[#This Row],[Goles a Favor_Eq_local]],"-",Datos_General[[#This Row],[Gol a Favor_Eq_Visitante]])</f>
        <v>2-1</v>
      </c>
      <c r="L159" s="1" t="s">
        <v>133</v>
      </c>
      <c r="M159" s="1">
        <v>15</v>
      </c>
      <c r="N159" s="1" t="s">
        <v>150</v>
      </c>
      <c r="O159" s="1">
        <v>1</v>
      </c>
      <c r="P159" s="1" t="s">
        <v>70</v>
      </c>
      <c r="Q159" s="7">
        <f>+IF(Datos_General[[#This Row],[Minutos Jugados]]&gt;0, 1, 0)</f>
        <v>1</v>
      </c>
      <c r="R159" s="23">
        <v>0</v>
      </c>
      <c r="S159" s="8">
        <f t="shared" si="1"/>
        <v>18</v>
      </c>
      <c r="U159" s="1">
        <f>90-Datos_General[[#This Row],[Minutos Jugados]]</f>
        <v>72</v>
      </c>
      <c r="V159" s="1">
        <v>0</v>
      </c>
      <c r="W159" s="1">
        <v>1</v>
      </c>
      <c r="X159" s="1">
        <v>0</v>
      </c>
      <c r="Y159" s="10" t="str">
        <f>+IF(Datos_General[[#This Row],[Resultado]]="Victoria", "3", IF(Datos_General[[#This Row],[Resultado]]="Empate","1",0))</f>
        <v>3</v>
      </c>
      <c r="Z159" s="11">
        <f>+Datos_General[[#This Row],[Minutos Jugados]]*Datos_General[[#This Row],[Puntos Jug_Campo]]</f>
        <v>54</v>
      </c>
      <c r="AA15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59" s="10" t="str">
        <f>+IF(Datos_General[[#This Row],[Resultado Jug_Campo]] = "Empate", "1",IF(Datos_General[[#This Row],[Resultado Jug_Campo]] = "Victoria", "3","0"))</f>
        <v>3</v>
      </c>
    </row>
    <row r="160" spans="1:28">
      <c r="A160" s="1">
        <v>10</v>
      </c>
      <c r="B160" s="6">
        <v>45983</v>
      </c>
      <c r="C160" s="1" t="s">
        <v>133</v>
      </c>
      <c r="D160" s="1" t="s">
        <v>129</v>
      </c>
      <c r="E160" s="10" t="str">
        <f>+CONCATENATE(Datos_General[[#This Row],[Eq.Local]], "-", Datos_General[[#This Row],[Eq.Visitante]])</f>
        <v>Conxo Santiago B-C.D. Ribadumia</v>
      </c>
      <c r="F160" s="1" t="s">
        <v>157</v>
      </c>
      <c r="G160" s="1" t="s">
        <v>57</v>
      </c>
      <c r="H160" s="1" t="s">
        <v>12</v>
      </c>
      <c r="I160" s="9">
        <v>2</v>
      </c>
      <c r="J160" s="9">
        <v>1</v>
      </c>
      <c r="K160" s="10" t="str">
        <f>+CONCATENATE(Datos_General[[#This Row],[Goles a Favor_Eq_local]],"-",Datos_General[[#This Row],[Gol a Favor_Eq_Visitante]])</f>
        <v>2-1</v>
      </c>
      <c r="L160" s="1" t="s">
        <v>133</v>
      </c>
      <c r="M160" s="1">
        <v>16</v>
      </c>
      <c r="N160" s="1" t="s">
        <v>143</v>
      </c>
      <c r="O160" s="1">
        <v>1</v>
      </c>
      <c r="P160" s="1" t="s">
        <v>70</v>
      </c>
      <c r="Q160" s="7">
        <f>+IF(Datos_General[[#This Row],[Minutos Jugados]]&gt;0, 1, 0)</f>
        <v>1</v>
      </c>
      <c r="R160" s="23">
        <v>0</v>
      </c>
      <c r="S160" s="8">
        <f t="shared" si="1"/>
        <v>44</v>
      </c>
      <c r="U160" s="1">
        <f>90-Datos_General[[#This Row],[Minutos Jugados]]</f>
        <v>46</v>
      </c>
      <c r="V160" s="1">
        <v>0</v>
      </c>
      <c r="W160" s="1">
        <v>1</v>
      </c>
      <c r="X160" s="1">
        <v>0</v>
      </c>
      <c r="Y160" s="10" t="str">
        <f>+IF(Datos_General[[#This Row],[Resultado]]="Victoria", "3", IF(Datos_General[[#This Row],[Resultado]]="Empate","1",0))</f>
        <v>3</v>
      </c>
      <c r="Z160" s="11">
        <f>+Datos_General[[#This Row],[Minutos Jugados]]*Datos_General[[#This Row],[Puntos Jug_Campo]]</f>
        <v>132</v>
      </c>
      <c r="AA16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160" s="10" t="str">
        <f>+IF(Datos_General[[#This Row],[Resultado Jug_Campo]] = "Empate", "1",IF(Datos_General[[#This Row],[Resultado Jug_Campo]] = "Victoria", "3","0"))</f>
        <v>3</v>
      </c>
    </row>
    <row r="161" spans="1:28">
      <c r="A161" s="1">
        <v>11</v>
      </c>
      <c r="B161" s="6">
        <v>45990</v>
      </c>
      <c r="C161" s="1" t="s">
        <v>131</v>
      </c>
      <c r="D161" s="1" t="s">
        <v>133</v>
      </c>
      <c r="E161" s="10" t="str">
        <f>+CONCATENATE(Datos_General[[#This Row],[Eq.Local]], "-", Datos_General[[#This Row],[Eq.Visitante]])</f>
        <v>Escola Estrada F.B.-Conxo Santiago B</v>
      </c>
      <c r="F161" s="1" t="s">
        <v>195</v>
      </c>
      <c r="G161" s="1" t="s">
        <v>58</v>
      </c>
      <c r="H161" s="1" t="s">
        <v>43</v>
      </c>
      <c r="I161" s="9">
        <v>8</v>
      </c>
      <c r="J161" s="9">
        <v>0</v>
      </c>
      <c r="K161" s="10" t="str">
        <f>+CONCATENATE(Datos_General[[#This Row],[Goles a Favor_Eq_local]],"-",Datos_General[[#This Row],[Gol a Favor_Eq_Visitante]])</f>
        <v>8-0</v>
      </c>
      <c r="L161" s="1" t="s">
        <v>133</v>
      </c>
      <c r="M161" s="1">
        <v>1</v>
      </c>
      <c r="N161" s="1" t="s">
        <v>137</v>
      </c>
      <c r="O161" s="1">
        <v>1</v>
      </c>
      <c r="P161" s="1" t="s">
        <v>2</v>
      </c>
      <c r="Q161" s="22">
        <v>1</v>
      </c>
      <c r="R161" s="9">
        <v>1</v>
      </c>
      <c r="S161" s="1">
        <v>90</v>
      </c>
      <c r="U161" s="1">
        <f>90-Datos_General[[#This Row],[Minutos Jugados]]</f>
        <v>0</v>
      </c>
      <c r="V161" s="1">
        <v>0</v>
      </c>
      <c r="W161" s="1">
        <v>0</v>
      </c>
      <c r="X161" s="1">
        <v>8</v>
      </c>
      <c r="Y161" s="10">
        <f>+IF(Datos_General[[#This Row],[Resultado]]="Victoria", "3", IF(Datos_General[[#This Row],[Resultado]]="Empate","1",0))</f>
        <v>0</v>
      </c>
      <c r="Z161" s="11">
        <f>+Datos_General[[#This Row],[Minutos Jugados]]*Datos_General[[#This Row],[Puntos Jug_Campo]]</f>
        <v>0</v>
      </c>
      <c r="AA16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61" s="10" t="str">
        <f>+IF(Datos_General[[#This Row],[Resultado Jug_Campo]] = "Empate", "1",IF(Datos_General[[#This Row],[Resultado Jug_Campo]] = "Victoria", "3","0"))</f>
        <v>0</v>
      </c>
    </row>
    <row r="162" spans="1:28">
      <c r="A162" s="1">
        <v>11</v>
      </c>
      <c r="B162" s="6">
        <v>45990</v>
      </c>
      <c r="C162" s="1" t="s">
        <v>131</v>
      </c>
      <c r="D162" s="1" t="s">
        <v>133</v>
      </c>
      <c r="E162" s="10" t="str">
        <f>+CONCATENATE(Datos_General[[#This Row],[Eq.Local]], "-", Datos_General[[#This Row],[Eq.Visitante]])</f>
        <v>Escola Estrada F.B.-Conxo Santiago B</v>
      </c>
      <c r="F162" s="1" t="s">
        <v>195</v>
      </c>
      <c r="G162" s="1" t="s">
        <v>58</v>
      </c>
      <c r="H162" s="1" t="s">
        <v>43</v>
      </c>
      <c r="I162" s="9">
        <v>8</v>
      </c>
      <c r="J162" s="9">
        <v>0</v>
      </c>
      <c r="K162" s="10" t="str">
        <f>+CONCATENATE(Datos_General[[#This Row],[Goles a Favor_Eq_local]],"-",Datos_General[[#This Row],[Gol a Favor_Eq_Visitante]])</f>
        <v>8-0</v>
      </c>
      <c r="L162" s="1" t="s">
        <v>133</v>
      </c>
      <c r="M162" s="1">
        <v>2</v>
      </c>
      <c r="N162" s="1" t="s">
        <v>138</v>
      </c>
      <c r="O162" s="1">
        <v>1</v>
      </c>
      <c r="P162" s="1" t="s">
        <v>2</v>
      </c>
      <c r="Q162" s="22">
        <v>1</v>
      </c>
      <c r="R162" s="9">
        <v>1</v>
      </c>
      <c r="S162" s="1">
        <v>90</v>
      </c>
      <c r="U162" s="1">
        <f>90-Datos_General[[#This Row],[Minutos Jugados]]</f>
        <v>0</v>
      </c>
      <c r="V162" s="1">
        <v>0</v>
      </c>
      <c r="W162" s="1">
        <v>0</v>
      </c>
      <c r="X162" s="1">
        <v>8</v>
      </c>
      <c r="Y162" s="10">
        <f>+IF(Datos_General[[#This Row],[Resultado]]="Victoria", "3", IF(Datos_General[[#This Row],[Resultado]]="Empate","1",0))</f>
        <v>0</v>
      </c>
      <c r="Z162" s="11">
        <f>+Datos_General[[#This Row],[Minutos Jugados]]*Datos_General[[#This Row],[Puntos Jug_Campo]]</f>
        <v>0</v>
      </c>
      <c r="AA16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62" s="10" t="str">
        <f>+IF(Datos_General[[#This Row],[Resultado Jug_Campo]] = "Empate", "1",IF(Datos_General[[#This Row],[Resultado Jug_Campo]] = "Victoria", "3","0"))</f>
        <v>0</v>
      </c>
    </row>
    <row r="163" spans="1:28">
      <c r="A163" s="1">
        <v>11</v>
      </c>
      <c r="B163" s="6">
        <v>45990</v>
      </c>
      <c r="C163" s="1" t="s">
        <v>131</v>
      </c>
      <c r="D163" s="1" t="s">
        <v>133</v>
      </c>
      <c r="E163" s="10" t="str">
        <f>+CONCATENATE(Datos_General[[#This Row],[Eq.Local]], "-", Datos_General[[#This Row],[Eq.Visitante]])</f>
        <v>Escola Estrada F.B.-Conxo Santiago B</v>
      </c>
      <c r="F163" s="1" t="s">
        <v>195</v>
      </c>
      <c r="G163" s="1" t="s">
        <v>58</v>
      </c>
      <c r="H163" s="1" t="s">
        <v>43</v>
      </c>
      <c r="I163" s="9">
        <v>8</v>
      </c>
      <c r="J163" s="9">
        <v>0</v>
      </c>
      <c r="K163" s="10" t="str">
        <f>+CONCATENATE(Datos_General[[#This Row],[Goles a Favor_Eq_local]],"-",Datos_General[[#This Row],[Gol a Favor_Eq_Visitante]])</f>
        <v>8-0</v>
      </c>
      <c r="L163" s="1" t="s">
        <v>133</v>
      </c>
      <c r="M163" s="1">
        <v>3</v>
      </c>
      <c r="N163" s="1" t="s">
        <v>144</v>
      </c>
      <c r="O163" s="1">
        <v>1</v>
      </c>
      <c r="P163" s="1" t="s">
        <v>2</v>
      </c>
      <c r="Q163" s="22">
        <v>1</v>
      </c>
      <c r="R163" s="9">
        <v>1</v>
      </c>
      <c r="S163" s="1">
        <v>90</v>
      </c>
      <c r="U163" s="1">
        <f>90-Datos_General[[#This Row],[Minutos Jugados]]</f>
        <v>0</v>
      </c>
      <c r="V163" s="1">
        <v>0</v>
      </c>
      <c r="W163" s="1">
        <v>0</v>
      </c>
      <c r="X163" s="1">
        <v>8</v>
      </c>
      <c r="Y163" s="10">
        <f>+IF(Datos_General[[#This Row],[Resultado]]="Victoria", "3", IF(Datos_General[[#This Row],[Resultado]]="Empate","1",0))</f>
        <v>0</v>
      </c>
      <c r="Z163" s="11">
        <f>+Datos_General[[#This Row],[Minutos Jugados]]*Datos_General[[#This Row],[Puntos Jug_Campo]]</f>
        <v>0</v>
      </c>
      <c r="AA16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63" s="10" t="str">
        <f>+IF(Datos_General[[#This Row],[Resultado Jug_Campo]] = "Empate", "1",IF(Datos_General[[#This Row],[Resultado Jug_Campo]] = "Victoria", "3","0"))</f>
        <v>0</v>
      </c>
    </row>
    <row r="164" spans="1:28">
      <c r="A164" s="1">
        <v>11</v>
      </c>
      <c r="B164" s="6">
        <v>45990</v>
      </c>
      <c r="C164" s="1" t="s">
        <v>131</v>
      </c>
      <c r="D164" s="1" t="s">
        <v>133</v>
      </c>
      <c r="E164" s="10" t="str">
        <f>+CONCATENATE(Datos_General[[#This Row],[Eq.Local]], "-", Datos_General[[#This Row],[Eq.Visitante]])</f>
        <v>Escola Estrada F.B.-Conxo Santiago B</v>
      </c>
      <c r="F164" s="1" t="s">
        <v>195</v>
      </c>
      <c r="G164" s="1" t="s">
        <v>58</v>
      </c>
      <c r="H164" s="1" t="s">
        <v>43</v>
      </c>
      <c r="I164" s="9">
        <v>8</v>
      </c>
      <c r="J164" s="9">
        <v>0</v>
      </c>
      <c r="K164" s="10" t="str">
        <f>+CONCATENATE(Datos_General[[#This Row],[Goles a Favor_Eq_local]],"-",Datos_General[[#This Row],[Gol a Favor_Eq_Visitante]])</f>
        <v>8-0</v>
      </c>
      <c r="L164" s="1" t="s">
        <v>133</v>
      </c>
      <c r="M164" s="1">
        <v>4</v>
      </c>
      <c r="N164" s="1" t="s">
        <v>140</v>
      </c>
      <c r="O164" s="1">
        <v>1</v>
      </c>
      <c r="P164" s="1" t="s">
        <v>2</v>
      </c>
      <c r="Q164" s="22">
        <v>1</v>
      </c>
      <c r="R164" s="9">
        <v>1</v>
      </c>
      <c r="S164" s="1">
        <v>46</v>
      </c>
      <c r="T164" s="1" t="s">
        <v>166</v>
      </c>
      <c r="U164" s="1">
        <f>90-Datos_General[[#This Row],[Minutos Jugados]]</f>
        <v>44</v>
      </c>
      <c r="V164" s="1">
        <v>0</v>
      </c>
      <c r="W164" s="1">
        <v>0</v>
      </c>
      <c r="X164" s="1">
        <v>7</v>
      </c>
      <c r="Y164" s="10">
        <f>+IF(Datos_General[[#This Row],[Resultado]]="Victoria", "3", IF(Datos_General[[#This Row],[Resultado]]="Empate","1",0))</f>
        <v>0</v>
      </c>
      <c r="Z164" s="11">
        <f>+Datos_General[[#This Row],[Minutos Jugados]]*Datos_General[[#This Row],[Puntos Jug_Campo]]</f>
        <v>0</v>
      </c>
      <c r="AA16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64" s="10" t="str">
        <f>+IF(Datos_General[[#This Row],[Resultado Jug_Campo]] = "Empate", "1",IF(Datos_General[[#This Row],[Resultado Jug_Campo]] = "Victoria", "3","0"))</f>
        <v>0</v>
      </c>
    </row>
    <row r="165" spans="1:28">
      <c r="A165" s="1">
        <v>11</v>
      </c>
      <c r="B165" s="6">
        <v>45990</v>
      </c>
      <c r="C165" s="1" t="s">
        <v>131</v>
      </c>
      <c r="D165" s="1" t="s">
        <v>133</v>
      </c>
      <c r="E165" s="10" t="str">
        <f>+CONCATENATE(Datos_General[[#This Row],[Eq.Local]], "-", Datos_General[[#This Row],[Eq.Visitante]])</f>
        <v>Escola Estrada F.B.-Conxo Santiago B</v>
      </c>
      <c r="F165" s="1" t="s">
        <v>195</v>
      </c>
      <c r="G165" s="1" t="s">
        <v>58</v>
      </c>
      <c r="H165" s="1" t="s">
        <v>43</v>
      </c>
      <c r="I165" s="9">
        <v>8</v>
      </c>
      <c r="J165" s="9">
        <v>0</v>
      </c>
      <c r="K165" s="10" t="str">
        <f>+CONCATENATE(Datos_General[[#This Row],[Goles a Favor_Eq_local]],"-",Datos_General[[#This Row],[Gol a Favor_Eq_Visitante]])</f>
        <v>8-0</v>
      </c>
      <c r="L165" s="1" t="s">
        <v>133</v>
      </c>
      <c r="M165" s="1">
        <v>5</v>
      </c>
      <c r="N165" s="1" t="s">
        <v>162</v>
      </c>
      <c r="O165" s="1">
        <v>1</v>
      </c>
      <c r="P165" s="1" t="s">
        <v>2</v>
      </c>
      <c r="Q165" s="22">
        <v>1</v>
      </c>
      <c r="R165" s="9">
        <v>1</v>
      </c>
      <c r="S165" s="1">
        <v>46</v>
      </c>
      <c r="T165" s="1" t="s">
        <v>194</v>
      </c>
      <c r="U165" s="1">
        <f>90-Datos_General[[#This Row],[Minutos Jugados]]</f>
        <v>44</v>
      </c>
      <c r="V165" s="1">
        <v>0</v>
      </c>
      <c r="W165" s="1">
        <v>0</v>
      </c>
      <c r="X165" s="1">
        <v>7</v>
      </c>
      <c r="Y165" s="10">
        <f>+IF(Datos_General[[#This Row],[Resultado]]="Victoria", "3", IF(Datos_General[[#This Row],[Resultado]]="Empate","1",0))</f>
        <v>0</v>
      </c>
      <c r="Z165" s="11">
        <f>+Datos_General[[#This Row],[Minutos Jugados]]*Datos_General[[#This Row],[Puntos Jug_Campo]]</f>
        <v>0</v>
      </c>
      <c r="AA16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65" s="10" t="str">
        <f>+IF(Datos_General[[#This Row],[Resultado Jug_Campo]] = "Empate", "1",IF(Datos_General[[#This Row],[Resultado Jug_Campo]] = "Victoria", "3","0"))</f>
        <v>0</v>
      </c>
    </row>
    <row r="166" spans="1:28">
      <c r="A166" s="1">
        <v>11</v>
      </c>
      <c r="B166" s="6">
        <v>45990</v>
      </c>
      <c r="C166" s="1" t="s">
        <v>131</v>
      </c>
      <c r="D166" s="1" t="s">
        <v>133</v>
      </c>
      <c r="E166" s="10" t="str">
        <f>+CONCATENATE(Datos_General[[#This Row],[Eq.Local]], "-", Datos_General[[#This Row],[Eq.Visitante]])</f>
        <v>Escola Estrada F.B.-Conxo Santiago B</v>
      </c>
      <c r="F166" s="1" t="s">
        <v>195</v>
      </c>
      <c r="G166" s="1" t="s">
        <v>58</v>
      </c>
      <c r="H166" s="1" t="s">
        <v>43</v>
      </c>
      <c r="I166" s="9">
        <v>8</v>
      </c>
      <c r="J166" s="9">
        <v>0</v>
      </c>
      <c r="K166" s="10" t="str">
        <f>+CONCATENATE(Datos_General[[#This Row],[Goles a Favor_Eq_local]],"-",Datos_General[[#This Row],[Gol a Favor_Eq_Visitante]])</f>
        <v>8-0</v>
      </c>
      <c r="L166" s="1" t="s">
        <v>133</v>
      </c>
      <c r="M166" s="1">
        <v>6</v>
      </c>
      <c r="N166" s="1" t="s">
        <v>165</v>
      </c>
      <c r="O166" s="1">
        <v>1</v>
      </c>
      <c r="P166" s="1" t="s">
        <v>2</v>
      </c>
      <c r="Q166" s="22">
        <v>1</v>
      </c>
      <c r="R166" s="9">
        <v>1</v>
      </c>
      <c r="S166" s="1">
        <v>90</v>
      </c>
      <c r="U166" s="1">
        <f>90-Datos_General[[#This Row],[Minutos Jugados]]</f>
        <v>0</v>
      </c>
      <c r="V166" s="1">
        <v>0</v>
      </c>
      <c r="W166" s="1">
        <v>0</v>
      </c>
      <c r="X166" s="1">
        <v>8</v>
      </c>
      <c r="Y166" s="10">
        <f>+IF(Datos_General[[#This Row],[Resultado]]="Victoria", "3", IF(Datos_General[[#This Row],[Resultado]]="Empate","1",0))</f>
        <v>0</v>
      </c>
      <c r="Z166" s="11">
        <f>+Datos_General[[#This Row],[Minutos Jugados]]*Datos_General[[#This Row],[Puntos Jug_Campo]]</f>
        <v>0</v>
      </c>
      <c r="AA16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66" s="10" t="str">
        <f>+IF(Datos_General[[#This Row],[Resultado Jug_Campo]] = "Empate", "1",IF(Datos_General[[#This Row],[Resultado Jug_Campo]] = "Victoria", "3","0"))</f>
        <v>0</v>
      </c>
    </row>
    <row r="167" spans="1:28">
      <c r="A167" s="1">
        <v>11</v>
      </c>
      <c r="B167" s="6">
        <v>45990</v>
      </c>
      <c r="C167" s="1" t="s">
        <v>131</v>
      </c>
      <c r="D167" s="1" t="s">
        <v>133</v>
      </c>
      <c r="E167" s="10" t="str">
        <f>+CONCATENATE(Datos_General[[#This Row],[Eq.Local]], "-", Datos_General[[#This Row],[Eq.Visitante]])</f>
        <v>Escola Estrada F.B.-Conxo Santiago B</v>
      </c>
      <c r="F167" s="1" t="s">
        <v>195</v>
      </c>
      <c r="G167" s="1" t="s">
        <v>58</v>
      </c>
      <c r="H167" s="1" t="s">
        <v>43</v>
      </c>
      <c r="I167" s="9">
        <v>8</v>
      </c>
      <c r="J167" s="9">
        <v>0</v>
      </c>
      <c r="K167" s="10" t="str">
        <f>+CONCATENATE(Datos_General[[#This Row],[Goles a Favor_Eq_local]],"-",Datos_General[[#This Row],[Gol a Favor_Eq_Visitante]])</f>
        <v>8-0</v>
      </c>
      <c r="L167" s="1" t="s">
        <v>133</v>
      </c>
      <c r="M167" s="1">
        <v>7</v>
      </c>
      <c r="N167" s="1" t="s">
        <v>154</v>
      </c>
      <c r="O167" s="1">
        <v>1</v>
      </c>
      <c r="P167" s="1" t="s">
        <v>2</v>
      </c>
      <c r="Q167" s="22">
        <v>1</v>
      </c>
      <c r="R167" s="9">
        <v>1</v>
      </c>
      <c r="S167" s="1">
        <v>58</v>
      </c>
      <c r="T167" s="1" t="s">
        <v>159</v>
      </c>
      <c r="U167" s="1">
        <f>90-Datos_General[[#This Row],[Minutos Jugados]]</f>
        <v>32</v>
      </c>
      <c r="V167" s="1">
        <v>0</v>
      </c>
      <c r="W167" s="1">
        <v>0</v>
      </c>
      <c r="X167" s="1">
        <v>8</v>
      </c>
      <c r="Y167" s="10">
        <f>+IF(Datos_General[[#This Row],[Resultado]]="Victoria", "3", IF(Datos_General[[#This Row],[Resultado]]="Empate","1",0))</f>
        <v>0</v>
      </c>
      <c r="Z167" s="11">
        <f>+Datos_General[[#This Row],[Minutos Jugados]]*Datos_General[[#This Row],[Puntos Jug_Campo]]</f>
        <v>0</v>
      </c>
      <c r="AA16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67" s="10" t="str">
        <f>+IF(Datos_General[[#This Row],[Resultado Jug_Campo]] = "Empate", "1",IF(Datos_General[[#This Row],[Resultado Jug_Campo]] = "Victoria", "3","0"))</f>
        <v>0</v>
      </c>
    </row>
    <row r="168" spans="1:28">
      <c r="A168" s="1">
        <v>11</v>
      </c>
      <c r="B168" s="6">
        <v>45990</v>
      </c>
      <c r="C168" s="1" t="s">
        <v>131</v>
      </c>
      <c r="D168" s="1" t="s">
        <v>133</v>
      </c>
      <c r="E168" s="10" t="str">
        <f>+CONCATENATE(Datos_General[[#This Row],[Eq.Local]], "-", Datos_General[[#This Row],[Eq.Visitante]])</f>
        <v>Escola Estrada F.B.-Conxo Santiago B</v>
      </c>
      <c r="F168" s="1" t="s">
        <v>195</v>
      </c>
      <c r="G168" s="1" t="s">
        <v>58</v>
      </c>
      <c r="H168" s="1" t="s">
        <v>43</v>
      </c>
      <c r="I168" s="9">
        <v>8</v>
      </c>
      <c r="J168" s="9">
        <v>0</v>
      </c>
      <c r="K168" s="10" t="str">
        <f>+CONCATENATE(Datos_General[[#This Row],[Goles a Favor_Eq_local]],"-",Datos_General[[#This Row],[Gol a Favor_Eq_Visitante]])</f>
        <v>8-0</v>
      </c>
      <c r="L168" s="1" t="s">
        <v>133</v>
      </c>
      <c r="M168" s="1">
        <v>8</v>
      </c>
      <c r="N168" s="1" t="s">
        <v>146</v>
      </c>
      <c r="O168" s="1">
        <v>1</v>
      </c>
      <c r="P168" s="1" t="s">
        <v>2</v>
      </c>
      <c r="Q168" s="22">
        <v>1</v>
      </c>
      <c r="R168" s="9">
        <v>1</v>
      </c>
      <c r="S168" s="1">
        <v>90</v>
      </c>
      <c r="U168" s="1">
        <f>90-Datos_General[[#This Row],[Minutos Jugados]]</f>
        <v>0</v>
      </c>
      <c r="V168" s="1">
        <v>0</v>
      </c>
      <c r="W168" s="1">
        <v>0</v>
      </c>
      <c r="X168" s="1">
        <v>8</v>
      </c>
      <c r="Y168" s="10">
        <f>+IF(Datos_General[[#This Row],[Resultado]]="Victoria", "3", IF(Datos_General[[#This Row],[Resultado]]="Empate","1",0))</f>
        <v>0</v>
      </c>
      <c r="Z168" s="11">
        <f>+Datos_General[[#This Row],[Minutos Jugados]]*Datos_General[[#This Row],[Puntos Jug_Campo]]</f>
        <v>0</v>
      </c>
      <c r="AA16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68" s="10" t="str">
        <f>+IF(Datos_General[[#This Row],[Resultado Jug_Campo]] = "Empate", "1",IF(Datos_General[[#This Row],[Resultado Jug_Campo]] = "Victoria", "3","0"))</f>
        <v>0</v>
      </c>
    </row>
    <row r="169" spans="1:28">
      <c r="A169" s="1">
        <v>11</v>
      </c>
      <c r="B169" s="6">
        <v>45990</v>
      </c>
      <c r="C169" s="1" t="s">
        <v>131</v>
      </c>
      <c r="D169" s="1" t="s">
        <v>133</v>
      </c>
      <c r="E169" s="10" t="str">
        <f>+CONCATENATE(Datos_General[[#This Row],[Eq.Local]], "-", Datos_General[[#This Row],[Eq.Visitante]])</f>
        <v>Escola Estrada F.B.-Conxo Santiago B</v>
      </c>
      <c r="F169" s="1" t="s">
        <v>195</v>
      </c>
      <c r="G169" s="1" t="s">
        <v>58</v>
      </c>
      <c r="H169" s="1" t="s">
        <v>43</v>
      </c>
      <c r="I169" s="9">
        <v>8</v>
      </c>
      <c r="J169" s="9">
        <v>0</v>
      </c>
      <c r="K169" s="10" t="str">
        <f>+CONCATENATE(Datos_General[[#This Row],[Goles a Favor_Eq_local]],"-",Datos_General[[#This Row],[Gol a Favor_Eq_Visitante]])</f>
        <v>8-0</v>
      </c>
      <c r="L169" s="1" t="s">
        <v>133</v>
      </c>
      <c r="M169" s="1">
        <v>9</v>
      </c>
      <c r="N169" s="1" t="s">
        <v>152</v>
      </c>
      <c r="O169" s="1">
        <v>1</v>
      </c>
      <c r="P169" s="1" t="s">
        <v>2</v>
      </c>
      <c r="Q169" s="22">
        <v>1</v>
      </c>
      <c r="R169" s="9">
        <v>1</v>
      </c>
      <c r="S169" s="1">
        <v>46</v>
      </c>
      <c r="T169" s="1" t="s">
        <v>156</v>
      </c>
      <c r="U169" s="1">
        <f>90-Datos_General[[#This Row],[Minutos Jugados]]</f>
        <v>44</v>
      </c>
      <c r="V169" s="1">
        <v>0</v>
      </c>
      <c r="W169" s="1">
        <v>0</v>
      </c>
      <c r="X169" s="1">
        <v>7</v>
      </c>
      <c r="Y169" s="10">
        <f>+IF(Datos_General[[#This Row],[Resultado]]="Victoria", "3", IF(Datos_General[[#This Row],[Resultado]]="Empate","1",0))</f>
        <v>0</v>
      </c>
      <c r="Z169" s="11">
        <f>+Datos_General[[#This Row],[Minutos Jugados]]*Datos_General[[#This Row],[Puntos Jug_Campo]]</f>
        <v>0</v>
      </c>
      <c r="AA16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69" s="10" t="str">
        <f>+IF(Datos_General[[#This Row],[Resultado Jug_Campo]] = "Empate", "1",IF(Datos_General[[#This Row],[Resultado Jug_Campo]] = "Victoria", "3","0"))</f>
        <v>0</v>
      </c>
    </row>
    <row r="170" spans="1:28">
      <c r="A170" s="1">
        <v>11</v>
      </c>
      <c r="B170" s="6">
        <v>45990</v>
      </c>
      <c r="C170" s="1" t="s">
        <v>131</v>
      </c>
      <c r="D170" s="1" t="s">
        <v>133</v>
      </c>
      <c r="E170" s="10" t="str">
        <f>+CONCATENATE(Datos_General[[#This Row],[Eq.Local]], "-", Datos_General[[#This Row],[Eq.Visitante]])</f>
        <v>Escola Estrada F.B.-Conxo Santiago B</v>
      </c>
      <c r="F170" s="1" t="s">
        <v>195</v>
      </c>
      <c r="G170" s="1" t="s">
        <v>58</v>
      </c>
      <c r="H170" s="1" t="s">
        <v>43</v>
      </c>
      <c r="I170" s="9">
        <v>8</v>
      </c>
      <c r="J170" s="9">
        <v>0</v>
      </c>
      <c r="K170" s="10" t="str">
        <f>+CONCATENATE(Datos_General[[#This Row],[Goles a Favor_Eq_local]],"-",Datos_General[[#This Row],[Gol a Favor_Eq_Visitante]])</f>
        <v>8-0</v>
      </c>
      <c r="L170" s="1" t="s">
        <v>133</v>
      </c>
      <c r="M170" s="1">
        <v>10</v>
      </c>
      <c r="N170" s="1" t="s">
        <v>143</v>
      </c>
      <c r="O170" s="1">
        <v>1</v>
      </c>
      <c r="P170" s="1" t="s">
        <v>2</v>
      </c>
      <c r="Q170" s="22">
        <v>1</v>
      </c>
      <c r="R170" s="9">
        <v>1</v>
      </c>
      <c r="S170" s="1">
        <v>90</v>
      </c>
      <c r="U170" s="1">
        <f>90-Datos_General[[#This Row],[Minutos Jugados]]</f>
        <v>0</v>
      </c>
      <c r="V170" s="1">
        <v>0</v>
      </c>
      <c r="W170" s="1">
        <v>0</v>
      </c>
      <c r="X170" s="1">
        <v>8</v>
      </c>
      <c r="Y170" s="10">
        <f>+IF(Datos_General[[#This Row],[Resultado]]="Victoria", "3", IF(Datos_General[[#This Row],[Resultado]]="Empate","1",0))</f>
        <v>0</v>
      </c>
      <c r="Z170" s="11">
        <f>+Datos_General[[#This Row],[Minutos Jugados]]*Datos_General[[#This Row],[Puntos Jug_Campo]]</f>
        <v>0</v>
      </c>
      <c r="AA17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70" s="10" t="str">
        <f>+IF(Datos_General[[#This Row],[Resultado Jug_Campo]] = "Empate", "1",IF(Datos_General[[#This Row],[Resultado Jug_Campo]] = "Victoria", "3","0"))</f>
        <v>0</v>
      </c>
    </row>
    <row r="171" spans="1:28">
      <c r="A171" s="1">
        <v>11</v>
      </c>
      <c r="B171" s="6">
        <v>45990</v>
      </c>
      <c r="C171" s="1" t="s">
        <v>131</v>
      </c>
      <c r="D171" s="1" t="s">
        <v>133</v>
      </c>
      <c r="E171" s="10" t="str">
        <f>+CONCATENATE(Datos_General[[#This Row],[Eq.Local]], "-", Datos_General[[#This Row],[Eq.Visitante]])</f>
        <v>Escola Estrada F.B.-Conxo Santiago B</v>
      </c>
      <c r="F171" s="1" t="s">
        <v>195</v>
      </c>
      <c r="G171" s="1" t="s">
        <v>58</v>
      </c>
      <c r="H171" s="1" t="s">
        <v>43</v>
      </c>
      <c r="I171" s="9">
        <v>8</v>
      </c>
      <c r="J171" s="9">
        <v>0</v>
      </c>
      <c r="K171" s="10" t="str">
        <f>+CONCATENATE(Datos_General[[#This Row],[Goles a Favor_Eq_local]],"-",Datos_General[[#This Row],[Gol a Favor_Eq_Visitante]])</f>
        <v>8-0</v>
      </c>
      <c r="L171" s="1" t="s">
        <v>133</v>
      </c>
      <c r="M171" s="1">
        <v>11</v>
      </c>
      <c r="N171" s="1" t="s">
        <v>150</v>
      </c>
      <c r="O171" s="1">
        <v>1</v>
      </c>
      <c r="P171" s="1" t="s">
        <v>2</v>
      </c>
      <c r="Q171" s="22">
        <v>1</v>
      </c>
      <c r="R171" s="9">
        <v>1</v>
      </c>
      <c r="S171" s="1">
        <v>46</v>
      </c>
      <c r="T171" s="1" t="s">
        <v>163</v>
      </c>
      <c r="U171" s="1">
        <f>90-Datos_General[[#This Row],[Minutos Jugados]]</f>
        <v>44</v>
      </c>
      <c r="V171" s="1">
        <v>0</v>
      </c>
      <c r="W171" s="1">
        <v>0</v>
      </c>
      <c r="X171" s="1">
        <v>7</v>
      </c>
      <c r="Y171" s="10">
        <f>+IF(Datos_General[[#This Row],[Resultado]]="Victoria", "3", IF(Datos_General[[#This Row],[Resultado]]="Empate","1",0))</f>
        <v>0</v>
      </c>
      <c r="Z171" s="11">
        <f>+Datos_General[[#This Row],[Minutos Jugados]]*Datos_General[[#This Row],[Puntos Jug_Campo]]</f>
        <v>0</v>
      </c>
      <c r="AA17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71" s="10" t="str">
        <f>+IF(Datos_General[[#This Row],[Resultado Jug_Campo]] = "Empate", "1",IF(Datos_General[[#This Row],[Resultado Jug_Campo]] = "Victoria", "3","0"))</f>
        <v>0</v>
      </c>
    </row>
    <row r="172" spans="1:28">
      <c r="A172" s="1">
        <v>11</v>
      </c>
      <c r="B172" s="6">
        <v>45990</v>
      </c>
      <c r="C172" s="1" t="s">
        <v>131</v>
      </c>
      <c r="D172" s="1" t="s">
        <v>133</v>
      </c>
      <c r="E172" s="10" t="str">
        <f>+CONCATENATE(Datos_General[[#This Row],[Eq.Local]], "-", Datos_General[[#This Row],[Eq.Visitante]])</f>
        <v>Escola Estrada F.B.-Conxo Santiago B</v>
      </c>
      <c r="F172" s="1" t="s">
        <v>195</v>
      </c>
      <c r="G172" s="1" t="s">
        <v>58</v>
      </c>
      <c r="H172" s="1" t="s">
        <v>43</v>
      </c>
      <c r="I172" s="9">
        <v>8</v>
      </c>
      <c r="J172" s="9">
        <v>0</v>
      </c>
      <c r="K172" s="10" t="str">
        <f>+CONCATENATE(Datos_General[[#This Row],[Goles a Favor_Eq_local]],"-",Datos_General[[#This Row],[Gol a Favor_Eq_Visitante]])</f>
        <v>8-0</v>
      </c>
      <c r="L172" s="1" t="s">
        <v>133</v>
      </c>
      <c r="M172" s="1">
        <v>12</v>
      </c>
      <c r="N172" s="1" t="s">
        <v>166</v>
      </c>
      <c r="O172" s="1">
        <v>1</v>
      </c>
      <c r="P172" s="1" t="s">
        <v>70</v>
      </c>
      <c r="Q172" s="7">
        <f>+IF(Datos_General[[#This Row],[Minutos Jugados]]&gt;0, 1, 0)</f>
        <v>1</v>
      </c>
      <c r="R172" s="23">
        <v>0</v>
      </c>
      <c r="S172" s="8">
        <f>IFERROR(IF(MATCH(N172,$T$161:$T$176,0), INDEX($U$161:$U$176,MATCH(N172,$T$161:$T$176,0))),0)</f>
        <v>44</v>
      </c>
      <c r="U172" s="1">
        <f>90-Datos_General[[#This Row],[Minutos Jugados]]</f>
        <v>46</v>
      </c>
      <c r="V172" s="1">
        <v>0</v>
      </c>
      <c r="W172" s="1">
        <v>0</v>
      </c>
      <c r="X172" s="1">
        <v>1</v>
      </c>
      <c r="Y172" s="10">
        <f>+IF(Datos_General[[#This Row],[Resultado]]="Victoria", "3", IF(Datos_General[[#This Row],[Resultado]]="Empate","1",0))</f>
        <v>0</v>
      </c>
      <c r="Z172" s="11">
        <f>+Datos_General[[#This Row],[Minutos Jugados]]*Datos_General[[#This Row],[Puntos Jug_Campo]]</f>
        <v>0</v>
      </c>
      <c r="AA17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72" s="10" t="str">
        <f>+IF(Datos_General[[#This Row],[Resultado Jug_Campo]] = "Empate", "1",IF(Datos_General[[#This Row],[Resultado Jug_Campo]] = "Victoria", "3","0"))</f>
        <v>0</v>
      </c>
    </row>
    <row r="173" spans="1:28">
      <c r="A173" s="1">
        <v>11</v>
      </c>
      <c r="B173" s="6">
        <v>45990</v>
      </c>
      <c r="C173" s="1" t="s">
        <v>131</v>
      </c>
      <c r="D173" s="1" t="s">
        <v>133</v>
      </c>
      <c r="E173" s="10" t="str">
        <f>+CONCATENATE(Datos_General[[#This Row],[Eq.Local]], "-", Datos_General[[#This Row],[Eq.Visitante]])</f>
        <v>Escola Estrada F.B.-Conxo Santiago B</v>
      </c>
      <c r="F173" s="1" t="s">
        <v>195</v>
      </c>
      <c r="G173" s="1" t="s">
        <v>58</v>
      </c>
      <c r="H173" s="1" t="s">
        <v>43</v>
      </c>
      <c r="I173" s="9">
        <v>8</v>
      </c>
      <c r="J173" s="9">
        <v>0</v>
      </c>
      <c r="K173" s="10" t="str">
        <f>+CONCATENATE(Datos_General[[#This Row],[Goles a Favor_Eq_local]],"-",Datos_General[[#This Row],[Gol a Favor_Eq_Visitante]])</f>
        <v>8-0</v>
      </c>
      <c r="L173" s="1" t="s">
        <v>133</v>
      </c>
      <c r="M173" s="1">
        <v>14</v>
      </c>
      <c r="N173" s="1" t="s">
        <v>194</v>
      </c>
      <c r="O173" s="1">
        <v>1</v>
      </c>
      <c r="P173" s="1" t="s">
        <v>70</v>
      </c>
      <c r="Q173" s="7">
        <f>+IF(Datos_General[[#This Row],[Minutos Jugados]]&gt;0, 1, 0)</f>
        <v>1</v>
      </c>
      <c r="R173" s="23">
        <v>0</v>
      </c>
      <c r="S173" s="8">
        <f t="shared" ref="S173:S176" si="2">IFERROR(IF(MATCH(N173,$T$161:$T$176,0), INDEX($U$161:$U$176,MATCH(N173,$T$161:$T$176,0))),0)</f>
        <v>44</v>
      </c>
      <c r="U173" s="1">
        <f>90-Datos_General[[#This Row],[Minutos Jugados]]</f>
        <v>46</v>
      </c>
      <c r="V173" s="1">
        <v>0</v>
      </c>
      <c r="W173" s="1">
        <v>0</v>
      </c>
      <c r="X173" s="1">
        <v>1</v>
      </c>
      <c r="Y173" s="10">
        <f>+IF(Datos_General[[#This Row],[Resultado]]="Victoria", "3", IF(Datos_General[[#This Row],[Resultado]]="Empate","1",0))</f>
        <v>0</v>
      </c>
      <c r="Z173" s="11">
        <f>+Datos_General[[#This Row],[Minutos Jugados]]*Datos_General[[#This Row],[Puntos Jug_Campo]]</f>
        <v>0</v>
      </c>
      <c r="AA17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73" s="10" t="str">
        <f>+IF(Datos_General[[#This Row],[Resultado Jug_Campo]] = "Empate", "1",IF(Datos_General[[#This Row],[Resultado Jug_Campo]] = "Victoria", "3","0"))</f>
        <v>0</v>
      </c>
    </row>
    <row r="174" spans="1:28">
      <c r="A174" s="1">
        <v>11</v>
      </c>
      <c r="B174" s="6">
        <v>45990</v>
      </c>
      <c r="C174" s="1" t="s">
        <v>131</v>
      </c>
      <c r="D174" s="1" t="s">
        <v>133</v>
      </c>
      <c r="E174" s="10" t="str">
        <f>+CONCATENATE(Datos_General[[#This Row],[Eq.Local]], "-", Datos_General[[#This Row],[Eq.Visitante]])</f>
        <v>Escola Estrada F.B.-Conxo Santiago B</v>
      </c>
      <c r="F174" s="1" t="s">
        <v>195</v>
      </c>
      <c r="G174" s="1" t="s">
        <v>58</v>
      </c>
      <c r="H174" s="1" t="s">
        <v>43</v>
      </c>
      <c r="I174" s="9">
        <v>8</v>
      </c>
      <c r="J174" s="9">
        <v>0</v>
      </c>
      <c r="K174" s="10" t="str">
        <f>+CONCATENATE(Datos_General[[#This Row],[Goles a Favor_Eq_local]],"-",Datos_General[[#This Row],[Gol a Favor_Eq_Visitante]])</f>
        <v>8-0</v>
      </c>
      <c r="L174" s="1" t="s">
        <v>133</v>
      </c>
      <c r="M174" s="1">
        <v>15</v>
      </c>
      <c r="N174" s="1" t="s">
        <v>163</v>
      </c>
      <c r="O174" s="1">
        <v>1</v>
      </c>
      <c r="P174" s="1" t="s">
        <v>70</v>
      </c>
      <c r="Q174" s="7">
        <f>+IF(Datos_General[[#This Row],[Minutos Jugados]]&gt;0, 1, 0)</f>
        <v>1</v>
      </c>
      <c r="R174" s="23">
        <v>0</v>
      </c>
      <c r="S174" s="8">
        <f t="shared" si="2"/>
        <v>44</v>
      </c>
      <c r="U174" s="1">
        <f>90-Datos_General[[#This Row],[Minutos Jugados]]</f>
        <v>46</v>
      </c>
      <c r="V174" s="1">
        <v>0</v>
      </c>
      <c r="W174" s="1">
        <v>0</v>
      </c>
      <c r="X174" s="1">
        <v>1</v>
      </c>
      <c r="Y174" s="10">
        <f>+IF(Datos_General[[#This Row],[Resultado]]="Victoria", "3", IF(Datos_General[[#This Row],[Resultado]]="Empate","1",0))</f>
        <v>0</v>
      </c>
      <c r="Z174" s="11">
        <f>+Datos_General[[#This Row],[Minutos Jugados]]*Datos_General[[#This Row],[Puntos Jug_Campo]]</f>
        <v>0</v>
      </c>
      <c r="AA17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74" s="10" t="str">
        <f>+IF(Datos_General[[#This Row],[Resultado Jug_Campo]] = "Empate", "1",IF(Datos_General[[#This Row],[Resultado Jug_Campo]] = "Victoria", "3","0"))</f>
        <v>0</v>
      </c>
    </row>
    <row r="175" spans="1:28">
      <c r="A175" s="1">
        <v>11</v>
      </c>
      <c r="B175" s="6">
        <v>45990</v>
      </c>
      <c r="C175" s="1" t="s">
        <v>131</v>
      </c>
      <c r="D175" s="1" t="s">
        <v>133</v>
      </c>
      <c r="E175" s="10" t="str">
        <f>+CONCATENATE(Datos_General[[#This Row],[Eq.Local]], "-", Datos_General[[#This Row],[Eq.Visitante]])</f>
        <v>Escola Estrada F.B.-Conxo Santiago B</v>
      </c>
      <c r="F175" s="1" t="s">
        <v>195</v>
      </c>
      <c r="G175" s="1" t="s">
        <v>58</v>
      </c>
      <c r="H175" s="1" t="s">
        <v>43</v>
      </c>
      <c r="I175" s="9">
        <v>8</v>
      </c>
      <c r="J175" s="9">
        <v>0</v>
      </c>
      <c r="K175" s="10" t="str">
        <f>+CONCATENATE(Datos_General[[#This Row],[Goles a Favor_Eq_local]],"-",Datos_General[[#This Row],[Gol a Favor_Eq_Visitante]])</f>
        <v>8-0</v>
      </c>
      <c r="L175" s="1" t="s">
        <v>133</v>
      </c>
      <c r="M175" s="1">
        <v>16</v>
      </c>
      <c r="N175" s="1" t="s">
        <v>159</v>
      </c>
      <c r="O175" s="1">
        <v>1</v>
      </c>
      <c r="P175" s="1" t="s">
        <v>70</v>
      </c>
      <c r="Q175" s="7">
        <f>+IF(Datos_General[[#This Row],[Minutos Jugados]]&gt;0, 1, 0)</f>
        <v>1</v>
      </c>
      <c r="R175" s="23">
        <v>0</v>
      </c>
      <c r="S175" s="8">
        <f t="shared" si="2"/>
        <v>32</v>
      </c>
      <c r="U175" s="1">
        <f>90-Datos_General[[#This Row],[Minutos Jugados]]</f>
        <v>58</v>
      </c>
      <c r="V175" s="1">
        <v>0</v>
      </c>
      <c r="W175" s="1">
        <v>0</v>
      </c>
      <c r="X175" s="1">
        <v>0</v>
      </c>
      <c r="Y175" s="10">
        <f>+IF(Datos_General[[#This Row],[Resultado]]="Victoria", "3", IF(Datos_General[[#This Row],[Resultado]]="Empate","1",0))</f>
        <v>0</v>
      </c>
      <c r="Z175" s="11">
        <f>+Datos_General[[#This Row],[Minutos Jugados]]*Datos_General[[#This Row],[Puntos Jug_Campo]]</f>
        <v>32</v>
      </c>
      <c r="AA17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75" s="10" t="str">
        <f>+IF(Datos_General[[#This Row],[Resultado Jug_Campo]] = "Empate", "1",IF(Datos_General[[#This Row],[Resultado Jug_Campo]] = "Victoria", "3","0"))</f>
        <v>1</v>
      </c>
    </row>
    <row r="176" spans="1:28">
      <c r="A176" s="1">
        <v>11</v>
      </c>
      <c r="B176" s="6">
        <v>45990</v>
      </c>
      <c r="C176" s="1" t="s">
        <v>131</v>
      </c>
      <c r="D176" s="1" t="s">
        <v>133</v>
      </c>
      <c r="E176" s="10" t="str">
        <f>+CONCATENATE(Datos_General[[#This Row],[Eq.Local]], "-", Datos_General[[#This Row],[Eq.Visitante]])</f>
        <v>Escola Estrada F.B.-Conxo Santiago B</v>
      </c>
      <c r="F176" s="1" t="s">
        <v>195</v>
      </c>
      <c r="G176" s="1" t="s">
        <v>58</v>
      </c>
      <c r="H176" s="1" t="s">
        <v>43</v>
      </c>
      <c r="I176" s="9">
        <v>8</v>
      </c>
      <c r="J176" s="9">
        <v>0</v>
      </c>
      <c r="K176" s="10" t="str">
        <f>+CONCATENATE(Datos_General[[#This Row],[Goles a Favor_Eq_local]],"-",Datos_General[[#This Row],[Gol a Favor_Eq_Visitante]])</f>
        <v>8-0</v>
      </c>
      <c r="L176" s="1" t="s">
        <v>133</v>
      </c>
      <c r="M176" s="1">
        <v>17</v>
      </c>
      <c r="N176" s="1" t="s">
        <v>156</v>
      </c>
      <c r="O176" s="1">
        <v>1</v>
      </c>
      <c r="P176" s="1" t="s">
        <v>70</v>
      </c>
      <c r="Q176" s="7">
        <f>+IF(Datos_General[[#This Row],[Minutos Jugados]]&gt;0, 1, 0)</f>
        <v>1</v>
      </c>
      <c r="R176" s="23">
        <v>0</v>
      </c>
      <c r="S176" s="8">
        <f t="shared" si="2"/>
        <v>44</v>
      </c>
      <c r="U176" s="1">
        <f>90-Datos_General[[#This Row],[Minutos Jugados]]</f>
        <v>46</v>
      </c>
      <c r="V176" s="1">
        <v>0</v>
      </c>
      <c r="W176" s="1">
        <v>0</v>
      </c>
      <c r="X176" s="1">
        <v>1</v>
      </c>
      <c r="Y176" s="10">
        <f>+IF(Datos_General[[#This Row],[Resultado]]="Victoria", "3", IF(Datos_General[[#This Row],[Resultado]]="Empate","1",0))</f>
        <v>0</v>
      </c>
      <c r="Z176" s="11">
        <f>+Datos_General[[#This Row],[Minutos Jugados]]*Datos_General[[#This Row],[Puntos Jug_Campo]]</f>
        <v>0</v>
      </c>
      <c r="AA17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76" s="10" t="str">
        <f>+IF(Datos_General[[#This Row],[Resultado Jug_Campo]] = "Empate", "1",IF(Datos_General[[#This Row],[Resultado Jug_Campo]] = "Victoria", "3","0"))</f>
        <v>0</v>
      </c>
    </row>
    <row r="177" spans="1:28">
      <c r="A177" s="1">
        <v>12</v>
      </c>
      <c r="B177" s="6">
        <v>46004</v>
      </c>
      <c r="C177" s="1" t="s">
        <v>133</v>
      </c>
      <c r="D177" s="1" t="s">
        <v>132</v>
      </c>
      <c r="E177" s="10" t="str">
        <f>+CONCATENATE(Datos_General[[#This Row],[Eq.Local]], "-", Datos_General[[#This Row],[Eq.Visitante]])</f>
        <v>Conxo Santiago B-E.D. Xuventude Oroso</v>
      </c>
      <c r="F177" s="1" t="s">
        <v>157</v>
      </c>
      <c r="G177" s="1" t="s">
        <v>57</v>
      </c>
      <c r="H177" s="1" t="s">
        <v>43</v>
      </c>
      <c r="I177" s="9">
        <v>1</v>
      </c>
      <c r="J177" s="9">
        <v>4</v>
      </c>
      <c r="K177" s="10" t="str">
        <f>+CONCATENATE(Datos_General[[#This Row],[Goles a Favor_Eq_local]],"-",Datos_General[[#This Row],[Gol a Favor_Eq_Visitante]])</f>
        <v>1-4</v>
      </c>
      <c r="L177" s="1" t="s">
        <v>133</v>
      </c>
      <c r="M177" s="1">
        <v>1</v>
      </c>
      <c r="N177" s="1" t="s">
        <v>148</v>
      </c>
      <c r="O177" s="1">
        <v>1</v>
      </c>
      <c r="P177" s="1" t="s">
        <v>2</v>
      </c>
      <c r="Q177" s="22">
        <v>1</v>
      </c>
      <c r="R177" s="9">
        <v>1</v>
      </c>
      <c r="S177" s="1">
        <v>90</v>
      </c>
      <c r="U177" s="1">
        <f>90-Datos_General[[#This Row],[Minutos Jugados]]</f>
        <v>0</v>
      </c>
      <c r="V177" s="1">
        <v>0</v>
      </c>
      <c r="W177" s="1">
        <v>1</v>
      </c>
      <c r="X177" s="1">
        <v>4</v>
      </c>
      <c r="Y177" s="10">
        <f>+IF(Datos_General[[#This Row],[Resultado]]="Victoria", "3", IF(Datos_General[[#This Row],[Resultado]]="Empate","1",0))</f>
        <v>0</v>
      </c>
      <c r="Z177" s="11">
        <f>+Datos_General[[#This Row],[Minutos Jugados]]*Datos_General[[#This Row],[Puntos Jug_Campo]]</f>
        <v>0</v>
      </c>
      <c r="AA17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77" s="10" t="str">
        <f>+IF(Datos_General[[#This Row],[Resultado Jug_Campo]] = "Empate", "1",IF(Datos_General[[#This Row],[Resultado Jug_Campo]] = "Victoria", "3","0"))</f>
        <v>0</v>
      </c>
    </row>
    <row r="178" spans="1:28">
      <c r="A178" s="1">
        <v>12</v>
      </c>
      <c r="B178" s="6">
        <v>46004</v>
      </c>
      <c r="C178" s="1" t="s">
        <v>133</v>
      </c>
      <c r="D178" s="1" t="s">
        <v>132</v>
      </c>
      <c r="E178" s="10" t="str">
        <f>+CONCATENATE(Datos_General[[#This Row],[Eq.Local]], "-", Datos_General[[#This Row],[Eq.Visitante]])</f>
        <v>Conxo Santiago B-E.D. Xuventude Oroso</v>
      </c>
      <c r="F178" s="1" t="s">
        <v>157</v>
      </c>
      <c r="G178" s="1" t="s">
        <v>57</v>
      </c>
      <c r="H178" s="1" t="s">
        <v>43</v>
      </c>
      <c r="I178" s="9">
        <v>1</v>
      </c>
      <c r="J178" s="9">
        <v>4</v>
      </c>
      <c r="K178" s="10" t="str">
        <f>+CONCATENATE(Datos_General[[#This Row],[Goles a Favor_Eq_local]],"-",Datos_General[[#This Row],[Gol a Favor_Eq_Visitante]])</f>
        <v>1-4</v>
      </c>
      <c r="L178" s="1" t="s">
        <v>133</v>
      </c>
      <c r="M178" s="1">
        <v>2</v>
      </c>
      <c r="N178" s="1" t="s">
        <v>138</v>
      </c>
      <c r="O178" s="1">
        <v>1</v>
      </c>
      <c r="P178" s="1" t="s">
        <v>2</v>
      </c>
      <c r="Q178" s="22">
        <v>1</v>
      </c>
      <c r="R178" s="9">
        <v>1</v>
      </c>
      <c r="S178" s="1">
        <v>90</v>
      </c>
      <c r="U178" s="1">
        <f>90-Datos_General[[#This Row],[Minutos Jugados]]</f>
        <v>0</v>
      </c>
      <c r="V178" s="1">
        <v>0</v>
      </c>
      <c r="W178" s="1">
        <v>1</v>
      </c>
      <c r="X178" s="1">
        <v>4</v>
      </c>
      <c r="Y178" s="10">
        <f>+IF(Datos_General[[#This Row],[Resultado]]="Victoria", "3", IF(Datos_General[[#This Row],[Resultado]]="Empate","1",0))</f>
        <v>0</v>
      </c>
      <c r="Z178" s="11">
        <f>+Datos_General[[#This Row],[Minutos Jugados]]*Datos_General[[#This Row],[Puntos Jug_Campo]]</f>
        <v>0</v>
      </c>
      <c r="AA17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78" s="10" t="str">
        <f>+IF(Datos_General[[#This Row],[Resultado Jug_Campo]] = "Empate", "1",IF(Datos_General[[#This Row],[Resultado Jug_Campo]] = "Victoria", "3","0"))</f>
        <v>0</v>
      </c>
    </row>
    <row r="179" spans="1:28">
      <c r="A179" s="1">
        <v>12</v>
      </c>
      <c r="B179" s="6">
        <v>46004</v>
      </c>
      <c r="C179" s="1" t="s">
        <v>133</v>
      </c>
      <c r="D179" s="1" t="s">
        <v>132</v>
      </c>
      <c r="E179" s="10" t="str">
        <f>+CONCATENATE(Datos_General[[#This Row],[Eq.Local]], "-", Datos_General[[#This Row],[Eq.Visitante]])</f>
        <v>Conxo Santiago B-E.D. Xuventude Oroso</v>
      </c>
      <c r="F179" s="1" t="s">
        <v>157</v>
      </c>
      <c r="G179" s="1" t="s">
        <v>57</v>
      </c>
      <c r="H179" s="1" t="s">
        <v>43</v>
      </c>
      <c r="I179" s="9">
        <v>1</v>
      </c>
      <c r="J179" s="9">
        <v>4</v>
      </c>
      <c r="K179" s="10" t="str">
        <f>+CONCATENATE(Datos_General[[#This Row],[Goles a Favor_Eq_local]],"-",Datos_General[[#This Row],[Gol a Favor_Eq_Visitante]])</f>
        <v>1-4</v>
      </c>
      <c r="L179" s="1" t="s">
        <v>133</v>
      </c>
      <c r="M179" s="1">
        <v>3</v>
      </c>
      <c r="N179" s="1" t="s">
        <v>144</v>
      </c>
      <c r="O179" s="1">
        <v>1</v>
      </c>
      <c r="P179" s="1" t="s">
        <v>2</v>
      </c>
      <c r="Q179" s="22">
        <v>1</v>
      </c>
      <c r="R179" s="9">
        <v>1</v>
      </c>
      <c r="S179" s="1">
        <v>90</v>
      </c>
      <c r="U179" s="1">
        <f>90-Datos_General[[#This Row],[Minutos Jugados]]</f>
        <v>0</v>
      </c>
      <c r="V179" s="1">
        <v>0</v>
      </c>
      <c r="W179" s="1">
        <v>1</v>
      </c>
      <c r="X179" s="1">
        <v>4</v>
      </c>
      <c r="Y179" s="10">
        <f>+IF(Datos_General[[#This Row],[Resultado]]="Victoria", "3", IF(Datos_General[[#This Row],[Resultado]]="Empate","1",0))</f>
        <v>0</v>
      </c>
      <c r="Z179" s="11">
        <f>+Datos_General[[#This Row],[Minutos Jugados]]*Datos_General[[#This Row],[Puntos Jug_Campo]]</f>
        <v>0</v>
      </c>
      <c r="AA17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79" s="10" t="str">
        <f>+IF(Datos_General[[#This Row],[Resultado Jug_Campo]] = "Empate", "1",IF(Datos_General[[#This Row],[Resultado Jug_Campo]] = "Victoria", "3","0"))</f>
        <v>0</v>
      </c>
    </row>
    <row r="180" spans="1:28">
      <c r="A180" s="1">
        <v>12</v>
      </c>
      <c r="B180" s="6">
        <v>46004</v>
      </c>
      <c r="C180" s="1" t="s">
        <v>133</v>
      </c>
      <c r="D180" s="1" t="s">
        <v>132</v>
      </c>
      <c r="E180" s="10" t="str">
        <f>+CONCATENATE(Datos_General[[#This Row],[Eq.Local]], "-", Datos_General[[#This Row],[Eq.Visitante]])</f>
        <v>Conxo Santiago B-E.D. Xuventude Oroso</v>
      </c>
      <c r="F180" s="1" t="s">
        <v>157</v>
      </c>
      <c r="G180" s="1" t="s">
        <v>57</v>
      </c>
      <c r="H180" s="1" t="s">
        <v>43</v>
      </c>
      <c r="I180" s="9">
        <v>1</v>
      </c>
      <c r="J180" s="9">
        <v>4</v>
      </c>
      <c r="K180" s="10" t="str">
        <f>+CONCATENATE(Datos_General[[#This Row],[Goles a Favor_Eq_local]],"-",Datos_General[[#This Row],[Gol a Favor_Eq_Visitante]])</f>
        <v>1-4</v>
      </c>
      <c r="L180" s="1" t="s">
        <v>133</v>
      </c>
      <c r="M180" s="1">
        <v>4</v>
      </c>
      <c r="N180" s="1" t="s">
        <v>140</v>
      </c>
      <c r="O180" s="1">
        <v>1</v>
      </c>
      <c r="P180" s="1" t="s">
        <v>2</v>
      </c>
      <c r="Q180" s="22">
        <v>1</v>
      </c>
      <c r="R180" s="9">
        <v>1</v>
      </c>
      <c r="S180" s="1">
        <v>90</v>
      </c>
      <c r="U180" s="1">
        <f>90-Datos_General[[#This Row],[Minutos Jugados]]</f>
        <v>0</v>
      </c>
      <c r="V180" s="1">
        <v>0</v>
      </c>
      <c r="W180" s="1">
        <v>1</v>
      </c>
      <c r="X180" s="1">
        <v>4</v>
      </c>
      <c r="Y180" s="10">
        <f>+IF(Datos_General[[#This Row],[Resultado]]="Victoria", "3", IF(Datos_General[[#This Row],[Resultado]]="Empate","1",0))</f>
        <v>0</v>
      </c>
      <c r="Z180" s="11">
        <f>+Datos_General[[#This Row],[Minutos Jugados]]*Datos_General[[#This Row],[Puntos Jug_Campo]]</f>
        <v>0</v>
      </c>
      <c r="AA18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80" s="10" t="str">
        <f>+IF(Datos_General[[#This Row],[Resultado Jug_Campo]] = "Empate", "1",IF(Datos_General[[#This Row],[Resultado Jug_Campo]] = "Victoria", "3","0"))</f>
        <v>0</v>
      </c>
    </row>
    <row r="181" spans="1:28">
      <c r="A181" s="1">
        <v>12</v>
      </c>
      <c r="B181" s="6">
        <v>46004</v>
      </c>
      <c r="C181" s="1" t="s">
        <v>133</v>
      </c>
      <c r="D181" s="1" t="s">
        <v>132</v>
      </c>
      <c r="E181" s="10" t="str">
        <f>+CONCATENATE(Datos_General[[#This Row],[Eq.Local]], "-", Datos_General[[#This Row],[Eq.Visitante]])</f>
        <v>Conxo Santiago B-E.D. Xuventude Oroso</v>
      </c>
      <c r="F181" s="1" t="s">
        <v>157</v>
      </c>
      <c r="G181" s="1" t="s">
        <v>57</v>
      </c>
      <c r="H181" s="1" t="s">
        <v>43</v>
      </c>
      <c r="I181" s="9">
        <v>1</v>
      </c>
      <c r="J181" s="9">
        <v>4</v>
      </c>
      <c r="K181" s="10" t="str">
        <f>+CONCATENATE(Datos_General[[#This Row],[Goles a Favor_Eq_local]],"-",Datos_General[[#This Row],[Gol a Favor_Eq_Visitante]])</f>
        <v>1-4</v>
      </c>
      <c r="L181" s="1" t="s">
        <v>133</v>
      </c>
      <c r="M181" s="1">
        <v>5</v>
      </c>
      <c r="N181" s="1" t="s">
        <v>162</v>
      </c>
      <c r="O181" s="1">
        <v>1</v>
      </c>
      <c r="P181" s="1" t="s">
        <v>2</v>
      </c>
      <c r="Q181" s="22">
        <v>1</v>
      </c>
      <c r="R181" s="9">
        <v>1</v>
      </c>
      <c r="S181" s="1">
        <v>90</v>
      </c>
      <c r="U181" s="1">
        <f>90-Datos_General[[#This Row],[Minutos Jugados]]</f>
        <v>0</v>
      </c>
      <c r="V181" s="1">
        <v>0</v>
      </c>
      <c r="W181" s="1">
        <v>1</v>
      </c>
      <c r="X181" s="1">
        <v>4</v>
      </c>
      <c r="Y181" s="10">
        <f>+IF(Datos_General[[#This Row],[Resultado]]="Victoria", "3", IF(Datos_General[[#This Row],[Resultado]]="Empate","1",0))</f>
        <v>0</v>
      </c>
      <c r="Z181" s="11">
        <f>+Datos_General[[#This Row],[Minutos Jugados]]*Datos_General[[#This Row],[Puntos Jug_Campo]]</f>
        <v>0</v>
      </c>
      <c r="AA18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81" s="10" t="str">
        <f>+IF(Datos_General[[#This Row],[Resultado Jug_Campo]] = "Empate", "1",IF(Datos_General[[#This Row],[Resultado Jug_Campo]] = "Victoria", "3","0"))</f>
        <v>0</v>
      </c>
    </row>
    <row r="182" spans="1:28">
      <c r="A182" s="1">
        <v>12</v>
      </c>
      <c r="B182" s="6">
        <v>46004</v>
      </c>
      <c r="C182" s="1" t="s">
        <v>133</v>
      </c>
      <c r="D182" s="1" t="s">
        <v>132</v>
      </c>
      <c r="E182" s="10" t="str">
        <f>+CONCATENATE(Datos_General[[#This Row],[Eq.Local]], "-", Datos_General[[#This Row],[Eq.Visitante]])</f>
        <v>Conxo Santiago B-E.D. Xuventude Oroso</v>
      </c>
      <c r="F182" s="1" t="s">
        <v>157</v>
      </c>
      <c r="G182" s="1" t="s">
        <v>57</v>
      </c>
      <c r="H182" s="1" t="s">
        <v>43</v>
      </c>
      <c r="I182" s="9">
        <v>1</v>
      </c>
      <c r="J182" s="9">
        <v>4</v>
      </c>
      <c r="K182" s="10" t="str">
        <f>+CONCATENATE(Datos_General[[#This Row],[Goles a Favor_Eq_local]],"-",Datos_General[[#This Row],[Gol a Favor_Eq_Visitante]])</f>
        <v>1-4</v>
      </c>
      <c r="L182" s="1" t="s">
        <v>133</v>
      </c>
      <c r="M182" s="1">
        <v>6</v>
      </c>
      <c r="N182" s="1" t="s">
        <v>146</v>
      </c>
      <c r="O182" s="1">
        <v>1</v>
      </c>
      <c r="P182" s="1" t="s">
        <v>2</v>
      </c>
      <c r="Q182" s="22">
        <v>1</v>
      </c>
      <c r="R182" s="9">
        <v>1</v>
      </c>
      <c r="S182" s="1">
        <v>46</v>
      </c>
      <c r="T182" s="1" t="s">
        <v>166</v>
      </c>
      <c r="U182" s="1">
        <f>90-Datos_General[[#This Row],[Minutos Jugados]]</f>
        <v>44</v>
      </c>
      <c r="V182" s="1">
        <v>0</v>
      </c>
      <c r="W182" s="1">
        <v>0</v>
      </c>
      <c r="X182" s="1">
        <v>3</v>
      </c>
      <c r="Y182" s="10">
        <f>+IF(Datos_General[[#This Row],[Resultado]]="Victoria", "3", IF(Datos_General[[#This Row],[Resultado]]="Empate","1",0))</f>
        <v>0</v>
      </c>
      <c r="Z182" s="11">
        <f>+Datos_General[[#This Row],[Minutos Jugados]]*Datos_General[[#This Row],[Puntos Jug_Campo]]</f>
        <v>0</v>
      </c>
      <c r="AA18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82" s="10" t="str">
        <f>+IF(Datos_General[[#This Row],[Resultado Jug_Campo]] = "Empate", "1",IF(Datos_General[[#This Row],[Resultado Jug_Campo]] = "Victoria", "3","0"))</f>
        <v>0</v>
      </c>
    </row>
    <row r="183" spans="1:28">
      <c r="A183" s="1">
        <v>12</v>
      </c>
      <c r="B183" s="6">
        <v>46004</v>
      </c>
      <c r="C183" s="1" t="s">
        <v>133</v>
      </c>
      <c r="D183" s="1" t="s">
        <v>132</v>
      </c>
      <c r="E183" s="10" t="str">
        <f>+CONCATENATE(Datos_General[[#This Row],[Eq.Local]], "-", Datos_General[[#This Row],[Eq.Visitante]])</f>
        <v>Conxo Santiago B-E.D. Xuventude Oroso</v>
      </c>
      <c r="F183" s="1" t="s">
        <v>157</v>
      </c>
      <c r="G183" s="1" t="s">
        <v>57</v>
      </c>
      <c r="H183" s="1" t="s">
        <v>43</v>
      </c>
      <c r="I183" s="9">
        <v>1</v>
      </c>
      <c r="J183" s="9">
        <v>4</v>
      </c>
      <c r="K183" s="10" t="str">
        <f>+CONCATENATE(Datos_General[[#This Row],[Goles a Favor_Eq_local]],"-",Datos_General[[#This Row],[Gol a Favor_Eq_Visitante]])</f>
        <v>1-4</v>
      </c>
      <c r="L183" s="1" t="s">
        <v>133</v>
      </c>
      <c r="M183" s="1">
        <v>7</v>
      </c>
      <c r="N183" s="1" t="s">
        <v>143</v>
      </c>
      <c r="O183" s="1">
        <v>1</v>
      </c>
      <c r="P183" s="1" t="s">
        <v>2</v>
      </c>
      <c r="Q183" s="22">
        <v>1</v>
      </c>
      <c r="R183" s="9">
        <v>1</v>
      </c>
      <c r="S183" s="1">
        <v>90</v>
      </c>
      <c r="U183" s="1">
        <f>90-Datos_General[[#This Row],[Minutos Jugados]]</f>
        <v>0</v>
      </c>
      <c r="V183" s="1">
        <v>0</v>
      </c>
      <c r="W183" s="1">
        <v>1</v>
      </c>
      <c r="X183" s="1">
        <v>4</v>
      </c>
      <c r="Y183" s="10">
        <f>+IF(Datos_General[[#This Row],[Resultado]]="Victoria", "3", IF(Datos_General[[#This Row],[Resultado]]="Empate","1",0))</f>
        <v>0</v>
      </c>
      <c r="Z183" s="11">
        <f>+Datos_General[[#This Row],[Minutos Jugados]]*Datos_General[[#This Row],[Puntos Jug_Campo]]</f>
        <v>0</v>
      </c>
      <c r="AA18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83" s="10" t="str">
        <f>+IF(Datos_General[[#This Row],[Resultado Jug_Campo]] = "Empate", "1",IF(Datos_General[[#This Row],[Resultado Jug_Campo]] = "Victoria", "3","0"))</f>
        <v>0</v>
      </c>
    </row>
    <row r="184" spans="1:28">
      <c r="A184" s="1">
        <v>12</v>
      </c>
      <c r="B184" s="6">
        <v>46004</v>
      </c>
      <c r="C184" s="1" t="s">
        <v>133</v>
      </c>
      <c r="D184" s="1" t="s">
        <v>132</v>
      </c>
      <c r="E184" s="10" t="str">
        <f>+CONCATENATE(Datos_General[[#This Row],[Eq.Local]], "-", Datos_General[[#This Row],[Eq.Visitante]])</f>
        <v>Conxo Santiago B-E.D. Xuventude Oroso</v>
      </c>
      <c r="F184" s="1" t="s">
        <v>157</v>
      </c>
      <c r="G184" s="1" t="s">
        <v>57</v>
      </c>
      <c r="H184" s="1" t="s">
        <v>43</v>
      </c>
      <c r="I184" s="9">
        <v>1</v>
      </c>
      <c r="J184" s="9">
        <v>4</v>
      </c>
      <c r="K184" s="10" t="str">
        <f>+CONCATENATE(Datos_General[[#This Row],[Goles a Favor_Eq_local]],"-",Datos_General[[#This Row],[Gol a Favor_Eq_Visitante]])</f>
        <v>1-4</v>
      </c>
      <c r="L184" s="1" t="s">
        <v>133</v>
      </c>
      <c r="M184" s="1">
        <v>8</v>
      </c>
      <c r="N184" s="1" t="s">
        <v>142</v>
      </c>
      <c r="O184" s="1">
        <v>1</v>
      </c>
      <c r="P184" s="1" t="s">
        <v>2</v>
      </c>
      <c r="Q184" s="22">
        <v>1</v>
      </c>
      <c r="R184" s="9">
        <v>1</v>
      </c>
      <c r="S184" s="1">
        <v>90</v>
      </c>
      <c r="U184" s="1">
        <f>90-Datos_General[[#This Row],[Minutos Jugados]]</f>
        <v>0</v>
      </c>
      <c r="V184" s="1">
        <v>0</v>
      </c>
      <c r="W184" s="1">
        <v>1</v>
      </c>
      <c r="X184" s="1">
        <v>4</v>
      </c>
      <c r="Y184" s="10">
        <f>+IF(Datos_General[[#This Row],[Resultado]]="Victoria", "3", IF(Datos_General[[#This Row],[Resultado]]="Empate","1",0))</f>
        <v>0</v>
      </c>
      <c r="Z184" s="11">
        <f>+Datos_General[[#This Row],[Minutos Jugados]]*Datos_General[[#This Row],[Puntos Jug_Campo]]</f>
        <v>0</v>
      </c>
      <c r="AA18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84" s="10" t="str">
        <f>+IF(Datos_General[[#This Row],[Resultado Jug_Campo]] = "Empate", "1",IF(Datos_General[[#This Row],[Resultado Jug_Campo]] = "Victoria", "3","0"))</f>
        <v>0</v>
      </c>
    </row>
    <row r="185" spans="1:28">
      <c r="A185" s="1">
        <v>12</v>
      </c>
      <c r="B185" s="6">
        <v>46004</v>
      </c>
      <c r="C185" s="1" t="s">
        <v>133</v>
      </c>
      <c r="D185" s="1" t="s">
        <v>132</v>
      </c>
      <c r="E185" s="10" t="str">
        <f>+CONCATENATE(Datos_General[[#This Row],[Eq.Local]], "-", Datos_General[[#This Row],[Eq.Visitante]])</f>
        <v>Conxo Santiago B-E.D. Xuventude Oroso</v>
      </c>
      <c r="F185" s="1" t="s">
        <v>157</v>
      </c>
      <c r="G185" s="1" t="s">
        <v>57</v>
      </c>
      <c r="H185" s="1" t="s">
        <v>43</v>
      </c>
      <c r="I185" s="9">
        <v>1</v>
      </c>
      <c r="J185" s="9">
        <v>4</v>
      </c>
      <c r="K185" s="10" t="str">
        <f>+CONCATENATE(Datos_General[[#This Row],[Goles a Favor_Eq_local]],"-",Datos_General[[#This Row],[Gol a Favor_Eq_Visitante]])</f>
        <v>1-4</v>
      </c>
      <c r="L185" s="1" t="s">
        <v>133</v>
      </c>
      <c r="M185" s="1">
        <v>9</v>
      </c>
      <c r="N185" s="1" t="s">
        <v>194</v>
      </c>
      <c r="O185" s="1">
        <v>1</v>
      </c>
      <c r="P185" s="1" t="s">
        <v>2</v>
      </c>
      <c r="Q185" s="22">
        <v>1</v>
      </c>
      <c r="R185" s="9">
        <v>1</v>
      </c>
      <c r="S185" s="1">
        <v>52</v>
      </c>
      <c r="T185" s="1" t="s">
        <v>152</v>
      </c>
      <c r="U185" s="1">
        <f>90-Datos_General[[#This Row],[Minutos Jugados]]</f>
        <v>38</v>
      </c>
      <c r="V185" s="1">
        <v>0</v>
      </c>
      <c r="W185" s="1">
        <v>0</v>
      </c>
      <c r="X185" s="1">
        <v>3</v>
      </c>
      <c r="Y185" s="10">
        <f>+IF(Datos_General[[#This Row],[Resultado]]="Victoria", "3", IF(Datos_General[[#This Row],[Resultado]]="Empate","1",0))</f>
        <v>0</v>
      </c>
      <c r="Z185" s="11">
        <f>+Datos_General[[#This Row],[Minutos Jugados]]*Datos_General[[#This Row],[Puntos Jug_Campo]]</f>
        <v>0</v>
      </c>
      <c r="AA18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85" s="10" t="str">
        <f>+IF(Datos_General[[#This Row],[Resultado Jug_Campo]] = "Empate", "1",IF(Datos_General[[#This Row],[Resultado Jug_Campo]] = "Victoria", "3","0"))</f>
        <v>0</v>
      </c>
    </row>
    <row r="186" spans="1:28">
      <c r="A186" s="1">
        <v>12</v>
      </c>
      <c r="B186" s="6">
        <v>46004</v>
      </c>
      <c r="C186" s="1" t="s">
        <v>133</v>
      </c>
      <c r="D186" s="1" t="s">
        <v>132</v>
      </c>
      <c r="E186" s="10" t="str">
        <f>+CONCATENATE(Datos_General[[#This Row],[Eq.Local]], "-", Datos_General[[#This Row],[Eq.Visitante]])</f>
        <v>Conxo Santiago B-E.D. Xuventude Oroso</v>
      </c>
      <c r="F186" s="1" t="s">
        <v>157</v>
      </c>
      <c r="G186" s="1" t="s">
        <v>57</v>
      </c>
      <c r="H186" s="1" t="s">
        <v>43</v>
      </c>
      <c r="I186" s="9">
        <v>1</v>
      </c>
      <c r="J186" s="9">
        <v>4</v>
      </c>
      <c r="K186" s="10" t="str">
        <f>+CONCATENATE(Datos_General[[#This Row],[Goles a Favor_Eq_local]],"-",Datos_General[[#This Row],[Gol a Favor_Eq_Visitante]])</f>
        <v>1-4</v>
      </c>
      <c r="L186" s="1" t="s">
        <v>133</v>
      </c>
      <c r="M186" s="1">
        <v>10</v>
      </c>
      <c r="N186" s="1" t="s">
        <v>165</v>
      </c>
      <c r="O186" s="1">
        <v>1</v>
      </c>
      <c r="P186" s="1" t="s">
        <v>2</v>
      </c>
      <c r="Q186" s="22">
        <v>1</v>
      </c>
      <c r="R186" s="9">
        <v>1</v>
      </c>
      <c r="S186" s="1">
        <v>56</v>
      </c>
      <c r="T186" s="1" t="s">
        <v>154</v>
      </c>
      <c r="U186" s="1">
        <f>90-Datos_General[[#This Row],[Minutos Jugados]]</f>
        <v>34</v>
      </c>
      <c r="V186" s="1">
        <v>0</v>
      </c>
      <c r="W186" s="1">
        <v>0</v>
      </c>
      <c r="X186" s="1">
        <v>3</v>
      </c>
      <c r="Y186" s="10">
        <f>+IF(Datos_General[[#This Row],[Resultado]]="Victoria", "3", IF(Datos_General[[#This Row],[Resultado]]="Empate","1",0))</f>
        <v>0</v>
      </c>
      <c r="Z186" s="11">
        <f>+Datos_General[[#This Row],[Minutos Jugados]]*Datos_General[[#This Row],[Puntos Jug_Campo]]</f>
        <v>0</v>
      </c>
      <c r="AA18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86" s="10" t="str">
        <f>+IF(Datos_General[[#This Row],[Resultado Jug_Campo]] = "Empate", "1",IF(Datos_General[[#This Row],[Resultado Jug_Campo]] = "Victoria", "3","0"))</f>
        <v>0</v>
      </c>
    </row>
    <row r="187" spans="1:28">
      <c r="A187" s="1">
        <v>12</v>
      </c>
      <c r="B187" s="6">
        <v>46004</v>
      </c>
      <c r="C187" s="1" t="s">
        <v>133</v>
      </c>
      <c r="D187" s="1" t="s">
        <v>132</v>
      </c>
      <c r="E187" s="10" t="str">
        <f>+CONCATENATE(Datos_General[[#This Row],[Eq.Local]], "-", Datos_General[[#This Row],[Eq.Visitante]])</f>
        <v>Conxo Santiago B-E.D. Xuventude Oroso</v>
      </c>
      <c r="F187" s="1" t="s">
        <v>157</v>
      </c>
      <c r="G187" s="1" t="s">
        <v>57</v>
      </c>
      <c r="H187" s="1" t="s">
        <v>43</v>
      </c>
      <c r="I187" s="9">
        <v>1</v>
      </c>
      <c r="J187" s="9">
        <v>4</v>
      </c>
      <c r="K187" s="10" t="str">
        <f>+CONCATENATE(Datos_General[[#This Row],[Goles a Favor_Eq_local]],"-",Datos_General[[#This Row],[Gol a Favor_Eq_Visitante]])</f>
        <v>1-4</v>
      </c>
      <c r="L187" s="1" t="s">
        <v>133</v>
      </c>
      <c r="M187" s="1">
        <v>11</v>
      </c>
      <c r="N187" s="1" t="s">
        <v>147</v>
      </c>
      <c r="O187" s="1">
        <v>1</v>
      </c>
      <c r="P187" s="1" t="s">
        <v>2</v>
      </c>
      <c r="Q187" s="22">
        <v>1</v>
      </c>
      <c r="R187" s="9">
        <v>1</v>
      </c>
      <c r="S187" s="1">
        <v>52</v>
      </c>
      <c r="T187" s="1" t="s">
        <v>150</v>
      </c>
      <c r="U187" s="1">
        <f>90-Datos_General[[#This Row],[Minutos Jugados]]</f>
        <v>38</v>
      </c>
      <c r="V187" s="1">
        <v>0</v>
      </c>
      <c r="W187" s="1">
        <v>0</v>
      </c>
      <c r="X187" s="1">
        <v>3</v>
      </c>
      <c r="Y187" s="10">
        <f>+IF(Datos_General[[#This Row],[Resultado]]="Victoria", "3", IF(Datos_General[[#This Row],[Resultado]]="Empate","1",0))</f>
        <v>0</v>
      </c>
      <c r="Z187" s="11">
        <f>+Datos_General[[#This Row],[Minutos Jugados]]*Datos_General[[#This Row],[Puntos Jug_Campo]]</f>
        <v>0</v>
      </c>
      <c r="AA18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87" s="10" t="str">
        <f>+IF(Datos_General[[#This Row],[Resultado Jug_Campo]] = "Empate", "1",IF(Datos_General[[#This Row],[Resultado Jug_Campo]] = "Victoria", "3","0"))</f>
        <v>0</v>
      </c>
    </row>
    <row r="188" spans="1:28">
      <c r="A188" s="1">
        <v>12</v>
      </c>
      <c r="B188" s="6">
        <v>46004</v>
      </c>
      <c r="C188" s="1" t="s">
        <v>133</v>
      </c>
      <c r="D188" s="1" t="s">
        <v>132</v>
      </c>
      <c r="E188" s="10" t="str">
        <f>+CONCATENATE(Datos_General[[#This Row],[Eq.Local]], "-", Datos_General[[#This Row],[Eq.Visitante]])</f>
        <v>Conxo Santiago B-E.D. Xuventude Oroso</v>
      </c>
      <c r="F188" s="1" t="s">
        <v>157</v>
      </c>
      <c r="G188" s="1" t="s">
        <v>57</v>
      </c>
      <c r="H188" s="1" t="s">
        <v>43</v>
      </c>
      <c r="I188" s="9">
        <v>1</v>
      </c>
      <c r="J188" s="9">
        <v>4</v>
      </c>
      <c r="K188" s="10" t="str">
        <f>+CONCATENATE(Datos_General[[#This Row],[Goles a Favor_Eq_local]],"-",Datos_General[[#This Row],[Gol a Favor_Eq_Visitante]])</f>
        <v>1-4</v>
      </c>
      <c r="L188" s="1" t="s">
        <v>133</v>
      </c>
      <c r="M188" s="1">
        <v>13</v>
      </c>
      <c r="N188" s="1" t="s">
        <v>137</v>
      </c>
      <c r="O188" s="1">
        <v>1</v>
      </c>
      <c r="P188" s="1" t="s">
        <v>70</v>
      </c>
      <c r="Q188" s="7">
        <f>+IF(Datos_General[[#This Row],[Minutos Jugados]]&gt;0, 1, 0)</f>
        <v>0</v>
      </c>
      <c r="R188" s="23">
        <v>0</v>
      </c>
      <c r="S188" s="8">
        <f>IFERROR(IF(MATCH(N188,$T$177:$T$192,0), INDEX($U$177:$U$192,MATCH(N188,$T$177:$T$192,0))),0)</f>
        <v>0</v>
      </c>
      <c r="U188" s="1">
        <f>90-Datos_General[[#This Row],[Minutos Jugados]]</f>
        <v>90</v>
      </c>
      <c r="V188" s="1">
        <v>0</v>
      </c>
      <c r="W188" s="1">
        <v>0</v>
      </c>
      <c r="X188" s="1">
        <v>0</v>
      </c>
      <c r="Y188" s="10">
        <f>+IF(Datos_General[[#This Row],[Resultado]]="Victoria", "3", IF(Datos_General[[#This Row],[Resultado]]="Empate","1",0))</f>
        <v>0</v>
      </c>
      <c r="Z188" s="11">
        <f>+Datos_General[[#This Row],[Minutos Jugados]]*Datos_General[[#This Row],[Puntos Jug_Campo]]</f>
        <v>0</v>
      </c>
      <c r="AA18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188" s="10" t="str">
        <f>+IF(Datos_General[[#This Row],[Resultado Jug_Campo]] = "Empate", "1",IF(Datos_General[[#This Row],[Resultado Jug_Campo]] = "Victoria", "3","0"))</f>
        <v>0</v>
      </c>
    </row>
    <row r="189" spans="1:28">
      <c r="A189" s="1">
        <v>12</v>
      </c>
      <c r="B189" s="6">
        <v>46004</v>
      </c>
      <c r="C189" s="1" t="s">
        <v>133</v>
      </c>
      <c r="D189" s="1" t="s">
        <v>132</v>
      </c>
      <c r="E189" s="10" t="str">
        <f>+CONCATENATE(Datos_General[[#This Row],[Eq.Local]], "-", Datos_General[[#This Row],[Eq.Visitante]])</f>
        <v>Conxo Santiago B-E.D. Xuventude Oroso</v>
      </c>
      <c r="F189" s="1" t="s">
        <v>157</v>
      </c>
      <c r="G189" s="1" t="s">
        <v>57</v>
      </c>
      <c r="H189" s="1" t="s">
        <v>43</v>
      </c>
      <c r="I189" s="9">
        <v>1</v>
      </c>
      <c r="J189" s="9">
        <v>4</v>
      </c>
      <c r="K189" s="10" t="str">
        <f>+CONCATENATE(Datos_General[[#This Row],[Goles a Favor_Eq_local]],"-",Datos_General[[#This Row],[Gol a Favor_Eq_Visitante]])</f>
        <v>1-4</v>
      </c>
      <c r="L189" s="1" t="s">
        <v>133</v>
      </c>
      <c r="M189" s="1">
        <v>12</v>
      </c>
      <c r="N189" s="1" t="s">
        <v>150</v>
      </c>
      <c r="O189" s="1">
        <v>1</v>
      </c>
      <c r="P189" s="1" t="s">
        <v>70</v>
      </c>
      <c r="Q189" s="7">
        <f>+IF(Datos_General[[#This Row],[Minutos Jugados]]&gt;0, 1, 0)</f>
        <v>1</v>
      </c>
      <c r="R189" s="23">
        <v>0</v>
      </c>
      <c r="S189" s="8">
        <f t="shared" ref="S189:S192" si="3">IFERROR(IF(MATCH(N189,$T$177:$T$192,0), INDEX($U$177:$U$192,MATCH(N189,$T$177:$T$192,0))),0)</f>
        <v>38</v>
      </c>
      <c r="U189" s="1">
        <f>90-Datos_General[[#This Row],[Minutos Jugados]]</f>
        <v>52</v>
      </c>
      <c r="V189" s="1">
        <v>0</v>
      </c>
      <c r="W189" s="1">
        <v>1</v>
      </c>
      <c r="X189" s="1">
        <v>1</v>
      </c>
      <c r="Y189" s="10">
        <f>+IF(Datos_General[[#This Row],[Resultado]]="Victoria", "3", IF(Datos_General[[#This Row],[Resultado]]="Empate","1",0))</f>
        <v>0</v>
      </c>
      <c r="Z189" s="11">
        <f>+Datos_General[[#This Row],[Minutos Jugados]]*Datos_General[[#This Row],[Puntos Jug_Campo]]</f>
        <v>38</v>
      </c>
      <c r="AA18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89" s="10" t="str">
        <f>+IF(Datos_General[[#This Row],[Resultado Jug_Campo]] = "Empate", "1",IF(Datos_General[[#This Row],[Resultado Jug_Campo]] = "Victoria", "3","0"))</f>
        <v>1</v>
      </c>
    </row>
    <row r="190" spans="1:28">
      <c r="A190" s="1">
        <v>12</v>
      </c>
      <c r="B190" s="6">
        <v>46004</v>
      </c>
      <c r="C190" s="1" t="s">
        <v>133</v>
      </c>
      <c r="D190" s="1" t="s">
        <v>132</v>
      </c>
      <c r="E190" s="10" t="str">
        <f>+CONCATENATE(Datos_General[[#This Row],[Eq.Local]], "-", Datos_General[[#This Row],[Eq.Visitante]])</f>
        <v>Conxo Santiago B-E.D. Xuventude Oroso</v>
      </c>
      <c r="F190" s="1" t="s">
        <v>157</v>
      </c>
      <c r="G190" s="1" t="s">
        <v>57</v>
      </c>
      <c r="H190" s="1" t="s">
        <v>43</v>
      </c>
      <c r="I190" s="9">
        <v>1</v>
      </c>
      <c r="J190" s="9">
        <v>4</v>
      </c>
      <c r="K190" s="10" t="str">
        <f>+CONCATENATE(Datos_General[[#This Row],[Goles a Favor_Eq_local]],"-",Datos_General[[#This Row],[Gol a Favor_Eq_Visitante]])</f>
        <v>1-4</v>
      </c>
      <c r="L190" s="1" t="s">
        <v>133</v>
      </c>
      <c r="M190" s="1">
        <v>14</v>
      </c>
      <c r="N190" s="1" t="s">
        <v>166</v>
      </c>
      <c r="O190" s="1">
        <v>1</v>
      </c>
      <c r="P190" s="1" t="s">
        <v>70</v>
      </c>
      <c r="Q190" s="7">
        <f>+IF(Datos_General[[#This Row],[Minutos Jugados]]&gt;0, 1, 0)</f>
        <v>1</v>
      </c>
      <c r="R190" s="23">
        <v>0</v>
      </c>
      <c r="S190" s="8">
        <f t="shared" si="3"/>
        <v>44</v>
      </c>
      <c r="U190" s="1">
        <f>90-Datos_General[[#This Row],[Minutos Jugados]]</f>
        <v>46</v>
      </c>
      <c r="V190" s="1">
        <v>0</v>
      </c>
      <c r="W190" s="1">
        <v>1</v>
      </c>
      <c r="X190" s="1">
        <v>1</v>
      </c>
      <c r="Y190" s="10">
        <f>+IF(Datos_General[[#This Row],[Resultado]]="Victoria", "3", IF(Datos_General[[#This Row],[Resultado]]="Empate","1",0))</f>
        <v>0</v>
      </c>
      <c r="Z190" s="11">
        <f>+Datos_General[[#This Row],[Minutos Jugados]]*Datos_General[[#This Row],[Puntos Jug_Campo]]</f>
        <v>44</v>
      </c>
      <c r="AA19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90" s="10" t="str">
        <f>+IF(Datos_General[[#This Row],[Resultado Jug_Campo]] = "Empate", "1",IF(Datos_General[[#This Row],[Resultado Jug_Campo]] = "Victoria", "3","0"))</f>
        <v>1</v>
      </c>
    </row>
    <row r="191" spans="1:28">
      <c r="A191" s="1">
        <v>12</v>
      </c>
      <c r="B191" s="6">
        <v>46004</v>
      </c>
      <c r="C191" s="1" t="s">
        <v>133</v>
      </c>
      <c r="D191" s="1" t="s">
        <v>132</v>
      </c>
      <c r="E191" s="10" t="str">
        <f>+CONCATENATE(Datos_General[[#This Row],[Eq.Local]], "-", Datos_General[[#This Row],[Eq.Visitante]])</f>
        <v>Conxo Santiago B-E.D. Xuventude Oroso</v>
      </c>
      <c r="F191" s="1" t="s">
        <v>157</v>
      </c>
      <c r="G191" s="1" t="s">
        <v>57</v>
      </c>
      <c r="H191" s="1" t="s">
        <v>43</v>
      </c>
      <c r="I191" s="9">
        <v>1</v>
      </c>
      <c r="J191" s="9">
        <v>4</v>
      </c>
      <c r="K191" s="10" t="str">
        <f>+CONCATENATE(Datos_General[[#This Row],[Goles a Favor_Eq_local]],"-",Datos_General[[#This Row],[Gol a Favor_Eq_Visitante]])</f>
        <v>1-4</v>
      </c>
      <c r="L191" s="1" t="s">
        <v>133</v>
      </c>
      <c r="M191" s="1">
        <v>15</v>
      </c>
      <c r="N191" s="1" t="s">
        <v>154</v>
      </c>
      <c r="O191" s="1">
        <v>1</v>
      </c>
      <c r="P191" s="1" t="s">
        <v>70</v>
      </c>
      <c r="Q191" s="7">
        <f>+IF(Datos_General[[#This Row],[Minutos Jugados]]&gt;0, 1, 0)</f>
        <v>1</v>
      </c>
      <c r="R191" s="23">
        <v>0</v>
      </c>
      <c r="S191" s="8">
        <f t="shared" si="3"/>
        <v>34</v>
      </c>
      <c r="U191" s="1">
        <f>90-Datos_General[[#This Row],[Minutos Jugados]]</f>
        <v>56</v>
      </c>
      <c r="V191" s="1">
        <v>0</v>
      </c>
      <c r="W191" s="1">
        <v>1</v>
      </c>
      <c r="X191" s="1">
        <v>1</v>
      </c>
      <c r="Y191" s="10">
        <f>+IF(Datos_General[[#This Row],[Resultado]]="Victoria", "3", IF(Datos_General[[#This Row],[Resultado]]="Empate","1",0))</f>
        <v>0</v>
      </c>
      <c r="Z191" s="11">
        <f>+Datos_General[[#This Row],[Minutos Jugados]]*Datos_General[[#This Row],[Puntos Jug_Campo]]</f>
        <v>34</v>
      </c>
      <c r="AA19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91" s="10" t="str">
        <f>+IF(Datos_General[[#This Row],[Resultado Jug_Campo]] = "Empate", "1",IF(Datos_General[[#This Row],[Resultado Jug_Campo]] = "Victoria", "3","0"))</f>
        <v>1</v>
      </c>
    </row>
    <row r="192" spans="1:28">
      <c r="A192" s="1">
        <v>12</v>
      </c>
      <c r="B192" s="6">
        <v>46004</v>
      </c>
      <c r="C192" s="1" t="s">
        <v>133</v>
      </c>
      <c r="D192" s="1" t="s">
        <v>132</v>
      </c>
      <c r="E192" s="10" t="str">
        <f>+CONCATENATE(Datos_General[[#This Row],[Eq.Local]], "-", Datos_General[[#This Row],[Eq.Visitante]])</f>
        <v>Conxo Santiago B-E.D. Xuventude Oroso</v>
      </c>
      <c r="F192" s="1" t="s">
        <v>157</v>
      </c>
      <c r="G192" s="1" t="s">
        <v>57</v>
      </c>
      <c r="H192" s="1" t="s">
        <v>43</v>
      </c>
      <c r="I192" s="9">
        <v>1</v>
      </c>
      <c r="J192" s="9">
        <v>4</v>
      </c>
      <c r="K192" s="10" t="str">
        <f>+CONCATENATE(Datos_General[[#This Row],[Goles a Favor_Eq_local]],"-",Datos_General[[#This Row],[Gol a Favor_Eq_Visitante]])</f>
        <v>1-4</v>
      </c>
      <c r="L192" s="1" t="s">
        <v>133</v>
      </c>
      <c r="M192" s="1">
        <v>16</v>
      </c>
      <c r="N192" s="1" t="s">
        <v>152</v>
      </c>
      <c r="O192" s="1">
        <v>1</v>
      </c>
      <c r="P192" s="1" t="s">
        <v>70</v>
      </c>
      <c r="Q192" s="7">
        <f>+IF(Datos_General[[#This Row],[Minutos Jugados]]&gt;0, 1, 0)</f>
        <v>1</v>
      </c>
      <c r="R192" s="23">
        <v>0</v>
      </c>
      <c r="S192" s="8">
        <f t="shared" si="3"/>
        <v>38</v>
      </c>
      <c r="U192" s="1">
        <f>90-Datos_General[[#This Row],[Minutos Jugados]]</f>
        <v>52</v>
      </c>
      <c r="V192" s="1">
        <v>1</v>
      </c>
      <c r="W192" s="1">
        <v>1</v>
      </c>
      <c r="X192" s="1">
        <v>1</v>
      </c>
      <c r="Y192" s="10">
        <f>+IF(Datos_General[[#This Row],[Resultado]]="Victoria", "3", IF(Datos_General[[#This Row],[Resultado]]="Empate","1",0))</f>
        <v>0</v>
      </c>
      <c r="Z192" s="11">
        <f>+Datos_General[[#This Row],[Minutos Jugados]]*Datos_General[[#This Row],[Puntos Jug_Campo]]</f>
        <v>38</v>
      </c>
      <c r="AA19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92" s="10" t="str">
        <f>+IF(Datos_General[[#This Row],[Resultado Jug_Campo]] = "Empate", "1",IF(Datos_General[[#This Row],[Resultado Jug_Campo]] = "Victoria", "3","0"))</f>
        <v>1</v>
      </c>
    </row>
    <row r="193" spans="1:28">
      <c r="A193" s="1">
        <v>13</v>
      </c>
      <c r="B193" s="6">
        <v>46011</v>
      </c>
      <c r="C193" s="1" t="s">
        <v>125</v>
      </c>
      <c r="D193" s="1" t="s">
        <v>133</v>
      </c>
      <c r="E193" s="10" t="str">
        <f>+CONCATENATE(Datos_General[[#This Row],[Eq.Local]], "-", Datos_General[[#This Row],[Eq.Visitante]])</f>
        <v>Escola de Fútbol DSF-Conxo Santiago B</v>
      </c>
      <c r="F193" s="1" t="s">
        <v>196</v>
      </c>
      <c r="G193" s="1" t="s">
        <v>58</v>
      </c>
      <c r="H193" s="1" t="s">
        <v>43</v>
      </c>
      <c r="I193" s="9">
        <v>4</v>
      </c>
      <c r="J193" s="9">
        <v>0</v>
      </c>
      <c r="K193" s="10" t="str">
        <f>+CONCATENATE(Datos_General[[#This Row],[Goles a Favor_Eq_local]],"-",Datos_General[[#This Row],[Gol a Favor_Eq_Visitante]])</f>
        <v>4-0</v>
      </c>
      <c r="L193" s="1" t="s">
        <v>133</v>
      </c>
      <c r="M193" s="1">
        <v>1</v>
      </c>
      <c r="N193" s="1" t="s">
        <v>137</v>
      </c>
      <c r="O193" s="1">
        <v>1</v>
      </c>
      <c r="P193" s="1" t="s">
        <v>2</v>
      </c>
      <c r="Q193" s="22">
        <v>1</v>
      </c>
      <c r="R193" s="9">
        <v>1</v>
      </c>
      <c r="S193" s="1">
        <v>90</v>
      </c>
      <c r="U193" s="1">
        <f>90-Datos_General[[#This Row],[Minutos Jugados]]</f>
        <v>0</v>
      </c>
      <c r="V193" s="1">
        <v>0</v>
      </c>
      <c r="W193" s="1">
        <v>0</v>
      </c>
      <c r="X193" s="1">
        <v>4</v>
      </c>
      <c r="Y193" s="10">
        <f>+IF(Datos_General[[#This Row],[Resultado]]="Victoria", "3", IF(Datos_General[[#This Row],[Resultado]]="Empate","1",0))</f>
        <v>0</v>
      </c>
      <c r="Z193" s="11">
        <f>+Datos_General[[#This Row],[Minutos Jugados]]*Datos_General[[#This Row],[Puntos Jug_Campo]]</f>
        <v>0</v>
      </c>
      <c r="AA19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93" s="10" t="str">
        <f>+IF(Datos_General[[#This Row],[Resultado Jug_Campo]] = "Empate", "1",IF(Datos_General[[#This Row],[Resultado Jug_Campo]] = "Victoria", "3","0"))</f>
        <v>0</v>
      </c>
    </row>
    <row r="194" spans="1:28">
      <c r="A194" s="1">
        <v>13</v>
      </c>
      <c r="B194" s="6">
        <v>46011</v>
      </c>
      <c r="C194" s="1" t="s">
        <v>125</v>
      </c>
      <c r="D194" s="1" t="s">
        <v>133</v>
      </c>
      <c r="E194" s="10" t="str">
        <f>+CONCATENATE(Datos_General[[#This Row],[Eq.Local]], "-", Datos_General[[#This Row],[Eq.Visitante]])</f>
        <v>Escola de Fútbol DSF-Conxo Santiago B</v>
      </c>
      <c r="F194" s="1" t="s">
        <v>196</v>
      </c>
      <c r="G194" s="1" t="s">
        <v>58</v>
      </c>
      <c r="H194" s="1" t="s">
        <v>43</v>
      </c>
      <c r="I194" s="9">
        <v>4</v>
      </c>
      <c r="J194" s="9">
        <v>0</v>
      </c>
      <c r="K194" s="10" t="str">
        <f>+CONCATENATE(Datos_General[[#This Row],[Goles a Favor_Eq_local]],"-",Datos_General[[#This Row],[Gol a Favor_Eq_Visitante]])</f>
        <v>4-0</v>
      </c>
      <c r="L194" s="1" t="s">
        <v>133</v>
      </c>
      <c r="M194" s="1">
        <v>2</v>
      </c>
      <c r="N194" s="1" t="s">
        <v>154</v>
      </c>
      <c r="O194" s="1">
        <v>1</v>
      </c>
      <c r="P194" s="1" t="s">
        <v>2</v>
      </c>
      <c r="Q194" s="22">
        <v>1</v>
      </c>
      <c r="R194" s="9">
        <v>1</v>
      </c>
      <c r="S194" s="1">
        <v>90</v>
      </c>
      <c r="U194" s="1">
        <f>90-Datos_General[[#This Row],[Minutos Jugados]]</f>
        <v>0</v>
      </c>
      <c r="V194" s="1">
        <v>0</v>
      </c>
      <c r="W194" s="1">
        <v>0</v>
      </c>
      <c r="X194" s="1">
        <v>4</v>
      </c>
      <c r="Y194" s="10">
        <f>+IF(Datos_General[[#This Row],[Resultado]]="Victoria", "3", IF(Datos_General[[#This Row],[Resultado]]="Empate","1",0))</f>
        <v>0</v>
      </c>
      <c r="Z194" s="11">
        <f>+Datos_General[[#This Row],[Minutos Jugados]]*Datos_General[[#This Row],[Puntos Jug_Campo]]</f>
        <v>0</v>
      </c>
      <c r="AA19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94" s="10" t="str">
        <f>+IF(Datos_General[[#This Row],[Resultado Jug_Campo]] = "Empate", "1",IF(Datos_General[[#This Row],[Resultado Jug_Campo]] = "Victoria", "3","0"))</f>
        <v>0</v>
      </c>
    </row>
    <row r="195" spans="1:28">
      <c r="A195" s="1">
        <v>13</v>
      </c>
      <c r="B195" s="6">
        <v>46011</v>
      </c>
      <c r="C195" s="1" t="s">
        <v>125</v>
      </c>
      <c r="D195" s="1" t="s">
        <v>133</v>
      </c>
      <c r="E195" s="10" t="str">
        <f>+CONCATENATE(Datos_General[[#This Row],[Eq.Local]], "-", Datos_General[[#This Row],[Eq.Visitante]])</f>
        <v>Escola de Fútbol DSF-Conxo Santiago B</v>
      </c>
      <c r="F195" s="1" t="s">
        <v>196</v>
      </c>
      <c r="G195" s="1" t="s">
        <v>58</v>
      </c>
      <c r="H195" s="1" t="s">
        <v>43</v>
      </c>
      <c r="I195" s="9">
        <v>4</v>
      </c>
      <c r="J195" s="9">
        <v>0</v>
      </c>
      <c r="K195" s="10" t="str">
        <f>+CONCATENATE(Datos_General[[#This Row],[Goles a Favor_Eq_local]],"-",Datos_General[[#This Row],[Gol a Favor_Eq_Visitante]])</f>
        <v>4-0</v>
      </c>
      <c r="L195" s="1" t="s">
        <v>133</v>
      </c>
      <c r="M195" s="1">
        <v>3</v>
      </c>
      <c r="N195" s="1" t="s">
        <v>163</v>
      </c>
      <c r="O195" s="1">
        <v>1</v>
      </c>
      <c r="P195" s="1" t="s">
        <v>2</v>
      </c>
      <c r="Q195" s="22">
        <v>1</v>
      </c>
      <c r="R195" s="9">
        <v>1</v>
      </c>
      <c r="S195" s="1">
        <v>90</v>
      </c>
      <c r="U195" s="1">
        <f>90-Datos_General[[#This Row],[Minutos Jugados]]</f>
        <v>0</v>
      </c>
      <c r="V195" s="1">
        <v>0</v>
      </c>
      <c r="W195" s="1">
        <v>0</v>
      </c>
      <c r="X195" s="1">
        <v>4</v>
      </c>
      <c r="Y195" s="10">
        <f>+IF(Datos_General[[#This Row],[Resultado]]="Victoria", "3", IF(Datos_General[[#This Row],[Resultado]]="Empate","1",0))</f>
        <v>0</v>
      </c>
      <c r="Z195" s="11">
        <f>+Datos_General[[#This Row],[Minutos Jugados]]*Datos_General[[#This Row],[Puntos Jug_Campo]]</f>
        <v>0</v>
      </c>
      <c r="AA19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95" s="10" t="str">
        <f>+IF(Datos_General[[#This Row],[Resultado Jug_Campo]] = "Empate", "1",IF(Datos_General[[#This Row],[Resultado Jug_Campo]] = "Victoria", "3","0"))</f>
        <v>0</v>
      </c>
    </row>
    <row r="196" spans="1:28">
      <c r="A196" s="1">
        <v>13</v>
      </c>
      <c r="B196" s="6">
        <v>46011</v>
      </c>
      <c r="C196" s="1" t="s">
        <v>125</v>
      </c>
      <c r="D196" s="1" t="s">
        <v>133</v>
      </c>
      <c r="E196" s="10" t="str">
        <f>+CONCATENATE(Datos_General[[#This Row],[Eq.Local]], "-", Datos_General[[#This Row],[Eq.Visitante]])</f>
        <v>Escola de Fútbol DSF-Conxo Santiago B</v>
      </c>
      <c r="F196" s="1" t="s">
        <v>196</v>
      </c>
      <c r="G196" s="1" t="s">
        <v>58</v>
      </c>
      <c r="H196" s="1" t="s">
        <v>43</v>
      </c>
      <c r="I196" s="9">
        <v>4</v>
      </c>
      <c r="J196" s="9">
        <v>0</v>
      </c>
      <c r="K196" s="10" t="str">
        <f>+CONCATENATE(Datos_General[[#This Row],[Goles a Favor_Eq_local]],"-",Datos_General[[#This Row],[Gol a Favor_Eq_Visitante]])</f>
        <v>4-0</v>
      </c>
      <c r="L196" s="1" t="s">
        <v>133</v>
      </c>
      <c r="M196" s="1">
        <v>4</v>
      </c>
      <c r="N196" s="1" t="s">
        <v>140</v>
      </c>
      <c r="O196" s="1">
        <v>1</v>
      </c>
      <c r="P196" s="1" t="s">
        <v>2</v>
      </c>
      <c r="Q196" s="22">
        <v>1</v>
      </c>
      <c r="R196" s="9">
        <v>1</v>
      </c>
      <c r="S196" s="1">
        <v>90</v>
      </c>
      <c r="U196" s="1">
        <f>90-Datos_General[[#This Row],[Minutos Jugados]]</f>
        <v>0</v>
      </c>
      <c r="V196" s="1">
        <v>0</v>
      </c>
      <c r="W196" s="1">
        <v>0</v>
      </c>
      <c r="X196" s="1">
        <v>4</v>
      </c>
      <c r="Y196" s="10">
        <f>+IF(Datos_General[[#This Row],[Resultado]]="Victoria", "3", IF(Datos_General[[#This Row],[Resultado]]="Empate","1",0))</f>
        <v>0</v>
      </c>
      <c r="Z196" s="11">
        <f>+Datos_General[[#This Row],[Minutos Jugados]]*Datos_General[[#This Row],[Puntos Jug_Campo]]</f>
        <v>0</v>
      </c>
      <c r="AA19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96" s="10" t="str">
        <f>+IF(Datos_General[[#This Row],[Resultado Jug_Campo]] = "Empate", "1",IF(Datos_General[[#This Row],[Resultado Jug_Campo]] = "Victoria", "3","0"))</f>
        <v>0</v>
      </c>
    </row>
    <row r="197" spans="1:28">
      <c r="A197" s="1">
        <v>13</v>
      </c>
      <c r="B197" s="6">
        <v>46011</v>
      </c>
      <c r="C197" s="1" t="s">
        <v>125</v>
      </c>
      <c r="D197" s="1" t="s">
        <v>133</v>
      </c>
      <c r="E197" s="10" t="str">
        <f>+CONCATENATE(Datos_General[[#This Row],[Eq.Local]], "-", Datos_General[[#This Row],[Eq.Visitante]])</f>
        <v>Escola de Fútbol DSF-Conxo Santiago B</v>
      </c>
      <c r="F197" s="1" t="s">
        <v>196</v>
      </c>
      <c r="G197" s="1" t="s">
        <v>58</v>
      </c>
      <c r="H197" s="1" t="s">
        <v>43</v>
      </c>
      <c r="I197" s="9">
        <v>4</v>
      </c>
      <c r="J197" s="9">
        <v>0</v>
      </c>
      <c r="K197" s="10" t="str">
        <f>+CONCATENATE(Datos_General[[#This Row],[Goles a Favor_Eq_local]],"-",Datos_General[[#This Row],[Gol a Favor_Eq_Visitante]])</f>
        <v>4-0</v>
      </c>
      <c r="L197" s="1" t="s">
        <v>133</v>
      </c>
      <c r="M197" s="1">
        <v>5</v>
      </c>
      <c r="N197" s="1" t="s">
        <v>144</v>
      </c>
      <c r="O197" s="1">
        <v>1</v>
      </c>
      <c r="P197" s="1" t="s">
        <v>2</v>
      </c>
      <c r="Q197" s="22">
        <v>1</v>
      </c>
      <c r="R197" s="9">
        <v>1</v>
      </c>
      <c r="S197" s="1">
        <v>90</v>
      </c>
      <c r="U197" s="1">
        <f>90-Datos_General[[#This Row],[Minutos Jugados]]</f>
        <v>0</v>
      </c>
      <c r="V197" s="1">
        <v>0</v>
      </c>
      <c r="W197" s="1">
        <v>0</v>
      </c>
      <c r="X197" s="1">
        <v>4</v>
      </c>
      <c r="Y197" s="10">
        <f>+IF(Datos_General[[#This Row],[Resultado]]="Victoria", "3", IF(Datos_General[[#This Row],[Resultado]]="Empate","1",0))</f>
        <v>0</v>
      </c>
      <c r="Z197" s="11">
        <f>+Datos_General[[#This Row],[Minutos Jugados]]*Datos_General[[#This Row],[Puntos Jug_Campo]]</f>
        <v>0</v>
      </c>
      <c r="AA19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97" s="10" t="str">
        <f>+IF(Datos_General[[#This Row],[Resultado Jug_Campo]] = "Empate", "1",IF(Datos_General[[#This Row],[Resultado Jug_Campo]] = "Victoria", "3","0"))</f>
        <v>0</v>
      </c>
    </row>
    <row r="198" spans="1:28">
      <c r="A198" s="1">
        <v>13</v>
      </c>
      <c r="B198" s="6">
        <v>46011</v>
      </c>
      <c r="C198" s="1" t="s">
        <v>125</v>
      </c>
      <c r="D198" s="1" t="s">
        <v>133</v>
      </c>
      <c r="E198" s="10" t="str">
        <f>+CONCATENATE(Datos_General[[#This Row],[Eq.Local]], "-", Datos_General[[#This Row],[Eq.Visitante]])</f>
        <v>Escola de Fútbol DSF-Conxo Santiago B</v>
      </c>
      <c r="F198" s="1" t="s">
        <v>196</v>
      </c>
      <c r="G198" s="1" t="s">
        <v>58</v>
      </c>
      <c r="H198" s="1" t="s">
        <v>43</v>
      </c>
      <c r="I198" s="9">
        <v>4</v>
      </c>
      <c r="J198" s="9">
        <v>0</v>
      </c>
      <c r="K198" s="10" t="str">
        <f>+CONCATENATE(Datos_General[[#This Row],[Goles a Favor_Eq_local]],"-",Datos_General[[#This Row],[Gol a Favor_Eq_Visitante]])</f>
        <v>4-0</v>
      </c>
      <c r="L198" s="1" t="s">
        <v>133</v>
      </c>
      <c r="M198" s="1">
        <v>6</v>
      </c>
      <c r="N198" s="1" t="s">
        <v>142</v>
      </c>
      <c r="O198" s="1">
        <v>1</v>
      </c>
      <c r="P198" s="1" t="s">
        <v>2</v>
      </c>
      <c r="Q198" s="22">
        <v>1</v>
      </c>
      <c r="R198" s="9">
        <v>1</v>
      </c>
      <c r="S198" s="1">
        <v>90</v>
      </c>
      <c r="U198" s="1">
        <f>90-Datos_General[[#This Row],[Minutos Jugados]]</f>
        <v>0</v>
      </c>
      <c r="V198" s="1">
        <v>0</v>
      </c>
      <c r="W198" s="1">
        <v>0</v>
      </c>
      <c r="X198" s="1">
        <v>4</v>
      </c>
      <c r="Y198" s="10">
        <f>+IF(Datos_General[[#This Row],[Resultado]]="Victoria", "3", IF(Datos_General[[#This Row],[Resultado]]="Empate","1",0))</f>
        <v>0</v>
      </c>
      <c r="Z198" s="11">
        <f>+Datos_General[[#This Row],[Minutos Jugados]]*Datos_General[[#This Row],[Puntos Jug_Campo]]</f>
        <v>0</v>
      </c>
      <c r="AA19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198" s="10" t="str">
        <f>+IF(Datos_General[[#This Row],[Resultado Jug_Campo]] = "Empate", "1",IF(Datos_General[[#This Row],[Resultado Jug_Campo]] = "Victoria", "3","0"))</f>
        <v>0</v>
      </c>
    </row>
    <row r="199" spans="1:28">
      <c r="A199" s="1">
        <v>13</v>
      </c>
      <c r="B199" s="6">
        <v>46011</v>
      </c>
      <c r="C199" s="1" t="s">
        <v>125</v>
      </c>
      <c r="D199" s="1" t="s">
        <v>133</v>
      </c>
      <c r="E199" s="10" t="str">
        <f>+CONCATENATE(Datos_General[[#This Row],[Eq.Local]], "-", Datos_General[[#This Row],[Eq.Visitante]])</f>
        <v>Escola de Fútbol DSF-Conxo Santiago B</v>
      </c>
      <c r="F199" s="1" t="s">
        <v>196</v>
      </c>
      <c r="G199" s="1" t="s">
        <v>58</v>
      </c>
      <c r="H199" s="1" t="s">
        <v>43</v>
      </c>
      <c r="I199" s="9">
        <v>4</v>
      </c>
      <c r="J199" s="9">
        <v>0</v>
      </c>
      <c r="K199" s="10" t="str">
        <f>+CONCATENATE(Datos_General[[#This Row],[Goles a Favor_Eq_local]],"-",Datos_General[[#This Row],[Gol a Favor_Eq_Visitante]])</f>
        <v>4-0</v>
      </c>
      <c r="L199" s="1" t="s">
        <v>133</v>
      </c>
      <c r="M199" s="1">
        <v>7</v>
      </c>
      <c r="N199" s="1" t="s">
        <v>150</v>
      </c>
      <c r="O199" s="1">
        <v>1</v>
      </c>
      <c r="P199" s="1" t="s">
        <v>2</v>
      </c>
      <c r="Q199" s="22">
        <v>1</v>
      </c>
      <c r="R199" s="9">
        <v>1</v>
      </c>
      <c r="S199" s="1">
        <v>44</v>
      </c>
      <c r="T199" s="1" t="s">
        <v>159</v>
      </c>
      <c r="U199" s="1">
        <f>90-Datos_General[[#This Row],[Minutos Jugados]]</f>
        <v>46</v>
      </c>
      <c r="V199" s="1">
        <v>0</v>
      </c>
      <c r="W199" s="1">
        <v>0</v>
      </c>
      <c r="X199" s="1">
        <v>0</v>
      </c>
      <c r="Y199" s="10">
        <f>+IF(Datos_General[[#This Row],[Resultado]]="Victoria", "3", IF(Datos_General[[#This Row],[Resultado]]="Empate","1",0))</f>
        <v>0</v>
      </c>
      <c r="Z199" s="11">
        <f>+Datos_General[[#This Row],[Minutos Jugados]]*Datos_General[[#This Row],[Puntos Jug_Campo]]</f>
        <v>44</v>
      </c>
      <c r="AA19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199" s="10" t="str">
        <f>+IF(Datos_General[[#This Row],[Resultado Jug_Campo]] = "Empate", "1",IF(Datos_General[[#This Row],[Resultado Jug_Campo]] = "Victoria", "3","0"))</f>
        <v>1</v>
      </c>
    </row>
    <row r="200" spans="1:28">
      <c r="A200" s="1">
        <v>13</v>
      </c>
      <c r="B200" s="6">
        <v>46011</v>
      </c>
      <c r="C200" s="1" t="s">
        <v>125</v>
      </c>
      <c r="D200" s="1" t="s">
        <v>133</v>
      </c>
      <c r="E200" s="10" t="str">
        <f>+CONCATENATE(Datos_General[[#This Row],[Eq.Local]], "-", Datos_General[[#This Row],[Eq.Visitante]])</f>
        <v>Escola de Fútbol DSF-Conxo Santiago B</v>
      </c>
      <c r="F200" s="1" t="s">
        <v>196</v>
      </c>
      <c r="G200" s="1" t="s">
        <v>58</v>
      </c>
      <c r="H200" s="1" t="s">
        <v>43</v>
      </c>
      <c r="I200" s="9">
        <v>4</v>
      </c>
      <c r="J200" s="9">
        <v>0</v>
      </c>
      <c r="K200" s="10" t="str">
        <f>+CONCATENATE(Datos_General[[#This Row],[Goles a Favor_Eq_local]],"-",Datos_General[[#This Row],[Gol a Favor_Eq_Visitante]])</f>
        <v>4-0</v>
      </c>
      <c r="L200" s="1" t="s">
        <v>133</v>
      </c>
      <c r="M200" s="1">
        <v>8</v>
      </c>
      <c r="N200" s="1" t="s">
        <v>165</v>
      </c>
      <c r="O200" s="1">
        <v>1</v>
      </c>
      <c r="P200" s="1" t="s">
        <v>2</v>
      </c>
      <c r="Q200" s="22">
        <v>1</v>
      </c>
      <c r="R200" s="9">
        <v>1</v>
      </c>
      <c r="S200" s="1">
        <v>90</v>
      </c>
      <c r="U200" s="1">
        <f>90-Datos_General[[#This Row],[Minutos Jugados]]</f>
        <v>0</v>
      </c>
      <c r="V200" s="1">
        <v>0</v>
      </c>
      <c r="W200" s="1">
        <v>0</v>
      </c>
      <c r="X200" s="1">
        <v>4</v>
      </c>
      <c r="Y200" s="10">
        <f>+IF(Datos_General[[#This Row],[Resultado]]="Victoria", "3", IF(Datos_General[[#This Row],[Resultado]]="Empate","1",0))</f>
        <v>0</v>
      </c>
      <c r="Z200" s="11">
        <f>+Datos_General[[#This Row],[Minutos Jugados]]*Datos_General[[#This Row],[Puntos Jug_Campo]]</f>
        <v>0</v>
      </c>
      <c r="AA20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00" s="10" t="str">
        <f>+IF(Datos_General[[#This Row],[Resultado Jug_Campo]] = "Empate", "1",IF(Datos_General[[#This Row],[Resultado Jug_Campo]] = "Victoria", "3","0"))</f>
        <v>0</v>
      </c>
    </row>
    <row r="201" spans="1:28">
      <c r="A201" s="1">
        <v>13</v>
      </c>
      <c r="B201" s="6">
        <v>46011</v>
      </c>
      <c r="C201" s="1" t="s">
        <v>125</v>
      </c>
      <c r="D201" s="1" t="s">
        <v>133</v>
      </c>
      <c r="E201" s="10" t="str">
        <f>+CONCATENATE(Datos_General[[#This Row],[Eq.Local]], "-", Datos_General[[#This Row],[Eq.Visitante]])</f>
        <v>Escola de Fútbol DSF-Conxo Santiago B</v>
      </c>
      <c r="F201" s="1" t="s">
        <v>196</v>
      </c>
      <c r="G201" s="1" t="s">
        <v>58</v>
      </c>
      <c r="H201" s="1" t="s">
        <v>43</v>
      </c>
      <c r="I201" s="9">
        <v>4</v>
      </c>
      <c r="J201" s="9">
        <v>0</v>
      </c>
      <c r="K201" s="10" t="str">
        <f>+CONCATENATE(Datos_General[[#This Row],[Goles a Favor_Eq_local]],"-",Datos_General[[#This Row],[Gol a Favor_Eq_Visitante]])</f>
        <v>4-0</v>
      </c>
      <c r="L201" s="1" t="s">
        <v>133</v>
      </c>
      <c r="M201" s="1">
        <v>9</v>
      </c>
      <c r="N201" s="1" t="s">
        <v>152</v>
      </c>
      <c r="O201" s="1">
        <v>1</v>
      </c>
      <c r="P201" s="1" t="s">
        <v>2</v>
      </c>
      <c r="Q201" s="22">
        <v>1</v>
      </c>
      <c r="R201" s="9">
        <v>1</v>
      </c>
      <c r="S201" s="1">
        <v>52</v>
      </c>
      <c r="T201" s="1" t="s">
        <v>194</v>
      </c>
      <c r="U201" s="1">
        <f>90-Datos_General[[#This Row],[Minutos Jugados]]</f>
        <v>38</v>
      </c>
      <c r="V201" s="1">
        <v>0</v>
      </c>
      <c r="W201" s="1">
        <v>0</v>
      </c>
      <c r="X201" s="1">
        <v>2</v>
      </c>
      <c r="Y201" s="10">
        <f>+IF(Datos_General[[#This Row],[Resultado]]="Victoria", "3", IF(Datos_General[[#This Row],[Resultado]]="Empate","1",0))</f>
        <v>0</v>
      </c>
      <c r="Z201" s="11">
        <f>+Datos_General[[#This Row],[Minutos Jugados]]*Datos_General[[#This Row],[Puntos Jug_Campo]]</f>
        <v>0</v>
      </c>
      <c r="AA20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01" s="10" t="str">
        <f>+IF(Datos_General[[#This Row],[Resultado Jug_Campo]] = "Empate", "1",IF(Datos_General[[#This Row],[Resultado Jug_Campo]] = "Victoria", "3","0"))</f>
        <v>0</v>
      </c>
    </row>
    <row r="202" spans="1:28">
      <c r="A202" s="1">
        <v>13</v>
      </c>
      <c r="B202" s="6">
        <v>46011</v>
      </c>
      <c r="C202" s="1" t="s">
        <v>125</v>
      </c>
      <c r="D202" s="1" t="s">
        <v>133</v>
      </c>
      <c r="E202" s="10" t="str">
        <f>+CONCATENATE(Datos_General[[#This Row],[Eq.Local]], "-", Datos_General[[#This Row],[Eq.Visitante]])</f>
        <v>Escola de Fútbol DSF-Conxo Santiago B</v>
      </c>
      <c r="F202" s="1" t="s">
        <v>196</v>
      </c>
      <c r="G202" s="1" t="s">
        <v>58</v>
      </c>
      <c r="H202" s="1" t="s">
        <v>43</v>
      </c>
      <c r="I202" s="9">
        <v>4</v>
      </c>
      <c r="J202" s="9">
        <v>0</v>
      </c>
      <c r="K202" s="10" t="str">
        <f>+CONCATENATE(Datos_General[[#This Row],[Goles a Favor_Eq_local]],"-",Datos_General[[#This Row],[Gol a Favor_Eq_Visitante]])</f>
        <v>4-0</v>
      </c>
      <c r="L202" s="1" t="s">
        <v>133</v>
      </c>
      <c r="M202" s="1">
        <v>10</v>
      </c>
      <c r="N202" s="1" t="s">
        <v>146</v>
      </c>
      <c r="O202" s="1">
        <v>1</v>
      </c>
      <c r="P202" s="1" t="s">
        <v>2</v>
      </c>
      <c r="Q202" s="22">
        <v>1</v>
      </c>
      <c r="R202" s="9">
        <v>1</v>
      </c>
      <c r="S202" s="1">
        <v>64</v>
      </c>
      <c r="T202" s="1" t="s">
        <v>138</v>
      </c>
      <c r="U202" s="1">
        <f>90-Datos_General[[#This Row],[Minutos Jugados]]</f>
        <v>26</v>
      </c>
      <c r="V202" s="1">
        <v>0</v>
      </c>
      <c r="W202" s="1">
        <v>0</v>
      </c>
      <c r="X202" s="1">
        <v>4</v>
      </c>
      <c r="Y202" s="10">
        <f>+IF(Datos_General[[#This Row],[Resultado]]="Victoria", "3", IF(Datos_General[[#This Row],[Resultado]]="Empate","1",0))</f>
        <v>0</v>
      </c>
      <c r="Z202" s="11">
        <f>+Datos_General[[#This Row],[Minutos Jugados]]*Datos_General[[#This Row],[Puntos Jug_Campo]]</f>
        <v>0</v>
      </c>
      <c r="AA20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02" s="10" t="str">
        <f>+IF(Datos_General[[#This Row],[Resultado Jug_Campo]] = "Empate", "1",IF(Datos_General[[#This Row],[Resultado Jug_Campo]] = "Victoria", "3","0"))</f>
        <v>0</v>
      </c>
    </row>
    <row r="203" spans="1:28">
      <c r="A203" s="1">
        <v>13</v>
      </c>
      <c r="B203" s="6">
        <v>46011</v>
      </c>
      <c r="C203" s="1" t="s">
        <v>125</v>
      </c>
      <c r="D203" s="1" t="s">
        <v>133</v>
      </c>
      <c r="E203" s="10" t="str">
        <f>+CONCATENATE(Datos_General[[#This Row],[Eq.Local]], "-", Datos_General[[#This Row],[Eq.Visitante]])</f>
        <v>Escola de Fútbol DSF-Conxo Santiago B</v>
      </c>
      <c r="F203" s="1" t="s">
        <v>196</v>
      </c>
      <c r="G203" s="1" t="s">
        <v>58</v>
      </c>
      <c r="H203" s="1" t="s">
        <v>43</v>
      </c>
      <c r="I203" s="9">
        <v>4</v>
      </c>
      <c r="J203" s="9">
        <v>0</v>
      </c>
      <c r="K203" s="10" t="str">
        <f>+CONCATENATE(Datos_General[[#This Row],[Goles a Favor_Eq_local]],"-",Datos_General[[#This Row],[Gol a Favor_Eq_Visitante]])</f>
        <v>4-0</v>
      </c>
      <c r="L203" s="1" t="s">
        <v>133</v>
      </c>
      <c r="M203" s="1">
        <v>11</v>
      </c>
      <c r="N203" s="1" t="s">
        <v>166</v>
      </c>
      <c r="O203" s="1">
        <v>1</v>
      </c>
      <c r="P203" s="1" t="s">
        <v>2</v>
      </c>
      <c r="Q203" s="22">
        <v>1</v>
      </c>
      <c r="R203" s="9">
        <v>1</v>
      </c>
      <c r="S203" s="1">
        <v>52</v>
      </c>
      <c r="T203" s="1" t="s">
        <v>156</v>
      </c>
      <c r="U203" s="1">
        <f>90-Datos_General[[#This Row],[Minutos Jugados]]</f>
        <v>38</v>
      </c>
      <c r="V203" s="1">
        <v>0</v>
      </c>
      <c r="W203" s="1">
        <v>0</v>
      </c>
      <c r="X203" s="1">
        <v>2</v>
      </c>
      <c r="Y203" s="10">
        <f>+IF(Datos_General[[#This Row],[Resultado]]="Victoria", "3", IF(Datos_General[[#This Row],[Resultado]]="Empate","1",0))</f>
        <v>0</v>
      </c>
      <c r="Z203" s="11">
        <f>+Datos_General[[#This Row],[Minutos Jugados]]*Datos_General[[#This Row],[Puntos Jug_Campo]]</f>
        <v>0</v>
      </c>
      <c r="AA20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03" s="10" t="str">
        <f>+IF(Datos_General[[#This Row],[Resultado Jug_Campo]] = "Empate", "1",IF(Datos_General[[#This Row],[Resultado Jug_Campo]] = "Victoria", "3","0"))</f>
        <v>0</v>
      </c>
    </row>
    <row r="204" spans="1:28">
      <c r="A204" s="1">
        <v>13</v>
      </c>
      <c r="B204" s="6">
        <v>46011</v>
      </c>
      <c r="C204" s="1" t="s">
        <v>125</v>
      </c>
      <c r="D204" s="1" t="s">
        <v>133</v>
      </c>
      <c r="E204" s="10" t="str">
        <f>+CONCATENATE(Datos_General[[#This Row],[Eq.Local]], "-", Datos_General[[#This Row],[Eq.Visitante]])</f>
        <v>Escola de Fútbol DSF-Conxo Santiago B</v>
      </c>
      <c r="F204" s="1" t="s">
        <v>196</v>
      </c>
      <c r="G204" s="1" t="s">
        <v>58</v>
      </c>
      <c r="H204" s="1" t="s">
        <v>43</v>
      </c>
      <c r="I204" s="9">
        <v>4</v>
      </c>
      <c r="J204" s="9">
        <v>0</v>
      </c>
      <c r="K204" s="10" t="str">
        <f>+CONCATENATE(Datos_General[[#This Row],[Goles a Favor_Eq_local]],"-",Datos_General[[#This Row],[Gol a Favor_Eq_Visitante]])</f>
        <v>4-0</v>
      </c>
      <c r="L204" s="1" t="s">
        <v>133</v>
      </c>
      <c r="M204" s="1">
        <v>13</v>
      </c>
      <c r="N204" s="1" t="s">
        <v>148</v>
      </c>
      <c r="O204" s="1">
        <v>1</v>
      </c>
      <c r="P204" s="1" t="s">
        <v>70</v>
      </c>
      <c r="Q204" s="7">
        <f>+IF(Datos_General[[#This Row],[Minutos Jugados]]&gt;0, 1, 0)</f>
        <v>0</v>
      </c>
      <c r="R204" s="23">
        <v>0</v>
      </c>
      <c r="S204" s="8">
        <f>IFERROR(IF(MATCH(N204,$T$193:$T$208,0), INDEX($U$193:$U$208,MATCH(N204,$T$193:$T$208,0))),0)</f>
        <v>0</v>
      </c>
      <c r="U204" s="1">
        <f>90-Datos_General[[#This Row],[Minutos Jugados]]</f>
        <v>90</v>
      </c>
      <c r="V204" s="1">
        <v>0</v>
      </c>
      <c r="W204" s="1">
        <v>0</v>
      </c>
      <c r="X204" s="1">
        <v>0</v>
      </c>
      <c r="Y204" s="10">
        <f>+IF(Datos_General[[#This Row],[Resultado]]="Victoria", "3", IF(Datos_General[[#This Row],[Resultado]]="Empate","1",0))</f>
        <v>0</v>
      </c>
      <c r="Z204" s="11">
        <f>+Datos_General[[#This Row],[Minutos Jugados]]*Datos_General[[#This Row],[Puntos Jug_Campo]]</f>
        <v>0</v>
      </c>
      <c r="AA20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204" s="10" t="str">
        <f>+IF(Datos_General[[#This Row],[Resultado Jug_Campo]] = "Empate", "1",IF(Datos_General[[#This Row],[Resultado Jug_Campo]] = "Victoria", "3","0"))</f>
        <v>0</v>
      </c>
    </row>
    <row r="205" spans="1:28">
      <c r="A205" s="1">
        <v>13</v>
      </c>
      <c r="B205" s="6">
        <v>46011</v>
      </c>
      <c r="C205" s="1" t="s">
        <v>125</v>
      </c>
      <c r="D205" s="1" t="s">
        <v>133</v>
      </c>
      <c r="E205" s="10" t="str">
        <f>+CONCATENATE(Datos_General[[#This Row],[Eq.Local]], "-", Datos_General[[#This Row],[Eq.Visitante]])</f>
        <v>Escola de Fútbol DSF-Conxo Santiago B</v>
      </c>
      <c r="F205" s="1" t="s">
        <v>196</v>
      </c>
      <c r="G205" s="1" t="s">
        <v>58</v>
      </c>
      <c r="H205" s="1" t="s">
        <v>43</v>
      </c>
      <c r="I205" s="9">
        <v>4</v>
      </c>
      <c r="J205" s="9">
        <v>0</v>
      </c>
      <c r="K205" s="10" t="str">
        <f>+CONCATENATE(Datos_General[[#This Row],[Goles a Favor_Eq_local]],"-",Datos_General[[#This Row],[Gol a Favor_Eq_Visitante]])</f>
        <v>4-0</v>
      </c>
      <c r="L205" s="1" t="s">
        <v>133</v>
      </c>
      <c r="M205" s="1">
        <v>12</v>
      </c>
      <c r="N205" s="1" t="s">
        <v>159</v>
      </c>
      <c r="O205" s="1">
        <v>1</v>
      </c>
      <c r="P205" s="1" t="s">
        <v>70</v>
      </c>
      <c r="Q205" s="7">
        <f>+IF(Datos_General[[#This Row],[Minutos Jugados]]&gt;0, 1, 0)</f>
        <v>1</v>
      </c>
      <c r="R205" s="23">
        <v>0</v>
      </c>
      <c r="S205" s="8">
        <f t="shared" ref="S205:S208" si="4">IFERROR(IF(MATCH(N205,$T$193:$T$208,0), INDEX($U$193:$U$208,MATCH(N205,$T$193:$T$208,0))),0)</f>
        <v>46</v>
      </c>
      <c r="U205" s="1">
        <f>90-Datos_General[[#This Row],[Minutos Jugados]]</f>
        <v>44</v>
      </c>
      <c r="V205" s="1">
        <v>0</v>
      </c>
      <c r="W205" s="1">
        <v>0</v>
      </c>
      <c r="X205" s="1">
        <v>4</v>
      </c>
      <c r="Y205" s="10">
        <f>+IF(Datos_General[[#This Row],[Resultado]]="Victoria", "3", IF(Datos_General[[#This Row],[Resultado]]="Empate","1",0))</f>
        <v>0</v>
      </c>
      <c r="Z205" s="11">
        <f>+Datos_General[[#This Row],[Minutos Jugados]]*Datos_General[[#This Row],[Puntos Jug_Campo]]</f>
        <v>0</v>
      </c>
      <c r="AA20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05" s="10" t="str">
        <f>+IF(Datos_General[[#This Row],[Resultado Jug_Campo]] = "Empate", "1",IF(Datos_General[[#This Row],[Resultado Jug_Campo]] = "Victoria", "3","0"))</f>
        <v>0</v>
      </c>
    </row>
    <row r="206" spans="1:28">
      <c r="A206" s="1">
        <v>13</v>
      </c>
      <c r="B206" s="6">
        <v>46011</v>
      </c>
      <c r="C206" s="1" t="s">
        <v>125</v>
      </c>
      <c r="D206" s="1" t="s">
        <v>133</v>
      </c>
      <c r="E206" s="10" t="str">
        <f>+CONCATENATE(Datos_General[[#This Row],[Eq.Local]], "-", Datos_General[[#This Row],[Eq.Visitante]])</f>
        <v>Escola de Fútbol DSF-Conxo Santiago B</v>
      </c>
      <c r="F206" s="1" t="s">
        <v>196</v>
      </c>
      <c r="G206" s="1" t="s">
        <v>58</v>
      </c>
      <c r="H206" s="1" t="s">
        <v>43</v>
      </c>
      <c r="I206" s="9">
        <v>4</v>
      </c>
      <c r="J206" s="9">
        <v>0</v>
      </c>
      <c r="K206" s="10" t="str">
        <f>+CONCATENATE(Datos_General[[#This Row],[Goles a Favor_Eq_local]],"-",Datos_General[[#This Row],[Gol a Favor_Eq_Visitante]])</f>
        <v>4-0</v>
      </c>
      <c r="L206" s="1" t="s">
        <v>133</v>
      </c>
      <c r="M206" s="1">
        <v>14</v>
      </c>
      <c r="N206" s="1" t="s">
        <v>138</v>
      </c>
      <c r="O206" s="1">
        <v>1</v>
      </c>
      <c r="P206" s="1" t="s">
        <v>70</v>
      </c>
      <c r="Q206" s="7">
        <f>+IF(Datos_General[[#This Row],[Minutos Jugados]]&gt;0, 1, 0)</f>
        <v>1</v>
      </c>
      <c r="R206" s="23">
        <v>0</v>
      </c>
      <c r="S206" s="8">
        <f t="shared" si="4"/>
        <v>26</v>
      </c>
      <c r="U206" s="1">
        <f>90-Datos_General[[#This Row],[Minutos Jugados]]</f>
        <v>64</v>
      </c>
      <c r="V206" s="1">
        <v>0</v>
      </c>
      <c r="W206" s="1">
        <v>0</v>
      </c>
      <c r="X206" s="1">
        <v>0</v>
      </c>
      <c r="Y206" s="10">
        <f>+IF(Datos_General[[#This Row],[Resultado]]="Victoria", "3", IF(Datos_General[[#This Row],[Resultado]]="Empate","1",0))</f>
        <v>0</v>
      </c>
      <c r="Z206" s="11">
        <f>+Datos_General[[#This Row],[Minutos Jugados]]*Datos_General[[#This Row],[Puntos Jug_Campo]]</f>
        <v>26</v>
      </c>
      <c r="AA20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06" s="10" t="str">
        <f>+IF(Datos_General[[#This Row],[Resultado Jug_Campo]] = "Empate", "1",IF(Datos_General[[#This Row],[Resultado Jug_Campo]] = "Victoria", "3","0"))</f>
        <v>1</v>
      </c>
    </row>
    <row r="207" spans="1:28">
      <c r="A207" s="1">
        <v>13</v>
      </c>
      <c r="B207" s="6">
        <v>46011</v>
      </c>
      <c r="C207" s="1" t="s">
        <v>125</v>
      </c>
      <c r="D207" s="1" t="s">
        <v>133</v>
      </c>
      <c r="E207" s="10" t="str">
        <f>+CONCATENATE(Datos_General[[#This Row],[Eq.Local]], "-", Datos_General[[#This Row],[Eq.Visitante]])</f>
        <v>Escola de Fútbol DSF-Conxo Santiago B</v>
      </c>
      <c r="F207" s="1" t="s">
        <v>196</v>
      </c>
      <c r="G207" s="1" t="s">
        <v>58</v>
      </c>
      <c r="H207" s="1" t="s">
        <v>43</v>
      </c>
      <c r="I207" s="9">
        <v>4</v>
      </c>
      <c r="J207" s="9">
        <v>0</v>
      </c>
      <c r="K207" s="10" t="str">
        <f>+CONCATENATE(Datos_General[[#This Row],[Goles a Favor_Eq_local]],"-",Datos_General[[#This Row],[Gol a Favor_Eq_Visitante]])</f>
        <v>4-0</v>
      </c>
      <c r="L207" s="1" t="s">
        <v>133</v>
      </c>
      <c r="M207" s="1">
        <v>15</v>
      </c>
      <c r="N207" s="1" t="s">
        <v>156</v>
      </c>
      <c r="O207" s="1">
        <v>1</v>
      </c>
      <c r="P207" s="1" t="s">
        <v>70</v>
      </c>
      <c r="Q207" s="7">
        <f>+IF(Datos_General[[#This Row],[Minutos Jugados]]&gt;0, 1, 0)</f>
        <v>1</v>
      </c>
      <c r="R207" s="23">
        <v>0</v>
      </c>
      <c r="S207" s="8">
        <f t="shared" si="4"/>
        <v>38</v>
      </c>
      <c r="U207" s="1">
        <f>90-Datos_General[[#This Row],[Minutos Jugados]]</f>
        <v>52</v>
      </c>
      <c r="V207" s="1">
        <v>0</v>
      </c>
      <c r="W207" s="1">
        <v>0</v>
      </c>
      <c r="X207" s="1">
        <v>2</v>
      </c>
      <c r="Y207" s="10">
        <f>+IF(Datos_General[[#This Row],[Resultado]]="Victoria", "3", IF(Datos_General[[#This Row],[Resultado]]="Empate","1",0))</f>
        <v>0</v>
      </c>
      <c r="Z207" s="11">
        <f>+Datos_General[[#This Row],[Minutos Jugados]]*Datos_General[[#This Row],[Puntos Jug_Campo]]</f>
        <v>0</v>
      </c>
      <c r="AA20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07" s="10" t="str">
        <f>+IF(Datos_General[[#This Row],[Resultado Jug_Campo]] = "Empate", "1",IF(Datos_General[[#This Row],[Resultado Jug_Campo]] = "Victoria", "3","0"))</f>
        <v>0</v>
      </c>
    </row>
    <row r="208" spans="1:28">
      <c r="A208" s="1">
        <v>13</v>
      </c>
      <c r="B208" s="6">
        <v>46011</v>
      </c>
      <c r="C208" s="1" t="s">
        <v>125</v>
      </c>
      <c r="D208" s="1" t="s">
        <v>133</v>
      </c>
      <c r="E208" s="10" t="str">
        <f>+CONCATENATE(Datos_General[[#This Row],[Eq.Local]], "-", Datos_General[[#This Row],[Eq.Visitante]])</f>
        <v>Escola de Fútbol DSF-Conxo Santiago B</v>
      </c>
      <c r="F208" s="1" t="s">
        <v>196</v>
      </c>
      <c r="G208" s="1" t="s">
        <v>58</v>
      </c>
      <c r="H208" s="1" t="s">
        <v>43</v>
      </c>
      <c r="I208" s="9">
        <v>4</v>
      </c>
      <c r="J208" s="9">
        <v>0</v>
      </c>
      <c r="K208" s="10" t="str">
        <f>+CONCATENATE(Datos_General[[#This Row],[Goles a Favor_Eq_local]],"-",Datos_General[[#This Row],[Gol a Favor_Eq_Visitante]])</f>
        <v>4-0</v>
      </c>
      <c r="L208" s="1" t="s">
        <v>133</v>
      </c>
      <c r="M208" s="1">
        <v>16</v>
      </c>
      <c r="N208" s="1" t="s">
        <v>194</v>
      </c>
      <c r="O208" s="1">
        <v>1</v>
      </c>
      <c r="P208" s="1" t="s">
        <v>70</v>
      </c>
      <c r="Q208" s="7">
        <f>+IF(Datos_General[[#This Row],[Minutos Jugados]]&gt;0, 1, 0)</f>
        <v>1</v>
      </c>
      <c r="R208" s="23">
        <v>0</v>
      </c>
      <c r="S208" s="8">
        <f t="shared" si="4"/>
        <v>38</v>
      </c>
      <c r="U208" s="1">
        <f>90-Datos_General[[#This Row],[Minutos Jugados]]</f>
        <v>52</v>
      </c>
      <c r="V208" s="1">
        <v>0</v>
      </c>
      <c r="W208" s="1">
        <v>0</v>
      </c>
      <c r="X208" s="1">
        <v>2</v>
      </c>
      <c r="Y208" s="10">
        <f>+IF(Datos_General[[#This Row],[Resultado]]="Victoria", "3", IF(Datos_General[[#This Row],[Resultado]]="Empate","1",0))</f>
        <v>0</v>
      </c>
      <c r="Z208" s="11">
        <f>+Datos_General[[#This Row],[Minutos Jugados]]*Datos_General[[#This Row],[Puntos Jug_Campo]]</f>
        <v>0</v>
      </c>
      <c r="AA20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08" s="10" t="str">
        <f>+IF(Datos_General[[#This Row],[Resultado Jug_Campo]] = "Empate", "1",IF(Datos_General[[#This Row],[Resultado Jug_Campo]] = "Victoria", "3","0"))</f>
        <v>0</v>
      </c>
    </row>
    <row r="209" spans="1:28">
      <c r="A209" s="1">
        <v>14</v>
      </c>
      <c r="B209" s="6">
        <v>46033</v>
      </c>
      <c r="C209" s="1" t="s">
        <v>133</v>
      </c>
      <c r="D209" s="1" t="s">
        <v>124</v>
      </c>
      <c r="E209" s="10" t="str">
        <f>+CONCATENATE(Datos_General[[#This Row],[Eq.Local]], "-", Datos_General[[#This Row],[Eq.Visitante]])</f>
        <v>Conxo Santiago B-E.D. Arousa S.D.</v>
      </c>
      <c r="F209" s="1" t="s">
        <v>157</v>
      </c>
      <c r="G209" s="1" t="s">
        <v>57</v>
      </c>
      <c r="H209" s="1" t="s">
        <v>43</v>
      </c>
      <c r="I209" s="9">
        <v>1</v>
      </c>
      <c r="J209" s="9">
        <v>3</v>
      </c>
      <c r="K209" s="10" t="str">
        <f>+CONCATENATE(Datos_General[[#This Row],[Goles a Favor_Eq_local]],"-",Datos_General[[#This Row],[Gol a Favor_Eq_Visitante]])</f>
        <v>1-3</v>
      </c>
      <c r="L209" s="1" t="s">
        <v>133</v>
      </c>
      <c r="M209" s="1">
        <v>1</v>
      </c>
      <c r="N209" s="1" t="s">
        <v>148</v>
      </c>
      <c r="O209" s="1">
        <v>1</v>
      </c>
      <c r="P209" s="1" t="s">
        <v>2</v>
      </c>
      <c r="Q209" s="22">
        <v>1</v>
      </c>
      <c r="R209" s="9">
        <v>1</v>
      </c>
      <c r="S209" s="1">
        <v>90</v>
      </c>
      <c r="U209" s="1">
        <f>90-Datos_General[[#This Row],[Minutos Jugados]]</f>
        <v>0</v>
      </c>
      <c r="V209" s="1">
        <v>0</v>
      </c>
      <c r="W209" s="1">
        <v>0</v>
      </c>
      <c r="X209" s="1">
        <v>0</v>
      </c>
      <c r="Y209" s="10">
        <f>+IF(Datos_General[[#This Row],[Resultado]]="Victoria", "3", IF(Datos_General[[#This Row],[Resultado]]="Empate","1",0))</f>
        <v>0</v>
      </c>
      <c r="Z209" s="11">
        <f>+Datos_General[[#This Row],[Minutos Jugados]]*Datos_General[[#This Row],[Puntos Jug_Campo]]</f>
        <v>90</v>
      </c>
      <c r="AA20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09" s="10" t="str">
        <f>+IF(Datos_General[[#This Row],[Resultado Jug_Campo]] = "Empate", "1",IF(Datos_General[[#This Row],[Resultado Jug_Campo]] = "Victoria", "3","0"))</f>
        <v>1</v>
      </c>
    </row>
    <row r="210" spans="1:28">
      <c r="A210" s="1">
        <v>14</v>
      </c>
      <c r="B210" s="6">
        <v>46033</v>
      </c>
      <c r="C210" s="1" t="s">
        <v>133</v>
      </c>
      <c r="D210" s="1" t="s">
        <v>124</v>
      </c>
      <c r="E210" s="10" t="str">
        <f>+CONCATENATE(Datos_General[[#This Row],[Eq.Local]], "-", Datos_General[[#This Row],[Eq.Visitante]])</f>
        <v>Conxo Santiago B-E.D. Arousa S.D.</v>
      </c>
      <c r="F210" s="1" t="s">
        <v>157</v>
      </c>
      <c r="G210" s="1" t="s">
        <v>57</v>
      </c>
      <c r="H210" s="1" t="s">
        <v>43</v>
      </c>
      <c r="I210" s="9">
        <v>1</v>
      </c>
      <c r="J210" s="9">
        <v>3</v>
      </c>
      <c r="K210" s="10" t="str">
        <f>+CONCATENATE(Datos_General[[#This Row],[Goles a Favor_Eq_local]],"-",Datos_General[[#This Row],[Gol a Favor_Eq_Visitante]])</f>
        <v>1-3</v>
      </c>
      <c r="L210" s="1" t="s">
        <v>133</v>
      </c>
      <c r="M210" s="1">
        <v>2</v>
      </c>
      <c r="N210" s="1" t="s">
        <v>154</v>
      </c>
      <c r="O210" s="1">
        <v>1</v>
      </c>
      <c r="P210" s="1" t="s">
        <v>2</v>
      </c>
      <c r="Q210" s="22">
        <v>1</v>
      </c>
      <c r="R210" s="9">
        <v>1</v>
      </c>
      <c r="S210" s="1">
        <v>64</v>
      </c>
      <c r="T210" s="1" t="s">
        <v>142</v>
      </c>
      <c r="U210" s="1">
        <f>90-Datos_General[[#This Row],[Minutos Jugados]]</f>
        <v>26</v>
      </c>
      <c r="V210" s="1">
        <v>0</v>
      </c>
      <c r="W210" s="1">
        <v>0</v>
      </c>
      <c r="X210" s="1">
        <v>0</v>
      </c>
      <c r="Y210" s="10">
        <f>+IF(Datos_General[[#This Row],[Resultado]]="Victoria", "3", IF(Datos_General[[#This Row],[Resultado]]="Empate","1",0))</f>
        <v>0</v>
      </c>
      <c r="Z210" s="11">
        <f>+Datos_General[[#This Row],[Minutos Jugados]]*Datos_General[[#This Row],[Puntos Jug_Campo]]</f>
        <v>64</v>
      </c>
      <c r="AA21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0" s="10" t="str">
        <f>+IF(Datos_General[[#This Row],[Resultado Jug_Campo]] = "Empate", "1",IF(Datos_General[[#This Row],[Resultado Jug_Campo]] = "Victoria", "3","0"))</f>
        <v>1</v>
      </c>
    </row>
    <row r="211" spans="1:28">
      <c r="A211" s="1">
        <v>14</v>
      </c>
      <c r="B211" s="6">
        <v>46033</v>
      </c>
      <c r="C211" s="1" t="s">
        <v>133</v>
      </c>
      <c r="D211" s="1" t="s">
        <v>124</v>
      </c>
      <c r="E211" s="10" t="str">
        <f>+CONCATENATE(Datos_General[[#This Row],[Eq.Local]], "-", Datos_General[[#This Row],[Eq.Visitante]])</f>
        <v>Conxo Santiago B-E.D. Arousa S.D.</v>
      </c>
      <c r="F211" s="1" t="s">
        <v>157</v>
      </c>
      <c r="G211" s="1" t="s">
        <v>57</v>
      </c>
      <c r="H211" s="1" t="s">
        <v>43</v>
      </c>
      <c r="I211" s="9">
        <v>1</v>
      </c>
      <c r="J211" s="9">
        <v>3</v>
      </c>
      <c r="K211" s="10" t="str">
        <f>+CONCATENATE(Datos_General[[#This Row],[Goles a Favor_Eq_local]],"-",Datos_General[[#This Row],[Gol a Favor_Eq_Visitante]])</f>
        <v>1-3</v>
      </c>
      <c r="L211" s="1" t="s">
        <v>133</v>
      </c>
      <c r="M211" s="1">
        <v>3</v>
      </c>
      <c r="N211" s="1" t="s">
        <v>163</v>
      </c>
      <c r="O211" s="1">
        <v>1</v>
      </c>
      <c r="P211" s="1" t="s">
        <v>2</v>
      </c>
      <c r="Q211" s="22">
        <v>1</v>
      </c>
      <c r="R211" s="9">
        <v>1</v>
      </c>
      <c r="S211" s="1">
        <v>54</v>
      </c>
      <c r="T211" s="1" t="s">
        <v>150</v>
      </c>
      <c r="U211" s="1">
        <f>90-Datos_General[[#This Row],[Minutos Jugados]]</f>
        <v>36</v>
      </c>
      <c r="V211" s="1">
        <v>0</v>
      </c>
      <c r="W211" s="1">
        <v>0</v>
      </c>
      <c r="X211" s="1">
        <v>0</v>
      </c>
      <c r="Y211" s="10">
        <f>+IF(Datos_General[[#This Row],[Resultado]]="Victoria", "3", IF(Datos_General[[#This Row],[Resultado]]="Empate","1",0))</f>
        <v>0</v>
      </c>
      <c r="Z211" s="11">
        <f>+Datos_General[[#This Row],[Minutos Jugados]]*Datos_General[[#This Row],[Puntos Jug_Campo]]</f>
        <v>54</v>
      </c>
      <c r="AA21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1" s="10" t="str">
        <f>+IF(Datos_General[[#This Row],[Resultado Jug_Campo]] = "Empate", "1",IF(Datos_General[[#This Row],[Resultado Jug_Campo]] = "Victoria", "3","0"))</f>
        <v>1</v>
      </c>
    </row>
    <row r="212" spans="1:28">
      <c r="A212" s="1">
        <v>14</v>
      </c>
      <c r="B212" s="6">
        <v>46033</v>
      </c>
      <c r="C212" s="1" t="s">
        <v>133</v>
      </c>
      <c r="D212" s="1" t="s">
        <v>124</v>
      </c>
      <c r="E212" s="10" t="str">
        <f>+CONCATENATE(Datos_General[[#This Row],[Eq.Local]], "-", Datos_General[[#This Row],[Eq.Visitante]])</f>
        <v>Conxo Santiago B-E.D. Arousa S.D.</v>
      </c>
      <c r="F212" s="1" t="s">
        <v>157</v>
      </c>
      <c r="G212" s="1" t="s">
        <v>57</v>
      </c>
      <c r="H212" s="1" t="s">
        <v>43</v>
      </c>
      <c r="I212" s="9">
        <v>1</v>
      </c>
      <c r="J212" s="9">
        <v>3</v>
      </c>
      <c r="K212" s="10" t="str">
        <f>+CONCATENATE(Datos_General[[#This Row],[Goles a Favor_Eq_local]],"-",Datos_General[[#This Row],[Gol a Favor_Eq_Visitante]])</f>
        <v>1-3</v>
      </c>
      <c r="L212" s="1" t="s">
        <v>133</v>
      </c>
      <c r="M212" s="1">
        <v>4</v>
      </c>
      <c r="N212" s="1" t="s">
        <v>140</v>
      </c>
      <c r="O212" s="1">
        <v>1</v>
      </c>
      <c r="P212" s="1" t="s">
        <v>2</v>
      </c>
      <c r="Q212" s="22">
        <v>1</v>
      </c>
      <c r="R212" s="9">
        <v>1</v>
      </c>
      <c r="S212" s="1">
        <v>90</v>
      </c>
      <c r="U212" s="1">
        <f>90-Datos_General[[#This Row],[Minutos Jugados]]</f>
        <v>0</v>
      </c>
      <c r="V212" s="1">
        <v>0</v>
      </c>
      <c r="W212" s="1">
        <v>0</v>
      </c>
      <c r="X212" s="1">
        <v>0</v>
      </c>
      <c r="Y212" s="10">
        <f>+IF(Datos_General[[#This Row],[Resultado]]="Victoria", "3", IF(Datos_General[[#This Row],[Resultado]]="Empate","1",0))</f>
        <v>0</v>
      </c>
      <c r="Z212" s="11">
        <f>+Datos_General[[#This Row],[Minutos Jugados]]*Datos_General[[#This Row],[Puntos Jug_Campo]]</f>
        <v>90</v>
      </c>
      <c r="AA21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2" s="10" t="str">
        <f>+IF(Datos_General[[#This Row],[Resultado Jug_Campo]] = "Empate", "1",IF(Datos_General[[#This Row],[Resultado Jug_Campo]] = "Victoria", "3","0"))</f>
        <v>1</v>
      </c>
    </row>
    <row r="213" spans="1:28">
      <c r="A213" s="1">
        <v>14</v>
      </c>
      <c r="B213" s="6">
        <v>46033</v>
      </c>
      <c r="C213" s="1" t="s">
        <v>133</v>
      </c>
      <c r="D213" s="1" t="s">
        <v>124</v>
      </c>
      <c r="E213" s="10" t="str">
        <f>+CONCATENATE(Datos_General[[#This Row],[Eq.Local]], "-", Datos_General[[#This Row],[Eq.Visitante]])</f>
        <v>Conxo Santiago B-E.D. Arousa S.D.</v>
      </c>
      <c r="F213" s="1" t="s">
        <v>157</v>
      </c>
      <c r="G213" s="1" t="s">
        <v>57</v>
      </c>
      <c r="H213" s="1" t="s">
        <v>43</v>
      </c>
      <c r="I213" s="9">
        <v>1</v>
      </c>
      <c r="J213" s="9">
        <v>3</v>
      </c>
      <c r="K213" s="10" t="str">
        <f>+CONCATENATE(Datos_General[[#This Row],[Goles a Favor_Eq_local]],"-",Datos_General[[#This Row],[Gol a Favor_Eq_Visitante]])</f>
        <v>1-3</v>
      </c>
      <c r="L213" s="1" t="s">
        <v>133</v>
      </c>
      <c r="M213" s="1">
        <v>5</v>
      </c>
      <c r="N213" s="1" t="s">
        <v>144</v>
      </c>
      <c r="O213" s="1">
        <v>1</v>
      </c>
      <c r="P213" s="1" t="s">
        <v>2</v>
      </c>
      <c r="Q213" s="22">
        <v>1</v>
      </c>
      <c r="R213" s="9">
        <v>1</v>
      </c>
      <c r="S213" s="1">
        <v>90</v>
      </c>
      <c r="U213" s="1">
        <f>90-Datos_General[[#This Row],[Minutos Jugados]]</f>
        <v>0</v>
      </c>
      <c r="V213" s="1">
        <v>0</v>
      </c>
      <c r="W213" s="1">
        <v>0</v>
      </c>
      <c r="X213" s="1">
        <v>0</v>
      </c>
      <c r="Y213" s="10">
        <f>+IF(Datos_General[[#This Row],[Resultado]]="Victoria", "3", IF(Datos_General[[#This Row],[Resultado]]="Empate","1",0))</f>
        <v>0</v>
      </c>
      <c r="Z213" s="11">
        <f>+Datos_General[[#This Row],[Minutos Jugados]]*Datos_General[[#This Row],[Puntos Jug_Campo]]</f>
        <v>90</v>
      </c>
      <c r="AA21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3" s="10" t="str">
        <f>+IF(Datos_General[[#This Row],[Resultado Jug_Campo]] = "Empate", "1",IF(Datos_General[[#This Row],[Resultado Jug_Campo]] = "Victoria", "3","0"))</f>
        <v>1</v>
      </c>
    </row>
    <row r="214" spans="1:28">
      <c r="A214" s="1">
        <v>14</v>
      </c>
      <c r="B214" s="6">
        <v>46033</v>
      </c>
      <c r="C214" s="1" t="s">
        <v>133</v>
      </c>
      <c r="D214" s="1" t="s">
        <v>124</v>
      </c>
      <c r="E214" s="10" t="str">
        <f>+CONCATENATE(Datos_General[[#This Row],[Eq.Local]], "-", Datos_General[[#This Row],[Eq.Visitante]])</f>
        <v>Conxo Santiago B-E.D. Arousa S.D.</v>
      </c>
      <c r="F214" s="1" t="s">
        <v>157</v>
      </c>
      <c r="G214" s="1" t="s">
        <v>57</v>
      </c>
      <c r="H214" s="1" t="s">
        <v>43</v>
      </c>
      <c r="I214" s="9">
        <v>1</v>
      </c>
      <c r="J214" s="9">
        <v>3</v>
      </c>
      <c r="K214" s="10" t="str">
        <f>+CONCATENATE(Datos_General[[#This Row],[Goles a Favor_Eq_local]],"-",Datos_General[[#This Row],[Gol a Favor_Eq_Visitante]])</f>
        <v>1-3</v>
      </c>
      <c r="L214" s="1" t="s">
        <v>133</v>
      </c>
      <c r="M214" s="1">
        <v>6</v>
      </c>
      <c r="N214" s="1" t="s">
        <v>165</v>
      </c>
      <c r="O214" s="1">
        <v>1</v>
      </c>
      <c r="P214" s="1" t="s">
        <v>2</v>
      </c>
      <c r="Q214" s="22">
        <v>1</v>
      </c>
      <c r="R214" s="9">
        <v>1</v>
      </c>
      <c r="S214" s="1">
        <v>64</v>
      </c>
      <c r="T214" s="1" t="s">
        <v>151</v>
      </c>
      <c r="U214" s="1">
        <f>90-Datos_General[[#This Row],[Minutos Jugados]]</f>
        <v>26</v>
      </c>
      <c r="V214" s="1">
        <v>0</v>
      </c>
      <c r="W214" s="1">
        <v>0</v>
      </c>
      <c r="X214" s="1">
        <v>0</v>
      </c>
      <c r="Y214" s="10">
        <f>+IF(Datos_General[[#This Row],[Resultado]]="Victoria", "3", IF(Datos_General[[#This Row],[Resultado]]="Empate","1",0))</f>
        <v>0</v>
      </c>
      <c r="Z214" s="11">
        <f>+Datos_General[[#This Row],[Minutos Jugados]]*Datos_General[[#This Row],[Puntos Jug_Campo]]</f>
        <v>64</v>
      </c>
      <c r="AA21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4" s="10" t="str">
        <f>+IF(Datos_General[[#This Row],[Resultado Jug_Campo]] = "Empate", "1",IF(Datos_General[[#This Row],[Resultado Jug_Campo]] = "Victoria", "3","0"))</f>
        <v>1</v>
      </c>
    </row>
    <row r="215" spans="1:28">
      <c r="A215" s="1">
        <v>14</v>
      </c>
      <c r="B215" s="6">
        <v>46033</v>
      </c>
      <c r="C215" s="1" t="s">
        <v>133</v>
      </c>
      <c r="D215" s="1" t="s">
        <v>124</v>
      </c>
      <c r="E215" s="10" t="str">
        <f>+CONCATENATE(Datos_General[[#This Row],[Eq.Local]], "-", Datos_General[[#This Row],[Eq.Visitante]])</f>
        <v>Conxo Santiago B-E.D. Arousa S.D.</v>
      </c>
      <c r="F215" s="1" t="s">
        <v>157</v>
      </c>
      <c r="G215" s="1" t="s">
        <v>57</v>
      </c>
      <c r="H215" s="1" t="s">
        <v>43</v>
      </c>
      <c r="I215" s="9">
        <v>1</v>
      </c>
      <c r="J215" s="9">
        <v>3</v>
      </c>
      <c r="K215" s="10" t="str">
        <f>+CONCATENATE(Datos_General[[#This Row],[Goles a Favor_Eq_local]],"-",Datos_General[[#This Row],[Gol a Favor_Eq_Visitante]])</f>
        <v>1-3</v>
      </c>
      <c r="L215" s="1" t="s">
        <v>133</v>
      </c>
      <c r="M215" s="1">
        <v>7</v>
      </c>
      <c r="N215" s="1" t="s">
        <v>138</v>
      </c>
      <c r="O215" s="1">
        <v>1</v>
      </c>
      <c r="P215" s="1" t="s">
        <v>2</v>
      </c>
      <c r="Q215" s="22">
        <v>1</v>
      </c>
      <c r="R215" s="9">
        <v>1</v>
      </c>
      <c r="S215" s="1">
        <v>90</v>
      </c>
      <c r="U215" s="1">
        <f>90-Datos_General[[#This Row],[Minutos Jugados]]</f>
        <v>0</v>
      </c>
      <c r="V215" s="1">
        <v>0</v>
      </c>
      <c r="W215" s="1">
        <v>0</v>
      </c>
      <c r="X215" s="1">
        <v>0</v>
      </c>
      <c r="Y215" s="10">
        <f>+IF(Datos_General[[#This Row],[Resultado]]="Victoria", "3", IF(Datos_General[[#This Row],[Resultado]]="Empate","1",0))</f>
        <v>0</v>
      </c>
      <c r="Z215" s="11">
        <f>+Datos_General[[#This Row],[Minutos Jugados]]*Datos_General[[#This Row],[Puntos Jug_Campo]]</f>
        <v>90</v>
      </c>
      <c r="AA21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5" s="10" t="str">
        <f>+IF(Datos_General[[#This Row],[Resultado Jug_Campo]] = "Empate", "1",IF(Datos_General[[#This Row],[Resultado Jug_Campo]] = "Victoria", "3","0"))</f>
        <v>1</v>
      </c>
    </row>
    <row r="216" spans="1:28">
      <c r="A216" s="1">
        <v>14</v>
      </c>
      <c r="B216" s="6">
        <v>46033</v>
      </c>
      <c r="C216" s="1" t="s">
        <v>133</v>
      </c>
      <c r="D216" s="1" t="s">
        <v>124</v>
      </c>
      <c r="E216" s="10" t="str">
        <f>+CONCATENATE(Datos_General[[#This Row],[Eq.Local]], "-", Datos_General[[#This Row],[Eq.Visitante]])</f>
        <v>Conxo Santiago B-E.D. Arousa S.D.</v>
      </c>
      <c r="F216" s="1" t="s">
        <v>157</v>
      </c>
      <c r="G216" s="1" t="s">
        <v>57</v>
      </c>
      <c r="H216" s="1" t="s">
        <v>43</v>
      </c>
      <c r="I216" s="9">
        <v>1</v>
      </c>
      <c r="J216" s="9">
        <v>3</v>
      </c>
      <c r="K216" s="10" t="str">
        <f>+CONCATENATE(Datos_General[[#This Row],[Goles a Favor_Eq_local]],"-",Datos_General[[#This Row],[Gol a Favor_Eq_Visitante]])</f>
        <v>1-3</v>
      </c>
      <c r="L216" s="1" t="s">
        <v>133</v>
      </c>
      <c r="M216" s="1">
        <v>8</v>
      </c>
      <c r="N216" s="1" t="s">
        <v>146</v>
      </c>
      <c r="O216" s="1">
        <v>1</v>
      </c>
      <c r="P216" s="1" t="s">
        <v>2</v>
      </c>
      <c r="Q216" s="22">
        <v>1</v>
      </c>
      <c r="R216" s="9">
        <v>1</v>
      </c>
      <c r="S216" s="1">
        <v>90</v>
      </c>
      <c r="U216" s="1">
        <f>90-Datos_General[[#This Row],[Minutos Jugados]]</f>
        <v>0</v>
      </c>
      <c r="V216" s="1">
        <v>0</v>
      </c>
      <c r="W216" s="1">
        <v>0</v>
      </c>
      <c r="X216" s="1">
        <v>0</v>
      </c>
      <c r="Y216" s="10">
        <f>+IF(Datos_General[[#This Row],[Resultado]]="Victoria", "3", IF(Datos_General[[#This Row],[Resultado]]="Empate","1",0))</f>
        <v>0</v>
      </c>
      <c r="Z216" s="11">
        <f>+Datos_General[[#This Row],[Minutos Jugados]]*Datos_General[[#This Row],[Puntos Jug_Campo]]</f>
        <v>90</v>
      </c>
      <c r="AA21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6" s="10" t="str">
        <f>+IF(Datos_General[[#This Row],[Resultado Jug_Campo]] = "Empate", "1",IF(Datos_General[[#This Row],[Resultado Jug_Campo]] = "Victoria", "3","0"))</f>
        <v>1</v>
      </c>
    </row>
    <row r="217" spans="1:28">
      <c r="A217" s="1">
        <v>14</v>
      </c>
      <c r="B217" s="6">
        <v>46033</v>
      </c>
      <c r="C217" s="1" t="s">
        <v>133</v>
      </c>
      <c r="D217" s="1" t="s">
        <v>124</v>
      </c>
      <c r="E217" s="10" t="str">
        <f>+CONCATENATE(Datos_General[[#This Row],[Eq.Local]], "-", Datos_General[[#This Row],[Eq.Visitante]])</f>
        <v>Conxo Santiago B-E.D. Arousa S.D.</v>
      </c>
      <c r="F217" s="1" t="s">
        <v>157</v>
      </c>
      <c r="G217" s="1" t="s">
        <v>57</v>
      </c>
      <c r="H217" s="1" t="s">
        <v>43</v>
      </c>
      <c r="I217" s="9">
        <v>1</v>
      </c>
      <c r="J217" s="9">
        <v>3</v>
      </c>
      <c r="K217" s="10" t="str">
        <f>+CONCATENATE(Datos_General[[#This Row],[Goles a Favor_Eq_local]],"-",Datos_General[[#This Row],[Gol a Favor_Eq_Visitante]])</f>
        <v>1-3</v>
      </c>
      <c r="L217" s="1" t="s">
        <v>133</v>
      </c>
      <c r="M217" s="1">
        <v>9</v>
      </c>
      <c r="N217" s="1" t="s">
        <v>194</v>
      </c>
      <c r="O217" s="1">
        <v>1</v>
      </c>
      <c r="P217" s="1" t="s">
        <v>2</v>
      </c>
      <c r="Q217" s="22">
        <v>1</v>
      </c>
      <c r="R217" s="9">
        <v>1</v>
      </c>
      <c r="S217" s="1">
        <v>54</v>
      </c>
      <c r="T217" s="1" t="s">
        <v>152</v>
      </c>
      <c r="U217" s="1">
        <f>90-Datos_General[[#This Row],[Minutos Jugados]]</f>
        <v>36</v>
      </c>
      <c r="V217" s="1">
        <v>0</v>
      </c>
      <c r="W217" s="1">
        <v>0</v>
      </c>
      <c r="X217" s="1">
        <v>0</v>
      </c>
      <c r="Y217" s="10">
        <f>+IF(Datos_General[[#This Row],[Resultado]]="Victoria", "3", IF(Datos_General[[#This Row],[Resultado]]="Empate","1",0))</f>
        <v>0</v>
      </c>
      <c r="Z217" s="11">
        <f>+Datos_General[[#This Row],[Minutos Jugados]]*Datos_General[[#This Row],[Puntos Jug_Campo]]</f>
        <v>54</v>
      </c>
      <c r="AA21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7" s="10" t="str">
        <f>+IF(Datos_General[[#This Row],[Resultado Jug_Campo]] = "Empate", "1",IF(Datos_General[[#This Row],[Resultado Jug_Campo]] = "Victoria", "3","0"))</f>
        <v>1</v>
      </c>
    </row>
    <row r="218" spans="1:28">
      <c r="A218" s="1">
        <v>14</v>
      </c>
      <c r="B218" s="6">
        <v>46033</v>
      </c>
      <c r="C218" s="1" t="s">
        <v>133</v>
      </c>
      <c r="D218" s="1" t="s">
        <v>124</v>
      </c>
      <c r="E218" s="10" t="str">
        <f>+CONCATENATE(Datos_General[[#This Row],[Eq.Local]], "-", Datos_General[[#This Row],[Eq.Visitante]])</f>
        <v>Conxo Santiago B-E.D. Arousa S.D.</v>
      </c>
      <c r="F218" s="1" t="s">
        <v>157</v>
      </c>
      <c r="G218" s="1" t="s">
        <v>57</v>
      </c>
      <c r="H218" s="1" t="s">
        <v>43</v>
      </c>
      <c r="I218" s="9">
        <v>1</v>
      </c>
      <c r="J218" s="9">
        <v>3</v>
      </c>
      <c r="K218" s="10" t="str">
        <f>+CONCATENATE(Datos_General[[#This Row],[Goles a Favor_Eq_local]],"-",Datos_General[[#This Row],[Gol a Favor_Eq_Visitante]])</f>
        <v>1-3</v>
      </c>
      <c r="L218" s="1" t="s">
        <v>133</v>
      </c>
      <c r="M218" s="1">
        <v>10</v>
      </c>
      <c r="N218" s="1" t="s">
        <v>166</v>
      </c>
      <c r="O218" s="1">
        <v>1</v>
      </c>
      <c r="P218" s="1" t="s">
        <v>2</v>
      </c>
      <c r="Q218" s="22">
        <v>1</v>
      </c>
      <c r="R218" s="9">
        <v>1</v>
      </c>
      <c r="S218" s="1">
        <v>90</v>
      </c>
      <c r="T218" s="1" t="s">
        <v>137</v>
      </c>
      <c r="U218" s="1">
        <f>90-Datos_General[[#This Row],[Minutos Jugados]]</f>
        <v>0</v>
      </c>
      <c r="V218" s="1">
        <v>0</v>
      </c>
      <c r="W218" s="1">
        <v>0</v>
      </c>
      <c r="X218" s="1">
        <v>0</v>
      </c>
      <c r="Y218" s="10">
        <f>+IF(Datos_General[[#This Row],[Resultado]]="Victoria", "3", IF(Datos_General[[#This Row],[Resultado]]="Empate","1",0))</f>
        <v>0</v>
      </c>
      <c r="Z218" s="11">
        <f>+Datos_General[[#This Row],[Minutos Jugados]]*Datos_General[[#This Row],[Puntos Jug_Campo]]</f>
        <v>90</v>
      </c>
      <c r="AA21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8" s="10" t="str">
        <f>+IF(Datos_General[[#This Row],[Resultado Jug_Campo]] = "Empate", "1",IF(Datos_General[[#This Row],[Resultado Jug_Campo]] = "Victoria", "3","0"))</f>
        <v>1</v>
      </c>
    </row>
    <row r="219" spans="1:28">
      <c r="A219" s="1">
        <v>14</v>
      </c>
      <c r="B219" s="6">
        <v>46033</v>
      </c>
      <c r="C219" s="1" t="s">
        <v>133</v>
      </c>
      <c r="D219" s="1" t="s">
        <v>124</v>
      </c>
      <c r="E219" s="10" t="str">
        <f>+CONCATENATE(Datos_General[[#This Row],[Eq.Local]], "-", Datos_General[[#This Row],[Eq.Visitante]])</f>
        <v>Conxo Santiago B-E.D. Arousa S.D.</v>
      </c>
      <c r="F219" s="1" t="s">
        <v>157</v>
      </c>
      <c r="G219" s="1" t="s">
        <v>57</v>
      </c>
      <c r="H219" s="1" t="s">
        <v>43</v>
      </c>
      <c r="I219" s="9">
        <v>1</v>
      </c>
      <c r="J219" s="9">
        <v>3</v>
      </c>
      <c r="K219" s="10" t="str">
        <f>+CONCATENATE(Datos_General[[#This Row],[Goles a Favor_Eq_local]],"-",Datos_General[[#This Row],[Gol a Favor_Eq_Visitante]])</f>
        <v>1-3</v>
      </c>
      <c r="L219" s="1" t="s">
        <v>133</v>
      </c>
      <c r="M219" s="1">
        <v>11</v>
      </c>
      <c r="N219" s="1" t="s">
        <v>159</v>
      </c>
      <c r="O219" s="1">
        <v>1</v>
      </c>
      <c r="P219" s="1" t="s">
        <v>2</v>
      </c>
      <c r="Q219" s="22">
        <v>1</v>
      </c>
      <c r="R219" s="9">
        <v>1</v>
      </c>
      <c r="S219" s="1">
        <v>90</v>
      </c>
      <c r="U219" s="1">
        <f>90-Datos_General[[#This Row],[Minutos Jugados]]</f>
        <v>0</v>
      </c>
      <c r="V219" s="1">
        <v>0</v>
      </c>
      <c r="W219" s="1">
        <v>0</v>
      </c>
      <c r="X219" s="1">
        <v>0</v>
      </c>
      <c r="Y219" s="10">
        <f>+IF(Datos_General[[#This Row],[Resultado]]="Victoria", "3", IF(Datos_General[[#This Row],[Resultado]]="Empate","1",0))</f>
        <v>0</v>
      </c>
      <c r="Z219" s="11">
        <f>+Datos_General[[#This Row],[Minutos Jugados]]*Datos_General[[#This Row],[Puntos Jug_Campo]]</f>
        <v>90</v>
      </c>
      <c r="AA21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19" s="10" t="str">
        <f>+IF(Datos_General[[#This Row],[Resultado Jug_Campo]] = "Empate", "1",IF(Datos_General[[#This Row],[Resultado Jug_Campo]] = "Victoria", "3","0"))</f>
        <v>1</v>
      </c>
    </row>
    <row r="220" spans="1:28">
      <c r="A220" s="1">
        <v>14</v>
      </c>
      <c r="B220" s="6">
        <v>46033</v>
      </c>
      <c r="C220" s="1" t="s">
        <v>133</v>
      </c>
      <c r="D220" s="1" t="s">
        <v>124</v>
      </c>
      <c r="E220" s="10" t="str">
        <f>+CONCATENATE(Datos_General[[#This Row],[Eq.Local]], "-", Datos_General[[#This Row],[Eq.Visitante]])</f>
        <v>Conxo Santiago B-E.D. Arousa S.D.</v>
      </c>
      <c r="F220" s="1" t="s">
        <v>157</v>
      </c>
      <c r="G220" s="1" t="s">
        <v>57</v>
      </c>
      <c r="H220" s="1" t="s">
        <v>43</v>
      </c>
      <c r="I220" s="9">
        <v>1</v>
      </c>
      <c r="J220" s="9">
        <v>3</v>
      </c>
      <c r="K220" s="10" t="str">
        <f>+CONCATENATE(Datos_General[[#This Row],[Goles a Favor_Eq_local]],"-",Datos_General[[#This Row],[Gol a Favor_Eq_Visitante]])</f>
        <v>1-3</v>
      </c>
      <c r="L220" s="1" t="s">
        <v>133</v>
      </c>
      <c r="M220" s="1">
        <v>13</v>
      </c>
      <c r="N220" s="1" t="s">
        <v>137</v>
      </c>
      <c r="O220" s="1">
        <v>1</v>
      </c>
      <c r="P220" s="1" t="s">
        <v>70</v>
      </c>
      <c r="Q220" s="7">
        <f>+IF(Datos_General[[#This Row],[Minutos Jugados]]&gt;0, 1, 0)</f>
        <v>1</v>
      </c>
      <c r="R220" s="23">
        <v>0</v>
      </c>
      <c r="S220" s="8">
        <v>2</v>
      </c>
      <c r="U220" s="1">
        <f>90-Datos_General[[#This Row],[Minutos Jugados]]</f>
        <v>88</v>
      </c>
      <c r="V220" s="1">
        <v>0</v>
      </c>
      <c r="W220" s="1">
        <v>0</v>
      </c>
      <c r="X220" s="1">
        <v>0</v>
      </c>
      <c r="Y220" s="10">
        <f>+IF(Datos_General[[#This Row],[Resultado]]="Victoria", "3", IF(Datos_General[[#This Row],[Resultado]]="Empate","1",0))</f>
        <v>0</v>
      </c>
      <c r="Z220" s="11">
        <f>+Datos_General[[#This Row],[Minutos Jugados]]*Datos_General[[#This Row],[Puntos Jug_Campo]]</f>
        <v>2</v>
      </c>
      <c r="AA22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20" s="10" t="str">
        <f>+IF(Datos_General[[#This Row],[Resultado Jug_Campo]] = "Empate", "1",IF(Datos_General[[#This Row],[Resultado Jug_Campo]] = "Victoria", "3","0"))</f>
        <v>1</v>
      </c>
    </row>
    <row r="221" spans="1:28">
      <c r="A221" s="1">
        <v>14</v>
      </c>
      <c r="B221" s="6">
        <v>46033</v>
      </c>
      <c r="C221" s="1" t="s">
        <v>133</v>
      </c>
      <c r="D221" s="1" t="s">
        <v>124</v>
      </c>
      <c r="E221" s="10" t="str">
        <f>+CONCATENATE(Datos_General[[#This Row],[Eq.Local]], "-", Datos_General[[#This Row],[Eq.Visitante]])</f>
        <v>Conxo Santiago B-E.D. Arousa S.D.</v>
      </c>
      <c r="F221" s="1" t="s">
        <v>157</v>
      </c>
      <c r="G221" s="1" t="s">
        <v>57</v>
      </c>
      <c r="H221" s="1" t="s">
        <v>43</v>
      </c>
      <c r="I221" s="9">
        <v>1</v>
      </c>
      <c r="J221" s="9">
        <v>3</v>
      </c>
      <c r="K221" s="10" t="str">
        <f>+CONCATENATE(Datos_General[[#This Row],[Goles a Favor_Eq_local]],"-",Datos_General[[#This Row],[Gol a Favor_Eq_Visitante]])</f>
        <v>1-3</v>
      </c>
      <c r="L221" s="1" t="s">
        <v>133</v>
      </c>
      <c r="M221" s="1">
        <v>12</v>
      </c>
      <c r="N221" s="1" t="s">
        <v>152</v>
      </c>
      <c r="O221" s="1">
        <v>1</v>
      </c>
      <c r="P221" s="1" t="s">
        <v>70</v>
      </c>
      <c r="Q221" s="7">
        <f>+IF(Datos_General[[#This Row],[Minutos Jugados]]&gt;0, 1, 0)</f>
        <v>1</v>
      </c>
      <c r="R221" s="23">
        <v>0</v>
      </c>
      <c r="S221" s="8">
        <f t="shared" ref="S221:S224" si="5">IFERROR(IF(MATCH(N221,$T$209:$T$224,0), INDEX($U$209:$U$224,MATCH(N221,$T$209:$T$224,0))),0)</f>
        <v>36</v>
      </c>
      <c r="U221" s="1">
        <f>90-Datos_General[[#This Row],[Minutos Jugados]]</f>
        <v>54</v>
      </c>
      <c r="V221" s="1">
        <v>1</v>
      </c>
      <c r="W221" s="1">
        <v>0</v>
      </c>
      <c r="X221" s="1">
        <v>0</v>
      </c>
      <c r="Y221" s="10">
        <f>+IF(Datos_General[[#This Row],[Resultado]]="Victoria", "3", IF(Datos_General[[#This Row],[Resultado]]="Empate","1",0))</f>
        <v>0</v>
      </c>
      <c r="Z221" s="11">
        <f>+Datos_General[[#This Row],[Minutos Jugados]]*Datos_General[[#This Row],[Puntos Jug_Campo]]</f>
        <v>36</v>
      </c>
      <c r="AA22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21" s="10" t="str">
        <f>+IF(Datos_General[[#This Row],[Resultado Jug_Campo]] = "Empate", "1",IF(Datos_General[[#This Row],[Resultado Jug_Campo]] = "Victoria", "3","0"))</f>
        <v>1</v>
      </c>
    </row>
    <row r="222" spans="1:28">
      <c r="A222" s="1">
        <v>14</v>
      </c>
      <c r="B222" s="6">
        <v>46033</v>
      </c>
      <c r="C222" s="1" t="s">
        <v>133</v>
      </c>
      <c r="D222" s="1" t="s">
        <v>124</v>
      </c>
      <c r="E222" s="10" t="str">
        <f>+CONCATENATE(Datos_General[[#This Row],[Eq.Local]], "-", Datos_General[[#This Row],[Eq.Visitante]])</f>
        <v>Conxo Santiago B-E.D. Arousa S.D.</v>
      </c>
      <c r="F222" s="1" t="s">
        <v>157</v>
      </c>
      <c r="G222" s="1" t="s">
        <v>57</v>
      </c>
      <c r="H222" s="1" t="s">
        <v>43</v>
      </c>
      <c r="I222" s="9">
        <v>1</v>
      </c>
      <c r="J222" s="9">
        <v>3</v>
      </c>
      <c r="K222" s="10" t="str">
        <f>+CONCATENATE(Datos_General[[#This Row],[Goles a Favor_Eq_local]],"-",Datos_General[[#This Row],[Gol a Favor_Eq_Visitante]])</f>
        <v>1-3</v>
      </c>
      <c r="L222" s="1" t="s">
        <v>133</v>
      </c>
      <c r="M222" s="1">
        <v>14</v>
      </c>
      <c r="N222" s="1" t="s">
        <v>150</v>
      </c>
      <c r="O222" s="1">
        <v>1</v>
      </c>
      <c r="P222" s="1" t="s">
        <v>70</v>
      </c>
      <c r="Q222" s="7">
        <f>+IF(Datos_General[[#This Row],[Minutos Jugados]]&gt;0, 1, 0)</f>
        <v>1</v>
      </c>
      <c r="R222" s="23">
        <v>0</v>
      </c>
      <c r="S222" s="8">
        <f t="shared" si="5"/>
        <v>36</v>
      </c>
      <c r="U222" s="1">
        <f>90-Datos_General[[#This Row],[Minutos Jugados]]</f>
        <v>54</v>
      </c>
      <c r="V222" s="1">
        <v>0</v>
      </c>
      <c r="W222" s="1">
        <v>0</v>
      </c>
      <c r="X222" s="1">
        <v>0</v>
      </c>
      <c r="Y222" s="10">
        <f>+IF(Datos_General[[#This Row],[Resultado]]="Victoria", "3", IF(Datos_General[[#This Row],[Resultado]]="Empate","1",0))</f>
        <v>0</v>
      </c>
      <c r="Z222" s="11">
        <f>+Datos_General[[#This Row],[Minutos Jugados]]*Datos_General[[#This Row],[Puntos Jug_Campo]]</f>
        <v>36</v>
      </c>
      <c r="AA22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22" s="10" t="str">
        <f>+IF(Datos_General[[#This Row],[Resultado Jug_Campo]] = "Empate", "1",IF(Datos_General[[#This Row],[Resultado Jug_Campo]] = "Victoria", "3","0"))</f>
        <v>1</v>
      </c>
    </row>
    <row r="223" spans="1:28">
      <c r="A223" s="1">
        <v>14</v>
      </c>
      <c r="B223" s="6">
        <v>46033</v>
      </c>
      <c r="C223" s="1" t="s">
        <v>133</v>
      </c>
      <c r="D223" s="1" t="s">
        <v>124</v>
      </c>
      <c r="E223" s="10" t="str">
        <f>+CONCATENATE(Datos_General[[#This Row],[Eq.Local]], "-", Datos_General[[#This Row],[Eq.Visitante]])</f>
        <v>Conxo Santiago B-E.D. Arousa S.D.</v>
      </c>
      <c r="F223" s="1" t="s">
        <v>157</v>
      </c>
      <c r="G223" s="1" t="s">
        <v>57</v>
      </c>
      <c r="H223" s="1" t="s">
        <v>43</v>
      </c>
      <c r="I223" s="9">
        <v>1</v>
      </c>
      <c r="J223" s="9">
        <v>3</v>
      </c>
      <c r="K223" s="10" t="str">
        <f>+CONCATENATE(Datos_General[[#This Row],[Goles a Favor_Eq_local]],"-",Datos_General[[#This Row],[Gol a Favor_Eq_Visitante]])</f>
        <v>1-3</v>
      </c>
      <c r="L223" s="1" t="s">
        <v>133</v>
      </c>
      <c r="M223" s="1">
        <v>15</v>
      </c>
      <c r="N223" s="1" t="s">
        <v>142</v>
      </c>
      <c r="O223" s="1">
        <v>1</v>
      </c>
      <c r="P223" s="1" t="s">
        <v>70</v>
      </c>
      <c r="Q223" s="7">
        <f>+IF(Datos_General[[#This Row],[Minutos Jugados]]&gt;0, 1, 0)</f>
        <v>1</v>
      </c>
      <c r="R223" s="23">
        <v>0</v>
      </c>
      <c r="S223" s="8">
        <f t="shared" si="5"/>
        <v>26</v>
      </c>
      <c r="U223" s="1">
        <f>90-Datos_General[[#This Row],[Minutos Jugados]]</f>
        <v>64</v>
      </c>
      <c r="V223" s="1">
        <v>0</v>
      </c>
      <c r="W223" s="1">
        <v>0</v>
      </c>
      <c r="X223" s="1">
        <v>0</v>
      </c>
      <c r="Y223" s="10">
        <f>+IF(Datos_General[[#This Row],[Resultado]]="Victoria", "3", IF(Datos_General[[#This Row],[Resultado]]="Empate","1",0))</f>
        <v>0</v>
      </c>
      <c r="Z223" s="11">
        <f>+Datos_General[[#This Row],[Minutos Jugados]]*Datos_General[[#This Row],[Puntos Jug_Campo]]</f>
        <v>26</v>
      </c>
      <c r="AA22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23" s="10" t="str">
        <f>+IF(Datos_General[[#This Row],[Resultado Jug_Campo]] = "Empate", "1",IF(Datos_General[[#This Row],[Resultado Jug_Campo]] = "Victoria", "3","0"))</f>
        <v>1</v>
      </c>
    </row>
    <row r="224" spans="1:28">
      <c r="A224" s="1">
        <v>14</v>
      </c>
      <c r="B224" s="6">
        <v>46033</v>
      </c>
      <c r="C224" s="1" t="s">
        <v>133</v>
      </c>
      <c r="D224" s="1" t="s">
        <v>124</v>
      </c>
      <c r="E224" s="10" t="str">
        <f>+CONCATENATE(Datos_General[[#This Row],[Eq.Local]], "-", Datos_General[[#This Row],[Eq.Visitante]])</f>
        <v>Conxo Santiago B-E.D. Arousa S.D.</v>
      </c>
      <c r="F224" s="1" t="s">
        <v>157</v>
      </c>
      <c r="G224" s="1" t="s">
        <v>57</v>
      </c>
      <c r="H224" s="1" t="s">
        <v>43</v>
      </c>
      <c r="I224" s="9">
        <v>1</v>
      </c>
      <c r="J224" s="9">
        <v>3</v>
      </c>
      <c r="K224" s="10" t="str">
        <f>+CONCATENATE(Datos_General[[#This Row],[Goles a Favor_Eq_local]],"-",Datos_General[[#This Row],[Gol a Favor_Eq_Visitante]])</f>
        <v>1-3</v>
      </c>
      <c r="L224" s="1" t="s">
        <v>133</v>
      </c>
      <c r="M224" s="1">
        <v>16</v>
      </c>
      <c r="N224" s="1" t="s">
        <v>151</v>
      </c>
      <c r="O224" s="1">
        <v>1</v>
      </c>
      <c r="P224" s="1" t="s">
        <v>70</v>
      </c>
      <c r="Q224" s="7">
        <f>+IF(Datos_General[[#This Row],[Minutos Jugados]]&gt;0, 1, 0)</f>
        <v>1</v>
      </c>
      <c r="R224" s="23">
        <v>0</v>
      </c>
      <c r="S224" s="8">
        <f t="shared" si="5"/>
        <v>26</v>
      </c>
      <c r="U224" s="1">
        <f>90-Datos_General[[#This Row],[Minutos Jugados]]</f>
        <v>64</v>
      </c>
      <c r="V224" s="1">
        <v>0</v>
      </c>
      <c r="W224" s="1">
        <v>0</v>
      </c>
      <c r="X224" s="1">
        <v>1</v>
      </c>
      <c r="Y224" s="10">
        <f>+IF(Datos_General[[#This Row],[Resultado]]="Victoria", "3", IF(Datos_General[[#This Row],[Resultado]]="Empate","1",0))</f>
        <v>0</v>
      </c>
      <c r="Z224" s="11">
        <f>+Datos_General[[#This Row],[Minutos Jugados]]*Datos_General[[#This Row],[Puntos Jug_Campo]]</f>
        <v>0</v>
      </c>
      <c r="AA22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24" s="10" t="str">
        <f>+IF(Datos_General[[#This Row],[Resultado Jug_Campo]] = "Empate", "1",IF(Datos_General[[#This Row],[Resultado Jug_Campo]] = "Victoria", "3","0"))</f>
        <v>0</v>
      </c>
    </row>
    <row r="225" spans="1:28">
      <c r="A225" s="1">
        <v>15</v>
      </c>
      <c r="B225" s="6">
        <v>46040</v>
      </c>
      <c r="C225" s="1" t="s">
        <v>136</v>
      </c>
      <c r="D225" s="1" t="s">
        <v>133</v>
      </c>
      <c r="E225" s="10" t="str">
        <f>+CONCATENATE(Datos_General[[#This Row],[Eq.Local]], "-", Datos_General[[#This Row],[Eq.Visitante]])</f>
        <v>S.D. Monteporreiro-Conxo Santiago B</v>
      </c>
      <c r="F225" s="1" t="s">
        <v>197</v>
      </c>
      <c r="G225" s="1" t="s">
        <v>58</v>
      </c>
      <c r="H225" s="1" t="s">
        <v>43</v>
      </c>
      <c r="I225" s="9">
        <v>1</v>
      </c>
      <c r="J225" s="9">
        <v>0</v>
      </c>
      <c r="K225" s="10" t="str">
        <f>+CONCATENATE(Datos_General[[#This Row],[Goles a Favor_Eq_local]],"-",Datos_General[[#This Row],[Gol a Favor_Eq_Visitante]])</f>
        <v>1-0</v>
      </c>
      <c r="L225" s="1" t="s">
        <v>133</v>
      </c>
      <c r="M225" s="1">
        <v>1</v>
      </c>
      <c r="N225" s="1" t="s">
        <v>137</v>
      </c>
      <c r="O225" s="1">
        <v>1</v>
      </c>
      <c r="P225" s="1" t="s">
        <v>2</v>
      </c>
      <c r="Q225" s="22">
        <v>1</v>
      </c>
      <c r="R225" s="9">
        <v>1</v>
      </c>
      <c r="S225" s="1">
        <v>90</v>
      </c>
      <c r="U225" s="1">
        <f>90-Datos_General[[#This Row],[Minutos Jugados]]</f>
        <v>0</v>
      </c>
      <c r="V225" s="1">
        <v>0</v>
      </c>
      <c r="W225" s="1">
        <v>0</v>
      </c>
      <c r="X225" s="1">
        <v>1</v>
      </c>
      <c r="Y225" s="10">
        <f>+IF(Datos_General[[#This Row],[Resultado]]="Victoria", "3", IF(Datos_General[[#This Row],[Resultado]]="Empate","1",0))</f>
        <v>0</v>
      </c>
      <c r="Z225" s="11">
        <f>+Datos_General[[#This Row],[Minutos Jugados]]*Datos_General[[#This Row],[Puntos Jug_Campo]]</f>
        <v>0</v>
      </c>
      <c r="AA22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25" s="10" t="str">
        <f>+IF(Datos_General[[#This Row],[Resultado Jug_Campo]] = "Empate", "1",IF(Datos_General[[#This Row],[Resultado Jug_Campo]] = "Victoria", "3","0"))</f>
        <v>0</v>
      </c>
    </row>
    <row r="226" spans="1:28">
      <c r="A226" s="1">
        <v>15</v>
      </c>
      <c r="B226" s="6">
        <v>46040</v>
      </c>
      <c r="C226" s="1" t="s">
        <v>136</v>
      </c>
      <c r="D226" s="1" t="s">
        <v>133</v>
      </c>
      <c r="E226" s="10" t="str">
        <f>+CONCATENATE(Datos_General[[#This Row],[Eq.Local]], "-", Datos_General[[#This Row],[Eq.Visitante]])</f>
        <v>S.D. Monteporreiro-Conxo Santiago B</v>
      </c>
      <c r="F226" s="1" t="s">
        <v>197</v>
      </c>
      <c r="G226" s="1" t="s">
        <v>58</v>
      </c>
      <c r="H226" s="1" t="s">
        <v>43</v>
      </c>
      <c r="I226" s="9">
        <v>1</v>
      </c>
      <c r="J226" s="9">
        <v>0</v>
      </c>
      <c r="K226" s="10" t="str">
        <f>+CONCATENATE(Datos_General[[#This Row],[Goles a Favor_Eq_local]],"-",Datos_General[[#This Row],[Gol a Favor_Eq_Visitante]])</f>
        <v>1-0</v>
      </c>
      <c r="L226" s="1" t="s">
        <v>133</v>
      </c>
      <c r="M226" s="1">
        <v>2</v>
      </c>
      <c r="N226" s="1" t="s">
        <v>138</v>
      </c>
      <c r="O226" s="1">
        <v>1</v>
      </c>
      <c r="P226" s="1" t="s">
        <v>2</v>
      </c>
      <c r="Q226" s="22">
        <v>1</v>
      </c>
      <c r="R226" s="9">
        <v>1</v>
      </c>
      <c r="S226" s="1">
        <v>90</v>
      </c>
      <c r="U226" s="1">
        <f>90-Datos_General[[#This Row],[Minutos Jugados]]</f>
        <v>0</v>
      </c>
      <c r="V226" s="1">
        <v>0</v>
      </c>
      <c r="W226" s="1">
        <v>0</v>
      </c>
      <c r="X226" s="1">
        <v>1</v>
      </c>
      <c r="Y226" s="10">
        <f>+IF(Datos_General[[#This Row],[Resultado]]="Victoria", "3", IF(Datos_General[[#This Row],[Resultado]]="Empate","1",0))</f>
        <v>0</v>
      </c>
      <c r="Z226" s="11">
        <f>+Datos_General[[#This Row],[Minutos Jugados]]*Datos_General[[#This Row],[Puntos Jug_Campo]]</f>
        <v>0</v>
      </c>
      <c r="AA22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26" s="10" t="str">
        <f>+IF(Datos_General[[#This Row],[Resultado Jug_Campo]] = "Empate", "1",IF(Datos_General[[#This Row],[Resultado Jug_Campo]] = "Victoria", "3","0"))</f>
        <v>0</v>
      </c>
    </row>
    <row r="227" spans="1:28">
      <c r="A227" s="1">
        <v>15</v>
      </c>
      <c r="B227" s="6">
        <v>46040</v>
      </c>
      <c r="C227" s="1" t="s">
        <v>136</v>
      </c>
      <c r="D227" s="1" t="s">
        <v>133</v>
      </c>
      <c r="E227" s="10" t="str">
        <f>+CONCATENATE(Datos_General[[#This Row],[Eq.Local]], "-", Datos_General[[#This Row],[Eq.Visitante]])</f>
        <v>S.D. Monteporreiro-Conxo Santiago B</v>
      </c>
      <c r="F227" s="1" t="s">
        <v>197</v>
      </c>
      <c r="G227" s="1" t="s">
        <v>58</v>
      </c>
      <c r="H227" s="1" t="s">
        <v>43</v>
      </c>
      <c r="I227" s="9">
        <v>1</v>
      </c>
      <c r="J227" s="9">
        <v>0</v>
      </c>
      <c r="K227" s="10" t="str">
        <f>+CONCATENATE(Datos_General[[#This Row],[Goles a Favor_Eq_local]],"-",Datos_General[[#This Row],[Gol a Favor_Eq_Visitante]])</f>
        <v>1-0</v>
      </c>
      <c r="L227" s="1" t="s">
        <v>133</v>
      </c>
      <c r="M227" s="1">
        <v>3</v>
      </c>
      <c r="N227" s="1" t="s">
        <v>144</v>
      </c>
      <c r="O227" s="1">
        <v>1</v>
      </c>
      <c r="P227" s="1" t="s">
        <v>2</v>
      </c>
      <c r="Q227" s="22">
        <v>1</v>
      </c>
      <c r="R227" s="9">
        <v>1</v>
      </c>
      <c r="S227" s="1">
        <v>90</v>
      </c>
      <c r="U227" s="1">
        <f>90-Datos_General[[#This Row],[Minutos Jugados]]</f>
        <v>0</v>
      </c>
      <c r="V227" s="1">
        <v>0</v>
      </c>
      <c r="W227" s="1">
        <v>0</v>
      </c>
      <c r="X227" s="1">
        <v>1</v>
      </c>
      <c r="Y227" s="10">
        <f>+IF(Datos_General[[#This Row],[Resultado]]="Victoria", "3", IF(Datos_General[[#This Row],[Resultado]]="Empate","1",0))</f>
        <v>0</v>
      </c>
      <c r="Z227" s="11">
        <f>+Datos_General[[#This Row],[Minutos Jugados]]*Datos_General[[#This Row],[Puntos Jug_Campo]]</f>
        <v>0</v>
      </c>
      <c r="AA22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27" s="10" t="str">
        <f>+IF(Datos_General[[#This Row],[Resultado Jug_Campo]] = "Empate", "1",IF(Datos_General[[#This Row],[Resultado Jug_Campo]] = "Victoria", "3","0"))</f>
        <v>0</v>
      </c>
    </row>
    <row r="228" spans="1:28">
      <c r="A228" s="1">
        <v>15</v>
      </c>
      <c r="B228" s="6">
        <v>46040</v>
      </c>
      <c r="C228" s="1" t="s">
        <v>136</v>
      </c>
      <c r="D228" s="1" t="s">
        <v>133</v>
      </c>
      <c r="E228" s="10" t="str">
        <f>+CONCATENATE(Datos_General[[#This Row],[Eq.Local]], "-", Datos_General[[#This Row],[Eq.Visitante]])</f>
        <v>S.D. Monteporreiro-Conxo Santiago B</v>
      </c>
      <c r="F228" s="1" t="s">
        <v>197</v>
      </c>
      <c r="G228" s="1" t="s">
        <v>58</v>
      </c>
      <c r="H228" s="1" t="s">
        <v>43</v>
      </c>
      <c r="I228" s="9">
        <v>1</v>
      </c>
      <c r="J228" s="9">
        <v>0</v>
      </c>
      <c r="K228" s="10" t="str">
        <f>+CONCATENATE(Datos_General[[#This Row],[Goles a Favor_Eq_local]],"-",Datos_General[[#This Row],[Gol a Favor_Eq_Visitante]])</f>
        <v>1-0</v>
      </c>
      <c r="L228" s="1" t="s">
        <v>133</v>
      </c>
      <c r="M228" s="1">
        <v>4</v>
      </c>
      <c r="N228" s="1" t="s">
        <v>140</v>
      </c>
      <c r="O228" s="1">
        <v>1</v>
      </c>
      <c r="P228" s="1" t="s">
        <v>2</v>
      </c>
      <c r="Q228" s="22">
        <v>1</v>
      </c>
      <c r="R228" s="9">
        <v>1</v>
      </c>
      <c r="S228" s="1">
        <v>90</v>
      </c>
      <c r="U228" s="1">
        <f>90-Datos_General[[#This Row],[Minutos Jugados]]</f>
        <v>0</v>
      </c>
      <c r="V228" s="1">
        <v>0</v>
      </c>
      <c r="W228" s="1">
        <v>0</v>
      </c>
      <c r="X228" s="1">
        <v>1</v>
      </c>
      <c r="Y228" s="10">
        <f>+IF(Datos_General[[#This Row],[Resultado]]="Victoria", "3", IF(Datos_General[[#This Row],[Resultado]]="Empate","1",0))</f>
        <v>0</v>
      </c>
      <c r="Z228" s="11">
        <f>+Datos_General[[#This Row],[Minutos Jugados]]*Datos_General[[#This Row],[Puntos Jug_Campo]]</f>
        <v>0</v>
      </c>
      <c r="AA22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28" s="10" t="str">
        <f>+IF(Datos_General[[#This Row],[Resultado Jug_Campo]] = "Empate", "1",IF(Datos_General[[#This Row],[Resultado Jug_Campo]] = "Victoria", "3","0"))</f>
        <v>0</v>
      </c>
    </row>
    <row r="229" spans="1:28">
      <c r="A229" s="1">
        <v>15</v>
      </c>
      <c r="B229" s="6">
        <v>46040</v>
      </c>
      <c r="C229" s="1" t="s">
        <v>136</v>
      </c>
      <c r="D229" s="1" t="s">
        <v>133</v>
      </c>
      <c r="E229" s="10" t="str">
        <f>+CONCATENATE(Datos_General[[#This Row],[Eq.Local]], "-", Datos_General[[#This Row],[Eq.Visitante]])</f>
        <v>S.D. Monteporreiro-Conxo Santiago B</v>
      </c>
      <c r="F229" s="1" t="s">
        <v>197</v>
      </c>
      <c r="G229" s="1" t="s">
        <v>58</v>
      </c>
      <c r="H229" s="1" t="s">
        <v>43</v>
      </c>
      <c r="I229" s="9">
        <v>1</v>
      </c>
      <c r="J229" s="9">
        <v>0</v>
      </c>
      <c r="K229" s="10" t="str">
        <f>+CONCATENATE(Datos_General[[#This Row],[Goles a Favor_Eq_local]],"-",Datos_General[[#This Row],[Gol a Favor_Eq_Visitante]])</f>
        <v>1-0</v>
      </c>
      <c r="L229" s="1" t="s">
        <v>133</v>
      </c>
      <c r="M229" s="1">
        <v>5</v>
      </c>
      <c r="N229" s="1" t="s">
        <v>162</v>
      </c>
      <c r="O229" s="1">
        <v>1</v>
      </c>
      <c r="P229" s="1" t="s">
        <v>2</v>
      </c>
      <c r="Q229" s="22">
        <v>1</v>
      </c>
      <c r="R229" s="9">
        <v>1</v>
      </c>
      <c r="S229" s="1">
        <v>67</v>
      </c>
      <c r="T229" s="1" t="s">
        <v>154</v>
      </c>
      <c r="U229" s="1">
        <f>90-Datos_General[[#This Row],[Minutos Jugados]]</f>
        <v>23</v>
      </c>
      <c r="V229" s="1">
        <v>0</v>
      </c>
      <c r="W229" s="1">
        <v>0</v>
      </c>
      <c r="X229" s="1">
        <v>1</v>
      </c>
      <c r="Y229" s="10">
        <f>+IF(Datos_General[[#This Row],[Resultado]]="Victoria", "3", IF(Datos_General[[#This Row],[Resultado]]="Empate","1",0))</f>
        <v>0</v>
      </c>
      <c r="Z229" s="11">
        <f>+Datos_General[[#This Row],[Minutos Jugados]]*Datos_General[[#This Row],[Puntos Jug_Campo]]</f>
        <v>0</v>
      </c>
      <c r="AA22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29" s="10" t="str">
        <f>+IF(Datos_General[[#This Row],[Resultado Jug_Campo]] = "Empate", "1",IF(Datos_General[[#This Row],[Resultado Jug_Campo]] = "Victoria", "3","0"))</f>
        <v>0</v>
      </c>
    </row>
    <row r="230" spans="1:28">
      <c r="A230" s="1">
        <v>15</v>
      </c>
      <c r="B230" s="6">
        <v>46040</v>
      </c>
      <c r="C230" s="1" t="s">
        <v>136</v>
      </c>
      <c r="D230" s="1" t="s">
        <v>133</v>
      </c>
      <c r="E230" s="10" t="str">
        <f>+CONCATENATE(Datos_General[[#This Row],[Eq.Local]], "-", Datos_General[[#This Row],[Eq.Visitante]])</f>
        <v>S.D. Monteporreiro-Conxo Santiago B</v>
      </c>
      <c r="F230" s="1" t="s">
        <v>197</v>
      </c>
      <c r="G230" s="1" t="s">
        <v>58</v>
      </c>
      <c r="H230" s="1" t="s">
        <v>43</v>
      </c>
      <c r="I230" s="9">
        <v>1</v>
      </c>
      <c r="J230" s="9">
        <v>0</v>
      </c>
      <c r="K230" s="10" t="str">
        <f>+CONCATENATE(Datos_General[[#This Row],[Goles a Favor_Eq_local]],"-",Datos_General[[#This Row],[Gol a Favor_Eq_Visitante]])</f>
        <v>1-0</v>
      </c>
      <c r="L230" s="1" t="s">
        <v>133</v>
      </c>
      <c r="M230" s="1">
        <v>6</v>
      </c>
      <c r="N230" s="1" t="s">
        <v>165</v>
      </c>
      <c r="O230" s="1">
        <v>1</v>
      </c>
      <c r="P230" s="1" t="s">
        <v>2</v>
      </c>
      <c r="Q230" s="22">
        <v>1</v>
      </c>
      <c r="R230" s="9">
        <v>1</v>
      </c>
      <c r="S230" s="1">
        <v>90</v>
      </c>
      <c r="U230" s="1">
        <f>90-Datos_General[[#This Row],[Minutos Jugados]]</f>
        <v>0</v>
      </c>
      <c r="V230" s="1">
        <v>0</v>
      </c>
      <c r="W230" s="1">
        <v>0</v>
      </c>
      <c r="X230" s="1">
        <v>1</v>
      </c>
      <c r="Y230" s="10">
        <f>+IF(Datos_General[[#This Row],[Resultado]]="Victoria", "3", IF(Datos_General[[#This Row],[Resultado]]="Empate","1",0))</f>
        <v>0</v>
      </c>
      <c r="Z230" s="11">
        <f>+Datos_General[[#This Row],[Minutos Jugados]]*Datos_General[[#This Row],[Puntos Jug_Campo]]</f>
        <v>0</v>
      </c>
      <c r="AA23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30" s="10" t="str">
        <f>+IF(Datos_General[[#This Row],[Resultado Jug_Campo]] = "Empate", "1",IF(Datos_General[[#This Row],[Resultado Jug_Campo]] = "Victoria", "3","0"))</f>
        <v>0</v>
      </c>
    </row>
    <row r="231" spans="1:28">
      <c r="A231" s="1">
        <v>15</v>
      </c>
      <c r="B231" s="6">
        <v>46040</v>
      </c>
      <c r="C231" s="1" t="s">
        <v>136</v>
      </c>
      <c r="D231" s="1" t="s">
        <v>133</v>
      </c>
      <c r="E231" s="10" t="str">
        <f>+CONCATENATE(Datos_General[[#This Row],[Eq.Local]], "-", Datos_General[[#This Row],[Eq.Visitante]])</f>
        <v>S.D. Monteporreiro-Conxo Santiago B</v>
      </c>
      <c r="F231" s="1" t="s">
        <v>197</v>
      </c>
      <c r="G231" s="1" t="s">
        <v>58</v>
      </c>
      <c r="H231" s="1" t="s">
        <v>43</v>
      </c>
      <c r="I231" s="9">
        <v>1</v>
      </c>
      <c r="J231" s="9">
        <v>0</v>
      </c>
      <c r="K231" s="10" t="str">
        <f>+CONCATENATE(Datos_General[[#This Row],[Goles a Favor_Eq_local]],"-",Datos_General[[#This Row],[Gol a Favor_Eq_Visitante]])</f>
        <v>1-0</v>
      </c>
      <c r="L231" s="1" t="s">
        <v>133</v>
      </c>
      <c r="M231" s="1">
        <v>7</v>
      </c>
      <c r="N231" s="1" t="s">
        <v>159</v>
      </c>
      <c r="O231" s="1">
        <v>1</v>
      </c>
      <c r="P231" s="1" t="s">
        <v>2</v>
      </c>
      <c r="Q231" s="22">
        <v>1</v>
      </c>
      <c r="R231" s="9">
        <v>1</v>
      </c>
      <c r="S231" s="1">
        <v>67</v>
      </c>
      <c r="T231" s="1" t="s">
        <v>150</v>
      </c>
      <c r="U231" s="1">
        <f>90-Datos_General[[#This Row],[Minutos Jugados]]</f>
        <v>23</v>
      </c>
      <c r="V231" s="1">
        <v>0</v>
      </c>
      <c r="W231" s="1">
        <v>0</v>
      </c>
      <c r="X231" s="1">
        <v>1</v>
      </c>
      <c r="Y231" s="10">
        <f>+IF(Datos_General[[#This Row],[Resultado]]="Victoria", "3", IF(Datos_General[[#This Row],[Resultado]]="Empate","1",0))</f>
        <v>0</v>
      </c>
      <c r="Z231" s="11">
        <f>+Datos_General[[#This Row],[Minutos Jugados]]*Datos_General[[#This Row],[Puntos Jug_Campo]]</f>
        <v>0</v>
      </c>
      <c r="AA23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31" s="10" t="str">
        <f>+IF(Datos_General[[#This Row],[Resultado Jug_Campo]] = "Empate", "1",IF(Datos_General[[#This Row],[Resultado Jug_Campo]] = "Victoria", "3","0"))</f>
        <v>0</v>
      </c>
    </row>
    <row r="232" spans="1:28">
      <c r="A232" s="1">
        <v>15</v>
      </c>
      <c r="B232" s="6">
        <v>46040</v>
      </c>
      <c r="C232" s="1" t="s">
        <v>136</v>
      </c>
      <c r="D232" s="1" t="s">
        <v>133</v>
      </c>
      <c r="E232" s="10" t="str">
        <f>+CONCATENATE(Datos_General[[#This Row],[Eq.Local]], "-", Datos_General[[#This Row],[Eq.Visitante]])</f>
        <v>S.D. Monteporreiro-Conxo Santiago B</v>
      </c>
      <c r="F232" s="1" t="s">
        <v>197</v>
      </c>
      <c r="G232" s="1" t="s">
        <v>58</v>
      </c>
      <c r="H232" s="1" t="s">
        <v>43</v>
      </c>
      <c r="I232" s="9">
        <v>1</v>
      </c>
      <c r="J232" s="9">
        <v>0</v>
      </c>
      <c r="K232" s="10" t="str">
        <f>+CONCATENATE(Datos_General[[#This Row],[Goles a Favor_Eq_local]],"-",Datos_General[[#This Row],[Gol a Favor_Eq_Visitante]])</f>
        <v>1-0</v>
      </c>
      <c r="L232" s="1" t="s">
        <v>133</v>
      </c>
      <c r="M232" s="1">
        <v>8</v>
      </c>
      <c r="N232" s="1" t="s">
        <v>146</v>
      </c>
      <c r="O232" s="1">
        <v>1</v>
      </c>
      <c r="P232" s="1" t="s">
        <v>2</v>
      </c>
      <c r="Q232" s="22">
        <v>1</v>
      </c>
      <c r="R232" s="9">
        <v>1</v>
      </c>
      <c r="S232" s="1">
        <v>90</v>
      </c>
      <c r="U232" s="1">
        <f>90-Datos_General[[#This Row],[Minutos Jugados]]</f>
        <v>0</v>
      </c>
      <c r="V232" s="1">
        <v>0</v>
      </c>
      <c r="W232" s="1">
        <v>0</v>
      </c>
      <c r="X232" s="1">
        <v>1</v>
      </c>
      <c r="Y232" s="10">
        <f>+IF(Datos_General[[#This Row],[Resultado]]="Victoria", "3", IF(Datos_General[[#This Row],[Resultado]]="Empate","1",0))</f>
        <v>0</v>
      </c>
      <c r="Z232" s="11">
        <f>+Datos_General[[#This Row],[Minutos Jugados]]*Datos_General[[#This Row],[Puntos Jug_Campo]]</f>
        <v>0</v>
      </c>
      <c r="AA23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32" s="10" t="str">
        <f>+IF(Datos_General[[#This Row],[Resultado Jug_Campo]] = "Empate", "1",IF(Datos_General[[#This Row],[Resultado Jug_Campo]] = "Victoria", "3","0"))</f>
        <v>0</v>
      </c>
    </row>
    <row r="233" spans="1:28">
      <c r="A233" s="1">
        <v>15</v>
      </c>
      <c r="B233" s="6">
        <v>46040</v>
      </c>
      <c r="C233" s="1" t="s">
        <v>136</v>
      </c>
      <c r="D233" s="1" t="s">
        <v>133</v>
      </c>
      <c r="E233" s="10" t="str">
        <f>+CONCATENATE(Datos_General[[#This Row],[Eq.Local]], "-", Datos_General[[#This Row],[Eq.Visitante]])</f>
        <v>S.D. Monteporreiro-Conxo Santiago B</v>
      </c>
      <c r="F233" s="1" t="s">
        <v>197</v>
      </c>
      <c r="G233" s="1" t="s">
        <v>58</v>
      </c>
      <c r="H233" s="1" t="s">
        <v>43</v>
      </c>
      <c r="I233" s="9">
        <v>1</v>
      </c>
      <c r="J233" s="9">
        <v>0</v>
      </c>
      <c r="K233" s="10" t="str">
        <f>+CONCATENATE(Datos_General[[#This Row],[Goles a Favor_Eq_local]],"-",Datos_General[[#This Row],[Gol a Favor_Eq_Visitante]])</f>
        <v>1-0</v>
      </c>
      <c r="L233" s="1" t="s">
        <v>133</v>
      </c>
      <c r="M233" s="1">
        <v>9</v>
      </c>
      <c r="N233" s="1" t="s">
        <v>151</v>
      </c>
      <c r="O233" s="1">
        <v>1</v>
      </c>
      <c r="P233" s="1" t="s">
        <v>2</v>
      </c>
      <c r="Q233" s="22">
        <v>1</v>
      </c>
      <c r="R233" s="9">
        <v>1</v>
      </c>
      <c r="S233" s="1">
        <v>58</v>
      </c>
      <c r="T233" s="1" t="s">
        <v>152</v>
      </c>
      <c r="U233" s="1">
        <f>90-Datos_General[[#This Row],[Minutos Jugados]]</f>
        <v>32</v>
      </c>
      <c r="V233" s="1">
        <v>0</v>
      </c>
      <c r="W233" s="1">
        <v>0</v>
      </c>
      <c r="X233" s="1">
        <v>1</v>
      </c>
      <c r="Y233" s="10">
        <f>+IF(Datos_General[[#This Row],[Resultado]]="Victoria", "3", IF(Datos_General[[#This Row],[Resultado]]="Empate","1",0))</f>
        <v>0</v>
      </c>
      <c r="Z233" s="11">
        <f>+Datos_General[[#This Row],[Minutos Jugados]]*Datos_General[[#This Row],[Puntos Jug_Campo]]</f>
        <v>0</v>
      </c>
      <c r="AA23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33" s="10" t="str">
        <f>+IF(Datos_General[[#This Row],[Resultado Jug_Campo]] = "Empate", "1",IF(Datos_General[[#This Row],[Resultado Jug_Campo]] = "Victoria", "3","0"))</f>
        <v>0</v>
      </c>
    </row>
    <row r="234" spans="1:28">
      <c r="A234" s="1">
        <v>15</v>
      </c>
      <c r="B234" s="6">
        <v>46040</v>
      </c>
      <c r="C234" s="1" t="s">
        <v>136</v>
      </c>
      <c r="D234" s="1" t="s">
        <v>133</v>
      </c>
      <c r="E234" s="10" t="str">
        <f>+CONCATENATE(Datos_General[[#This Row],[Eq.Local]], "-", Datos_General[[#This Row],[Eq.Visitante]])</f>
        <v>S.D. Monteporreiro-Conxo Santiago B</v>
      </c>
      <c r="F234" s="1" t="s">
        <v>197</v>
      </c>
      <c r="G234" s="1" t="s">
        <v>58</v>
      </c>
      <c r="H234" s="1" t="s">
        <v>43</v>
      </c>
      <c r="I234" s="9">
        <v>1</v>
      </c>
      <c r="J234" s="9">
        <v>0</v>
      </c>
      <c r="K234" s="10" t="str">
        <f>+CONCATENATE(Datos_General[[#This Row],[Goles a Favor_Eq_local]],"-",Datos_General[[#This Row],[Gol a Favor_Eq_Visitante]])</f>
        <v>1-0</v>
      </c>
      <c r="L234" s="1" t="s">
        <v>133</v>
      </c>
      <c r="M234" s="1">
        <v>10</v>
      </c>
      <c r="N234" s="1" t="s">
        <v>166</v>
      </c>
      <c r="O234" s="1">
        <v>1</v>
      </c>
      <c r="P234" s="1" t="s">
        <v>2</v>
      </c>
      <c r="Q234" s="22">
        <v>1</v>
      </c>
      <c r="R234" s="9">
        <v>1</v>
      </c>
      <c r="S234" s="1">
        <v>67</v>
      </c>
      <c r="T234" s="1" t="s">
        <v>163</v>
      </c>
      <c r="U234" s="1">
        <f>90-Datos_General[[#This Row],[Minutos Jugados]]</f>
        <v>23</v>
      </c>
      <c r="V234" s="1">
        <v>0</v>
      </c>
      <c r="W234" s="1">
        <v>0</v>
      </c>
      <c r="X234" s="1">
        <v>1</v>
      </c>
      <c r="Y234" s="10">
        <f>+IF(Datos_General[[#This Row],[Resultado]]="Victoria", "3", IF(Datos_General[[#This Row],[Resultado]]="Empate","1",0))</f>
        <v>0</v>
      </c>
      <c r="Z234" s="11">
        <f>+Datos_General[[#This Row],[Minutos Jugados]]*Datos_General[[#This Row],[Puntos Jug_Campo]]</f>
        <v>0</v>
      </c>
      <c r="AA23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34" s="10" t="str">
        <f>+IF(Datos_General[[#This Row],[Resultado Jug_Campo]] = "Empate", "1",IF(Datos_General[[#This Row],[Resultado Jug_Campo]] = "Victoria", "3","0"))</f>
        <v>0</v>
      </c>
    </row>
    <row r="235" spans="1:28">
      <c r="A235" s="1">
        <v>15</v>
      </c>
      <c r="B235" s="6">
        <v>46040</v>
      </c>
      <c r="C235" s="1" t="s">
        <v>136</v>
      </c>
      <c r="D235" s="1" t="s">
        <v>133</v>
      </c>
      <c r="E235" s="10" t="str">
        <f>+CONCATENATE(Datos_General[[#This Row],[Eq.Local]], "-", Datos_General[[#This Row],[Eq.Visitante]])</f>
        <v>S.D. Monteporreiro-Conxo Santiago B</v>
      </c>
      <c r="F235" s="1" t="s">
        <v>197</v>
      </c>
      <c r="G235" s="1" t="s">
        <v>58</v>
      </c>
      <c r="H235" s="1" t="s">
        <v>43</v>
      </c>
      <c r="I235" s="9">
        <v>1</v>
      </c>
      <c r="J235" s="9">
        <v>0</v>
      </c>
      <c r="K235" s="10" t="str">
        <f>+CONCATENATE(Datos_General[[#This Row],[Goles a Favor_Eq_local]],"-",Datos_General[[#This Row],[Gol a Favor_Eq_Visitante]])</f>
        <v>1-0</v>
      </c>
      <c r="L235" s="1" t="s">
        <v>133</v>
      </c>
      <c r="M235" s="1">
        <v>11</v>
      </c>
      <c r="N235" s="1" t="s">
        <v>142</v>
      </c>
      <c r="O235" s="1">
        <v>1</v>
      </c>
      <c r="P235" s="1" t="s">
        <v>2</v>
      </c>
      <c r="Q235" s="22">
        <v>1</v>
      </c>
      <c r="R235" s="9">
        <v>1</v>
      </c>
      <c r="S235" s="1">
        <v>58</v>
      </c>
      <c r="T235" s="1" t="s">
        <v>194</v>
      </c>
      <c r="U235" s="1">
        <f>90-Datos_General[[#This Row],[Minutos Jugados]]</f>
        <v>32</v>
      </c>
      <c r="V235" s="1">
        <v>0</v>
      </c>
      <c r="W235" s="1">
        <v>0</v>
      </c>
      <c r="X235" s="1">
        <v>1</v>
      </c>
      <c r="Y235" s="10">
        <f>+IF(Datos_General[[#This Row],[Resultado]]="Victoria", "3", IF(Datos_General[[#This Row],[Resultado]]="Empate","1",0))</f>
        <v>0</v>
      </c>
      <c r="Z235" s="11">
        <f>+Datos_General[[#This Row],[Minutos Jugados]]*Datos_General[[#This Row],[Puntos Jug_Campo]]</f>
        <v>0</v>
      </c>
      <c r="AA23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35" s="10" t="str">
        <f>+IF(Datos_General[[#This Row],[Resultado Jug_Campo]] = "Empate", "1",IF(Datos_General[[#This Row],[Resultado Jug_Campo]] = "Victoria", "3","0"))</f>
        <v>0</v>
      </c>
    </row>
    <row r="236" spans="1:28">
      <c r="A236" s="1">
        <v>15</v>
      </c>
      <c r="B236" s="6">
        <v>46040</v>
      </c>
      <c r="C236" s="1" t="s">
        <v>136</v>
      </c>
      <c r="D236" s="1" t="s">
        <v>133</v>
      </c>
      <c r="E236" s="10" t="str">
        <f>+CONCATENATE(Datos_General[[#This Row],[Eq.Local]], "-", Datos_General[[#This Row],[Eq.Visitante]])</f>
        <v>S.D. Monteporreiro-Conxo Santiago B</v>
      </c>
      <c r="F236" s="1" t="s">
        <v>197</v>
      </c>
      <c r="G236" s="1" t="s">
        <v>58</v>
      </c>
      <c r="H236" s="1" t="s">
        <v>43</v>
      </c>
      <c r="I236" s="9">
        <v>1</v>
      </c>
      <c r="J236" s="9">
        <v>0</v>
      </c>
      <c r="K236" s="10" t="str">
        <f>+CONCATENATE(Datos_General[[#This Row],[Goles a Favor_Eq_local]],"-",Datos_General[[#This Row],[Gol a Favor_Eq_Visitante]])</f>
        <v>1-0</v>
      </c>
      <c r="L236" s="1" t="s">
        <v>133</v>
      </c>
      <c r="M236" s="1">
        <v>12</v>
      </c>
      <c r="N236" s="1" t="s">
        <v>152</v>
      </c>
      <c r="O236" s="1">
        <v>1</v>
      </c>
      <c r="P236" s="1" t="s">
        <v>70</v>
      </c>
      <c r="Q236" s="7">
        <f>+IF(Datos_General[[#This Row],[Minutos Jugados]]&gt;0, 1, 0)</f>
        <v>1</v>
      </c>
      <c r="R236" s="23">
        <v>0</v>
      </c>
      <c r="S236" s="8">
        <f>IFERROR(IF(MATCH(N236,$T$225:$T$240,0), INDEX($U$225:$U$240,MATCH(N236,$T$225:$T$240,0))),0)</f>
        <v>32</v>
      </c>
      <c r="U236" s="1">
        <f>90-Datos_General[[#This Row],[Minutos Jugados]]</f>
        <v>58</v>
      </c>
      <c r="V236" s="1">
        <v>0</v>
      </c>
      <c r="W236" s="1">
        <v>0</v>
      </c>
      <c r="X236" s="1">
        <v>0</v>
      </c>
      <c r="Y236" s="10">
        <f>+IF(Datos_General[[#This Row],[Resultado]]="Victoria", "3", IF(Datos_General[[#This Row],[Resultado]]="Empate","1",0))</f>
        <v>0</v>
      </c>
      <c r="Z236" s="11">
        <f>+Datos_General[[#This Row],[Minutos Jugados]]*Datos_General[[#This Row],[Puntos Jug_Campo]]</f>
        <v>32</v>
      </c>
      <c r="AA23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36" s="10" t="str">
        <f>+IF(Datos_General[[#This Row],[Resultado Jug_Campo]] = "Empate", "1",IF(Datos_General[[#This Row],[Resultado Jug_Campo]] = "Victoria", "3","0"))</f>
        <v>1</v>
      </c>
    </row>
    <row r="237" spans="1:28">
      <c r="A237" s="1">
        <v>15</v>
      </c>
      <c r="B237" s="6">
        <v>46040</v>
      </c>
      <c r="C237" s="1" t="s">
        <v>136</v>
      </c>
      <c r="D237" s="1" t="s">
        <v>133</v>
      </c>
      <c r="E237" s="10" t="str">
        <f>+CONCATENATE(Datos_General[[#This Row],[Eq.Local]], "-", Datos_General[[#This Row],[Eq.Visitante]])</f>
        <v>S.D. Monteporreiro-Conxo Santiago B</v>
      </c>
      <c r="F237" s="1" t="s">
        <v>197</v>
      </c>
      <c r="G237" s="1" t="s">
        <v>58</v>
      </c>
      <c r="H237" s="1" t="s">
        <v>43</v>
      </c>
      <c r="I237" s="9">
        <v>1</v>
      </c>
      <c r="J237" s="9">
        <v>0</v>
      </c>
      <c r="K237" s="10" t="str">
        <f>+CONCATENATE(Datos_General[[#This Row],[Goles a Favor_Eq_local]],"-",Datos_General[[#This Row],[Gol a Favor_Eq_Visitante]])</f>
        <v>1-0</v>
      </c>
      <c r="L237" s="1" t="s">
        <v>133</v>
      </c>
      <c r="M237" s="1">
        <v>14</v>
      </c>
      <c r="N237" s="1" t="s">
        <v>154</v>
      </c>
      <c r="O237" s="1">
        <v>1</v>
      </c>
      <c r="P237" s="1" t="s">
        <v>70</v>
      </c>
      <c r="Q237" s="7">
        <f>+IF(Datos_General[[#This Row],[Minutos Jugados]]&gt;0, 1, 0)</f>
        <v>1</v>
      </c>
      <c r="R237" s="23">
        <v>0</v>
      </c>
      <c r="S237" s="8">
        <f>IFERROR(IF(MATCH(N237,$T$225:$T$240,0), INDEX($U$225:$U$240,MATCH(N237,$T$225:$T$240,0))),0)</f>
        <v>23</v>
      </c>
      <c r="U237" s="1">
        <f>90-Datos_General[[#This Row],[Minutos Jugados]]</f>
        <v>67</v>
      </c>
      <c r="V237" s="1">
        <v>0</v>
      </c>
      <c r="W237" s="1">
        <v>0</v>
      </c>
      <c r="X237" s="1">
        <v>0</v>
      </c>
      <c r="Y237" s="10">
        <f>+IF(Datos_General[[#This Row],[Resultado]]="Victoria", "3", IF(Datos_General[[#This Row],[Resultado]]="Empate","1",0))</f>
        <v>0</v>
      </c>
      <c r="Z237" s="11">
        <f>+Datos_General[[#This Row],[Minutos Jugados]]*Datos_General[[#This Row],[Puntos Jug_Campo]]</f>
        <v>23</v>
      </c>
      <c r="AA23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37" s="10" t="str">
        <f>+IF(Datos_General[[#This Row],[Resultado Jug_Campo]] = "Empate", "1",IF(Datos_General[[#This Row],[Resultado Jug_Campo]] = "Victoria", "3","0"))</f>
        <v>1</v>
      </c>
    </row>
    <row r="238" spans="1:28">
      <c r="A238" s="1">
        <v>15</v>
      </c>
      <c r="B238" s="6">
        <v>46040</v>
      </c>
      <c r="C238" s="1" t="s">
        <v>136</v>
      </c>
      <c r="D238" s="1" t="s">
        <v>133</v>
      </c>
      <c r="E238" s="10" t="str">
        <f>+CONCATENATE(Datos_General[[#This Row],[Eq.Local]], "-", Datos_General[[#This Row],[Eq.Visitante]])</f>
        <v>S.D. Monteporreiro-Conxo Santiago B</v>
      </c>
      <c r="F238" s="1" t="s">
        <v>197</v>
      </c>
      <c r="G238" s="1" t="s">
        <v>58</v>
      </c>
      <c r="H238" s="1" t="s">
        <v>43</v>
      </c>
      <c r="I238" s="9">
        <v>1</v>
      </c>
      <c r="J238" s="9">
        <v>0</v>
      </c>
      <c r="K238" s="10" t="str">
        <f>+CONCATENATE(Datos_General[[#This Row],[Goles a Favor_Eq_local]],"-",Datos_General[[#This Row],[Gol a Favor_Eq_Visitante]])</f>
        <v>1-0</v>
      </c>
      <c r="L238" s="1" t="s">
        <v>133</v>
      </c>
      <c r="M238" s="1">
        <v>15</v>
      </c>
      <c r="N238" s="1" t="s">
        <v>163</v>
      </c>
      <c r="O238" s="1">
        <v>1</v>
      </c>
      <c r="P238" s="1" t="s">
        <v>70</v>
      </c>
      <c r="Q238" s="7">
        <f>+IF(Datos_General[[#This Row],[Minutos Jugados]]&gt;0, 1, 0)</f>
        <v>1</v>
      </c>
      <c r="R238" s="23">
        <v>0</v>
      </c>
      <c r="S238" s="8">
        <f t="shared" ref="S238:S240" si="6">IFERROR(IF(MATCH(N238,$T$225:$T$240,0), INDEX($U$225:$U$240,MATCH(N238,$T$225:$T$240,0))),0)</f>
        <v>23</v>
      </c>
      <c r="U238" s="1">
        <f>90-Datos_General[[#This Row],[Minutos Jugados]]</f>
        <v>67</v>
      </c>
      <c r="V238" s="1">
        <v>0</v>
      </c>
      <c r="W238" s="1">
        <v>0</v>
      </c>
      <c r="X238" s="1">
        <v>0</v>
      </c>
      <c r="Y238" s="10">
        <f>+IF(Datos_General[[#This Row],[Resultado]]="Victoria", "3", IF(Datos_General[[#This Row],[Resultado]]="Empate","1",0))</f>
        <v>0</v>
      </c>
      <c r="Z238" s="11">
        <f>+Datos_General[[#This Row],[Minutos Jugados]]*Datos_General[[#This Row],[Puntos Jug_Campo]]</f>
        <v>23</v>
      </c>
      <c r="AA23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38" s="10" t="str">
        <f>+IF(Datos_General[[#This Row],[Resultado Jug_Campo]] = "Empate", "1",IF(Datos_General[[#This Row],[Resultado Jug_Campo]] = "Victoria", "3","0"))</f>
        <v>1</v>
      </c>
    </row>
    <row r="239" spans="1:28">
      <c r="A239" s="1">
        <v>15</v>
      </c>
      <c r="B239" s="6">
        <v>46040</v>
      </c>
      <c r="C239" s="1" t="s">
        <v>136</v>
      </c>
      <c r="D239" s="1" t="s">
        <v>133</v>
      </c>
      <c r="E239" s="10" t="str">
        <f>+CONCATENATE(Datos_General[[#This Row],[Eq.Local]], "-", Datos_General[[#This Row],[Eq.Visitante]])</f>
        <v>S.D. Monteporreiro-Conxo Santiago B</v>
      </c>
      <c r="F239" s="1" t="s">
        <v>197</v>
      </c>
      <c r="G239" s="1" t="s">
        <v>58</v>
      </c>
      <c r="H239" s="1" t="s">
        <v>43</v>
      </c>
      <c r="I239" s="9">
        <v>1</v>
      </c>
      <c r="J239" s="9">
        <v>0</v>
      </c>
      <c r="K239" s="10" t="str">
        <f>+CONCATENATE(Datos_General[[#This Row],[Goles a Favor_Eq_local]],"-",Datos_General[[#This Row],[Gol a Favor_Eq_Visitante]])</f>
        <v>1-0</v>
      </c>
      <c r="L239" s="1" t="s">
        <v>133</v>
      </c>
      <c r="M239" s="1">
        <v>16</v>
      </c>
      <c r="N239" s="1" t="s">
        <v>150</v>
      </c>
      <c r="O239" s="1">
        <v>1</v>
      </c>
      <c r="P239" s="1" t="s">
        <v>70</v>
      </c>
      <c r="Q239" s="7">
        <f>+IF(Datos_General[[#This Row],[Minutos Jugados]]&gt;0, 1, 0)</f>
        <v>1</v>
      </c>
      <c r="R239" s="23">
        <v>0</v>
      </c>
      <c r="S239" s="8">
        <f t="shared" si="6"/>
        <v>23</v>
      </c>
      <c r="U239" s="1">
        <f>90-Datos_General[[#This Row],[Minutos Jugados]]</f>
        <v>67</v>
      </c>
      <c r="V239" s="1">
        <v>0</v>
      </c>
      <c r="W239" s="1">
        <v>0</v>
      </c>
      <c r="X239" s="1">
        <v>0</v>
      </c>
      <c r="Y239" s="10">
        <f>+IF(Datos_General[[#This Row],[Resultado]]="Victoria", "3", IF(Datos_General[[#This Row],[Resultado]]="Empate","1",0))</f>
        <v>0</v>
      </c>
      <c r="Z239" s="11">
        <f>+Datos_General[[#This Row],[Minutos Jugados]]*Datos_General[[#This Row],[Puntos Jug_Campo]]</f>
        <v>23</v>
      </c>
      <c r="AA23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39" s="10" t="str">
        <f>+IF(Datos_General[[#This Row],[Resultado Jug_Campo]] = "Empate", "1",IF(Datos_General[[#This Row],[Resultado Jug_Campo]] = "Victoria", "3","0"))</f>
        <v>1</v>
      </c>
    </row>
    <row r="240" spans="1:28">
      <c r="A240" s="1">
        <v>15</v>
      </c>
      <c r="B240" s="6">
        <v>46040</v>
      </c>
      <c r="C240" s="1" t="s">
        <v>136</v>
      </c>
      <c r="D240" s="1" t="s">
        <v>133</v>
      </c>
      <c r="E240" s="10" t="str">
        <f>+CONCATENATE(Datos_General[[#This Row],[Eq.Local]], "-", Datos_General[[#This Row],[Eq.Visitante]])</f>
        <v>S.D. Monteporreiro-Conxo Santiago B</v>
      </c>
      <c r="F240" s="1" t="s">
        <v>197</v>
      </c>
      <c r="G240" s="1" t="s">
        <v>58</v>
      </c>
      <c r="H240" s="1" t="s">
        <v>43</v>
      </c>
      <c r="I240" s="9">
        <v>1</v>
      </c>
      <c r="J240" s="9">
        <v>0</v>
      </c>
      <c r="K240" s="10" t="str">
        <f>+CONCATENATE(Datos_General[[#This Row],[Goles a Favor_Eq_local]],"-",Datos_General[[#This Row],[Gol a Favor_Eq_Visitante]])</f>
        <v>1-0</v>
      </c>
      <c r="L240" s="1" t="s">
        <v>133</v>
      </c>
      <c r="M240" s="1">
        <v>17</v>
      </c>
      <c r="N240" s="1" t="s">
        <v>194</v>
      </c>
      <c r="O240" s="1">
        <v>1</v>
      </c>
      <c r="P240" s="1" t="s">
        <v>70</v>
      </c>
      <c r="Q240" s="7">
        <f>+IF(Datos_General[[#This Row],[Minutos Jugados]]&gt;0, 1, 0)</f>
        <v>1</v>
      </c>
      <c r="R240" s="23">
        <v>0</v>
      </c>
      <c r="S240" s="8">
        <f t="shared" si="6"/>
        <v>32</v>
      </c>
      <c r="U240" s="1">
        <f>90-Datos_General[[#This Row],[Minutos Jugados]]</f>
        <v>58</v>
      </c>
      <c r="V240" s="1">
        <v>0</v>
      </c>
      <c r="W240" s="1">
        <v>0</v>
      </c>
      <c r="X240" s="1">
        <v>0</v>
      </c>
      <c r="Y240" s="10">
        <f>+IF(Datos_General[[#This Row],[Resultado]]="Victoria", "3", IF(Datos_General[[#This Row],[Resultado]]="Empate","1",0))</f>
        <v>0</v>
      </c>
      <c r="Z240" s="11">
        <f>+Datos_General[[#This Row],[Minutos Jugados]]*Datos_General[[#This Row],[Puntos Jug_Campo]]</f>
        <v>32</v>
      </c>
      <c r="AA24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40" s="10" t="str">
        <f>+IF(Datos_General[[#This Row],[Resultado Jug_Campo]] = "Empate", "1",IF(Datos_General[[#This Row],[Resultado Jug_Campo]] = "Victoria", "3","0"))</f>
        <v>1</v>
      </c>
    </row>
    <row r="241" spans="1:28">
      <c r="A241" s="1">
        <v>16</v>
      </c>
      <c r="B241" s="6">
        <v>46067</v>
      </c>
      <c r="C241" s="1" t="s">
        <v>133</v>
      </c>
      <c r="D241" s="1" t="s">
        <v>123</v>
      </c>
      <c r="E241" s="10" t="str">
        <f>+CONCATENATE(Datos_General[[#This Row],[Eq.Local]], "-", Datos_General[[#This Row],[Eq.Visitante]])</f>
        <v>Conxo Santiago B-Salgueiriños C.F.</v>
      </c>
      <c r="F241" s="1" t="s">
        <v>157</v>
      </c>
      <c r="G241" s="1" t="s">
        <v>57</v>
      </c>
      <c r="H241" s="1" t="s">
        <v>13</v>
      </c>
      <c r="I241" s="9">
        <v>2</v>
      </c>
      <c r="J241" s="9">
        <v>2</v>
      </c>
      <c r="K241" s="10" t="str">
        <f>+CONCATENATE(Datos_General[[#This Row],[Goles a Favor_Eq_local]],"-",Datos_General[[#This Row],[Gol a Favor_Eq_Visitante]])</f>
        <v>2-2</v>
      </c>
      <c r="L241" s="1" t="s">
        <v>133</v>
      </c>
      <c r="M241" s="1">
        <v>1</v>
      </c>
      <c r="N241" s="1" t="s">
        <v>137</v>
      </c>
      <c r="O241" s="1">
        <v>1</v>
      </c>
      <c r="P241" s="1" t="s">
        <v>2</v>
      </c>
      <c r="Q241" s="22">
        <v>1</v>
      </c>
      <c r="R241" s="9">
        <v>1</v>
      </c>
      <c r="S241" s="1">
        <v>90</v>
      </c>
      <c r="U241" s="1">
        <f>90-Datos_General[[#This Row],[Minutos Jugados]]</f>
        <v>0</v>
      </c>
      <c r="V241" s="1">
        <v>0</v>
      </c>
      <c r="W241" s="1">
        <v>2</v>
      </c>
      <c r="X241" s="1">
        <v>2</v>
      </c>
      <c r="Y241" s="10" t="str">
        <f>+IF(Datos_General[[#This Row],[Resultado]]="Victoria", "3", IF(Datos_General[[#This Row],[Resultado]]="Empate","1",0))</f>
        <v>1</v>
      </c>
      <c r="Z241" s="11">
        <f>+Datos_General[[#This Row],[Minutos Jugados]]*Datos_General[[#This Row],[Puntos Jug_Campo]]</f>
        <v>90</v>
      </c>
      <c r="AA24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41" s="10" t="str">
        <f>+IF(Datos_General[[#This Row],[Resultado Jug_Campo]] = "Empate", "1",IF(Datos_General[[#This Row],[Resultado Jug_Campo]] = "Victoria", "3","0"))</f>
        <v>1</v>
      </c>
    </row>
    <row r="242" spans="1:28">
      <c r="A242" s="1">
        <v>16</v>
      </c>
      <c r="B242" s="6">
        <v>46067</v>
      </c>
      <c r="C242" s="1" t="s">
        <v>133</v>
      </c>
      <c r="D242" s="1" t="s">
        <v>123</v>
      </c>
      <c r="E242" s="10" t="str">
        <f>+CONCATENATE(Datos_General[[#This Row],[Eq.Local]], "-", Datos_General[[#This Row],[Eq.Visitante]])</f>
        <v>Conxo Santiago B-Salgueiriños C.F.</v>
      </c>
      <c r="F242" s="1" t="s">
        <v>157</v>
      </c>
      <c r="G242" s="1" t="s">
        <v>57</v>
      </c>
      <c r="H242" s="1" t="s">
        <v>13</v>
      </c>
      <c r="I242" s="9">
        <v>2</v>
      </c>
      <c r="J242" s="9">
        <v>2</v>
      </c>
      <c r="K242" s="10" t="str">
        <f>+CONCATENATE(Datos_General[[#This Row],[Goles a Favor_Eq_local]],"-",Datos_General[[#This Row],[Gol a Favor_Eq_Visitante]])</f>
        <v>2-2</v>
      </c>
      <c r="L242" s="1" t="s">
        <v>133</v>
      </c>
      <c r="M242" s="1">
        <v>2</v>
      </c>
      <c r="N242" s="1" t="s">
        <v>138</v>
      </c>
      <c r="O242" s="1">
        <v>1</v>
      </c>
      <c r="P242" s="1" t="s">
        <v>2</v>
      </c>
      <c r="Q242" s="22">
        <v>1</v>
      </c>
      <c r="R242" s="9">
        <v>1</v>
      </c>
      <c r="S242" s="1">
        <v>90</v>
      </c>
      <c r="U242" s="1">
        <f>90-Datos_General[[#This Row],[Minutos Jugados]]</f>
        <v>0</v>
      </c>
      <c r="V242" s="1">
        <v>0</v>
      </c>
      <c r="W242" s="1">
        <v>2</v>
      </c>
      <c r="X242" s="1">
        <v>2</v>
      </c>
      <c r="Y242" s="10" t="str">
        <f>+IF(Datos_General[[#This Row],[Resultado]]="Victoria", "3", IF(Datos_General[[#This Row],[Resultado]]="Empate","1",0))</f>
        <v>1</v>
      </c>
      <c r="Z242" s="11">
        <f>+Datos_General[[#This Row],[Minutos Jugados]]*Datos_General[[#This Row],[Puntos Jug_Campo]]</f>
        <v>90</v>
      </c>
      <c r="AA24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42" s="10" t="str">
        <f>+IF(Datos_General[[#This Row],[Resultado Jug_Campo]] = "Empate", "1",IF(Datos_General[[#This Row],[Resultado Jug_Campo]] = "Victoria", "3","0"))</f>
        <v>1</v>
      </c>
    </row>
    <row r="243" spans="1:28">
      <c r="A243" s="1">
        <v>16</v>
      </c>
      <c r="B243" s="6">
        <v>46067</v>
      </c>
      <c r="C243" s="1" t="s">
        <v>133</v>
      </c>
      <c r="D243" s="1" t="s">
        <v>123</v>
      </c>
      <c r="E243" s="10" t="str">
        <f>+CONCATENATE(Datos_General[[#This Row],[Eq.Local]], "-", Datos_General[[#This Row],[Eq.Visitante]])</f>
        <v>Conxo Santiago B-Salgueiriños C.F.</v>
      </c>
      <c r="F243" s="1" t="s">
        <v>157</v>
      </c>
      <c r="G243" s="1" t="s">
        <v>57</v>
      </c>
      <c r="H243" s="1" t="s">
        <v>13</v>
      </c>
      <c r="I243" s="9">
        <v>2</v>
      </c>
      <c r="J243" s="9">
        <v>2</v>
      </c>
      <c r="K243" s="10" t="str">
        <f>+CONCATENATE(Datos_General[[#This Row],[Goles a Favor_Eq_local]],"-",Datos_General[[#This Row],[Gol a Favor_Eq_Visitante]])</f>
        <v>2-2</v>
      </c>
      <c r="L243" s="1" t="s">
        <v>133</v>
      </c>
      <c r="M243" s="1">
        <v>3</v>
      </c>
      <c r="N243" s="1" t="s">
        <v>144</v>
      </c>
      <c r="O243" s="1">
        <v>1</v>
      </c>
      <c r="P243" s="1" t="s">
        <v>2</v>
      </c>
      <c r="Q243" s="22">
        <v>1</v>
      </c>
      <c r="R243" s="9">
        <v>1</v>
      </c>
      <c r="S243" s="1">
        <v>90</v>
      </c>
      <c r="U243" s="1">
        <f>90-Datos_General[[#This Row],[Minutos Jugados]]</f>
        <v>0</v>
      </c>
      <c r="V243" s="1">
        <v>1</v>
      </c>
      <c r="W243" s="1">
        <v>2</v>
      </c>
      <c r="X243" s="1">
        <v>2</v>
      </c>
      <c r="Y243" s="10" t="str">
        <f>+IF(Datos_General[[#This Row],[Resultado]]="Victoria", "3", IF(Datos_General[[#This Row],[Resultado]]="Empate","1",0))</f>
        <v>1</v>
      </c>
      <c r="Z243" s="11">
        <f>+Datos_General[[#This Row],[Minutos Jugados]]*Datos_General[[#This Row],[Puntos Jug_Campo]]</f>
        <v>90</v>
      </c>
      <c r="AA24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43" s="10" t="str">
        <f>+IF(Datos_General[[#This Row],[Resultado Jug_Campo]] = "Empate", "1",IF(Datos_General[[#This Row],[Resultado Jug_Campo]] = "Victoria", "3","0"))</f>
        <v>1</v>
      </c>
    </row>
    <row r="244" spans="1:28">
      <c r="A244" s="1">
        <v>16</v>
      </c>
      <c r="B244" s="6">
        <v>46067</v>
      </c>
      <c r="C244" s="1" t="s">
        <v>133</v>
      </c>
      <c r="D244" s="1" t="s">
        <v>123</v>
      </c>
      <c r="E244" s="10" t="str">
        <f>+CONCATENATE(Datos_General[[#This Row],[Eq.Local]], "-", Datos_General[[#This Row],[Eq.Visitante]])</f>
        <v>Conxo Santiago B-Salgueiriños C.F.</v>
      </c>
      <c r="F244" s="1" t="s">
        <v>157</v>
      </c>
      <c r="G244" s="1" t="s">
        <v>57</v>
      </c>
      <c r="H244" s="1" t="s">
        <v>13</v>
      </c>
      <c r="I244" s="9">
        <v>2</v>
      </c>
      <c r="J244" s="9">
        <v>2</v>
      </c>
      <c r="K244" s="10" t="str">
        <f>+CONCATENATE(Datos_General[[#This Row],[Goles a Favor_Eq_local]],"-",Datos_General[[#This Row],[Gol a Favor_Eq_Visitante]])</f>
        <v>2-2</v>
      </c>
      <c r="L244" s="1" t="s">
        <v>133</v>
      </c>
      <c r="M244" s="1">
        <v>4</v>
      </c>
      <c r="N244" s="1" t="s">
        <v>140</v>
      </c>
      <c r="O244" s="1">
        <v>1</v>
      </c>
      <c r="P244" s="1" t="s">
        <v>2</v>
      </c>
      <c r="Q244" s="22">
        <v>1</v>
      </c>
      <c r="R244" s="9">
        <v>1</v>
      </c>
      <c r="S244" s="1">
        <v>90</v>
      </c>
      <c r="U244" s="1">
        <f>90-Datos_General[[#This Row],[Minutos Jugados]]</f>
        <v>0</v>
      </c>
      <c r="V244" s="1">
        <v>0</v>
      </c>
      <c r="W244" s="1">
        <v>2</v>
      </c>
      <c r="X244" s="1">
        <v>2</v>
      </c>
      <c r="Y244" s="10" t="str">
        <f>+IF(Datos_General[[#This Row],[Resultado]]="Victoria", "3", IF(Datos_General[[#This Row],[Resultado]]="Empate","1",0))</f>
        <v>1</v>
      </c>
      <c r="Z244" s="11">
        <f>+Datos_General[[#This Row],[Minutos Jugados]]*Datos_General[[#This Row],[Puntos Jug_Campo]]</f>
        <v>90</v>
      </c>
      <c r="AA24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44" s="10" t="str">
        <f>+IF(Datos_General[[#This Row],[Resultado Jug_Campo]] = "Empate", "1",IF(Datos_General[[#This Row],[Resultado Jug_Campo]] = "Victoria", "3","0"))</f>
        <v>1</v>
      </c>
    </row>
    <row r="245" spans="1:28">
      <c r="A245" s="1">
        <v>16</v>
      </c>
      <c r="B245" s="6">
        <v>46067</v>
      </c>
      <c r="C245" s="1" t="s">
        <v>133</v>
      </c>
      <c r="D245" s="1" t="s">
        <v>123</v>
      </c>
      <c r="E245" s="10" t="str">
        <f>+CONCATENATE(Datos_General[[#This Row],[Eq.Local]], "-", Datos_General[[#This Row],[Eq.Visitante]])</f>
        <v>Conxo Santiago B-Salgueiriños C.F.</v>
      </c>
      <c r="F245" s="1" t="s">
        <v>157</v>
      </c>
      <c r="G245" s="1" t="s">
        <v>57</v>
      </c>
      <c r="H245" s="1" t="s">
        <v>13</v>
      </c>
      <c r="I245" s="9">
        <v>2</v>
      </c>
      <c r="J245" s="9">
        <v>2</v>
      </c>
      <c r="K245" s="10" t="str">
        <f>+CONCATENATE(Datos_General[[#This Row],[Goles a Favor_Eq_local]],"-",Datos_General[[#This Row],[Gol a Favor_Eq_Visitante]])</f>
        <v>2-2</v>
      </c>
      <c r="L245" s="1" t="s">
        <v>133</v>
      </c>
      <c r="M245" s="1">
        <v>5</v>
      </c>
      <c r="N245" s="1" t="s">
        <v>162</v>
      </c>
      <c r="O245" s="1">
        <v>1</v>
      </c>
      <c r="P245" s="1" t="s">
        <v>2</v>
      </c>
      <c r="Q245" s="22">
        <v>1</v>
      </c>
      <c r="R245" s="9">
        <v>1</v>
      </c>
      <c r="S245" s="1">
        <v>90</v>
      </c>
      <c r="U245" s="1">
        <f>90-Datos_General[[#This Row],[Minutos Jugados]]</f>
        <v>0</v>
      </c>
      <c r="V245" s="1">
        <v>0</v>
      </c>
      <c r="W245" s="1">
        <v>2</v>
      </c>
      <c r="X245" s="1">
        <v>2</v>
      </c>
      <c r="Y245" s="10" t="str">
        <f>+IF(Datos_General[[#This Row],[Resultado]]="Victoria", "3", IF(Datos_General[[#This Row],[Resultado]]="Empate","1",0))</f>
        <v>1</v>
      </c>
      <c r="Z245" s="11">
        <f>+Datos_General[[#This Row],[Minutos Jugados]]*Datos_General[[#This Row],[Puntos Jug_Campo]]</f>
        <v>90</v>
      </c>
      <c r="AA24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45" s="10" t="str">
        <f>+IF(Datos_General[[#This Row],[Resultado Jug_Campo]] = "Empate", "1",IF(Datos_General[[#This Row],[Resultado Jug_Campo]] = "Victoria", "3","0"))</f>
        <v>1</v>
      </c>
    </row>
    <row r="246" spans="1:28">
      <c r="A246" s="1">
        <v>16</v>
      </c>
      <c r="B246" s="6">
        <v>46067</v>
      </c>
      <c r="C246" s="1" t="s">
        <v>133</v>
      </c>
      <c r="D246" s="1" t="s">
        <v>123</v>
      </c>
      <c r="E246" s="10" t="str">
        <f>+CONCATENATE(Datos_General[[#This Row],[Eq.Local]], "-", Datos_General[[#This Row],[Eq.Visitante]])</f>
        <v>Conxo Santiago B-Salgueiriños C.F.</v>
      </c>
      <c r="F246" s="1" t="s">
        <v>157</v>
      </c>
      <c r="G246" s="1" t="s">
        <v>57</v>
      </c>
      <c r="H246" s="1" t="s">
        <v>13</v>
      </c>
      <c r="I246" s="9">
        <v>2</v>
      </c>
      <c r="J246" s="9">
        <v>2</v>
      </c>
      <c r="K246" s="10" t="str">
        <f>+CONCATENATE(Datos_General[[#This Row],[Goles a Favor_Eq_local]],"-",Datos_General[[#This Row],[Gol a Favor_Eq_Visitante]])</f>
        <v>2-2</v>
      </c>
      <c r="L246" s="1" t="s">
        <v>133</v>
      </c>
      <c r="M246" s="1">
        <v>6</v>
      </c>
      <c r="N246" s="1" t="s">
        <v>142</v>
      </c>
      <c r="O246" s="1">
        <v>1</v>
      </c>
      <c r="P246" s="1" t="s">
        <v>2</v>
      </c>
      <c r="Q246" s="22">
        <v>1</v>
      </c>
      <c r="R246" s="9">
        <v>1</v>
      </c>
      <c r="S246" s="1">
        <v>90</v>
      </c>
      <c r="U246" s="1">
        <f>90-Datos_General[[#This Row],[Minutos Jugados]]</f>
        <v>0</v>
      </c>
      <c r="V246" s="1">
        <v>0</v>
      </c>
      <c r="W246" s="1">
        <v>2</v>
      </c>
      <c r="X246" s="1">
        <v>2</v>
      </c>
      <c r="Y246" s="10" t="str">
        <f>+IF(Datos_General[[#This Row],[Resultado]]="Victoria", "3", IF(Datos_General[[#This Row],[Resultado]]="Empate","1",0))</f>
        <v>1</v>
      </c>
      <c r="Z246" s="11">
        <f>+Datos_General[[#This Row],[Minutos Jugados]]*Datos_General[[#This Row],[Puntos Jug_Campo]]</f>
        <v>90</v>
      </c>
      <c r="AA24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46" s="10" t="str">
        <f>+IF(Datos_General[[#This Row],[Resultado Jug_Campo]] = "Empate", "1",IF(Datos_General[[#This Row],[Resultado Jug_Campo]] = "Victoria", "3","0"))</f>
        <v>1</v>
      </c>
    </row>
    <row r="247" spans="1:28">
      <c r="A247" s="1">
        <v>16</v>
      </c>
      <c r="B247" s="6">
        <v>46067</v>
      </c>
      <c r="C247" s="1" t="s">
        <v>133</v>
      </c>
      <c r="D247" s="1" t="s">
        <v>123</v>
      </c>
      <c r="E247" s="10" t="str">
        <f>+CONCATENATE(Datos_General[[#This Row],[Eq.Local]], "-", Datos_General[[#This Row],[Eq.Visitante]])</f>
        <v>Conxo Santiago B-Salgueiriños C.F.</v>
      </c>
      <c r="F247" s="1" t="s">
        <v>157</v>
      </c>
      <c r="G247" s="1" t="s">
        <v>57</v>
      </c>
      <c r="H247" s="1" t="s">
        <v>13</v>
      </c>
      <c r="I247" s="9">
        <v>2</v>
      </c>
      <c r="J247" s="9">
        <v>2</v>
      </c>
      <c r="K247" s="10" t="str">
        <f>+CONCATENATE(Datos_General[[#This Row],[Goles a Favor_Eq_local]],"-",Datos_General[[#This Row],[Gol a Favor_Eq_Visitante]])</f>
        <v>2-2</v>
      </c>
      <c r="L247" s="1" t="s">
        <v>133</v>
      </c>
      <c r="M247" s="1">
        <v>7</v>
      </c>
      <c r="N247" s="1" t="s">
        <v>151</v>
      </c>
      <c r="O247" s="1">
        <v>1</v>
      </c>
      <c r="P247" s="1" t="s">
        <v>2</v>
      </c>
      <c r="Q247" s="22">
        <v>1</v>
      </c>
      <c r="R247" s="9">
        <v>1</v>
      </c>
      <c r="S247" s="1">
        <v>64</v>
      </c>
      <c r="T247" s="1" t="s">
        <v>199</v>
      </c>
      <c r="U247" s="1">
        <f>90-Datos_General[[#This Row],[Minutos Jugados]]</f>
        <v>26</v>
      </c>
      <c r="V247" s="1">
        <v>0</v>
      </c>
      <c r="W247" s="1">
        <v>0</v>
      </c>
      <c r="X247" s="1">
        <v>2</v>
      </c>
      <c r="Y247" s="10" t="str">
        <f>+IF(Datos_General[[#This Row],[Resultado]]="Victoria", "3", IF(Datos_General[[#This Row],[Resultado]]="Empate","1",0))</f>
        <v>1</v>
      </c>
      <c r="Z247" s="11">
        <f>+Datos_General[[#This Row],[Minutos Jugados]]*Datos_General[[#This Row],[Puntos Jug_Campo]]</f>
        <v>0</v>
      </c>
      <c r="AA24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47" s="10" t="str">
        <f>+IF(Datos_General[[#This Row],[Resultado Jug_Campo]] = "Empate", "1",IF(Datos_General[[#This Row],[Resultado Jug_Campo]] = "Victoria", "3","0"))</f>
        <v>0</v>
      </c>
    </row>
    <row r="248" spans="1:28">
      <c r="A248" s="1">
        <v>16</v>
      </c>
      <c r="B248" s="6">
        <v>46067</v>
      </c>
      <c r="C248" s="1" t="s">
        <v>133</v>
      </c>
      <c r="D248" s="1" t="s">
        <v>123</v>
      </c>
      <c r="E248" s="10" t="str">
        <f>+CONCATENATE(Datos_General[[#This Row],[Eq.Local]], "-", Datos_General[[#This Row],[Eq.Visitante]])</f>
        <v>Conxo Santiago B-Salgueiriños C.F.</v>
      </c>
      <c r="F248" s="1" t="s">
        <v>157</v>
      </c>
      <c r="G248" s="1" t="s">
        <v>57</v>
      </c>
      <c r="H248" s="1" t="s">
        <v>13</v>
      </c>
      <c r="I248" s="9">
        <v>2</v>
      </c>
      <c r="J248" s="9">
        <v>2</v>
      </c>
      <c r="K248" s="10" t="str">
        <f>+CONCATENATE(Datos_General[[#This Row],[Goles a Favor_Eq_local]],"-",Datos_General[[#This Row],[Gol a Favor_Eq_Visitante]])</f>
        <v>2-2</v>
      </c>
      <c r="L248" s="1" t="s">
        <v>133</v>
      </c>
      <c r="M248" s="1">
        <v>8</v>
      </c>
      <c r="N248" s="1" t="s">
        <v>165</v>
      </c>
      <c r="O248" s="1">
        <v>1</v>
      </c>
      <c r="P248" s="1" t="s">
        <v>2</v>
      </c>
      <c r="Q248" s="22">
        <v>1</v>
      </c>
      <c r="R248" s="9">
        <v>1</v>
      </c>
      <c r="S248" s="1">
        <v>90</v>
      </c>
      <c r="U248" s="1">
        <f>90-Datos_General[[#This Row],[Minutos Jugados]]</f>
        <v>0</v>
      </c>
      <c r="V248" s="1">
        <v>0</v>
      </c>
      <c r="W248" s="1">
        <v>2</v>
      </c>
      <c r="X248" s="1">
        <v>2</v>
      </c>
      <c r="Y248" s="10" t="str">
        <f>+IF(Datos_General[[#This Row],[Resultado]]="Victoria", "3", IF(Datos_General[[#This Row],[Resultado]]="Empate","1",0))</f>
        <v>1</v>
      </c>
      <c r="Z248" s="11">
        <f>+Datos_General[[#This Row],[Minutos Jugados]]*Datos_General[[#This Row],[Puntos Jug_Campo]]</f>
        <v>90</v>
      </c>
      <c r="AA24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48" s="10" t="str">
        <f>+IF(Datos_General[[#This Row],[Resultado Jug_Campo]] = "Empate", "1",IF(Datos_General[[#This Row],[Resultado Jug_Campo]] = "Victoria", "3","0"))</f>
        <v>1</v>
      </c>
    </row>
    <row r="249" spans="1:28">
      <c r="A249" s="1">
        <v>16</v>
      </c>
      <c r="B249" s="6">
        <v>46067</v>
      </c>
      <c r="C249" s="1" t="s">
        <v>133</v>
      </c>
      <c r="D249" s="1" t="s">
        <v>123</v>
      </c>
      <c r="E249" s="10" t="str">
        <f>+CONCATENATE(Datos_General[[#This Row],[Eq.Local]], "-", Datos_General[[#This Row],[Eq.Visitante]])</f>
        <v>Conxo Santiago B-Salgueiriños C.F.</v>
      </c>
      <c r="F249" s="1" t="s">
        <v>157</v>
      </c>
      <c r="G249" s="1" t="s">
        <v>57</v>
      </c>
      <c r="H249" s="1" t="s">
        <v>13</v>
      </c>
      <c r="I249" s="9">
        <v>2</v>
      </c>
      <c r="J249" s="9">
        <v>2</v>
      </c>
      <c r="K249" s="10" t="str">
        <f>+CONCATENATE(Datos_General[[#This Row],[Goles a Favor_Eq_local]],"-",Datos_General[[#This Row],[Gol a Favor_Eq_Visitante]])</f>
        <v>2-2</v>
      </c>
      <c r="L249" s="1" t="s">
        <v>133</v>
      </c>
      <c r="M249" s="1">
        <v>9</v>
      </c>
      <c r="N249" s="1" t="s">
        <v>194</v>
      </c>
      <c r="O249" s="1">
        <v>1</v>
      </c>
      <c r="P249" s="1" t="s">
        <v>2</v>
      </c>
      <c r="Q249" s="22">
        <v>1</v>
      </c>
      <c r="R249" s="9">
        <v>1</v>
      </c>
      <c r="S249" s="1">
        <v>46</v>
      </c>
      <c r="T249" s="1" t="s">
        <v>152</v>
      </c>
      <c r="U249" s="1">
        <f>90-Datos_General[[#This Row],[Minutos Jugados]]</f>
        <v>44</v>
      </c>
      <c r="V249" s="1">
        <v>0</v>
      </c>
      <c r="W249" s="1">
        <v>0</v>
      </c>
      <c r="X249" s="1">
        <v>1</v>
      </c>
      <c r="Y249" s="10" t="str">
        <f>+IF(Datos_General[[#This Row],[Resultado]]="Victoria", "3", IF(Datos_General[[#This Row],[Resultado]]="Empate","1",0))</f>
        <v>1</v>
      </c>
      <c r="Z249" s="11">
        <f>+Datos_General[[#This Row],[Minutos Jugados]]*Datos_General[[#This Row],[Puntos Jug_Campo]]</f>
        <v>0</v>
      </c>
      <c r="AA24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49" s="10" t="str">
        <f>+IF(Datos_General[[#This Row],[Resultado Jug_Campo]] = "Empate", "1",IF(Datos_General[[#This Row],[Resultado Jug_Campo]] = "Victoria", "3","0"))</f>
        <v>0</v>
      </c>
    </row>
    <row r="250" spans="1:28">
      <c r="A250" s="1">
        <v>16</v>
      </c>
      <c r="B250" s="6">
        <v>46067</v>
      </c>
      <c r="C250" s="1" t="s">
        <v>133</v>
      </c>
      <c r="D250" s="1" t="s">
        <v>123</v>
      </c>
      <c r="E250" s="10" t="str">
        <f>+CONCATENATE(Datos_General[[#This Row],[Eq.Local]], "-", Datos_General[[#This Row],[Eq.Visitante]])</f>
        <v>Conxo Santiago B-Salgueiriños C.F.</v>
      </c>
      <c r="F250" s="1" t="s">
        <v>157</v>
      </c>
      <c r="G250" s="1" t="s">
        <v>57</v>
      </c>
      <c r="H250" s="1" t="s">
        <v>13</v>
      </c>
      <c r="I250" s="9">
        <v>2</v>
      </c>
      <c r="J250" s="9">
        <v>2</v>
      </c>
      <c r="K250" s="10" t="str">
        <f>+CONCATENATE(Datos_General[[#This Row],[Goles a Favor_Eq_local]],"-",Datos_General[[#This Row],[Gol a Favor_Eq_Visitante]])</f>
        <v>2-2</v>
      </c>
      <c r="L250" s="1" t="s">
        <v>133</v>
      </c>
      <c r="M250" s="1">
        <v>10</v>
      </c>
      <c r="N250" s="1" t="s">
        <v>146</v>
      </c>
      <c r="O250" s="1">
        <v>1</v>
      </c>
      <c r="P250" s="1" t="s">
        <v>2</v>
      </c>
      <c r="Q250" s="22">
        <v>1</v>
      </c>
      <c r="R250" s="9">
        <v>1</v>
      </c>
      <c r="S250" s="1">
        <v>55</v>
      </c>
      <c r="T250" s="1" t="s">
        <v>166</v>
      </c>
      <c r="U250" s="1">
        <f>90-Datos_General[[#This Row],[Minutos Jugados]]</f>
        <v>35</v>
      </c>
      <c r="V250" s="1">
        <v>0</v>
      </c>
      <c r="W250" s="1">
        <v>0</v>
      </c>
      <c r="X250" s="1">
        <v>1</v>
      </c>
      <c r="Y250" s="10" t="str">
        <f>+IF(Datos_General[[#This Row],[Resultado]]="Victoria", "3", IF(Datos_General[[#This Row],[Resultado]]="Empate","1",0))</f>
        <v>1</v>
      </c>
      <c r="Z250" s="11">
        <f>+Datos_General[[#This Row],[Minutos Jugados]]*Datos_General[[#This Row],[Puntos Jug_Campo]]</f>
        <v>0</v>
      </c>
      <c r="AA25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50" s="10" t="str">
        <f>+IF(Datos_General[[#This Row],[Resultado Jug_Campo]] = "Empate", "1",IF(Datos_General[[#This Row],[Resultado Jug_Campo]] = "Victoria", "3","0"))</f>
        <v>0</v>
      </c>
    </row>
    <row r="251" spans="1:28">
      <c r="A251" s="1">
        <v>16</v>
      </c>
      <c r="B251" s="6">
        <v>46067</v>
      </c>
      <c r="C251" s="1" t="s">
        <v>133</v>
      </c>
      <c r="D251" s="1" t="s">
        <v>123</v>
      </c>
      <c r="E251" s="10" t="str">
        <f>+CONCATENATE(Datos_General[[#This Row],[Eq.Local]], "-", Datos_General[[#This Row],[Eq.Visitante]])</f>
        <v>Conxo Santiago B-Salgueiriños C.F.</v>
      </c>
      <c r="F251" s="1" t="s">
        <v>157</v>
      </c>
      <c r="G251" s="1" t="s">
        <v>57</v>
      </c>
      <c r="H251" s="1" t="s">
        <v>13</v>
      </c>
      <c r="I251" s="9">
        <v>2</v>
      </c>
      <c r="J251" s="9">
        <v>2</v>
      </c>
      <c r="K251" s="10" t="str">
        <f>+CONCATENATE(Datos_General[[#This Row],[Goles a Favor_Eq_local]],"-",Datos_General[[#This Row],[Gol a Favor_Eq_Visitante]])</f>
        <v>2-2</v>
      </c>
      <c r="L251" s="1" t="s">
        <v>133</v>
      </c>
      <c r="M251" s="1">
        <v>11</v>
      </c>
      <c r="N251" s="1" t="s">
        <v>163</v>
      </c>
      <c r="O251" s="1">
        <v>1</v>
      </c>
      <c r="P251" s="1" t="s">
        <v>2</v>
      </c>
      <c r="Q251" s="22">
        <v>1</v>
      </c>
      <c r="R251" s="9">
        <v>1</v>
      </c>
      <c r="S251" s="1">
        <v>55</v>
      </c>
      <c r="T251" s="1" t="s">
        <v>198</v>
      </c>
      <c r="U251" s="1">
        <f>90-Datos_General[[#This Row],[Minutos Jugados]]</f>
        <v>35</v>
      </c>
      <c r="V251" s="1">
        <v>0</v>
      </c>
      <c r="W251" s="1">
        <v>0</v>
      </c>
      <c r="X251" s="1">
        <v>1</v>
      </c>
      <c r="Y251" s="10" t="str">
        <f>+IF(Datos_General[[#This Row],[Resultado]]="Victoria", "3", IF(Datos_General[[#This Row],[Resultado]]="Empate","1",0))</f>
        <v>1</v>
      </c>
      <c r="Z251" s="11">
        <f>+Datos_General[[#This Row],[Minutos Jugados]]*Datos_General[[#This Row],[Puntos Jug_Campo]]</f>
        <v>0</v>
      </c>
      <c r="AA25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51" s="10" t="str">
        <f>+IF(Datos_General[[#This Row],[Resultado Jug_Campo]] = "Empate", "1",IF(Datos_General[[#This Row],[Resultado Jug_Campo]] = "Victoria", "3","0"))</f>
        <v>0</v>
      </c>
    </row>
    <row r="252" spans="1:28">
      <c r="A252" s="1">
        <v>16</v>
      </c>
      <c r="B252" s="6">
        <v>46067</v>
      </c>
      <c r="C252" s="1" t="s">
        <v>133</v>
      </c>
      <c r="D252" s="1" t="s">
        <v>123</v>
      </c>
      <c r="E252" s="10" t="str">
        <f>+CONCATENATE(Datos_General[[#This Row],[Eq.Local]], "-", Datos_General[[#This Row],[Eq.Visitante]])</f>
        <v>Conxo Santiago B-Salgueiriños C.F.</v>
      </c>
      <c r="F252" s="1" t="s">
        <v>157</v>
      </c>
      <c r="G252" s="1" t="s">
        <v>57</v>
      </c>
      <c r="H252" s="1" t="s">
        <v>13</v>
      </c>
      <c r="I252" s="9">
        <v>2</v>
      </c>
      <c r="J252" s="9">
        <v>2</v>
      </c>
      <c r="K252" s="10" t="str">
        <f>+CONCATENATE(Datos_General[[#This Row],[Goles a Favor_Eq_local]],"-",Datos_General[[#This Row],[Gol a Favor_Eq_Visitante]])</f>
        <v>2-2</v>
      </c>
      <c r="L252" s="1" t="s">
        <v>133</v>
      </c>
      <c r="M252" s="1">
        <v>13</v>
      </c>
      <c r="N252" s="1" t="s">
        <v>148</v>
      </c>
      <c r="O252" s="1">
        <v>1</v>
      </c>
      <c r="P252" s="1" t="s">
        <v>70</v>
      </c>
      <c r="Q252" s="7">
        <f>+IF(Datos_General[[#This Row],[Minutos Jugados]]&gt;0, 1, 0)</f>
        <v>0</v>
      </c>
      <c r="R252" s="23">
        <v>0</v>
      </c>
      <c r="S252" s="8">
        <f>IFERROR(IF(MATCH(N252,$T$241:$T$256,0), INDEX($U$241:$U$256,MATCH(N252,$T$241:$T$256,0))),0)</f>
        <v>0</v>
      </c>
      <c r="U252" s="1">
        <f>90-Datos_General[[#This Row],[Minutos Jugados]]</f>
        <v>90</v>
      </c>
      <c r="V252" s="1">
        <v>0</v>
      </c>
      <c r="W252" s="1">
        <v>0</v>
      </c>
      <c r="X252" s="1">
        <v>0</v>
      </c>
      <c r="Y252" s="10" t="str">
        <f>+IF(Datos_General[[#This Row],[Resultado]]="Victoria", "3", IF(Datos_General[[#This Row],[Resultado]]="Empate","1",0))</f>
        <v>1</v>
      </c>
      <c r="Z252" s="11">
        <f>+Datos_General[[#This Row],[Minutos Jugados]]*Datos_General[[#This Row],[Puntos Jug_Campo]]</f>
        <v>0</v>
      </c>
      <c r="AA25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252" s="10" t="str">
        <f>+IF(Datos_General[[#This Row],[Resultado Jug_Campo]] = "Empate", "1",IF(Datos_General[[#This Row],[Resultado Jug_Campo]] = "Victoria", "3","0"))</f>
        <v>0</v>
      </c>
    </row>
    <row r="253" spans="1:28">
      <c r="A253" s="1">
        <v>16</v>
      </c>
      <c r="B253" s="6">
        <v>46067</v>
      </c>
      <c r="C253" s="1" t="s">
        <v>133</v>
      </c>
      <c r="D253" s="1" t="s">
        <v>123</v>
      </c>
      <c r="E253" s="10" t="str">
        <f>+CONCATENATE(Datos_General[[#This Row],[Eq.Local]], "-", Datos_General[[#This Row],[Eq.Visitante]])</f>
        <v>Conxo Santiago B-Salgueiriños C.F.</v>
      </c>
      <c r="F253" s="1" t="s">
        <v>157</v>
      </c>
      <c r="G253" s="1" t="s">
        <v>57</v>
      </c>
      <c r="H253" s="1" t="s">
        <v>13</v>
      </c>
      <c r="I253" s="9">
        <v>2</v>
      </c>
      <c r="J253" s="9">
        <v>2</v>
      </c>
      <c r="K253" s="10" t="str">
        <f>+CONCATENATE(Datos_General[[#This Row],[Goles a Favor_Eq_local]],"-",Datos_General[[#This Row],[Gol a Favor_Eq_Visitante]])</f>
        <v>2-2</v>
      </c>
      <c r="L253" s="1" t="s">
        <v>133</v>
      </c>
      <c r="M253" s="1">
        <v>12</v>
      </c>
      <c r="N253" s="1" t="s">
        <v>166</v>
      </c>
      <c r="O253" s="1">
        <v>1</v>
      </c>
      <c r="P253" s="1" t="s">
        <v>70</v>
      </c>
      <c r="Q253" s="7">
        <f>+IF(Datos_General[[#This Row],[Minutos Jugados]]&gt;0, 1, 0)</f>
        <v>1</v>
      </c>
      <c r="R253" s="23">
        <v>0</v>
      </c>
      <c r="S253" s="8">
        <f t="shared" ref="S253:S256" si="7">IFERROR(IF(MATCH(N253,$T$241:$T$256,0), INDEX($U$241:$U$256,MATCH(N253,$T$241:$T$256,0))),0)</f>
        <v>35</v>
      </c>
      <c r="U253" s="1">
        <f>90-Datos_General[[#This Row],[Minutos Jugados]]</f>
        <v>55</v>
      </c>
      <c r="V253" s="1">
        <v>0</v>
      </c>
      <c r="W253" s="1">
        <v>0</v>
      </c>
      <c r="X253" s="1">
        <v>1</v>
      </c>
      <c r="Y253" s="10" t="str">
        <f>+IF(Datos_General[[#This Row],[Resultado]]="Victoria", "3", IF(Datos_General[[#This Row],[Resultado]]="Empate","1",0))</f>
        <v>1</v>
      </c>
      <c r="Z253" s="11">
        <f>+Datos_General[[#This Row],[Minutos Jugados]]*Datos_General[[#This Row],[Puntos Jug_Campo]]</f>
        <v>0</v>
      </c>
      <c r="AA25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53" s="10" t="str">
        <f>+IF(Datos_General[[#This Row],[Resultado Jug_Campo]] = "Empate", "1",IF(Datos_General[[#This Row],[Resultado Jug_Campo]] = "Victoria", "3","0"))</f>
        <v>0</v>
      </c>
    </row>
    <row r="254" spans="1:28">
      <c r="A254" s="1">
        <v>16</v>
      </c>
      <c r="B254" s="6">
        <v>46067</v>
      </c>
      <c r="C254" s="1" t="s">
        <v>133</v>
      </c>
      <c r="D254" s="1" t="s">
        <v>123</v>
      </c>
      <c r="E254" s="10" t="str">
        <f>+CONCATENATE(Datos_General[[#This Row],[Eq.Local]], "-", Datos_General[[#This Row],[Eq.Visitante]])</f>
        <v>Conxo Santiago B-Salgueiriños C.F.</v>
      </c>
      <c r="F254" s="1" t="s">
        <v>157</v>
      </c>
      <c r="G254" s="1" t="s">
        <v>57</v>
      </c>
      <c r="H254" s="1" t="s">
        <v>13</v>
      </c>
      <c r="I254" s="9">
        <v>2</v>
      </c>
      <c r="J254" s="9">
        <v>2</v>
      </c>
      <c r="K254" s="10" t="str">
        <f>+CONCATENATE(Datos_General[[#This Row],[Goles a Favor_Eq_local]],"-",Datos_General[[#This Row],[Gol a Favor_Eq_Visitante]])</f>
        <v>2-2</v>
      </c>
      <c r="L254" s="1" t="s">
        <v>133</v>
      </c>
      <c r="M254" s="1">
        <v>14</v>
      </c>
      <c r="N254" s="1" t="s">
        <v>198</v>
      </c>
      <c r="O254" s="1">
        <v>1</v>
      </c>
      <c r="P254" s="1" t="s">
        <v>70</v>
      </c>
      <c r="Q254" s="7">
        <f>+IF(Datos_General[[#This Row],[Minutos Jugados]]&gt;0, 1, 0)</f>
        <v>1</v>
      </c>
      <c r="R254" s="23">
        <v>0</v>
      </c>
      <c r="S254" s="8">
        <f t="shared" si="7"/>
        <v>35</v>
      </c>
      <c r="U254" s="1">
        <f>90-Datos_General[[#This Row],[Minutos Jugados]]</f>
        <v>55</v>
      </c>
      <c r="V254" s="1">
        <v>0</v>
      </c>
      <c r="W254" s="1">
        <v>0</v>
      </c>
      <c r="X254" s="1">
        <v>1</v>
      </c>
      <c r="Y254" s="10" t="str">
        <f>+IF(Datos_General[[#This Row],[Resultado]]="Victoria", "3", IF(Datos_General[[#This Row],[Resultado]]="Empate","1",0))</f>
        <v>1</v>
      </c>
      <c r="Z254" s="11">
        <f>+Datos_General[[#This Row],[Minutos Jugados]]*Datos_General[[#This Row],[Puntos Jug_Campo]]</f>
        <v>0</v>
      </c>
      <c r="AA25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54" s="10" t="str">
        <f>+IF(Datos_General[[#This Row],[Resultado Jug_Campo]] = "Empate", "1",IF(Datos_General[[#This Row],[Resultado Jug_Campo]] = "Victoria", "3","0"))</f>
        <v>0</v>
      </c>
    </row>
    <row r="255" spans="1:28">
      <c r="A255" s="1">
        <v>16</v>
      </c>
      <c r="B255" s="6">
        <v>46067</v>
      </c>
      <c r="C255" s="1" t="s">
        <v>133</v>
      </c>
      <c r="D255" s="1" t="s">
        <v>123</v>
      </c>
      <c r="E255" s="10" t="str">
        <f>+CONCATENATE(Datos_General[[#This Row],[Eq.Local]], "-", Datos_General[[#This Row],[Eq.Visitante]])</f>
        <v>Conxo Santiago B-Salgueiriños C.F.</v>
      </c>
      <c r="F255" s="1" t="s">
        <v>157</v>
      </c>
      <c r="G255" s="1" t="s">
        <v>57</v>
      </c>
      <c r="H255" s="1" t="s">
        <v>13</v>
      </c>
      <c r="I255" s="9">
        <v>2</v>
      </c>
      <c r="J255" s="9">
        <v>2</v>
      </c>
      <c r="K255" s="10" t="str">
        <f>+CONCATENATE(Datos_General[[#This Row],[Goles a Favor_Eq_local]],"-",Datos_General[[#This Row],[Gol a Favor_Eq_Visitante]])</f>
        <v>2-2</v>
      </c>
      <c r="L255" s="1" t="s">
        <v>133</v>
      </c>
      <c r="M255" s="1">
        <v>15</v>
      </c>
      <c r="N255" s="1" t="s">
        <v>152</v>
      </c>
      <c r="O255" s="1">
        <v>1</v>
      </c>
      <c r="P255" s="1" t="s">
        <v>70</v>
      </c>
      <c r="Q255" s="7">
        <f>+IF(Datos_General[[#This Row],[Minutos Jugados]]&gt;0, 1, 0)</f>
        <v>1</v>
      </c>
      <c r="R255" s="23">
        <v>0</v>
      </c>
      <c r="S255" s="8">
        <f t="shared" si="7"/>
        <v>44</v>
      </c>
      <c r="U255" s="1">
        <f>90-Datos_General[[#This Row],[Minutos Jugados]]</f>
        <v>46</v>
      </c>
      <c r="V255" s="1">
        <v>1</v>
      </c>
      <c r="W255" s="1">
        <v>0</v>
      </c>
      <c r="X255" s="1">
        <v>1</v>
      </c>
      <c r="Y255" s="10" t="str">
        <f>+IF(Datos_General[[#This Row],[Resultado]]="Victoria", "3", IF(Datos_General[[#This Row],[Resultado]]="Empate","1",0))</f>
        <v>1</v>
      </c>
      <c r="Z255" s="11">
        <f>+Datos_General[[#This Row],[Minutos Jugados]]*Datos_General[[#This Row],[Puntos Jug_Campo]]</f>
        <v>0</v>
      </c>
      <c r="AA25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55" s="10" t="str">
        <f>+IF(Datos_General[[#This Row],[Resultado Jug_Campo]] = "Empate", "1",IF(Datos_General[[#This Row],[Resultado Jug_Campo]] = "Victoria", "3","0"))</f>
        <v>0</v>
      </c>
    </row>
    <row r="256" spans="1:28">
      <c r="A256" s="1">
        <v>16</v>
      </c>
      <c r="B256" s="6">
        <v>46067</v>
      </c>
      <c r="C256" s="1" t="s">
        <v>133</v>
      </c>
      <c r="D256" s="1" t="s">
        <v>123</v>
      </c>
      <c r="E256" s="10" t="str">
        <f>+CONCATENATE(Datos_General[[#This Row],[Eq.Local]], "-", Datos_General[[#This Row],[Eq.Visitante]])</f>
        <v>Conxo Santiago B-Salgueiriños C.F.</v>
      </c>
      <c r="F256" s="1" t="s">
        <v>157</v>
      </c>
      <c r="G256" s="1" t="s">
        <v>57</v>
      </c>
      <c r="H256" s="1" t="s">
        <v>13</v>
      </c>
      <c r="I256" s="9">
        <v>2</v>
      </c>
      <c r="J256" s="9">
        <v>2</v>
      </c>
      <c r="K256" s="10" t="str">
        <f>+CONCATENATE(Datos_General[[#This Row],[Goles a Favor_Eq_local]],"-",Datos_General[[#This Row],[Gol a Favor_Eq_Visitante]])</f>
        <v>2-2</v>
      </c>
      <c r="L256" s="1" t="s">
        <v>133</v>
      </c>
      <c r="M256" s="1">
        <v>16</v>
      </c>
      <c r="N256" s="1" t="s">
        <v>199</v>
      </c>
      <c r="O256" s="1">
        <v>1</v>
      </c>
      <c r="P256" s="1" t="s">
        <v>70</v>
      </c>
      <c r="Q256" s="7">
        <f>+IF(Datos_General[[#This Row],[Minutos Jugados]]&gt;0, 1, 0)</f>
        <v>1</v>
      </c>
      <c r="R256" s="23">
        <v>0</v>
      </c>
      <c r="S256" s="8">
        <f t="shared" si="7"/>
        <v>26</v>
      </c>
      <c r="U256" s="1">
        <f>90-Datos_General[[#This Row],[Minutos Jugados]]</f>
        <v>64</v>
      </c>
      <c r="V256" s="1">
        <v>0</v>
      </c>
      <c r="W256" s="1">
        <v>0</v>
      </c>
      <c r="X256" s="1">
        <v>0</v>
      </c>
      <c r="Y256" s="10" t="str">
        <f>+IF(Datos_General[[#This Row],[Resultado]]="Victoria", "3", IF(Datos_General[[#This Row],[Resultado]]="Empate","1",0))</f>
        <v>1</v>
      </c>
      <c r="Z256" s="11">
        <f>+Datos_General[[#This Row],[Minutos Jugados]]*Datos_General[[#This Row],[Puntos Jug_Campo]]</f>
        <v>26</v>
      </c>
      <c r="AA25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56" s="10" t="str">
        <f>+IF(Datos_General[[#This Row],[Resultado Jug_Campo]] = "Empate", "1",IF(Datos_General[[#This Row],[Resultado Jug_Campo]] = "Victoria", "3","0"))</f>
        <v>1</v>
      </c>
    </row>
    <row r="257" spans="1:28">
      <c r="A257" s="1">
        <v>17</v>
      </c>
      <c r="B257" s="6">
        <v>46053</v>
      </c>
      <c r="C257" s="1" t="s">
        <v>121</v>
      </c>
      <c r="D257" s="1" t="s">
        <v>133</v>
      </c>
      <c r="E257" s="10" t="str">
        <f>+CONCATENATE(Datos_General[[#This Row],[Eq.Local]], "-", Datos_General[[#This Row],[Eq.Visitante]])</f>
        <v>C.D. Lérez-Conxo Santiago B</v>
      </c>
      <c r="F257" s="1" t="s">
        <v>200</v>
      </c>
      <c r="G257" s="1" t="s">
        <v>58</v>
      </c>
      <c r="H257" s="1" t="s">
        <v>43</v>
      </c>
      <c r="I257" s="9">
        <v>1</v>
      </c>
      <c r="J257" s="9">
        <v>0</v>
      </c>
      <c r="K257" s="10" t="str">
        <f>+CONCATENATE(Datos_General[[#This Row],[Goles a Favor_Eq_local]],"-",Datos_General[[#This Row],[Gol a Favor_Eq_Visitante]])</f>
        <v>1-0</v>
      </c>
      <c r="L257" s="1" t="s">
        <v>133</v>
      </c>
      <c r="M257" s="1">
        <v>1</v>
      </c>
      <c r="N257" s="1" t="s">
        <v>148</v>
      </c>
      <c r="O257" s="1">
        <v>1</v>
      </c>
      <c r="P257" s="1" t="s">
        <v>2</v>
      </c>
      <c r="Q257" s="22">
        <v>1</v>
      </c>
      <c r="R257" s="9">
        <v>1</v>
      </c>
      <c r="S257" s="1">
        <v>90</v>
      </c>
      <c r="U257" s="1">
        <f>90-Datos_General[[#This Row],[Minutos Jugados]]</f>
        <v>0</v>
      </c>
      <c r="V257" s="1">
        <v>0</v>
      </c>
      <c r="W257" s="1">
        <v>0</v>
      </c>
      <c r="X257" s="1">
        <v>1</v>
      </c>
      <c r="Y257" s="10">
        <f>+IF(Datos_General[[#This Row],[Resultado]]="Victoria", "3", IF(Datos_General[[#This Row],[Resultado]]="Empate","1",0))</f>
        <v>0</v>
      </c>
      <c r="Z257" s="11">
        <f>+Datos_General[[#This Row],[Minutos Jugados]]*Datos_General[[#This Row],[Puntos Jug_Campo]]</f>
        <v>0</v>
      </c>
      <c r="AA25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57" s="10" t="str">
        <f>+IF(Datos_General[[#This Row],[Resultado Jug_Campo]] = "Empate", "1",IF(Datos_General[[#This Row],[Resultado Jug_Campo]] = "Victoria", "3","0"))</f>
        <v>0</v>
      </c>
    </row>
    <row r="258" spans="1:28">
      <c r="A258" s="1">
        <v>17</v>
      </c>
      <c r="B258" s="6">
        <v>46053</v>
      </c>
      <c r="C258" s="1" t="s">
        <v>121</v>
      </c>
      <c r="D258" s="1" t="s">
        <v>133</v>
      </c>
      <c r="E258" s="10" t="str">
        <f>+CONCATENATE(Datos_General[[#This Row],[Eq.Local]], "-", Datos_General[[#This Row],[Eq.Visitante]])</f>
        <v>C.D. Lérez-Conxo Santiago B</v>
      </c>
      <c r="F258" s="1" t="s">
        <v>200</v>
      </c>
      <c r="G258" s="1" t="s">
        <v>58</v>
      </c>
      <c r="H258" s="1" t="s">
        <v>43</v>
      </c>
      <c r="I258" s="9">
        <v>1</v>
      </c>
      <c r="J258" s="9">
        <v>0</v>
      </c>
      <c r="K258" s="10" t="str">
        <f>+CONCATENATE(Datos_General[[#This Row],[Goles a Favor_Eq_local]],"-",Datos_General[[#This Row],[Gol a Favor_Eq_Visitante]])</f>
        <v>1-0</v>
      </c>
      <c r="L258" s="1" t="s">
        <v>133</v>
      </c>
      <c r="M258" s="1">
        <v>2</v>
      </c>
      <c r="N258" s="1" t="s">
        <v>199</v>
      </c>
      <c r="O258" s="1">
        <v>1</v>
      </c>
      <c r="P258" s="1" t="s">
        <v>2</v>
      </c>
      <c r="Q258" s="22">
        <v>1</v>
      </c>
      <c r="R258" s="9">
        <v>1</v>
      </c>
      <c r="S258" s="1">
        <v>70</v>
      </c>
      <c r="T258" s="1" t="s">
        <v>139</v>
      </c>
      <c r="U258" s="1">
        <f>90-Datos_General[[#This Row],[Minutos Jugados]]</f>
        <v>20</v>
      </c>
      <c r="V258" s="1">
        <v>0</v>
      </c>
      <c r="W258" s="1">
        <v>0</v>
      </c>
      <c r="X258" s="1">
        <v>1</v>
      </c>
      <c r="Y258" s="10">
        <f>+IF(Datos_General[[#This Row],[Resultado]]="Victoria", "3", IF(Datos_General[[#This Row],[Resultado]]="Empate","1",0))</f>
        <v>0</v>
      </c>
      <c r="Z258" s="11">
        <f>+Datos_General[[#This Row],[Minutos Jugados]]*Datos_General[[#This Row],[Puntos Jug_Campo]]</f>
        <v>0</v>
      </c>
      <c r="AA25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58" s="10" t="str">
        <f>+IF(Datos_General[[#This Row],[Resultado Jug_Campo]] = "Empate", "1",IF(Datos_General[[#This Row],[Resultado Jug_Campo]] = "Victoria", "3","0"))</f>
        <v>0</v>
      </c>
    </row>
    <row r="259" spans="1:28">
      <c r="A259" s="1">
        <v>17</v>
      </c>
      <c r="B259" s="6">
        <v>46053</v>
      </c>
      <c r="C259" s="1" t="s">
        <v>121</v>
      </c>
      <c r="D259" s="1" t="s">
        <v>133</v>
      </c>
      <c r="E259" s="10" t="str">
        <f>+CONCATENATE(Datos_General[[#This Row],[Eq.Local]], "-", Datos_General[[#This Row],[Eq.Visitante]])</f>
        <v>C.D. Lérez-Conxo Santiago B</v>
      </c>
      <c r="F259" s="1" t="s">
        <v>200</v>
      </c>
      <c r="G259" s="1" t="s">
        <v>58</v>
      </c>
      <c r="H259" s="1" t="s">
        <v>43</v>
      </c>
      <c r="I259" s="9">
        <v>1</v>
      </c>
      <c r="J259" s="9">
        <v>0</v>
      </c>
      <c r="K259" s="10" t="str">
        <f>+CONCATENATE(Datos_General[[#This Row],[Goles a Favor_Eq_local]],"-",Datos_General[[#This Row],[Gol a Favor_Eq_Visitante]])</f>
        <v>1-0</v>
      </c>
      <c r="L259" s="1" t="s">
        <v>133</v>
      </c>
      <c r="M259" s="1">
        <v>3</v>
      </c>
      <c r="N259" s="1" t="s">
        <v>144</v>
      </c>
      <c r="O259" s="1">
        <v>1</v>
      </c>
      <c r="P259" s="1" t="s">
        <v>2</v>
      </c>
      <c r="Q259" s="22">
        <v>1</v>
      </c>
      <c r="R259" s="9">
        <v>1</v>
      </c>
      <c r="S259" s="1">
        <v>90</v>
      </c>
      <c r="U259" s="1">
        <f>90-Datos_General[[#This Row],[Minutos Jugados]]</f>
        <v>0</v>
      </c>
      <c r="V259" s="1">
        <v>0</v>
      </c>
      <c r="W259" s="1">
        <v>0</v>
      </c>
      <c r="X259" s="1">
        <v>1</v>
      </c>
      <c r="Y259" s="10">
        <f>+IF(Datos_General[[#This Row],[Resultado]]="Victoria", "3", IF(Datos_General[[#This Row],[Resultado]]="Empate","1",0))</f>
        <v>0</v>
      </c>
      <c r="Z259" s="11">
        <f>+Datos_General[[#This Row],[Minutos Jugados]]*Datos_General[[#This Row],[Puntos Jug_Campo]]</f>
        <v>0</v>
      </c>
      <c r="AA25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59" s="10" t="str">
        <f>+IF(Datos_General[[#This Row],[Resultado Jug_Campo]] = "Empate", "1",IF(Datos_General[[#This Row],[Resultado Jug_Campo]] = "Victoria", "3","0"))</f>
        <v>0</v>
      </c>
    </row>
    <row r="260" spans="1:28">
      <c r="A260" s="1">
        <v>17</v>
      </c>
      <c r="B260" s="6">
        <v>46053</v>
      </c>
      <c r="C260" s="1" t="s">
        <v>121</v>
      </c>
      <c r="D260" s="1" t="s">
        <v>133</v>
      </c>
      <c r="E260" s="10" t="str">
        <f>+CONCATENATE(Datos_General[[#This Row],[Eq.Local]], "-", Datos_General[[#This Row],[Eq.Visitante]])</f>
        <v>C.D. Lérez-Conxo Santiago B</v>
      </c>
      <c r="F260" s="1" t="s">
        <v>200</v>
      </c>
      <c r="G260" s="1" t="s">
        <v>58</v>
      </c>
      <c r="H260" s="1" t="s">
        <v>43</v>
      </c>
      <c r="I260" s="9">
        <v>1</v>
      </c>
      <c r="J260" s="9">
        <v>0</v>
      </c>
      <c r="K260" s="10" t="str">
        <f>+CONCATENATE(Datos_General[[#This Row],[Goles a Favor_Eq_local]],"-",Datos_General[[#This Row],[Gol a Favor_Eq_Visitante]])</f>
        <v>1-0</v>
      </c>
      <c r="L260" s="1" t="s">
        <v>133</v>
      </c>
      <c r="M260" s="1">
        <v>4</v>
      </c>
      <c r="N260" s="1" t="s">
        <v>140</v>
      </c>
      <c r="O260" s="1">
        <v>1</v>
      </c>
      <c r="P260" s="1" t="s">
        <v>2</v>
      </c>
      <c r="Q260" s="22">
        <v>1</v>
      </c>
      <c r="R260" s="9">
        <v>1</v>
      </c>
      <c r="S260" s="1">
        <v>90</v>
      </c>
      <c r="U260" s="1">
        <f>90-Datos_General[[#This Row],[Minutos Jugados]]</f>
        <v>0</v>
      </c>
      <c r="V260" s="1">
        <v>0</v>
      </c>
      <c r="W260" s="1">
        <v>0</v>
      </c>
      <c r="X260" s="1">
        <v>1</v>
      </c>
      <c r="Y260" s="10">
        <f>+IF(Datos_General[[#This Row],[Resultado]]="Victoria", "3", IF(Datos_General[[#This Row],[Resultado]]="Empate","1",0))</f>
        <v>0</v>
      </c>
      <c r="Z260" s="11">
        <f>+Datos_General[[#This Row],[Minutos Jugados]]*Datos_General[[#This Row],[Puntos Jug_Campo]]</f>
        <v>0</v>
      </c>
      <c r="AA26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60" s="10" t="str">
        <f>+IF(Datos_General[[#This Row],[Resultado Jug_Campo]] = "Empate", "1",IF(Datos_General[[#This Row],[Resultado Jug_Campo]] = "Victoria", "3","0"))</f>
        <v>0</v>
      </c>
    </row>
    <row r="261" spans="1:28">
      <c r="A261" s="1">
        <v>17</v>
      </c>
      <c r="B261" s="6">
        <v>46053</v>
      </c>
      <c r="C261" s="1" t="s">
        <v>121</v>
      </c>
      <c r="D261" s="1" t="s">
        <v>133</v>
      </c>
      <c r="E261" s="10" t="str">
        <f>+CONCATENATE(Datos_General[[#This Row],[Eq.Local]], "-", Datos_General[[#This Row],[Eq.Visitante]])</f>
        <v>C.D. Lérez-Conxo Santiago B</v>
      </c>
      <c r="F261" s="1" t="s">
        <v>200</v>
      </c>
      <c r="G261" s="1" t="s">
        <v>58</v>
      </c>
      <c r="H261" s="1" t="s">
        <v>43</v>
      </c>
      <c r="I261" s="9">
        <v>1</v>
      </c>
      <c r="J261" s="9">
        <v>0</v>
      </c>
      <c r="K261" s="10" t="str">
        <f>+CONCATENATE(Datos_General[[#This Row],[Goles a Favor_Eq_local]],"-",Datos_General[[#This Row],[Gol a Favor_Eq_Visitante]])</f>
        <v>1-0</v>
      </c>
      <c r="L261" s="1" t="s">
        <v>133</v>
      </c>
      <c r="M261" s="1">
        <v>5</v>
      </c>
      <c r="N261" s="1" t="s">
        <v>162</v>
      </c>
      <c r="O261" s="1">
        <v>1</v>
      </c>
      <c r="P261" s="1" t="s">
        <v>2</v>
      </c>
      <c r="Q261" s="22">
        <v>1</v>
      </c>
      <c r="R261" s="9">
        <v>1</v>
      </c>
      <c r="S261" s="1">
        <v>90</v>
      </c>
      <c r="U261" s="1">
        <f>90-Datos_General[[#This Row],[Minutos Jugados]]</f>
        <v>0</v>
      </c>
      <c r="V261" s="1">
        <v>0</v>
      </c>
      <c r="W261" s="1">
        <v>0</v>
      </c>
      <c r="X261" s="1">
        <v>1</v>
      </c>
      <c r="Y261" s="10">
        <f>+IF(Datos_General[[#This Row],[Resultado]]="Victoria", "3", IF(Datos_General[[#This Row],[Resultado]]="Empate","1",0))</f>
        <v>0</v>
      </c>
      <c r="Z261" s="11">
        <f>+Datos_General[[#This Row],[Minutos Jugados]]*Datos_General[[#This Row],[Puntos Jug_Campo]]</f>
        <v>0</v>
      </c>
      <c r="AA26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61" s="10" t="str">
        <f>+IF(Datos_General[[#This Row],[Resultado Jug_Campo]] = "Empate", "1",IF(Datos_General[[#This Row],[Resultado Jug_Campo]] = "Victoria", "3","0"))</f>
        <v>0</v>
      </c>
    </row>
    <row r="262" spans="1:28">
      <c r="A262" s="1">
        <v>17</v>
      </c>
      <c r="B262" s="6">
        <v>46053</v>
      </c>
      <c r="C262" s="1" t="s">
        <v>121</v>
      </c>
      <c r="D262" s="1" t="s">
        <v>133</v>
      </c>
      <c r="E262" s="10" t="str">
        <f>+CONCATENATE(Datos_General[[#This Row],[Eq.Local]], "-", Datos_General[[#This Row],[Eq.Visitante]])</f>
        <v>C.D. Lérez-Conxo Santiago B</v>
      </c>
      <c r="F262" s="1" t="s">
        <v>200</v>
      </c>
      <c r="G262" s="1" t="s">
        <v>58</v>
      </c>
      <c r="H262" s="1" t="s">
        <v>43</v>
      </c>
      <c r="I262" s="9">
        <v>1</v>
      </c>
      <c r="J262" s="9">
        <v>0</v>
      </c>
      <c r="K262" s="10" t="str">
        <f>+CONCATENATE(Datos_General[[#This Row],[Goles a Favor_Eq_local]],"-",Datos_General[[#This Row],[Gol a Favor_Eq_Visitante]])</f>
        <v>1-0</v>
      </c>
      <c r="L262" s="1" t="s">
        <v>133</v>
      </c>
      <c r="M262" s="1">
        <v>6</v>
      </c>
      <c r="N262" s="1" t="s">
        <v>142</v>
      </c>
      <c r="O262" s="1">
        <v>1</v>
      </c>
      <c r="P262" s="1" t="s">
        <v>2</v>
      </c>
      <c r="Q262" s="22">
        <v>1</v>
      </c>
      <c r="R262" s="9">
        <v>1</v>
      </c>
      <c r="S262" s="1">
        <v>90</v>
      </c>
      <c r="U262" s="1">
        <f>90-Datos_General[[#This Row],[Minutos Jugados]]</f>
        <v>0</v>
      </c>
      <c r="V262" s="1">
        <v>0</v>
      </c>
      <c r="W262" s="1">
        <v>0</v>
      </c>
      <c r="X262" s="1">
        <v>1</v>
      </c>
      <c r="Y262" s="10">
        <f>+IF(Datos_General[[#This Row],[Resultado]]="Victoria", "3", IF(Datos_General[[#This Row],[Resultado]]="Empate","1",0))</f>
        <v>0</v>
      </c>
      <c r="Z262" s="11">
        <f>+Datos_General[[#This Row],[Minutos Jugados]]*Datos_General[[#This Row],[Puntos Jug_Campo]]</f>
        <v>0</v>
      </c>
      <c r="AA26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62" s="10" t="str">
        <f>+IF(Datos_General[[#This Row],[Resultado Jug_Campo]] = "Empate", "1",IF(Datos_General[[#This Row],[Resultado Jug_Campo]] = "Victoria", "3","0"))</f>
        <v>0</v>
      </c>
    </row>
    <row r="263" spans="1:28">
      <c r="A263" s="1">
        <v>17</v>
      </c>
      <c r="B263" s="6">
        <v>46053</v>
      </c>
      <c r="C263" s="1" t="s">
        <v>121</v>
      </c>
      <c r="D263" s="1" t="s">
        <v>133</v>
      </c>
      <c r="E263" s="10" t="str">
        <f>+CONCATENATE(Datos_General[[#This Row],[Eq.Local]], "-", Datos_General[[#This Row],[Eq.Visitante]])</f>
        <v>C.D. Lérez-Conxo Santiago B</v>
      </c>
      <c r="F263" s="1" t="s">
        <v>200</v>
      </c>
      <c r="G263" s="1" t="s">
        <v>58</v>
      </c>
      <c r="H263" s="1" t="s">
        <v>43</v>
      </c>
      <c r="I263" s="9">
        <v>1</v>
      </c>
      <c r="J263" s="9">
        <v>0</v>
      </c>
      <c r="K263" s="10" t="str">
        <f>+CONCATENATE(Datos_General[[#This Row],[Goles a Favor_Eq_local]],"-",Datos_General[[#This Row],[Gol a Favor_Eq_Visitante]])</f>
        <v>1-0</v>
      </c>
      <c r="L263" s="1" t="s">
        <v>133</v>
      </c>
      <c r="M263" s="1">
        <v>7</v>
      </c>
      <c r="N263" s="1" t="s">
        <v>159</v>
      </c>
      <c r="O263" s="1">
        <v>1</v>
      </c>
      <c r="P263" s="1" t="s">
        <v>2</v>
      </c>
      <c r="Q263" s="22">
        <v>1</v>
      </c>
      <c r="R263" s="9">
        <v>1</v>
      </c>
      <c r="S263" s="1">
        <v>70</v>
      </c>
      <c r="T263" s="1" t="s">
        <v>198</v>
      </c>
      <c r="U263" s="1">
        <f>90-Datos_General[[#This Row],[Minutos Jugados]]</f>
        <v>20</v>
      </c>
      <c r="V263" s="1">
        <v>0</v>
      </c>
      <c r="W263" s="1">
        <v>0</v>
      </c>
      <c r="X263" s="1">
        <v>1</v>
      </c>
      <c r="Y263" s="10">
        <f>+IF(Datos_General[[#This Row],[Resultado]]="Victoria", "3", IF(Datos_General[[#This Row],[Resultado]]="Empate","1",0))</f>
        <v>0</v>
      </c>
      <c r="Z263" s="11">
        <f>+Datos_General[[#This Row],[Minutos Jugados]]*Datos_General[[#This Row],[Puntos Jug_Campo]]</f>
        <v>0</v>
      </c>
      <c r="AA26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63" s="10" t="str">
        <f>+IF(Datos_General[[#This Row],[Resultado Jug_Campo]] = "Empate", "1",IF(Datos_General[[#This Row],[Resultado Jug_Campo]] = "Victoria", "3","0"))</f>
        <v>0</v>
      </c>
    </row>
    <row r="264" spans="1:28">
      <c r="A264" s="1">
        <v>17</v>
      </c>
      <c r="B264" s="6">
        <v>46053</v>
      </c>
      <c r="C264" s="1" t="s">
        <v>121</v>
      </c>
      <c r="D264" s="1" t="s">
        <v>133</v>
      </c>
      <c r="E264" s="10" t="str">
        <f>+CONCATENATE(Datos_General[[#This Row],[Eq.Local]], "-", Datos_General[[#This Row],[Eq.Visitante]])</f>
        <v>C.D. Lérez-Conxo Santiago B</v>
      </c>
      <c r="F264" s="1" t="s">
        <v>200</v>
      </c>
      <c r="G264" s="1" t="s">
        <v>58</v>
      </c>
      <c r="H264" s="1" t="s">
        <v>43</v>
      </c>
      <c r="I264" s="9">
        <v>1</v>
      </c>
      <c r="J264" s="9">
        <v>0</v>
      </c>
      <c r="K264" s="10" t="str">
        <f>+CONCATENATE(Datos_General[[#This Row],[Goles a Favor_Eq_local]],"-",Datos_General[[#This Row],[Gol a Favor_Eq_Visitante]])</f>
        <v>1-0</v>
      </c>
      <c r="L264" s="1" t="s">
        <v>133</v>
      </c>
      <c r="M264" s="1">
        <v>8</v>
      </c>
      <c r="N264" s="1" t="s">
        <v>165</v>
      </c>
      <c r="O264" s="1">
        <v>1</v>
      </c>
      <c r="P264" s="1" t="s">
        <v>2</v>
      </c>
      <c r="Q264" s="22">
        <v>1</v>
      </c>
      <c r="R264" s="9">
        <v>1</v>
      </c>
      <c r="S264" s="1">
        <v>90</v>
      </c>
      <c r="U264" s="1">
        <f>90-Datos_General[[#This Row],[Minutos Jugados]]</f>
        <v>0</v>
      </c>
      <c r="V264" s="1">
        <v>0</v>
      </c>
      <c r="W264" s="1">
        <v>0</v>
      </c>
      <c r="X264" s="1">
        <v>1</v>
      </c>
      <c r="Y264" s="10">
        <f>+IF(Datos_General[[#This Row],[Resultado]]="Victoria", "3", IF(Datos_General[[#This Row],[Resultado]]="Empate","1",0))</f>
        <v>0</v>
      </c>
      <c r="Z264" s="11">
        <f>+Datos_General[[#This Row],[Minutos Jugados]]*Datos_General[[#This Row],[Puntos Jug_Campo]]</f>
        <v>0</v>
      </c>
      <c r="AA26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64" s="10" t="str">
        <f>+IF(Datos_General[[#This Row],[Resultado Jug_Campo]] = "Empate", "1",IF(Datos_General[[#This Row],[Resultado Jug_Campo]] = "Victoria", "3","0"))</f>
        <v>0</v>
      </c>
    </row>
    <row r="265" spans="1:28">
      <c r="A265" s="1">
        <v>17</v>
      </c>
      <c r="B265" s="6">
        <v>46053</v>
      </c>
      <c r="C265" s="1" t="s">
        <v>121</v>
      </c>
      <c r="D265" s="1" t="s">
        <v>133</v>
      </c>
      <c r="E265" s="10" t="str">
        <f>+CONCATENATE(Datos_General[[#This Row],[Eq.Local]], "-", Datos_General[[#This Row],[Eq.Visitante]])</f>
        <v>C.D. Lérez-Conxo Santiago B</v>
      </c>
      <c r="F265" s="1" t="s">
        <v>200</v>
      </c>
      <c r="G265" s="1" t="s">
        <v>58</v>
      </c>
      <c r="H265" s="1" t="s">
        <v>43</v>
      </c>
      <c r="I265" s="9">
        <v>1</v>
      </c>
      <c r="J265" s="9">
        <v>0</v>
      </c>
      <c r="K265" s="10" t="str">
        <f>+CONCATENATE(Datos_General[[#This Row],[Goles a Favor_Eq_local]],"-",Datos_General[[#This Row],[Gol a Favor_Eq_Visitante]])</f>
        <v>1-0</v>
      </c>
      <c r="L265" s="1" t="s">
        <v>133</v>
      </c>
      <c r="M265" s="1">
        <v>9</v>
      </c>
      <c r="N265" s="1" t="s">
        <v>194</v>
      </c>
      <c r="O265" s="1">
        <v>1</v>
      </c>
      <c r="P265" s="1" t="s">
        <v>2</v>
      </c>
      <c r="Q265" s="22">
        <v>1</v>
      </c>
      <c r="R265" s="9">
        <v>1</v>
      </c>
      <c r="S265" s="1">
        <v>90</v>
      </c>
      <c r="U265" s="1">
        <f>90-Datos_General[[#This Row],[Minutos Jugados]]</f>
        <v>0</v>
      </c>
      <c r="V265" s="1">
        <v>0</v>
      </c>
      <c r="W265" s="1">
        <v>0</v>
      </c>
      <c r="X265" s="1">
        <v>1</v>
      </c>
      <c r="Y265" s="10">
        <f>+IF(Datos_General[[#This Row],[Resultado]]="Victoria", "3", IF(Datos_General[[#This Row],[Resultado]]="Empate","1",0))</f>
        <v>0</v>
      </c>
      <c r="Z265" s="11">
        <f>+Datos_General[[#This Row],[Minutos Jugados]]*Datos_General[[#This Row],[Puntos Jug_Campo]]</f>
        <v>0</v>
      </c>
      <c r="AA26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65" s="10" t="str">
        <f>+IF(Datos_General[[#This Row],[Resultado Jug_Campo]] = "Empate", "1",IF(Datos_General[[#This Row],[Resultado Jug_Campo]] = "Victoria", "3","0"))</f>
        <v>0</v>
      </c>
    </row>
    <row r="266" spans="1:28">
      <c r="A266" s="1">
        <v>17</v>
      </c>
      <c r="B266" s="6">
        <v>46053</v>
      </c>
      <c r="C266" s="1" t="s">
        <v>121</v>
      </c>
      <c r="D266" s="1" t="s">
        <v>133</v>
      </c>
      <c r="E266" s="10" t="str">
        <f>+CONCATENATE(Datos_General[[#This Row],[Eq.Local]], "-", Datos_General[[#This Row],[Eq.Visitante]])</f>
        <v>C.D. Lérez-Conxo Santiago B</v>
      </c>
      <c r="F266" s="1" t="s">
        <v>200</v>
      </c>
      <c r="G266" s="1" t="s">
        <v>58</v>
      </c>
      <c r="H266" s="1" t="s">
        <v>43</v>
      </c>
      <c r="I266" s="9">
        <v>1</v>
      </c>
      <c r="J266" s="9">
        <v>0</v>
      </c>
      <c r="K266" s="10" t="str">
        <f>+CONCATENATE(Datos_General[[#This Row],[Goles a Favor_Eq_local]],"-",Datos_General[[#This Row],[Gol a Favor_Eq_Visitante]])</f>
        <v>1-0</v>
      </c>
      <c r="L266" s="1" t="s">
        <v>133</v>
      </c>
      <c r="M266" s="1">
        <v>10</v>
      </c>
      <c r="N266" s="1" t="s">
        <v>152</v>
      </c>
      <c r="O266" s="1">
        <v>1</v>
      </c>
      <c r="P266" s="1" t="s">
        <v>2</v>
      </c>
      <c r="Q266" s="22">
        <v>1</v>
      </c>
      <c r="R266" s="9">
        <v>1</v>
      </c>
      <c r="S266" s="1">
        <v>56</v>
      </c>
      <c r="T266" s="1" t="s">
        <v>151</v>
      </c>
      <c r="U266" s="1">
        <f>90-Datos_General[[#This Row],[Minutos Jugados]]</f>
        <v>34</v>
      </c>
      <c r="V266" s="1">
        <v>0</v>
      </c>
      <c r="W266" s="1">
        <v>0</v>
      </c>
      <c r="X266" s="1">
        <v>1</v>
      </c>
      <c r="Y266" s="10">
        <f>+IF(Datos_General[[#This Row],[Resultado]]="Victoria", "3", IF(Datos_General[[#This Row],[Resultado]]="Empate","1",0))</f>
        <v>0</v>
      </c>
      <c r="Z266" s="11">
        <f>+Datos_General[[#This Row],[Minutos Jugados]]*Datos_General[[#This Row],[Puntos Jug_Campo]]</f>
        <v>0</v>
      </c>
      <c r="AA26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66" s="10" t="str">
        <f>+IF(Datos_General[[#This Row],[Resultado Jug_Campo]] = "Empate", "1",IF(Datos_General[[#This Row],[Resultado Jug_Campo]] = "Victoria", "3","0"))</f>
        <v>0</v>
      </c>
    </row>
    <row r="267" spans="1:28">
      <c r="A267" s="1">
        <v>17</v>
      </c>
      <c r="B267" s="6">
        <v>46053</v>
      </c>
      <c r="C267" s="1" t="s">
        <v>121</v>
      </c>
      <c r="D267" s="1" t="s">
        <v>133</v>
      </c>
      <c r="E267" s="10" t="str">
        <f>+CONCATENATE(Datos_General[[#This Row],[Eq.Local]], "-", Datos_General[[#This Row],[Eq.Visitante]])</f>
        <v>C.D. Lérez-Conxo Santiago B</v>
      </c>
      <c r="F267" s="1" t="s">
        <v>200</v>
      </c>
      <c r="G267" s="1" t="s">
        <v>58</v>
      </c>
      <c r="H267" s="1" t="s">
        <v>43</v>
      </c>
      <c r="I267" s="9">
        <v>1</v>
      </c>
      <c r="J267" s="9">
        <v>0</v>
      </c>
      <c r="K267" s="10" t="str">
        <f>+CONCATENATE(Datos_General[[#This Row],[Goles a Favor_Eq_local]],"-",Datos_General[[#This Row],[Gol a Favor_Eq_Visitante]])</f>
        <v>1-0</v>
      </c>
      <c r="L267" s="1" t="s">
        <v>133</v>
      </c>
      <c r="M267" s="1">
        <v>11</v>
      </c>
      <c r="N267" s="1" t="s">
        <v>166</v>
      </c>
      <c r="O267" s="1">
        <v>1</v>
      </c>
      <c r="P267" s="1" t="s">
        <v>2</v>
      </c>
      <c r="Q267" s="22">
        <v>1</v>
      </c>
      <c r="R267" s="9">
        <v>1</v>
      </c>
      <c r="S267" s="1">
        <v>56</v>
      </c>
      <c r="T267" s="1" t="s">
        <v>156</v>
      </c>
      <c r="U267" s="1">
        <f>90-Datos_General[[#This Row],[Minutos Jugados]]</f>
        <v>34</v>
      </c>
      <c r="V267" s="1">
        <v>0</v>
      </c>
      <c r="W267" s="1">
        <v>0</v>
      </c>
      <c r="X267" s="1">
        <v>1</v>
      </c>
      <c r="Y267" s="10">
        <f>+IF(Datos_General[[#This Row],[Resultado]]="Victoria", "3", IF(Datos_General[[#This Row],[Resultado]]="Empate","1",0))</f>
        <v>0</v>
      </c>
      <c r="Z267" s="11">
        <f>+Datos_General[[#This Row],[Minutos Jugados]]*Datos_General[[#This Row],[Puntos Jug_Campo]]</f>
        <v>0</v>
      </c>
      <c r="AA26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67" s="10" t="str">
        <f>+IF(Datos_General[[#This Row],[Resultado Jug_Campo]] = "Empate", "1",IF(Datos_General[[#This Row],[Resultado Jug_Campo]] = "Victoria", "3","0"))</f>
        <v>0</v>
      </c>
    </row>
    <row r="268" spans="1:28">
      <c r="A268" s="1">
        <v>17</v>
      </c>
      <c r="B268" s="6">
        <v>46053</v>
      </c>
      <c r="C268" s="1" t="s">
        <v>121</v>
      </c>
      <c r="D268" s="1" t="s">
        <v>133</v>
      </c>
      <c r="E268" s="10" t="str">
        <f>+CONCATENATE(Datos_General[[#This Row],[Eq.Local]], "-", Datos_General[[#This Row],[Eq.Visitante]])</f>
        <v>C.D. Lérez-Conxo Santiago B</v>
      </c>
      <c r="F268" s="1" t="s">
        <v>200</v>
      </c>
      <c r="G268" s="1" t="s">
        <v>58</v>
      </c>
      <c r="H268" s="1" t="s">
        <v>43</v>
      </c>
      <c r="I268" s="9">
        <v>1</v>
      </c>
      <c r="J268" s="9">
        <v>0</v>
      </c>
      <c r="K268" s="10" t="str">
        <f>+CONCATENATE(Datos_General[[#This Row],[Goles a Favor_Eq_local]],"-",Datos_General[[#This Row],[Gol a Favor_Eq_Visitante]])</f>
        <v>1-0</v>
      </c>
      <c r="L268" s="1" t="s">
        <v>133</v>
      </c>
      <c r="M268" s="1">
        <v>13</v>
      </c>
      <c r="N268" s="1" t="s">
        <v>137</v>
      </c>
      <c r="O268" s="1">
        <v>1</v>
      </c>
      <c r="P268" s="1" t="s">
        <v>70</v>
      </c>
      <c r="Q268" s="7">
        <f>+IF(Datos_General[[#This Row],[Minutos Jugados]]&gt;0, 1, 0)</f>
        <v>0</v>
      </c>
      <c r="R268" s="23">
        <v>0</v>
      </c>
      <c r="S268" s="8">
        <f>IFERROR(IF(MATCH(N268,$T$257:$T$272,0), INDEX($U$257:$U$272,MATCH(N268,$T$257:$T$272,0))),0)</f>
        <v>0</v>
      </c>
      <c r="U268" s="1">
        <f>90-Datos_General[[#This Row],[Minutos Jugados]]</f>
        <v>90</v>
      </c>
      <c r="V268" s="1">
        <v>0</v>
      </c>
      <c r="W268" s="1">
        <v>0</v>
      </c>
      <c r="X268" s="1">
        <v>0</v>
      </c>
      <c r="Y268" s="10">
        <f>+IF(Datos_General[[#This Row],[Resultado]]="Victoria", "3", IF(Datos_General[[#This Row],[Resultado]]="Empate","1",0))</f>
        <v>0</v>
      </c>
      <c r="Z268" s="11">
        <f>+Datos_General[[#This Row],[Minutos Jugados]]*Datos_General[[#This Row],[Puntos Jug_Campo]]</f>
        <v>0</v>
      </c>
      <c r="AA26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268" s="10" t="str">
        <f>+IF(Datos_General[[#This Row],[Resultado Jug_Campo]] = "Empate", "1",IF(Datos_General[[#This Row],[Resultado Jug_Campo]] = "Victoria", "3","0"))</f>
        <v>0</v>
      </c>
    </row>
    <row r="269" spans="1:28">
      <c r="A269" s="1">
        <v>17</v>
      </c>
      <c r="B269" s="6">
        <v>46053</v>
      </c>
      <c r="C269" s="1" t="s">
        <v>121</v>
      </c>
      <c r="D269" s="1" t="s">
        <v>133</v>
      </c>
      <c r="E269" s="10" t="str">
        <f>+CONCATENATE(Datos_General[[#This Row],[Eq.Local]], "-", Datos_General[[#This Row],[Eq.Visitante]])</f>
        <v>C.D. Lérez-Conxo Santiago B</v>
      </c>
      <c r="F269" s="1" t="s">
        <v>200</v>
      </c>
      <c r="G269" s="1" t="s">
        <v>58</v>
      </c>
      <c r="H269" s="1" t="s">
        <v>43</v>
      </c>
      <c r="I269" s="9">
        <v>1</v>
      </c>
      <c r="J269" s="9">
        <v>0</v>
      </c>
      <c r="K269" s="10" t="str">
        <f>+CONCATENATE(Datos_General[[#This Row],[Goles a Favor_Eq_local]],"-",Datos_General[[#This Row],[Gol a Favor_Eq_Visitante]])</f>
        <v>1-0</v>
      </c>
      <c r="L269" s="1" t="s">
        <v>133</v>
      </c>
      <c r="M269" s="1">
        <v>12</v>
      </c>
      <c r="N269" s="1" t="s">
        <v>151</v>
      </c>
      <c r="O269" s="1">
        <v>1</v>
      </c>
      <c r="P269" s="1" t="s">
        <v>70</v>
      </c>
      <c r="Q269" s="7">
        <f>+IF(Datos_General[[#This Row],[Minutos Jugados]]&gt;0, 1, 0)</f>
        <v>1</v>
      </c>
      <c r="R269" s="23">
        <v>0</v>
      </c>
      <c r="S269" s="8">
        <f t="shared" ref="S269:S272" si="8">IFERROR(IF(MATCH(N269,$T$257:$T$272,0), INDEX($U$257:$U$272,MATCH(N269,$T$257:$T$272,0))),0)</f>
        <v>34</v>
      </c>
      <c r="U269" s="1">
        <f>90-Datos_General[[#This Row],[Minutos Jugados]]</f>
        <v>56</v>
      </c>
      <c r="V269" s="1">
        <v>0</v>
      </c>
      <c r="W269" s="1">
        <v>0</v>
      </c>
      <c r="X269" s="1">
        <v>0</v>
      </c>
      <c r="Y269" s="10">
        <f>+IF(Datos_General[[#This Row],[Resultado]]="Victoria", "3", IF(Datos_General[[#This Row],[Resultado]]="Empate","1",0))</f>
        <v>0</v>
      </c>
      <c r="Z269" s="11">
        <f>+Datos_General[[#This Row],[Minutos Jugados]]*Datos_General[[#This Row],[Puntos Jug_Campo]]</f>
        <v>34</v>
      </c>
      <c r="AA26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69" s="10" t="str">
        <f>+IF(Datos_General[[#This Row],[Resultado Jug_Campo]] = "Empate", "1",IF(Datos_General[[#This Row],[Resultado Jug_Campo]] = "Victoria", "3","0"))</f>
        <v>1</v>
      </c>
    </row>
    <row r="270" spans="1:28">
      <c r="A270" s="1">
        <v>17</v>
      </c>
      <c r="B270" s="6">
        <v>46053</v>
      </c>
      <c r="C270" s="1" t="s">
        <v>121</v>
      </c>
      <c r="D270" s="1" t="s">
        <v>133</v>
      </c>
      <c r="E270" s="10" t="str">
        <f>+CONCATENATE(Datos_General[[#This Row],[Eq.Local]], "-", Datos_General[[#This Row],[Eq.Visitante]])</f>
        <v>C.D. Lérez-Conxo Santiago B</v>
      </c>
      <c r="F270" s="1" t="s">
        <v>200</v>
      </c>
      <c r="G270" s="1" t="s">
        <v>58</v>
      </c>
      <c r="H270" s="1" t="s">
        <v>43</v>
      </c>
      <c r="I270" s="9">
        <v>1</v>
      </c>
      <c r="J270" s="9">
        <v>0</v>
      </c>
      <c r="K270" s="10" t="str">
        <f>+CONCATENATE(Datos_General[[#This Row],[Goles a Favor_Eq_local]],"-",Datos_General[[#This Row],[Gol a Favor_Eq_Visitante]])</f>
        <v>1-0</v>
      </c>
      <c r="L270" s="1" t="s">
        <v>133</v>
      </c>
      <c r="M270" s="1">
        <v>14</v>
      </c>
      <c r="N270" s="1" t="s">
        <v>198</v>
      </c>
      <c r="O270" s="1">
        <v>1</v>
      </c>
      <c r="P270" s="1" t="s">
        <v>70</v>
      </c>
      <c r="Q270" s="7">
        <f>+IF(Datos_General[[#This Row],[Minutos Jugados]]&gt;0, 1, 0)</f>
        <v>1</v>
      </c>
      <c r="R270" s="23">
        <v>0</v>
      </c>
      <c r="S270" s="8">
        <f t="shared" si="8"/>
        <v>20</v>
      </c>
      <c r="U270" s="1">
        <f>90-Datos_General[[#This Row],[Minutos Jugados]]</f>
        <v>70</v>
      </c>
      <c r="V270" s="1">
        <v>0</v>
      </c>
      <c r="W270" s="1">
        <v>0</v>
      </c>
      <c r="X270" s="1">
        <v>0</v>
      </c>
      <c r="Y270" s="10">
        <f>+IF(Datos_General[[#This Row],[Resultado]]="Victoria", "3", IF(Datos_General[[#This Row],[Resultado]]="Empate","1",0))</f>
        <v>0</v>
      </c>
      <c r="Z270" s="11">
        <f>+Datos_General[[#This Row],[Minutos Jugados]]*Datos_General[[#This Row],[Puntos Jug_Campo]]</f>
        <v>20</v>
      </c>
      <c r="AA27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70" s="10" t="str">
        <f>+IF(Datos_General[[#This Row],[Resultado Jug_Campo]] = "Empate", "1",IF(Datos_General[[#This Row],[Resultado Jug_Campo]] = "Victoria", "3","0"))</f>
        <v>1</v>
      </c>
    </row>
    <row r="271" spans="1:28">
      <c r="A271" s="1">
        <v>17</v>
      </c>
      <c r="B271" s="6">
        <v>46053</v>
      </c>
      <c r="C271" s="1" t="s">
        <v>121</v>
      </c>
      <c r="D271" s="1" t="s">
        <v>133</v>
      </c>
      <c r="E271" s="10" t="str">
        <f>+CONCATENATE(Datos_General[[#This Row],[Eq.Local]], "-", Datos_General[[#This Row],[Eq.Visitante]])</f>
        <v>C.D. Lérez-Conxo Santiago B</v>
      </c>
      <c r="F271" s="1" t="s">
        <v>200</v>
      </c>
      <c r="G271" s="1" t="s">
        <v>58</v>
      </c>
      <c r="H271" s="1" t="s">
        <v>43</v>
      </c>
      <c r="I271" s="9">
        <v>1</v>
      </c>
      <c r="J271" s="9">
        <v>0</v>
      </c>
      <c r="K271" s="10" t="str">
        <f>+CONCATENATE(Datos_General[[#This Row],[Goles a Favor_Eq_local]],"-",Datos_General[[#This Row],[Gol a Favor_Eq_Visitante]])</f>
        <v>1-0</v>
      </c>
      <c r="L271" s="1" t="s">
        <v>133</v>
      </c>
      <c r="M271" s="1">
        <v>15</v>
      </c>
      <c r="N271" s="1" t="s">
        <v>156</v>
      </c>
      <c r="O271" s="1">
        <v>1</v>
      </c>
      <c r="P271" s="1" t="s">
        <v>70</v>
      </c>
      <c r="Q271" s="7">
        <f>+IF(Datos_General[[#This Row],[Minutos Jugados]]&gt;0, 1, 0)</f>
        <v>1</v>
      </c>
      <c r="R271" s="23">
        <v>0</v>
      </c>
      <c r="S271" s="8">
        <f t="shared" si="8"/>
        <v>34</v>
      </c>
      <c r="U271" s="1">
        <f>90-Datos_General[[#This Row],[Minutos Jugados]]</f>
        <v>56</v>
      </c>
      <c r="V271" s="1">
        <v>0</v>
      </c>
      <c r="W271" s="1">
        <v>0</v>
      </c>
      <c r="X271" s="1">
        <v>0</v>
      </c>
      <c r="Y271" s="10">
        <f>+IF(Datos_General[[#This Row],[Resultado]]="Victoria", "3", IF(Datos_General[[#This Row],[Resultado]]="Empate","1",0))</f>
        <v>0</v>
      </c>
      <c r="Z271" s="11">
        <f>+Datos_General[[#This Row],[Minutos Jugados]]*Datos_General[[#This Row],[Puntos Jug_Campo]]</f>
        <v>34</v>
      </c>
      <c r="AA27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71" s="10" t="str">
        <f>+IF(Datos_General[[#This Row],[Resultado Jug_Campo]] = "Empate", "1",IF(Datos_General[[#This Row],[Resultado Jug_Campo]] = "Victoria", "3","0"))</f>
        <v>1</v>
      </c>
    </row>
    <row r="272" spans="1:28">
      <c r="A272" s="1">
        <v>17</v>
      </c>
      <c r="B272" s="6">
        <v>46053</v>
      </c>
      <c r="C272" s="1" t="s">
        <v>121</v>
      </c>
      <c r="D272" s="1" t="s">
        <v>133</v>
      </c>
      <c r="E272" s="10" t="str">
        <f>+CONCATENATE(Datos_General[[#This Row],[Eq.Local]], "-", Datos_General[[#This Row],[Eq.Visitante]])</f>
        <v>C.D. Lérez-Conxo Santiago B</v>
      </c>
      <c r="F272" s="1" t="s">
        <v>200</v>
      </c>
      <c r="G272" s="1" t="s">
        <v>58</v>
      </c>
      <c r="H272" s="1" t="s">
        <v>43</v>
      </c>
      <c r="I272" s="9">
        <v>1</v>
      </c>
      <c r="J272" s="9">
        <v>0</v>
      </c>
      <c r="K272" s="10" t="str">
        <f>+CONCATENATE(Datos_General[[#This Row],[Goles a Favor_Eq_local]],"-",Datos_General[[#This Row],[Gol a Favor_Eq_Visitante]])</f>
        <v>1-0</v>
      </c>
      <c r="L272" s="1" t="s">
        <v>133</v>
      </c>
      <c r="M272" s="1">
        <v>16</v>
      </c>
      <c r="N272" s="1" t="s">
        <v>139</v>
      </c>
      <c r="O272" s="1">
        <v>1</v>
      </c>
      <c r="P272" s="1" t="s">
        <v>70</v>
      </c>
      <c r="Q272" s="7">
        <f>+IF(Datos_General[[#This Row],[Minutos Jugados]]&gt;0, 1, 0)</f>
        <v>1</v>
      </c>
      <c r="R272" s="23">
        <v>0</v>
      </c>
      <c r="S272" s="8">
        <f t="shared" si="8"/>
        <v>20</v>
      </c>
      <c r="U272" s="1">
        <f>90-Datos_General[[#This Row],[Minutos Jugados]]</f>
        <v>70</v>
      </c>
      <c r="V272" s="1">
        <v>0</v>
      </c>
      <c r="W272" s="1">
        <v>0</v>
      </c>
      <c r="X272" s="1">
        <v>0</v>
      </c>
      <c r="Y272" s="10">
        <f>+IF(Datos_General[[#This Row],[Resultado]]="Victoria", "3", IF(Datos_General[[#This Row],[Resultado]]="Empate","1",0))</f>
        <v>0</v>
      </c>
      <c r="Z272" s="11">
        <f>+Datos_General[[#This Row],[Minutos Jugados]]*Datos_General[[#This Row],[Puntos Jug_Campo]]</f>
        <v>20</v>
      </c>
      <c r="AA27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72" s="10" t="str">
        <f>+IF(Datos_General[[#This Row],[Resultado Jug_Campo]] = "Empate", "1",IF(Datos_General[[#This Row],[Resultado Jug_Campo]] = "Victoria", "3","0"))</f>
        <v>1</v>
      </c>
    </row>
    <row r="273" spans="1:28">
      <c r="A273" s="1">
        <v>18</v>
      </c>
      <c r="B273" s="6">
        <v>46060</v>
      </c>
      <c r="C273" s="1" t="s">
        <v>133</v>
      </c>
      <c r="D273" s="1" t="s">
        <v>134</v>
      </c>
      <c r="E273" s="10" t="str">
        <f>+CONCATENATE(Datos_General[[#This Row],[Eq.Local]], "-", Datos_General[[#This Row],[Eq.Visitante]])</f>
        <v>Conxo Santiago B-Céltiga F.C.</v>
      </c>
      <c r="F273" s="1" t="s">
        <v>157</v>
      </c>
      <c r="G273" s="1" t="s">
        <v>57</v>
      </c>
      <c r="H273" s="1" t="s">
        <v>43</v>
      </c>
      <c r="I273" s="9">
        <v>1</v>
      </c>
      <c r="J273" s="9">
        <v>2</v>
      </c>
      <c r="K273" s="10" t="str">
        <f>+CONCATENATE(Datos_General[[#This Row],[Goles a Favor_Eq_local]],"-",Datos_General[[#This Row],[Gol a Favor_Eq_Visitante]])</f>
        <v>1-2</v>
      </c>
      <c r="L273" s="1" t="s">
        <v>133</v>
      </c>
      <c r="M273" s="1">
        <v>1</v>
      </c>
      <c r="N273" s="1" t="s">
        <v>148</v>
      </c>
      <c r="O273" s="1">
        <v>1</v>
      </c>
      <c r="P273" s="1" t="s">
        <v>2</v>
      </c>
      <c r="Q273" s="22">
        <v>1</v>
      </c>
      <c r="R273" s="9">
        <v>1</v>
      </c>
      <c r="S273" s="1">
        <v>90</v>
      </c>
      <c r="U273" s="1">
        <f>90-Datos_General[[#This Row],[Minutos Jugados]]</f>
        <v>0</v>
      </c>
      <c r="V273" s="1">
        <v>0</v>
      </c>
      <c r="W273" s="1">
        <v>1</v>
      </c>
      <c r="X273" s="1">
        <v>2</v>
      </c>
      <c r="Y273" s="10">
        <f>+IF(Datos_General[[#This Row],[Resultado]]="Victoria", "3", IF(Datos_General[[#This Row],[Resultado]]="Empate","1",0))</f>
        <v>0</v>
      </c>
      <c r="Z273" s="11">
        <f>+Datos_General[[#This Row],[Minutos Jugados]]*Datos_General[[#This Row],[Puntos Jug_Campo]]</f>
        <v>0</v>
      </c>
      <c r="AA27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73" s="10" t="str">
        <f>+IF(Datos_General[[#This Row],[Resultado Jug_Campo]] = "Empate", "1",IF(Datos_General[[#This Row],[Resultado Jug_Campo]] = "Victoria", "3","0"))</f>
        <v>0</v>
      </c>
    </row>
    <row r="274" spans="1:28">
      <c r="A274" s="1">
        <v>18</v>
      </c>
      <c r="B274" s="6">
        <v>46060</v>
      </c>
      <c r="C274" s="1" t="s">
        <v>133</v>
      </c>
      <c r="D274" s="1" t="s">
        <v>134</v>
      </c>
      <c r="E274" s="10" t="str">
        <f>+CONCATENATE(Datos_General[[#This Row],[Eq.Local]], "-", Datos_General[[#This Row],[Eq.Visitante]])</f>
        <v>Conxo Santiago B-Céltiga F.C.</v>
      </c>
      <c r="F274" s="1" t="s">
        <v>157</v>
      </c>
      <c r="G274" s="1" t="s">
        <v>57</v>
      </c>
      <c r="H274" s="1" t="s">
        <v>43</v>
      </c>
      <c r="I274" s="9">
        <v>1</v>
      </c>
      <c r="J274" s="9">
        <v>2</v>
      </c>
      <c r="K274" s="10" t="str">
        <f>+CONCATENATE(Datos_General[[#This Row],[Goles a Favor_Eq_local]],"-",Datos_General[[#This Row],[Gol a Favor_Eq_Visitante]])</f>
        <v>1-2</v>
      </c>
      <c r="L274" s="1" t="s">
        <v>133</v>
      </c>
      <c r="M274" s="1">
        <v>2</v>
      </c>
      <c r="N274" s="1" t="s">
        <v>154</v>
      </c>
      <c r="O274" s="1">
        <v>1</v>
      </c>
      <c r="P274" s="1" t="s">
        <v>2</v>
      </c>
      <c r="Q274" s="22">
        <v>1</v>
      </c>
      <c r="R274" s="9">
        <v>1</v>
      </c>
      <c r="S274" s="1">
        <v>53</v>
      </c>
      <c r="T274" s="1" t="s">
        <v>166</v>
      </c>
      <c r="U274" s="1">
        <f>90-Datos_General[[#This Row],[Minutos Jugados]]</f>
        <v>37</v>
      </c>
      <c r="V274" s="1">
        <v>0</v>
      </c>
      <c r="W274" s="1">
        <v>0</v>
      </c>
      <c r="X274" s="1">
        <v>1</v>
      </c>
      <c r="Y274" s="10">
        <f>+IF(Datos_General[[#This Row],[Resultado]]="Victoria", "3", IF(Datos_General[[#This Row],[Resultado]]="Empate","1",0))</f>
        <v>0</v>
      </c>
      <c r="Z274" s="11">
        <f>+Datos_General[[#This Row],[Minutos Jugados]]*Datos_General[[#This Row],[Puntos Jug_Campo]]</f>
        <v>0</v>
      </c>
      <c r="AA27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74" s="10" t="str">
        <f>+IF(Datos_General[[#This Row],[Resultado Jug_Campo]] = "Empate", "1",IF(Datos_General[[#This Row],[Resultado Jug_Campo]] = "Victoria", "3","0"))</f>
        <v>0</v>
      </c>
    </row>
    <row r="275" spans="1:28">
      <c r="A275" s="1">
        <v>18</v>
      </c>
      <c r="B275" s="6">
        <v>46060</v>
      </c>
      <c r="C275" s="1" t="s">
        <v>133</v>
      </c>
      <c r="D275" s="1" t="s">
        <v>134</v>
      </c>
      <c r="E275" s="10" t="str">
        <f>+CONCATENATE(Datos_General[[#This Row],[Eq.Local]], "-", Datos_General[[#This Row],[Eq.Visitante]])</f>
        <v>Conxo Santiago B-Céltiga F.C.</v>
      </c>
      <c r="F275" s="1" t="s">
        <v>157</v>
      </c>
      <c r="G275" s="1" t="s">
        <v>57</v>
      </c>
      <c r="H275" s="1" t="s">
        <v>43</v>
      </c>
      <c r="I275" s="9">
        <v>1</v>
      </c>
      <c r="J275" s="9">
        <v>2</v>
      </c>
      <c r="K275" s="10" t="str">
        <f>+CONCATENATE(Datos_General[[#This Row],[Goles a Favor_Eq_local]],"-",Datos_General[[#This Row],[Gol a Favor_Eq_Visitante]])</f>
        <v>1-2</v>
      </c>
      <c r="L275" s="1" t="s">
        <v>133</v>
      </c>
      <c r="M275" s="1">
        <v>3</v>
      </c>
      <c r="N275" s="1" t="s">
        <v>138</v>
      </c>
      <c r="O275" s="1">
        <v>1</v>
      </c>
      <c r="P275" s="1" t="s">
        <v>2</v>
      </c>
      <c r="Q275" s="22">
        <v>1</v>
      </c>
      <c r="R275" s="9">
        <v>1</v>
      </c>
      <c r="S275" s="1">
        <v>90</v>
      </c>
      <c r="U275" s="1">
        <f>90-Datos_General[[#This Row],[Minutos Jugados]]</f>
        <v>0</v>
      </c>
      <c r="V275" s="1">
        <v>0</v>
      </c>
      <c r="W275" s="1">
        <v>1</v>
      </c>
      <c r="X275" s="1">
        <v>2</v>
      </c>
      <c r="Y275" s="10">
        <f>+IF(Datos_General[[#This Row],[Resultado]]="Victoria", "3", IF(Datos_General[[#This Row],[Resultado]]="Empate","1",0))</f>
        <v>0</v>
      </c>
      <c r="Z275" s="11">
        <f>+Datos_General[[#This Row],[Minutos Jugados]]*Datos_General[[#This Row],[Puntos Jug_Campo]]</f>
        <v>0</v>
      </c>
      <c r="AA27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75" s="10" t="str">
        <f>+IF(Datos_General[[#This Row],[Resultado Jug_Campo]] = "Empate", "1",IF(Datos_General[[#This Row],[Resultado Jug_Campo]] = "Victoria", "3","0"))</f>
        <v>0</v>
      </c>
    </row>
    <row r="276" spans="1:28">
      <c r="A276" s="1">
        <v>18</v>
      </c>
      <c r="B276" s="6">
        <v>46060</v>
      </c>
      <c r="C276" s="1" t="s">
        <v>133</v>
      </c>
      <c r="D276" s="1" t="s">
        <v>134</v>
      </c>
      <c r="E276" s="10" t="str">
        <f>+CONCATENATE(Datos_General[[#This Row],[Eq.Local]], "-", Datos_General[[#This Row],[Eq.Visitante]])</f>
        <v>Conxo Santiago B-Céltiga F.C.</v>
      </c>
      <c r="F276" s="1" t="s">
        <v>157</v>
      </c>
      <c r="G276" s="1" t="s">
        <v>57</v>
      </c>
      <c r="H276" s="1" t="s">
        <v>43</v>
      </c>
      <c r="I276" s="9">
        <v>1</v>
      </c>
      <c r="J276" s="9">
        <v>2</v>
      </c>
      <c r="K276" s="10" t="str">
        <f>+CONCATENATE(Datos_General[[#This Row],[Goles a Favor_Eq_local]],"-",Datos_General[[#This Row],[Gol a Favor_Eq_Visitante]])</f>
        <v>1-2</v>
      </c>
      <c r="L276" s="1" t="s">
        <v>133</v>
      </c>
      <c r="M276" s="1">
        <v>4</v>
      </c>
      <c r="N276" s="1" t="s">
        <v>140</v>
      </c>
      <c r="O276" s="1">
        <v>1</v>
      </c>
      <c r="P276" s="1" t="s">
        <v>2</v>
      </c>
      <c r="Q276" s="22">
        <v>1</v>
      </c>
      <c r="R276" s="9">
        <v>1</v>
      </c>
      <c r="S276" s="1">
        <v>53</v>
      </c>
      <c r="T276" s="1" t="s">
        <v>163</v>
      </c>
      <c r="U276" s="1">
        <f>90-Datos_General[[#This Row],[Minutos Jugados]]</f>
        <v>37</v>
      </c>
      <c r="V276" s="1">
        <v>0</v>
      </c>
      <c r="W276" s="1">
        <v>0</v>
      </c>
      <c r="X276" s="1">
        <v>1</v>
      </c>
      <c r="Y276" s="10">
        <f>+IF(Datos_General[[#This Row],[Resultado]]="Victoria", "3", IF(Datos_General[[#This Row],[Resultado]]="Empate","1",0))</f>
        <v>0</v>
      </c>
      <c r="Z276" s="11">
        <f>+Datos_General[[#This Row],[Minutos Jugados]]*Datos_General[[#This Row],[Puntos Jug_Campo]]</f>
        <v>0</v>
      </c>
      <c r="AA27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76" s="10" t="str">
        <f>+IF(Datos_General[[#This Row],[Resultado Jug_Campo]] = "Empate", "1",IF(Datos_General[[#This Row],[Resultado Jug_Campo]] = "Victoria", "3","0"))</f>
        <v>0</v>
      </c>
    </row>
    <row r="277" spans="1:28">
      <c r="A277" s="1">
        <v>18</v>
      </c>
      <c r="B277" s="6">
        <v>46060</v>
      </c>
      <c r="C277" s="1" t="s">
        <v>133</v>
      </c>
      <c r="D277" s="1" t="s">
        <v>134</v>
      </c>
      <c r="E277" s="10" t="str">
        <f>+CONCATENATE(Datos_General[[#This Row],[Eq.Local]], "-", Datos_General[[#This Row],[Eq.Visitante]])</f>
        <v>Conxo Santiago B-Céltiga F.C.</v>
      </c>
      <c r="F277" s="1" t="s">
        <v>157</v>
      </c>
      <c r="G277" s="1" t="s">
        <v>57</v>
      </c>
      <c r="H277" s="1" t="s">
        <v>43</v>
      </c>
      <c r="I277" s="9">
        <v>1</v>
      </c>
      <c r="J277" s="9">
        <v>2</v>
      </c>
      <c r="K277" s="10" t="str">
        <f>+CONCATENATE(Datos_General[[#This Row],[Goles a Favor_Eq_local]],"-",Datos_General[[#This Row],[Gol a Favor_Eq_Visitante]])</f>
        <v>1-2</v>
      </c>
      <c r="L277" s="1" t="s">
        <v>133</v>
      </c>
      <c r="M277" s="1">
        <v>5</v>
      </c>
      <c r="N277" s="1" t="s">
        <v>199</v>
      </c>
      <c r="O277" s="1">
        <v>1</v>
      </c>
      <c r="P277" s="1" t="s">
        <v>2</v>
      </c>
      <c r="Q277" s="22">
        <v>1</v>
      </c>
      <c r="R277" s="9">
        <v>1</v>
      </c>
      <c r="S277" s="1">
        <v>90</v>
      </c>
      <c r="U277" s="1">
        <f>90-Datos_General[[#This Row],[Minutos Jugados]]</f>
        <v>0</v>
      </c>
      <c r="V277" s="1">
        <v>0</v>
      </c>
      <c r="W277" s="1">
        <v>1</v>
      </c>
      <c r="X277" s="1">
        <v>2</v>
      </c>
      <c r="Y277" s="10">
        <f>+IF(Datos_General[[#This Row],[Resultado]]="Victoria", "3", IF(Datos_General[[#This Row],[Resultado]]="Empate","1",0))</f>
        <v>0</v>
      </c>
      <c r="Z277" s="11">
        <f>+Datos_General[[#This Row],[Minutos Jugados]]*Datos_General[[#This Row],[Puntos Jug_Campo]]</f>
        <v>0</v>
      </c>
      <c r="AA27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77" s="10" t="str">
        <f>+IF(Datos_General[[#This Row],[Resultado Jug_Campo]] = "Empate", "1",IF(Datos_General[[#This Row],[Resultado Jug_Campo]] = "Victoria", "3","0"))</f>
        <v>0</v>
      </c>
    </row>
    <row r="278" spans="1:28">
      <c r="A278" s="1">
        <v>18</v>
      </c>
      <c r="B278" s="6">
        <v>46060</v>
      </c>
      <c r="C278" s="1" t="s">
        <v>133</v>
      </c>
      <c r="D278" s="1" t="s">
        <v>134</v>
      </c>
      <c r="E278" s="10" t="str">
        <f>+CONCATENATE(Datos_General[[#This Row],[Eq.Local]], "-", Datos_General[[#This Row],[Eq.Visitante]])</f>
        <v>Conxo Santiago B-Céltiga F.C.</v>
      </c>
      <c r="F278" s="1" t="s">
        <v>157</v>
      </c>
      <c r="G278" s="1" t="s">
        <v>57</v>
      </c>
      <c r="H278" s="1" t="s">
        <v>43</v>
      </c>
      <c r="I278" s="9">
        <v>1</v>
      </c>
      <c r="J278" s="9">
        <v>2</v>
      </c>
      <c r="K278" s="10" t="str">
        <f>+CONCATENATE(Datos_General[[#This Row],[Goles a Favor_Eq_local]],"-",Datos_General[[#This Row],[Gol a Favor_Eq_Visitante]])</f>
        <v>1-2</v>
      </c>
      <c r="L278" s="1" t="s">
        <v>133</v>
      </c>
      <c r="M278" s="1">
        <v>6</v>
      </c>
      <c r="N278" s="1" t="s">
        <v>142</v>
      </c>
      <c r="O278" s="1">
        <v>1</v>
      </c>
      <c r="P278" s="1" t="s">
        <v>2</v>
      </c>
      <c r="Q278" s="22">
        <v>1</v>
      </c>
      <c r="R278" s="9">
        <v>1</v>
      </c>
      <c r="S278" s="1">
        <v>90</v>
      </c>
      <c r="U278" s="1">
        <f>90-Datos_General[[#This Row],[Minutos Jugados]]</f>
        <v>0</v>
      </c>
      <c r="V278" s="1">
        <v>0</v>
      </c>
      <c r="W278" s="1">
        <v>1</v>
      </c>
      <c r="X278" s="1">
        <v>2</v>
      </c>
      <c r="Y278" s="10">
        <f>+IF(Datos_General[[#This Row],[Resultado]]="Victoria", "3", IF(Datos_General[[#This Row],[Resultado]]="Empate","1",0))</f>
        <v>0</v>
      </c>
      <c r="Z278" s="11">
        <f>+Datos_General[[#This Row],[Minutos Jugados]]*Datos_General[[#This Row],[Puntos Jug_Campo]]</f>
        <v>0</v>
      </c>
      <c r="AA27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78" s="10" t="str">
        <f>+IF(Datos_General[[#This Row],[Resultado Jug_Campo]] = "Empate", "1",IF(Datos_General[[#This Row],[Resultado Jug_Campo]] = "Victoria", "3","0"))</f>
        <v>0</v>
      </c>
    </row>
    <row r="279" spans="1:28">
      <c r="A279" s="1">
        <v>18</v>
      </c>
      <c r="B279" s="6">
        <v>46060</v>
      </c>
      <c r="C279" s="1" t="s">
        <v>133</v>
      </c>
      <c r="D279" s="1" t="s">
        <v>134</v>
      </c>
      <c r="E279" s="10" t="str">
        <f>+CONCATENATE(Datos_General[[#This Row],[Eq.Local]], "-", Datos_General[[#This Row],[Eq.Visitante]])</f>
        <v>Conxo Santiago B-Céltiga F.C.</v>
      </c>
      <c r="F279" s="1" t="s">
        <v>157</v>
      </c>
      <c r="G279" s="1" t="s">
        <v>57</v>
      </c>
      <c r="H279" s="1" t="s">
        <v>43</v>
      </c>
      <c r="I279" s="9">
        <v>1</v>
      </c>
      <c r="J279" s="9">
        <v>2</v>
      </c>
      <c r="K279" s="10" t="str">
        <f>+CONCATENATE(Datos_General[[#This Row],[Goles a Favor_Eq_local]],"-",Datos_General[[#This Row],[Gol a Favor_Eq_Visitante]])</f>
        <v>1-2</v>
      </c>
      <c r="L279" s="1" t="s">
        <v>133</v>
      </c>
      <c r="M279" s="1">
        <v>7</v>
      </c>
      <c r="N279" s="1" t="s">
        <v>146</v>
      </c>
      <c r="O279" s="1">
        <v>1</v>
      </c>
      <c r="P279" s="1" t="s">
        <v>2</v>
      </c>
      <c r="Q279" s="22">
        <v>1</v>
      </c>
      <c r="R279" s="9">
        <v>1</v>
      </c>
      <c r="S279" s="1">
        <v>90</v>
      </c>
      <c r="U279" s="1">
        <f>90-Datos_General[[#This Row],[Minutos Jugados]]</f>
        <v>0</v>
      </c>
      <c r="V279" s="1">
        <v>0</v>
      </c>
      <c r="W279" s="1">
        <v>1</v>
      </c>
      <c r="X279" s="1">
        <v>2</v>
      </c>
      <c r="Y279" s="10">
        <f>+IF(Datos_General[[#This Row],[Resultado]]="Victoria", "3", IF(Datos_General[[#This Row],[Resultado]]="Empate","1",0))</f>
        <v>0</v>
      </c>
      <c r="Z279" s="11">
        <f>+Datos_General[[#This Row],[Minutos Jugados]]*Datos_General[[#This Row],[Puntos Jug_Campo]]</f>
        <v>0</v>
      </c>
      <c r="AA27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79" s="10" t="str">
        <f>+IF(Datos_General[[#This Row],[Resultado Jug_Campo]] = "Empate", "1",IF(Datos_General[[#This Row],[Resultado Jug_Campo]] = "Victoria", "3","0"))</f>
        <v>0</v>
      </c>
    </row>
    <row r="280" spans="1:28">
      <c r="A280" s="1">
        <v>18</v>
      </c>
      <c r="B280" s="6">
        <v>46060</v>
      </c>
      <c r="C280" s="1" t="s">
        <v>133</v>
      </c>
      <c r="D280" s="1" t="s">
        <v>134</v>
      </c>
      <c r="E280" s="10" t="str">
        <f>+CONCATENATE(Datos_General[[#This Row],[Eq.Local]], "-", Datos_General[[#This Row],[Eq.Visitante]])</f>
        <v>Conxo Santiago B-Céltiga F.C.</v>
      </c>
      <c r="F280" s="1" t="s">
        <v>157</v>
      </c>
      <c r="G280" s="1" t="s">
        <v>57</v>
      </c>
      <c r="H280" s="1" t="s">
        <v>43</v>
      </c>
      <c r="I280" s="9">
        <v>1</v>
      </c>
      <c r="J280" s="9">
        <v>2</v>
      </c>
      <c r="K280" s="10" t="str">
        <f>+CONCATENATE(Datos_General[[#This Row],[Goles a Favor_Eq_local]],"-",Datos_General[[#This Row],[Gol a Favor_Eq_Visitante]])</f>
        <v>1-2</v>
      </c>
      <c r="L280" s="1" t="s">
        <v>133</v>
      </c>
      <c r="M280" s="1">
        <v>8</v>
      </c>
      <c r="N280" s="1" t="s">
        <v>165</v>
      </c>
      <c r="O280" s="1">
        <v>1</v>
      </c>
      <c r="P280" s="1" t="s">
        <v>2</v>
      </c>
      <c r="Q280" s="22">
        <v>1</v>
      </c>
      <c r="R280" s="9">
        <v>1</v>
      </c>
      <c r="S280" s="1">
        <v>90</v>
      </c>
      <c r="U280" s="1">
        <f>90-Datos_General[[#This Row],[Minutos Jugados]]</f>
        <v>0</v>
      </c>
      <c r="V280" s="1">
        <v>0</v>
      </c>
      <c r="W280" s="1">
        <v>1</v>
      </c>
      <c r="X280" s="1">
        <v>2</v>
      </c>
      <c r="Y280" s="10">
        <f>+IF(Datos_General[[#This Row],[Resultado]]="Victoria", "3", IF(Datos_General[[#This Row],[Resultado]]="Empate","1",0))</f>
        <v>0</v>
      </c>
      <c r="Z280" s="11">
        <f>+Datos_General[[#This Row],[Minutos Jugados]]*Datos_General[[#This Row],[Puntos Jug_Campo]]</f>
        <v>0</v>
      </c>
      <c r="AA28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80" s="10" t="str">
        <f>+IF(Datos_General[[#This Row],[Resultado Jug_Campo]] = "Empate", "1",IF(Datos_General[[#This Row],[Resultado Jug_Campo]] = "Victoria", "3","0"))</f>
        <v>0</v>
      </c>
    </row>
    <row r="281" spans="1:28">
      <c r="A281" s="1">
        <v>18</v>
      </c>
      <c r="B281" s="6">
        <v>46060</v>
      </c>
      <c r="C281" s="1" t="s">
        <v>133</v>
      </c>
      <c r="D281" s="1" t="s">
        <v>134</v>
      </c>
      <c r="E281" s="10" t="str">
        <f>+CONCATENATE(Datos_General[[#This Row],[Eq.Local]], "-", Datos_General[[#This Row],[Eq.Visitante]])</f>
        <v>Conxo Santiago B-Céltiga F.C.</v>
      </c>
      <c r="F281" s="1" t="s">
        <v>157</v>
      </c>
      <c r="G281" s="1" t="s">
        <v>57</v>
      </c>
      <c r="H281" s="1" t="s">
        <v>43</v>
      </c>
      <c r="I281" s="9">
        <v>1</v>
      </c>
      <c r="J281" s="9">
        <v>2</v>
      </c>
      <c r="K281" s="10" t="str">
        <f>+CONCATENATE(Datos_General[[#This Row],[Goles a Favor_Eq_local]],"-",Datos_General[[#This Row],[Gol a Favor_Eq_Visitante]])</f>
        <v>1-2</v>
      </c>
      <c r="L281" s="1" t="s">
        <v>133</v>
      </c>
      <c r="M281" s="1">
        <v>9</v>
      </c>
      <c r="N281" s="1" t="s">
        <v>194</v>
      </c>
      <c r="O281" s="1">
        <v>1</v>
      </c>
      <c r="P281" s="1" t="s">
        <v>2</v>
      </c>
      <c r="Q281" s="22">
        <v>1</v>
      </c>
      <c r="R281" s="9">
        <v>1</v>
      </c>
      <c r="S281" s="1">
        <v>69</v>
      </c>
      <c r="T281" s="1" t="s">
        <v>139</v>
      </c>
      <c r="U281" s="1">
        <f>90-Datos_General[[#This Row],[Minutos Jugados]]</f>
        <v>21</v>
      </c>
      <c r="V281" s="1">
        <v>0</v>
      </c>
      <c r="W281" s="1">
        <v>1</v>
      </c>
      <c r="X281" s="1">
        <v>2</v>
      </c>
      <c r="Y281" s="10">
        <f>+IF(Datos_General[[#This Row],[Resultado]]="Victoria", "3", IF(Datos_General[[#This Row],[Resultado]]="Empate","1",0))</f>
        <v>0</v>
      </c>
      <c r="Z281" s="11">
        <f>+Datos_General[[#This Row],[Minutos Jugados]]*Datos_General[[#This Row],[Puntos Jug_Campo]]</f>
        <v>0</v>
      </c>
      <c r="AA28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81" s="10" t="str">
        <f>+IF(Datos_General[[#This Row],[Resultado Jug_Campo]] = "Empate", "1",IF(Datos_General[[#This Row],[Resultado Jug_Campo]] = "Victoria", "3","0"))</f>
        <v>0</v>
      </c>
    </row>
    <row r="282" spans="1:28">
      <c r="A282" s="1">
        <v>18</v>
      </c>
      <c r="B282" s="6">
        <v>46060</v>
      </c>
      <c r="C282" s="1" t="s">
        <v>133</v>
      </c>
      <c r="D282" s="1" t="s">
        <v>134</v>
      </c>
      <c r="E282" s="10" t="str">
        <f>+CONCATENATE(Datos_General[[#This Row],[Eq.Local]], "-", Datos_General[[#This Row],[Eq.Visitante]])</f>
        <v>Conxo Santiago B-Céltiga F.C.</v>
      </c>
      <c r="F282" s="1" t="s">
        <v>157</v>
      </c>
      <c r="G282" s="1" t="s">
        <v>57</v>
      </c>
      <c r="H282" s="1" t="s">
        <v>43</v>
      </c>
      <c r="I282" s="9">
        <v>1</v>
      </c>
      <c r="J282" s="9">
        <v>2</v>
      </c>
      <c r="K282" s="10" t="str">
        <f>+CONCATENATE(Datos_General[[#This Row],[Goles a Favor_Eq_local]],"-",Datos_General[[#This Row],[Gol a Favor_Eq_Visitante]])</f>
        <v>1-2</v>
      </c>
      <c r="L282" s="1" t="s">
        <v>133</v>
      </c>
      <c r="M282" s="1">
        <v>10</v>
      </c>
      <c r="N282" s="1" t="s">
        <v>152</v>
      </c>
      <c r="O282" s="1">
        <v>1</v>
      </c>
      <c r="P282" s="1" t="s">
        <v>2</v>
      </c>
      <c r="Q282" s="22">
        <v>1</v>
      </c>
      <c r="R282" s="9">
        <v>1</v>
      </c>
      <c r="S282" s="1">
        <v>53</v>
      </c>
      <c r="T282" s="1" t="s">
        <v>198</v>
      </c>
      <c r="U282" s="1">
        <f>90-Datos_General[[#This Row],[Minutos Jugados]]</f>
        <v>37</v>
      </c>
      <c r="V282" s="1">
        <v>0</v>
      </c>
      <c r="W282" s="1">
        <v>0</v>
      </c>
      <c r="X282" s="1">
        <v>1</v>
      </c>
      <c r="Y282" s="10">
        <f>+IF(Datos_General[[#This Row],[Resultado]]="Victoria", "3", IF(Datos_General[[#This Row],[Resultado]]="Empate","1",0))</f>
        <v>0</v>
      </c>
      <c r="Z282" s="11">
        <f>+Datos_General[[#This Row],[Minutos Jugados]]*Datos_General[[#This Row],[Puntos Jug_Campo]]</f>
        <v>0</v>
      </c>
      <c r="AA28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82" s="10" t="str">
        <f>+IF(Datos_General[[#This Row],[Resultado Jug_Campo]] = "Empate", "1",IF(Datos_General[[#This Row],[Resultado Jug_Campo]] = "Victoria", "3","0"))</f>
        <v>0</v>
      </c>
    </row>
    <row r="283" spans="1:28">
      <c r="A283" s="1">
        <v>18</v>
      </c>
      <c r="B283" s="6">
        <v>46060</v>
      </c>
      <c r="C283" s="1" t="s">
        <v>133</v>
      </c>
      <c r="D283" s="1" t="s">
        <v>134</v>
      </c>
      <c r="E283" s="10" t="str">
        <f>+CONCATENATE(Datos_General[[#This Row],[Eq.Local]], "-", Datos_General[[#This Row],[Eq.Visitante]])</f>
        <v>Conxo Santiago B-Céltiga F.C.</v>
      </c>
      <c r="F283" s="1" t="s">
        <v>157</v>
      </c>
      <c r="G283" s="1" t="s">
        <v>57</v>
      </c>
      <c r="H283" s="1" t="s">
        <v>43</v>
      </c>
      <c r="I283" s="9">
        <v>1</v>
      </c>
      <c r="J283" s="9">
        <v>2</v>
      </c>
      <c r="K283" s="10" t="str">
        <f>+CONCATENATE(Datos_General[[#This Row],[Goles a Favor_Eq_local]],"-",Datos_General[[#This Row],[Gol a Favor_Eq_Visitante]])</f>
        <v>1-2</v>
      </c>
      <c r="L283" s="1" t="s">
        <v>133</v>
      </c>
      <c r="M283" s="1">
        <v>11</v>
      </c>
      <c r="N283" s="1" t="s">
        <v>156</v>
      </c>
      <c r="O283" s="1">
        <v>1</v>
      </c>
      <c r="P283" s="1" t="s">
        <v>2</v>
      </c>
      <c r="Q283" s="22">
        <v>1</v>
      </c>
      <c r="R283" s="9">
        <v>1</v>
      </c>
      <c r="S283" s="1">
        <v>90</v>
      </c>
      <c r="U283" s="1">
        <f>90-Datos_General[[#This Row],[Minutos Jugados]]</f>
        <v>0</v>
      </c>
      <c r="V283" s="1">
        <v>0</v>
      </c>
      <c r="W283" s="1">
        <v>1</v>
      </c>
      <c r="X283" s="1">
        <v>2</v>
      </c>
      <c r="Y283" s="10">
        <f>+IF(Datos_General[[#This Row],[Resultado]]="Victoria", "3", IF(Datos_General[[#This Row],[Resultado]]="Empate","1",0))</f>
        <v>0</v>
      </c>
      <c r="Z283" s="11">
        <f>+Datos_General[[#This Row],[Minutos Jugados]]*Datos_General[[#This Row],[Puntos Jug_Campo]]</f>
        <v>0</v>
      </c>
      <c r="AA28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283" s="10" t="str">
        <f>+IF(Datos_General[[#This Row],[Resultado Jug_Campo]] = "Empate", "1",IF(Datos_General[[#This Row],[Resultado Jug_Campo]] = "Victoria", "3","0"))</f>
        <v>0</v>
      </c>
    </row>
    <row r="284" spans="1:28">
      <c r="A284" s="1">
        <v>18</v>
      </c>
      <c r="B284" s="6">
        <v>46060</v>
      </c>
      <c r="C284" s="1" t="s">
        <v>133</v>
      </c>
      <c r="D284" s="1" t="s">
        <v>134</v>
      </c>
      <c r="E284" s="10" t="str">
        <f>+CONCATENATE(Datos_General[[#This Row],[Eq.Local]], "-", Datos_General[[#This Row],[Eq.Visitante]])</f>
        <v>Conxo Santiago B-Céltiga F.C.</v>
      </c>
      <c r="F284" s="1" t="s">
        <v>157</v>
      </c>
      <c r="G284" s="1" t="s">
        <v>57</v>
      </c>
      <c r="H284" s="1" t="s">
        <v>43</v>
      </c>
      <c r="I284" s="9">
        <v>1</v>
      </c>
      <c r="J284" s="9">
        <v>2</v>
      </c>
      <c r="K284" s="10" t="str">
        <f>+CONCATENATE(Datos_General[[#This Row],[Goles a Favor_Eq_local]],"-",Datos_General[[#This Row],[Gol a Favor_Eq_Visitante]])</f>
        <v>1-2</v>
      </c>
      <c r="L284" s="1" t="s">
        <v>133</v>
      </c>
      <c r="M284" s="1">
        <v>13</v>
      </c>
      <c r="N284" s="1" t="s">
        <v>137</v>
      </c>
      <c r="O284" s="1">
        <v>1</v>
      </c>
      <c r="P284" s="1" t="s">
        <v>70</v>
      </c>
      <c r="Q284" s="7">
        <f>+IF(Datos_General[[#This Row],[Minutos Jugados]]&gt;0, 1, 0)</f>
        <v>0</v>
      </c>
      <c r="R284" s="23">
        <v>0</v>
      </c>
      <c r="S284" s="8">
        <f>IFERROR(IF(MATCH(N284,$T$273:$T$288,0), INDEX($U$273:$U$288,MATCH(N284,$T$273:$T$288,0))),0)</f>
        <v>0</v>
      </c>
      <c r="U284" s="1">
        <f>90-Datos_General[[#This Row],[Minutos Jugados]]</f>
        <v>90</v>
      </c>
      <c r="V284" s="1">
        <v>0</v>
      </c>
      <c r="W284" s="1">
        <v>0</v>
      </c>
      <c r="X284" s="1">
        <v>0</v>
      </c>
      <c r="Y284" s="10">
        <f>+IF(Datos_General[[#This Row],[Resultado]]="Victoria", "3", IF(Datos_General[[#This Row],[Resultado]]="Empate","1",0))</f>
        <v>0</v>
      </c>
      <c r="Z284" s="11">
        <f>+Datos_General[[#This Row],[Minutos Jugados]]*Datos_General[[#This Row],[Puntos Jug_Campo]]</f>
        <v>0</v>
      </c>
      <c r="AA28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284" s="10" t="str">
        <f>+IF(Datos_General[[#This Row],[Resultado Jug_Campo]] = "Empate", "1",IF(Datos_General[[#This Row],[Resultado Jug_Campo]] = "Victoria", "3","0"))</f>
        <v>0</v>
      </c>
    </row>
    <row r="285" spans="1:28">
      <c r="A285" s="1">
        <v>18</v>
      </c>
      <c r="B285" s="6">
        <v>46060</v>
      </c>
      <c r="C285" s="1" t="s">
        <v>133</v>
      </c>
      <c r="D285" s="1" t="s">
        <v>134</v>
      </c>
      <c r="E285" s="10" t="str">
        <f>+CONCATENATE(Datos_General[[#This Row],[Eq.Local]], "-", Datos_General[[#This Row],[Eq.Visitante]])</f>
        <v>Conxo Santiago B-Céltiga F.C.</v>
      </c>
      <c r="F285" s="1" t="s">
        <v>157</v>
      </c>
      <c r="G285" s="1" t="s">
        <v>57</v>
      </c>
      <c r="H285" s="1" t="s">
        <v>43</v>
      </c>
      <c r="I285" s="9">
        <v>1</v>
      </c>
      <c r="J285" s="9">
        <v>2</v>
      </c>
      <c r="K285" s="10" t="str">
        <f>+CONCATENATE(Datos_General[[#This Row],[Goles a Favor_Eq_local]],"-",Datos_General[[#This Row],[Gol a Favor_Eq_Visitante]])</f>
        <v>1-2</v>
      </c>
      <c r="L285" s="1" t="s">
        <v>133</v>
      </c>
      <c r="M285" s="1">
        <v>12</v>
      </c>
      <c r="N285" s="1" t="s">
        <v>166</v>
      </c>
      <c r="O285" s="1">
        <v>1</v>
      </c>
      <c r="P285" s="1" t="s">
        <v>70</v>
      </c>
      <c r="Q285" s="7">
        <f>+IF(Datos_General[[#This Row],[Minutos Jugados]]&gt;0, 1, 0)</f>
        <v>1</v>
      </c>
      <c r="R285" s="23">
        <v>0</v>
      </c>
      <c r="S285" s="8">
        <f t="shared" ref="S285:S288" si="9">IFERROR(IF(MATCH(N285,$T$273:$T$288,0), INDEX($U$273:$U$288,MATCH(N285,$T$273:$T$288,0))),0)</f>
        <v>37</v>
      </c>
      <c r="U285" s="1">
        <f>90-Datos_General[[#This Row],[Minutos Jugados]]</f>
        <v>53</v>
      </c>
      <c r="V285" s="1">
        <v>1</v>
      </c>
      <c r="W285" s="1">
        <v>1</v>
      </c>
      <c r="X285" s="1">
        <v>1</v>
      </c>
      <c r="Y285" s="10">
        <f>+IF(Datos_General[[#This Row],[Resultado]]="Victoria", "3", IF(Datos_General[[#This Row],[Resultado]]="Empate","1",0))</f>
        <v>0</v>
      </c>
      <c r="Z285" s="11">
        <f>+Datos_General[[#This Row],[Minutos Jugados]]*Datos_General[[#This Row],[Puntos Jug_Campo]]</f>
        <v>37</v>
      </c>
      <c r="AA28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85" s="10" t="str">
        <f>+IF(Datos_General[[#This Row],[Resultado Jug_Campo]] = "Empate", "1",IF(Datos_General[[#This Row],[Resultado Jug_Campo]] = "Victoria", "3","0"))</f>
        <v>1</v>
      </c>
    </row>
    <row r="286" spans="1:28">
      <c r="A286" s="1">
        <v>18</v>
      </c>
      <c r="B286" s="6">
        <v>46060</v>
      </c>
      <c r="C286" s="1" t="s">
        <v>133</v>
      </c>
      <c r="D286" s="1" t="s">
        <v>134</v>
      </c>
      <c r="E286" s="10" t="str">
        <f>+CONCATENATE(Datos_General[[#This Row],[Eq.Local]], "-", Datos_General[[#This Row],[Eq.Visitante]])</f>
        <v>Conxo Santiago B-Céltiga F.C.</v>
      </c>
      <c r="F286" s="1" t="s">
        <v>157</v>
      </c>
      <c r="G286" s="1" t="s">
        <v>57</v>
      </c>
      <c r="H286" s="1" t="s">
        <v>43</v>
      </c>
      <c r="I286" s="9">
        <v>1</v>
      </c>
      <c r="J286" s="9">
        <v>2</v>
      </c>
      <c r="K286" s="10" t="str">
        <f>+CONCATENATE(Datos_General[[#This Row],[Goles a Favor_Eq_local]],"-",Datos_General[[#This Row],[Gol a Favor_Eq_Visitante]])</f>
        <v>1-2</v>
      </c>
      <c r="L286" s="1" t="s">
        <v>133</v>
      </c>
      <c r="M286" s="1">
        <v>14</v>
      </c>
      <c r="N286" s="1" t="s">
        <v>198</v>
      </c>
      <c r="O286" s="1">
        <v>1</v>
      </c>
      <c r="P286" s="1" t="s">
        <v>70</v>
      </c>
      <c r="Q286" s="7">
        <f>+IF(Datos_General[[#This Row],[Minutos Jugados]]&gt;0, 1, 0)</f>
        <v>1</v>
      </c>
      <c r="R286" s="23">
        <v>0</v>
      </c>
      <c r="S286" s="8">
        <f t="shared" si="9"/>
        <v>37</v>
      </c>
      <c r="U286" s="1">
        <f>90-Datos_General[[#This Row],[Minutos Jugados]]</f>
        <v>53</v>
      </c>
      <c r="V286" s="1">
        <v>0</v>
      </c>
      <c r="W286" s="1">
        <v>1</v>
      </c>
      <c r="X286" s="1">
        <v>1</v>
      </c>
      <c r="Y286" s="10">
        <f>+IF(Datos_General[[#This Row],[Resultado]]="Victoria", "3", IF(Datos_General[[#This Row],[Resultado]]="Empate","1",0))</f>
        <v>0</v>
      </c>
      <c r="Z286" s="11">
        <f>+Datos_General[[#This Row],[Minutos Jugados]]*Datos_General[[#This Row],[Puntos Jug_Campo]]</f>
        <v>37</v>
      </c>
      <c r="AA28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86" s="10" t="str">
        <f>+IF(Datos_General[[#This Row],[Resultado Jug_Campo]] = "Empate", "1",IF(Datos_General[[#This Row],[Resultado Jug_Campo]] = "Victoria", "3","0"))</f>
        <v>1</v>
      </c>
    </row>
    <row r="287" spans="1:28">
      <c r="A287" s="1">
        <v>18</v>
      </c>
      <c r="B287" s="6">
        <v>46060</v>
      </c>
      <c r="C287" s="1" t="s">
        <v>133</v>
      </c>
      <c r="D287" s="1" t="s">
        <v>134</v>
      </c>
      <c r="E287" s="10" t="str">
        <f>+CONCATENATE(Datos_General[[#This Row],[Eq.Local]], "-", Datos_General[[#This Row],[Eq.Visitante]])</f>
        <v>Conxo Santiago B-Céltiga F.C.</v>
      </c>
      <c r="F287" s="1" t="s">
        <v>157</v>
      </c>
      <c r="G287" s="1" t="s">
        <v>57</v>
      </c>
      <c r="H287" s="1" t="s">
        <v>43</v>
      </c>
      <c r="I287" s="9">
        <v>1</v>
      </c>
      <c r="J287" s="9">
        <v>2</v>
      </c>
      <c r="K287" s="10" t="str">
        <f>+CONCATENATE(Datos_General[[#This Row],[Goles a Favor_Eq_local]],"-",Datos_General[[#This Row],[Gol a Favor_Eq_Visitante]])</f>
        <v>1-2</v>
      </c>
      <c r="L287" s="1" t="s">
        <v>133</v>
      </c>
      <c r="M287" s="1">
        <v>15</v>
      </c>
      <c r="N287" s="1" t="s">
        <v>163</v>
      </c>
      <c r="O287" s="1">
        <v>1</v>
      </c>
      <c r="P287" s="1" t="s">
        <v>70</v>
      </c>
      <c r="Q287" s="7">
        <f>+IF(Datos_General[[#This Row],[Minutos Jugados]]&gt;0, 1, 0)</f>
        <v>1</v>
      </c>
      <c r="R287" s="23">
        <v>0</v>
      </c>
      <c r="S287" s="8">
        <f t="shared" si="9"/>
        <v>37</v>
      </c>
      <c r="U287" s="1">
        <f>90-Datos_General[[#This Row],[Minutos Jugados]]</f>
        <v>53</v>
      </c>
      <c r="V287" s="1">
        <v>0</v>
      </c>
      <c r="W287" s="1">
        <v>1</v>
      </c>
      <c r="X287" s="1">
        <v>1</v>
      </c>
      <c r="Y287" s="10">
        <f>+IF(Datos_General[[#This Row],[Resultado]]="Victoria", "3", IF(Datos_General[[#This Row],[Resultado]]="Empate","1",0))</f>
        <v>0</v>
      </c>
      <c r="Z287" s="11">
        <f>+Datos_General[[#This Row],[Minutos Jugados]]*Datos_General[[#This Row],[Puntos Jug_Campo]]</f>
        <v>37</v>
      </c>
      <c r="AA28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87" s="10" t="str">
        <f>+IF(Datos_General[[#This Row],[Resultado Jug_Campo]] = "Empate", "1",IF(Datos_General[[#This Row],[Resultado Jug_Campo]] = "Victoria", "3","0"))</f>
        <v>1</v>
      </c>
    </row>
    <row r="288" spans="1:28">
      <c r="A288" s="1">
        <v>18</v>
      </c>
      <c r="B288" s="6">
        <v>46060</v>
      </c>
      <c r="C288" s="1" t="s">
        <v>133</v>
      </c>
      <c r="D288" s="1" t="s">
        <v>134</v>
      </c>
      <c r="E288" s="10" t="str">
        <f>+CONCATENATE(Datos_General[[#This Row],[Eq.Local]], "-", Datos_General[[#This Row],[Eq.Visitante]])</f>
        <v>Conxo Santiago B-Céltiga F.C.</v>
      </c>
      <c r="F288" s="1" t="s">
        <v>157</v>
      </c>
      <c r="G288" s="1" t="s">
        <v>57</v>
      </c>
      <c r="H288" s="1" t="s">
        <v>43</v>
      </c>
      <c r="I288" s="9">
        <v>1</v>
      </c>
      <c r="J288" s="9">
        <v>2</v>
      </c>
      <c r="K288" s="10" t="str">
        <f>+CONCATENATE(Datos_General[[#This Row],[Goles a Favor_Eq_local]],"-",Datos_General[[#This Row],[Gol a Favor_Eq_Visitante]])</f>
        <v>1-2</v>
      </c>
      <c r="L288" s="1" t="s">
        <v>133</v>
      </c>
      <c r="M288" s="1">
        <v>17</v>
      </c>
      <c r="N288" s="1" t="s">
        <v>139</v>
      </c>
      <c r="O288" s="1">
        <v>1</v>
      </c>
      <c r="P288" s="1" t="s">
        <v>70</v>
      </c>
      <c r="Q288" s="7">
        <f>+IF(Datos_General[[#This Row],[Minutos Jugados]]&gt;0, 1, 0)</f>
        <v>1</v>
      </c>
      <c r="R288" s="23">
        <v>0</v>
      </c>
      <c r="S288" s="8">
        <f t="shared" si="9"/>
        <v>21</v>
      </c>
      <c r="U288" s="1">
        <f>90-Datos_General[[#This Row],[Minutos Jugados]]</f>
        <v>69</v>
      </c>
      <c r="V288" s="1">
        <v>0</v>
      </c>
      <c r="W288" s="1">
        <v>0</v>
      </c>
      <c r="X288" s="1">
        <v>0</v>
      </c>
      <c r="Y288" s="10">
        <f>+IF(Datos_General[[#This Row],[Resultado]]="Victoria", "3", IF(Datos_General[[#This Row],[Resultado]]="Empate","1",0))</f>
        <v>0</v>
      </c>
      <c r="Z288" s="11">
        <f>+Datos_General[[#This Row],[Minutos Jugados]]*Datos_General[[#This Row],[Puntos Jug_Campo]]</f>
        <v>21</v>
      </c>
      <c r="AA28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288" s="10" t="str">
        <f>+IF(Datos_General[[#This Row],[Resultado Jug_Campo]] = "Empate", "1",IF(Datos_General[[#This Row],[Resultado Jug_Campo]] = "Victoria", "3","0"))</f>
        <v>1</v>
      </c>
    </row>
    <row r="289" spans="1:28">
      <c r="A289" s="1">
        <v>19</v>
      </c>
      <c r="B289" s="6">
        <v>46074</v>
      </c>
      <c r="C289" s="1" t="s">
        <v>135</v>
      </c>
      <c r="D289" s="1" t="s">
        <v>133</v>
      </c>
      <c r="E289" s="10" t="str">
        <f>+CONCATENATE(Datos_General[[#This Row],[Eq.Local]], "-", Datos_General[[#This Row],[Eq.Visitante]])</f>
        <v>C.D. Choco B-Conxo Santiago B</v>
      </c>
      <c r="F289" s="1" t="s">
        <v>201</v>
      </c>
      <c r="G289" s="1" t="s">
        <v>58</v>
      </c>
      <c r="H289" s="1" t="s">
        <v>43</v>
      </c>
      <c r="I289" s="9">
        <v>3</v>
      </c>
      <c r="J289" s="9">
        <v>0</v>
      </c>
      <c r="K289" s="10" t="str">
        <f>+CONCATENATE(Datos_General[[#This Row],[Goles a Favor_Eq_local]],"-",Datos_General[[#This Row],[Gol a Favor_Eq_Visitante]])</f>
        <v>3-0</v>
      </c>
      <c r="L289" s="1" t="s">
        <v>133</v>
      </c>
      <c r="M289" s="1">
        <v>1</v>
      </c>
      <c r="N289" s="1" t="s">
        <v>148</v>
      </c>
      <c r="O289" s="1">
        <v>1</v>
      </c>
      <c r="P289" s="1" t="s">
        <v>2</v>
      </c>
      <c r="Q289" s="22">
        <v>1</v>
      </c>
      <c r="R289" s="9">
        <v>1</v>
      </c>
      <c r="S289" s="1">
        <v>90</v>
      </c>
      <c r="U289" s="1">
        <f>90-Datos_General[[#This Row],[Minutos Jugados]]</f>
        <v>0</v>
      </c>
      <c r="V289" s="1">
        <v>0</v>
      </c>
      <c r="W289" s="1">
        <v>3</v>
      </c>
      <c r="X289" s="1">
        <v>0</v>
      </c>
      <c r="Y289" s="10">
        <f>+IF(Datos_General[[#This Row],[Resultado]]="Victoria", "3", IF(Datos_General[[#This Row],[Resultado]]="Empate","1",0))</f>
        <v>0</v>
      </c>
      <c r="Z289" s="11">
        <f>+Datos_General[[#This Row],[Minutos Jugados]]*Datos_General[[#This Row],[Puntos Jug_Campo]]</f>
        <v>270</v>
      </c>
      <c r="AA28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89" s="10" t="str">
        <f>+IF(Datos_General[[#This Row],[Resultado Jug_Campo]] = "Empate", "1",IF(Datos_General[[#This Row],[Resultado Jug_Campo]] = "Victoria", "3","0"))</f>
        <v>3</v>
      </c>
    </row>
    <row r="290" spans="1:28">
      <c r="A290" s="1">
        <v>19</v>
      </c>
      <c r="B290" s="6">
        <v>46074</v>
      </c>
      <c r="C290" s="1" t="s">
        <v>135</v>
      </c>
      <c r="D290" s="1" t="s">
        <v>133</v>
      </c>
      <c r="E290" s="10" t="str">
        <f>+CONCATENATE(Datos_General[[#This Row],[Eq.Local]], "-", Datos_General[[#This Row],[Eq.Visitante]])</f>
        <v>C.D. Choco B-Conxo Santiago B</v>
      </c>
      <c r="F290" s="1" t="s">
        <v>201</v>
      </c>
      <c r="G290" s="1" t="s">
        <v>58</v>
      </c>
      <c r="H290" s="1" t="s">
        <v>43</v>
      </c>
      <c r="I290" s="9">
        <v>3</v>
      </c>
      <c r="J290" s="9">
        <v>0</v>
      </c>
      <c r="K290" s="10" t="str">
        <f>+CONCATENATE(Datos_General[[#This Row],[Goles a Favor_Eq_local]],"-",Datos_General[[#This Row],[Gol a Favor_Eq_Visitante]])</f>
        <v>3-0</v>
      </c>
      <c r="L290" s="1" t="s">
        <v>133</v>
      </c>
      <c r="M290" s="1">
        <v>2</v>
      </c>
      <c r="N290" s="1" t="s">
        <v>199</v>
      </c>
      <c r="O290" s="1">
        <v>1</v>
      </c>
      <c r="P290" s="1" t="s">
        <v>2</v>
      </c>
      <c r="Q290" s="22">
        <v>1</v>
      </c>
      <c r="R290" s="9">
        <v>1</v>
      </c>
      <c r="S290" s="1">
        <v>68</v>
      </c>
      <c r="T290" s="1" t="s">
        <v>163</v>
      </c>
      <c r="U290" s="1">
        <f>90-Datos_General[[#This Row],[Minutos Jugados]]</f>
        <v>22</v>
      </c>
      <c r="V290" s="1">
        <v>0</v>
      </c>
      <c r="W290" s="1">
        <v>2</v>
      </c>
      <c r="X290" s="1">
        <v>0</v>
      </c>
      <c r="Y290" s="10">
        <f>+IF(Datos_General[[#This Row],[Resultado]]="Victoria", "3", IF(Datos_General[[#This Row],[Resultado]]="Empate","1",0))</f>
        <v>0</v>
      </c>
      <c r="Z290" s="11">
        <f>+Datos_General[[#This Row],[Minutos Jugados]]*Datos_General[[#This Row],[Puntos Jug_Campo]]</f>
        <v>204</v>
      </c>
      <c r="AA29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0" s="10" t="str">
        <f>+IF(Datos_General[[#This Row],[Resultado Jug_Campo]] = "Empate", "1",IF(Datos_General[[#This Row],[Resultado Jug_Campo]] = "Victoria", "3","0"))</f>
        <v>3</v>
      </c>
    </row>
    <row r="291" spans="1:28">
      <c r="A291" s="1">
        <v>19</v>
      </c>
      <c r="B291" s="6">
        <v>46074</v>
      </c>
      <c r="C291" s="1" t="s">
        <v>135</v>
      </c>
      <c r="D291" s="1" t="s">
        <v>133</v>
      </c>
      <c r="E291" s="10" t="str">
        <f>+CONCATENATE(Datos_General[[#This Row],[Eq.Local]], "-", Datos_General[[#This Row],[Eq.Visitante]])</f>
        <v>C.D. Choco B-Conxo Santiago B</v>
      </c>
      <c r="F291" s="1" t="s">
        <v>201</v>
      </c>
      <c r="G291" s="1" t="s">
        <v>58</v>
      </c>
      <c r="H291" s="1" t="s">
        <v>43</v>
      </c>
      <c r="I291" s="9">
        <v>3</v>
      </c>
      <c r="J291" s="9">
        <v>0</v>
      </c>
      <c r="K291" s="10" t="str">
        <f>+CONCATENATE(Datos_General[[#This Row],[Goles a Favor_Eq_local]],"-",Datos_General[[#This Row],[Gol a Favor_Eq_Visitante]])</f>
        <v>3-0</v>
      </c>
      <c r="L291" s="1" t="s">
        <v>133</v>
      </c>
      <c r="M291" s="1">
        <v>3</v>
      </c>
      <c r="N291" s="1" t="s">
        <v>144</v>
      </c>
      <c r="O291" s="1">
        <v>1</v>
      </c>
      <c r="P291" s="1" t="s">
        <v>2</v>
      </c>
      <c r="Q291" s="22">
        <v>1</v>
      </c>
      <c r="R291" s="9">
        <v>1</v>
      </c>
      <c r="S291" s="1">
        <v>90</v>
      </c>
      <c r="U291" s="1">
        <f>90-Datos_General[[#This Row],[Minutos Jugados]]</f>
        <v>0</v>
      </c>
      <c r="V291" s="1">
        <v>0</v>
      </c>
      <c r="W291" s="1">
        <v>3</v>
      </c>
      <c r="X291" s="1">
        <v>0</v>
      </c>
      <c r="Y291" s="10">
        <f>+IF(Datos_General[[#This Row],[Resultado]]="Victoria", "3", IF(Datos_General[[#This Row],[Resultado]]="Empate","1",0))</f>
        <v>0</v>
      </c>
      <c r="Z291" s="11">
        <f>+Datos_General[[#This Row],[Minutos Jugados]]*Datos_General[[#This Row],[Puntos Jug_Campo]]</f>
        <v>270</v>
      </c>
      <c r="AA29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1" s="10" t="str">
        <f>+IF(Datos_General[[#This Row],[Resultado Jug_Campo]] = "Empate", "1",IF(Datos_General[[#This Row],[Resultado Jug_Campo]] = "Victoria", "3","0"))</f>
        <v>3</v>
      </c>
    </row>
    <row r="292" spans="1:28">
      <c r="A292" s="1">
        <v>19</v>
      </c>
      <c r="B292" s="6">
        <v>46074</v>
      </c>
      <c r="C292" s="1" t="s">
        <v>135</v>
      </c>
      <c r="D292" s="1" t="s">
        <v>133</v>
      </c>
      <c r="E292" s="10" t="str">
        <f>+CONCATENATE(Datos_General[[#This Row],[Eq.Local]], "-", Datos_General[[#This Row],[Eq.Visitante]])</f>
        <v>C.D. Choco B-Conxo Santiago B</v>
      </c>
      <c r="F292" s="1" t="s">
        <v>201</v>
      </c>
      <c r="G292" s="1" t="s">
        <v>58</v>
      </c>
      <c r="H292" s="1" t="s">
        <v>43</v>
      </c>
      <c r="I292" s="9">
        <v>3</v>
      </c>
      <c r="J292" s="9">
        <v>0</v>
      </c>
      <c r="K292" s="10" t="str">
        <f>+CONCATENATE(Datos_General[[#This Row],[Goles a Favor_Eq_local]],"-",Datos_General[[#This Row],[Gol a Favor_Eq_Visitante]])</f>
        <v>3-0</v>
      </c>
      <c r="L292" s="1" t="s">
        <v>133</v>
      </c>
      <c r="M292" s="1">
        <v>4</v>
      </c>
      <c r="N292" s="1" t="s">
        <v>140</v>
      </c>
      <c r="O292" s="1">
        <v>1</v>
      </c>
      <c r="P292" s="1" t="s">
        <v>2</v>
      </c>
      <c r="Q292" s="22">
        <v>1</v>
      </c>
      <c r="R292" s="9">
        <v>1</v>
      </c>
      <c r="S292" s="1">
        <v>90</v>
      </c>
      <c r="U292" s="1">
        <f>90-Datos_General[[#This Row],[Minutos Jugados]]</f>
        <v>0</v>
      </c>
      <c r="V292" s="1">
        <v>0</v>
      </c>
      <c r="W292" s="1">
        <v>3</v>
      </c>
      <c r="X292" s="1">
        <v>0</v>
      </c>
      <c r="Y292" s="10">
        <f>+IF(Datos_General[[#This Row],[Resultado]]="Victoria", "3", IF(Datos_General[[#This Row],[Resultado]]="Empate","1",0))</f>
        <v>0</v>
      </c>
      <c r="Z292" s="11">
        <f>+Datos_General[[#This Row],[Minutos Jugados]]*Datos_General[[#This Row],[Puntos Jug_Campo]]</f>
        <v>270</v>
      </c>
      <c r="AA29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2" s="10" t="str">
        <f>+IF(Datos_General[[#This Row],[Resultado Jug_Campo]] = "Empate", "1",IF(Datos_General[[#This Row],[Resultado Jug_Campo]] = "Victoria", "3","0"))</f>
        <v>3</v>
      </c>
    </row>
    <row r="293" spans="1:28">
      <c r="A293" s="1">
        <v>19</v>
      </c>
      <c r="B293" s="6">
        <v>46074</v>
      </c>
      <c r="C293" s="1" t="s">
        <v>135</v>
      </c>
      <c r="D293" s="1" t="s">
        <v>133</v>
      </c>
      <c r="E293" s="10" t="str">
        <f>+CONCATENATE(Datos_General[[#This Row],[Eq.Local]], "-", Datos_General[[#This Row],[Eq.Visitante]])</f>
        <v>C.D. Choco B-Conxo Santiago B</v>
      </c>
      <c r="F293" s="1" t="s">
        <v>201</v>
      </c>
      <c r="G293" s="1" t="s">
        <v>58</v>
      </c>
      <c r="H293" s="1" t="s">
        <v>43</v>
      </c>
      <c r="I293" s="9">
        <v>3</v>
      </c>
      <c r="J293" s="9">
        <v>0</v>
      </c>
      <c r="K293" s="10" t="str">
        <f>+CONCATENATE(Datos_General[[#This Row],[Goles a Favor_Eq_local]],"-",Datos_General[[#This Row],[Gol a Favor_Eq_Visitante]])</f>
        <v>3-0</v>
      </c>
      <c r="L293" s="1" t="s">
        <v>133</v>
      </c>
      <c r="M293" s="1">
        <v>5</v>
      </c>
      <c r="N293" s="1" t="s">
        <v>162</v>
      </c>
      <c r="O293" s="1">
        <v>1</v>
      </c>
      <c r="P293" s="1" t="s">
        <v>2</v>
      </c>
      <c r="Q293" s="22">
        <v>1</v>
      </c>
      <c r="R293" s="9">
        <v>1</v>
      </c>
      <c r="S293" s="1">
        <v>90</v>
      </c>
      <c r="U293" s="1">
        <f>90-Datos_General[[#This Row],[Minutos Jugados]]</f>
        <v>0</v>
      </c>
      <c r="V293" s="1">
        <v>0</v>
      </c>
      <c r="W293" s="1">
        <v>3</v>
      </c>
      <c r="X293" s="1">
        <v>0</v>
      </c>
      <c r="Y293" s="10">
        <f>+IF(Datos_General[[#This Row],[Resultado]]="Victoria", "3", IF(Datos_General[[#This Row],[Resultado]]="Empate","1",0))</f>
        <v>0</v>
      </c>
      <c r="Z293" s="11">
        <f>+Datos_General[[#This Row],[Minutos Jugados]]*Datos_General[[#This Row],[Puntos Jug_Campo]]</f>
        <v>270</v>
      </c>
      <c r="AA29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3" s="10" t="str">
        <f>+IF(Datos_General[[#This Row],[Resultado Jug_Campo]] = "Empate", "1",IF(Datos_General[[#This Row],[Resultado Jug_Campo]] = "Victoria", "3","0"))</f>
        <v>3</v>
      </c>
    </row>
    <row r="294" spans="1:28">
      <c r="A294" s="1">
        <v>19</v>
      </c>
      <c r="B294" s="6">
        <v>46074</v>
      </c>
      <c r="C294" s="1" t="s">
        <v>135</v>
      </c>
      <c r="D294" s="1" t="s">
        <v>133</v>
      </c>
      <c r="E294" s="10" t="str">
        <f>+CONCATENATE(Datos_General[[#This Row],[Eq.Local]], "-", Datos_General[[#This Row],[Eq.Visitante]])</f>
        <v>C.D. Choco B-Conxo Santiago B</v>
      </c>
      <c r="F294" s="1" t="s">
        <v>201</v>
      </c>
      <c r="G294" s="1" t="s">
        <v>58</v>
      </c>
      <c r="H294" s="1" t="s">
        <v>43</v>
      </c>
      <c r="I294" s="9">
        <v>3</v>
      </c>
      <c r="J294" s="9">
        <v>0</v>
      </c>
      <c r="K294" s="10" t="str">
        <f>+CONCATENATE(Datos_General[[#This Row],[Goles a Favor_Eq_local]],"-",Datos_General[[#This Row],[Gol a Favor_Eq_Visitante]])</f>
        <v>3-0</v>
      </c>
      <c r="L294" s="1" t="s">
        <v>133</v>
      </c>
      <c r="M294" s="1">
        <v>6</v>
      </c>
      <c r="N294" s="1" t="s">
        <v>142</v>
      </c>
      <c r="O294" s="1">
        <v>1</v>
      </c>
      <c r="P294" s="1" t="s">
        <v>2</v>
      </c>
      <c r="Q294" s="22">
        <v>1</v>
      </c>
      <c r="R294" s="9">
        <v>1</v>
      </c>
      <c r="S294" s="1">
        <v>90</v>
      </c>
      <c r="U294" s="1">
        <f>90-Datos_General[[#This Row],[Minutos Jugados]]</f>
        <v>0</v>
      </c>
      <c r="V294" s="1">
        <v>0</v>
      </c>
      <c r="W294" s="1">
        <v>3</v>
      </c>
      <c r="X294" s="1">
        <v>0</v>
      </c>
      <c r="Y294" s="10">
        <f>+IF(Datos_General[[#This Row],[Resultado]]="Victoria", "3", IF(Datos_General[[#This Row],[Resultado]]="Empate","1",0))</f>
        <v>0</v>
      </c>
      <c r="Z294" s="11">
        <f>+Datos_General[[#This Row],[Minutos Jugados]]*Datos_General[[#This Row],[Puntos Jug_Campo]]</f>
        <v>270</v>
      </c>
      <c r="AA29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4" s="10" t="str">
        <f>+IF(Datos_General[[#This Row],[Resultado Jug_Campo]] = "Empate", "1",IF(Datos_General[[#This Row],[Resultado Jug_Campo]] = "Victoria", "3","0"))</f>
        <v>3</v>
      </c>
    </row>
    <row r="295" spans="1:28">
      <c r="A295" s="1">
        <v>19</v>
      </c>
      <c r="B295" s="6">
        <v>46074</v>
      </c>
      <c r="C295" s="1" t="s">
        <v>135</v>
      </c>
      <c r="D295" s="1" t="s">
        <v>133</v>
      </c>
      <c r="E295" s="10" t="str">
        <f>+CONCATENATE(Datos_General[[#This Row],[Eq.Local]], "-", Datos_General[[#This Row],[Eq.Visitante]])</f>
        <v>C.D. Choco B-Conxo Santiago B</v>
      </c>
      <c r="F295" s="1" t="s">
        <v>201</v>
      </c>
      <c r="G295" s="1" t="s">
        <v>58</v>
      </c>
      <c r="H295" s="1" t="s">
        <v>43</v>
      </c>
      <c r="I295" s="9">
        <v>3</v>
      </c>
      <c r="J295" s="9">
        <v>0</v>
      </c>
      <c r="K295" s="10" t="str">
        <f>+CONCATENATE(Datos_General[[#This Row],[Goles a Favor_Eq_local]],"-",Datos_General[[#This Row],[Gol a Favor_Eq_Visitante]])</f>
        <v>3-0</v>
      </c>
      <c r="L295" s="1" t="s">
        <v>133</v>
      </c>
      <c r="M295" s="1">
        <v>7</v>
      </c>
      <c r="N295" s="1" t="s">
        <v>202</v>
      </c>
      <c r="O295" s="1">
        <v>1</v>
      </c>
      <c r="P295" s="1" t="s">
        <v>2</v>
      </c>
      <c r="Q295" s="22">
        <v>1</v>
      </c>
      <c r="R295" s="9">
        <v>1</v>
      </c>
      <c r="S295" s="1">
        <v>61</v>
      </c>
      <c r="T295" s="1" t="s">
        <v>194</v>
      </c>
      <c r="U295" s="1">
        <f>90-Datos_General[[#This Row],[Minutos Jugados]]</f>
        <v>29</v>
      </c>
      <c r="V295" s="1">
        <v>0</v>
      </c>
      <c r="W295" s="1">
        <v>1</v>
      </c>
      <c r="X295" s="1">
        <v>0</v>
      </c>
      <c r="Y295" s="10">
        <f>+IF(Datos_General[[#This Row],[Resultado]]="Victoria", "3", IF(Datos_General[[#This Row],[Resultado]]="Empate","1",0))</f>
        <v>0</v>
      </c>
      <c r="Z295" s="11">
        <f>+Datos_General[[#This Row],[Minutos Jugados]]*Datos_General[[#This Row],[Puntos Jug_Campo]]</f>
        <v>183</v>
      </c>
      <c r="AA29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5" s="10" t="str">
        <f>+IF(Datos_General[[#This Row],[Resultado Jug_Campo]] = "Empate", "1",IF(Datos_General[[#This Row],[Resultado Jug_Campo]] = "Victoria", "3","0"))</f>
        <v>3</v>
      </c>
    </row>
    <row r="296" spans="1:28">
      <c r="A296" s="1">
        <v>19</v>
      </c>
      <c r="B296" s="6">
        <v>46074</v>
      </c>
      <c r="C296" s="1" t="s">
        <v>135</v>
      </c>
      <c r="D296" s="1" t="s">
        <v>133</v>
      </c>
      <c r="E296" s="10" t="str">
        <f>+CONCATENATE(Datos_General[[#This Row],[Eq.Local]], "-", Datos_General[[#This Row],[Eq.Visitante]])</f>
        <v>C.D. Choco B-Conxo Santiago B</v>
      </c>
      <c r="F296" s="1" t="s">
        <v>201</v>
      </c>
      <c r="G296" s="1" t="s">
        <v>58</v>
      </c>
      <c r="H296" s="1" t="s">
        <v>43</v>
      </c>
      <c r="I296" s="9">
        <v>3</v>
      </c>
      <c r="J296" s="9">
        <v>0</v>
      </c>
      <c r="K296" s="10" t="str">
        <f>+CONCATENATE(Datos_General[[#This Row],[Goles a Favor_Eq_local]],"-",Datos_General[[#This Row],[Gol a Favor_Eq_Visitante]])</f>
        <v>3-0</v>
      </c>
      <c r="L296" s="1" t="s">
        <v>133</v>
      </c>
      <c r="M296" s="1">
        <v>8</v>
      </c>
      <c r="N296" s="1" t="s">
        <v>165</v>
      </c>
      <c r="O296" s="1">
        <v>1</v>
      </c>
      <c r="P296" s="1" t="s">
        <v>2</v>
      </c>
      <c r="Q296" s="22">
        <v>1</v>
      </c>
      <c r="R296" s="9">
        <v>1</v>
      </c>
      <c r="S296" s="1">
        <v>90</v>
      </c>
      <c r="U296" s="1">
        <f>90-Datos_General[[#This Row],[Minutos Jugados]]</f>
        <v>0</v>
      </c>
      <c r="V296" s="1">
        <v>0</v>
      </c>
      <c r="W296" s="1">
        <v>3</v>
      </c>
      <c r="X296" s="1">
        <v>0</v>
      </c>
      <c r="Y296" s="10">
        <f>+IF(Datos_General[[#This Row],[Resultado]]="Victoria", "3", IF(Datos_General[[#This Row],[Resultado]]="Empate","1",0))</f>
        <v>0</v>
      </c>
      <c r="Z296" s="11">
        <f>+Datos_General[[#This Row],[Minutos Jugados]]*Datos_General[[#This Row],[Puntos Jug_Campo]]</f>
        <v>270</v>
      </c>
      <c r="AA29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6" s="10" t="str">
        <f>+IF(Datos_General[[#This Row],[Resultado Jug_Campo]] = "Empate", "1",IF(Datos_General[[#This Row],[Resultado Jug_Campo]] = "Victoria", "3","0"))</f>
        <v>3</v>
      </c>
    </row>
    <row r="297" spans="1:28">
      <c r="A297" s="1">
        <v>19</v>
      </c>
      <c r="B297" s="6">
        <v>46074</v>
      </c>
      <c r="C297" s="1" t="s">
        <v>135</v>
      </c>
      <c r="D297" s="1" t="s">
        <v>133</v>
      </c>
      <c r="E297" s="10" t="str">
        <f>+CONCATENATE(Datos_General[[#This Row],[Eq.Local]], "-", Datos_General[[#This Row],[Eq.Visitante]])</f>
        <v>C.D. Choco B-Conxo Santiago B</v>
      </c>
      <c r="F297" s="1" t="s">
        <v>201</v>
      </c>
      <c r="G297" s="1" t="s">
        <v>58</v>
      </c>
      <c r="H297" s="1" t="s">
        <v>43</v>
      </c>
      <c r="I297" s="9">
        <v>3</v>
      </c>
      <c r="J297" s="9">
        <v>0</v>
      </c>
      <c r="K297" s="10" t="str">
        <f>+CONCATENATE(Datos_General[[#This Row],[Goles a Favor_Eq_local]],"-",Datos_General[[#This Row],[Gol a Favor_Eq_Visitante]])</f>
        <v>3-0</v>
      </c>
      <c r="L297" s="1" t="s">
        <v>133</v>
      </c>
      <c r="M297" s="1">
        <v>9</v>
      </c>
      <c r="N297" s="1" t="s">
        <v>152</v>
      </c>
      <c r="O297" s="1">
        <v>1</v>
      </c>
      <c r="P297" s="1" t="s">
        <v>2</v>
      </c>
      <c r="Q297" s="22">
        <v>1</v>
      </c>
      <c r="R297" s="9">
        <v>1</v>
      </c>
      <c r="S297" s="1">
        <v>61</v>
      </c>
      <c r="T297" s="1" t="s">
        <v>156</v>
      </c>
      <c r="U297" s="1">
        <f>90-Datos_General[[#This Row],[Minutos Jugados]]</f>
        <v>29</v>
      </c>
      <c r="V297" s="1">
        <v>0</v>
      </c>
      <c r="W297" s="1">
        <v>1</v>
      </c>
      <c r="X297" s="1">
        <v>0</v>
      </c>
      <c r="Y297" s="10">
        <f>+IF(Datos_General[[#This Row],[Resultado]]="Victoria", "3", IF(Datos_General[[#This Row],[Resultado]]="Empate","1",0))</f>
        <v>0</v>
      </c>
      <c r="Z297" s="11">
        <f>+Datos_General[[#This Row],[Minutos Jugados]]*Datos_General[[#This Row],[Puntos Jug_Campo]]</f>
        <v>183</v>
      </c>
      <c r="AA29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7" s="10" t="str">
        <f>+IF(Datos_General[[#This Row],[Resultado Jug_Campo]] = "Empate", "1",IF(Datos_General[[#This Row],[Resultado Jug_Campo]] = "Victoria", "3","0"))</f>
        <v>3</v>
      </c>
    </row>
    <row r="298" spans="1:28">
      <c r="A298" s="1">
        <v>19</v>
      </c>
      <c r="B298" s="6">
        <v>46074</v>
      </c>
      <c r="C298" s="1" t="s">
        <v>135</v>
      </c>
      <c r="D298" s="1" t="s">
        <v>133</v>
      </c>
      <c r="E298" s="10" t="str">
        <f>+CONCATENATE(Datos_General[[#This Row],[Eq.Local]], "-", Datos_General[[#This Row],[Eq.Visitante]])</f>
        <v>C.D. Choco B-Conxo Santiago B</v>
      </c>
      <c r="F298" s="1" t="s">
        <v>201</v>
      </c>
      <c r="G298" s="1" t="s">
        <v>58</v>
      </c>
      <c r="H298" s="1" t="s">
        <v>43</v>
      </c>
      <c r="I298" s="9">
        <v>3</v>
      </c>
      <c r="J298" s="9">
        <v>0</v>
      </c>
      <c r="K298" s="10" t="str">
        <f>+CONCATENATE(Datos_General[[#This Row],[Goles a Favor_Eq_local]],"-",Datos_General[[#This Row],[Gol a Favor_Eq_Visitante]])</f>
        <v>3-0</v>
      </c>
      <c r="L298" s="1" t="s">
        <v>133</v>
      </c>
      <c r="M298" s="1">
        <v>10</v>
      </c>
      <c r="N298" s="1" t="s">
        <v>146</v>
      </c>
      <c r="O298" s="1">
        <v>1</v>
      </c>
      <c r="P298" s="1" t="s">
        <v>2</v>
      </c>
      <c r="Q298" s="22">
        <v>1</v>
      </c>
      <c r="R298" s="9">
        <v>1</v>
      </c>
      <c r="S298" s="1">
        <v>90</v>
      </c>
      <c r="U298" s="1">
        <f>90-Datos_General[[#This Row],[Minutos Jugados]]</f>
        <v>0</v>
      </c>
      <c r="V298" s="1">
        <v>0</v>
      </c>
      <c r="W298" s="1">
        <v>3</v>
      </c>
      <c r="X298" s="1">
        <v>0</v>
      </c>
      <c r="Y298" s="10">
        <f>+IF(Datos_General[[#This Row],[Resultado]]="Victoria", "3", IF(Datos_General[[#This Row],[Resultado]]="Empate","1",0))</f>
        <v>0</v>
      </c>
      <c r="Z298" s="11">
        <f>+Datos_General[[#This Row],[Minutos Jugados]]*Datos_General[[#This Row],[Puntos Jug_Campo]]</f>
        <v>270</v>
      </c>
      <c r="AA29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8" s="10" t="str">
        <f>+IF(Datos_General[[#This Row],[Resultado Jug_Campo]] = "Empate", "1",IF(Datos_General[[#This Row],[Resultado Jug_Campo]] = "Victoria", "3","0"))</f>
        <v>3</v>
      </c>
    </row>
    <row r="299" spans="1:28">
      <c r="A299" s="1">
        <v>19</v>
      </c>
      <c r="B299" s="6">
        <v>46074</v>
      </c>
      <c r="C299" s="1" t="s">
        <v>135</v>
      </c>
      <c r="D299" s="1" t="s">
        <v>133</v>
      </c>
      <c r="E299" s="10" t="str">
        <f>+CONCATENATE(Datos_General[[#This Row],[Eq.Local]], "-", Datos_General[[#This Row],[Eq.Visitante]])</f>
        <v>C.D. Choco B-Conxo Santiago B</v>
      </c>
      <c r="F299" s="1" t="s">
        <v>201</v>
      </c>
      <c r="G299" s="1" t="s">
        <v>58</v>
      </c>
      <c r="H299" s="1" t="s">
        <v>43</v>
      </c>
      <c r="I299" s="9">
        <v>3</v>
      </c>
      <c r="J299" s="9">
        <v>0</v>
      </c>
      <c r="K299" s="10" t="str">
        <f>+CONCATENATE(Datos_General[[#This Row],[Goles a Favor_Eq_local]],"-",Datos_General[[#This Row],[Gol a Favor_Eq_Visitante]])</f>
        <v>3-0</v>
      </c>
      <c r="L299" s="1" t="s">
        <v>133</v>
      </c>
      <c r="M299" s="1">
        <v>11</v>
      </c>
      <c r="N299" s="1" t="s">
        <v>166</v>
      </c>
      <c r="O299" s="1">
        <v>1</v>
      </c>
      <c r="P299" s="1" t="s">
        <v>2</v>
      </c>
      <c r="Q299" s="22">
        <v>1</v>
      </c>
      <c r="R299" s="9">
        <v>1</v>
      </c>
      <c r="S299" s="1">
        <v>61</v>
      </c>
      <c r="T299" s="1" t="s">
        <v>151</v>
      </c>
      <c r="U299" s="1">
        <f>90-Datos_General[[#This Row],[Minutos Jugados]]</f>
        <v>29</v>
      </c>
      <c r="V299" s="1">
        <v>0</v>
      </c>
      <c r="W299" s="1">
        <v>1</v>
      </c>
      <c r="X299" s="1">
        <v>0</v>
      </c>
      <c r="Y299" s="10">
        <f>+IF(Datos_General[[#This Row],[Resultado]]="Victoria", "3", IF(Datos_General[[#This Row],[Resultado]]="Empate","1",0))</f>
        <v>0</v>
      </c>
      <c r="Z299" s="11">
        <f>+Datos_General[[#This Row],[Minutos Jugados]]*Datos_General[[#This Row],[Puntos Jug_Campo]]</f>
        <v>183</v>
      </c>
      <c r="AA29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299" s="10" t="str">
        <f>+IF(Datos_General[[#This Row],[Resultado Jug_Campo]] = "Empate", "1",IF(Datos_General[[#This Row],[Resultado Jug_Campo]] = "Victoria", "3","0"))</f>
        <v>3</v>
      </c>
    </row>
    <row r="300" spans="1:28">
      <c r="A300" s="1">
        <v>19</v>
      </c>
      <c r="B300" s="6">
        <v>46074</v>
      </c>
      <c r="C300" s="1" t="s">
        <v>135</v>
      </c>
      <c r="D300" s="1" t="s">
        <v>133</v>
      </c>
      <c r="E300" s="10" t="str">
        <f>+CONCATENATE(Datos_General[[#This Row],[Eq.Local]], "-", Datos_General[[#This Row],[Eq.Visitante]])</f>
        <v>C.D. Choco B-Conxo Santiago B</v>
      </c>
      <c r="F300" s="1" t="s">
        <v>201</v>
      </c>
      <c r="G300" s="1" t="s">
        <v>58</v>
      </c>
      <c r="H300" s="1" t="s">
        <v>43</v>
      </c>
      <c r="I300" s="9">
        <v>3</v>
      </c>
      <c r="J300" s="9">
        <v>0</v>
      </c>
      <c r="K300" s="10" t="str">
        <f>+CONCATENATE(Datos_General[[#This Row],[Goles a Favor_Eq_local]],"-",Datos_General[[#This Row],[Gol a Favor_Eq_Visitante]])</f>
        <v>3-0</v>
      </c>
      <c r="L300" s="1" t="s">
        <v>133</v>
      </c>
      <c r="M300" s="1">
        <v>13</v>
      </c>
      <c r="N300" s="1" t="s">
        <v>137</v>
      </c>
      <c r="O300" s="1">
        <v>1</v>
      </c>
      <c r="P300" s="1" t="s">
        <v>70</v>
      </c>
      <c r="Q300" s="7">
        <f>+IF(Datos_General[[#This Row],[Minutos Jugados]]&gt;0, 1, 0)</f>
        <v>0</v>
      </c>
      <c r="R300" s="23">
        <v>0</v>
      </c>
      <c r="S300" s="8">
        <f>IFERROR(IF(MATCH(N300,$T$289:$T$304,0), INDEX($U$289:$U$304,MATCH(N300,$T$289:$T$304,0))),0)</f>
        <v>0</v>
      </c>
      <c r="U300" s="1">
        <f>90-Datos_General[[#This Row],[Minutos Jugados]]</f>
        <v>90</v>
      </c>
      <c r="V300" s="1">
        <v>0</v>
      </c>
      <c r="W300" s="1">
        <v>0</v>
      </c>
      <c r="X300" s="1">
        <v>0</v>
      </c>
      <c r="Y300" s="10">
        <f>+IF(Datos_General[[#This Row],[Resultado]]="Victoria", "3", IF(Datos_General[[#This Row],[Resultado]]="Empate","1",0))</f>
        <v>0</v>
      </c>
      <c r="Z300" s="11">
        <f>+Datos_General[[#This Row],[Minutos Jugados]]*Datos_General[[#This Row],[Puntos Jug_Campo]]</f>
        <v>0</v>
      </c>
      <c r="AA30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300" s="10" t="str">
        <f>+IF(Datos_General[[#This Row],[Resultado Jug_Campo]] = "Empate", "1",IF(Datos_General[[#This Row],[Resultado Jug_Campo]] = "Victoria", "3","0"))</f>
        <v>0</v>
      </c>
    </row>
    <row r="301" spans="1:28">
      <c r="A301" s="1">
        <v>19</v>
      </c>
      <c r="B301" s="6">
        <v>46074</v>
      </c>
      <c r="C301" s="1" t="s">
        <v>135</v>
      </c>
      <c r="D301" s="1" t="s">
        <v>133</v>
      </c>
      <c r="E301" s="10" t="str">
        <f>+CONCATENATE(Datos_General[[#This Row],[Eq.Local]], "-", Datos_General[[#This Row],[Eq.Visitante]])</f>
        <v>C.D. Choco B-Conxo Santiago B</v>
      </c>
      <c r="F301" s="1" t="s">
        <v>201</v>
      </c>
      <c r="G301" s="1" t="s">
        <v>58</v>
      </c>
      <c r="H301" s="1" t="s">
        <v>43</v>
      </c>
      <c r="I301" s="9">
        <v>3</v>
      </c>
      <c r="J301" s="9">
        <v>0</v>
      </c>
      <c r="K301" s="10" t="str">
        <f>+CONCATENATE(Datos_General[[#This Row],[Goles a Favor_Eq_local]],"-",Datos_General[[#This Row],[Gol a Favor_Eq_Visitante]])</f>
        <v>3-0</v>
      </c>
      <c r="L301" s="1" t="s">
        <v>133</v>
      </c>
      <c r="M301" s="1">
        <v>12</v>
      </c>
      <c r="N301" s="1" t="s">
        <v>151</v>
      </c>
      <c r="O301" s="1">
        <v>1</v>
      </c>
      <c r="P301" s="1" t="s">
        <v>70</v>
      </c>
      <c r="Q301" s="7">
        <f>+IF(Datos_General[[#This Row],[Minutos Jugados]]&gt;0, 1, 0)</f>
        <v>1</v>
      </c>
      <c r="R301" s="23">
        <v>0</v>
      </c>
      <c r="S301" s="8">
        <f t="shared" ref="S301:S304" si="10">IFERROR(IF(MATCH(N301,$T$289:$T$304,0), INDEX($U$289:$U$304,MATCH(N301,$T$289:$T$304,0))),0)</f>
        <v>29</v>
      </c>
      <c r="U301" s="1">
        <f>90-Datos_General[[#This Row],[Minutos Jugados]]</f>
        <v>61</v>
      </c>
      <c r="V301" s="1">
        <v>0</v>
      </c>
      <c r="W301" s="1">
        <v>2</v>
      </c>
      <c r="X301" s="1">
        <v>0</v>
      </c>
      <c r="Y301" s="10">
        <f>+IF(Datos_General[[#This Row],[Resultado]]="Victoria", "3", IF(Datos_General[[#This Row],[Resultado]]="Empate","1",0))</f>
        <v>0</v>
      </c>
      <c r="Z301" s="11">
        <f>+Datos_General[[#This Row],[Minutos Jugados]]*Datos_General[[#This Row],[Puntos Jug_Campo]]</f>
        <v>87</v>
      </c>
      <c r="AA30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01" s="10" t="str">
        <f>+IF(Datos_General[[#This Row],[Resultado Jug_Campo]] = "Empate", "1",IF(Datos_General[[#This Row],[Resultado Jug_Campo]] = "Victoria", "3","0"))</f>
        <v>3</v>
      </c>
    </row>
    <row r="302" spans="1:28">
      <c r="A302" s="1">
        <v>19</v>
      </c>
      <c r="B302" s="6">
        <v>46074</v>
      </c>
      <c r="C302" s="1" t="s">
        <v>135</v>
      </c>
      <c r="D302" s="1" t="s">
        <v>133</v>
      </c>
      <c r="E302" s="10" t="str">
        <f>+CONCATENATE(Datos_General[[#This Row],[Eq.Local]], "-", Datos_General[[#This Row],[Eq.Visitante]])</f>
        <v>C.D. Choco B-Conxo Santiago B</v>
      </c>
      <c r="F302" s="1" t="s">
        <v>201</v>
      </c>
      <c r="G302" s="1" t="s">
        <v>58</v>
      </c>
      <c r="H302" s="1" t="s">
        <v>43</v>
      </c>
      <c r="I302" s="9">
        <v>3</v>
      </c>
      <c r="J302" s="9">
        <v>0</v>
      </c>
      <c r="K302" s="10" t="str">
        <f>+CONCATENATE(Datos_General[[#This Row],[Goles a Favor_Eq_local]],"-",Datos_General[[#This Row],[Gol a Favor_Eq_Visitante]])</f>
        <v>3-0</v>
      </c>
      <c r="L302" s="1" t="s">
        <v>133</v>
      </c>
      <c r="M302" s="1">
        <v>14</v>
      </c>
      <c r="N302" s="1" t="s">
        <v>156</v>
      </c>
      <c r="O302" s="1">
        <v>1</v>
      </c>
      <c r="P302" s="1" t="s">
        <v>70</v>
      </c>
      <c r="Q302" s="7">
        <f>+IF(Datos_General[[#This Row],[Minutos Jugados]]&gt;0, 1, 0)</f>
        <v>1</v>
      </c>
      <c r="R302" s="23">
        <v>0</v>
      </c>
      <c r="S302" s="8">
        <f t="shared" si="10"/>
        <v>29</v>
      </c>
      <c r="U302" s="1">
        <f>90-Datos_General[[#This Row],[Minutos Jugados]]</f>
        <v>61</v>
      </c>
      <c r="V302" s="1">
        <v>0</v>
      </c>
      <c r="W302" s="1">
        <v>2</v>
      </c>
      <c r="X302" s="1">
        <v>0</v>
      </c>
      <c r="Y302" s="10">
        <f>+IF(Datos_General[[#This Row],[Resultado]]="Victoria", "3", IF(Datos_General[[#This Row],[Resultado]]="Empate","1",0))</f>
        <v>0</v>
      </c>
      <c r="Z302" s="11">
        <f>+Datos_General[[#This Row],[Minutos Jugados]]*Datos_General[[#This Row],[Puntos Jug_Campo]]</f>
        <v>87</v>
      </c>
      <c r="AA30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02" s="10" t="str">
        <f>+IF(Datos_General[[#This Row],[Resultado Jug_Campo]] = "Empate", "1",IF(Datos_General[[#This Row],[Resultado Jug_Campo]] = "Victoria", "3","0"))</f>
        <v>3</v>
      </c>
    </row>
    <row r="303" spans="1:28">
      <c r="A303" s="1">
        <v>19</v>
      </c>
      <c r="B303" s="6">
        <v>46074</v>
      </c>
      <c r="C303" s="1" t="s">
        <v>135</v>
      </c>
      <c r="D303" s="1" t="s">
        <v>133</v>
      </c>
      <c r="E303" s="10" t="str">
        <f>+CONCATENATE(Datos_General[[#This Row],[Eq.Local]], "-", Datos_General[[#This Row],[Eq.Visitante]])</f>
        <v>C.D. Choco B-Conxo Santiago B</v>
      </c>
      <c r="F303" s="1" t="s">
        <v>201</v>
      </c>
      <c r="G303" s="1" t="s">
        <v>58</v>
      </c>
      <c r="H303" s="1" t="s">
        <v>43</v>
      </c>
      <c r="I303" s="9">
        <v>3</v>
      </c>
      <c r="J303" s="9">
        <v>0</v>
      </c>
      <c r="K303" s="10" t="str">
        <f>+CONCATENATE(Datos_General[[#This Row],[Goles a Favor_Eq_local]],"-",Datos_General[[#This Row],[Gol a Favor_Eq_Visitante]])</f>
        <v>3-0</v>
      </c>
      <c r="L303" s="1" t="s">
        <v>133</v>
      </c>
      <c r="M303" s="1">
        <v>15</v>
      </c>
      <c r="N303" s="1" t="s">
        <v>194</v>
      </c>
      <c r="O303" s="1">
        <v>1</v>
      </c>
      <c r="P303" s="1" t="s">
        <v>70</v>
      </c>
      <c r="Q303" s="7">
        <f>+IF(Datos_General[[#This Row],[Minutos Jugados]]&gt;0, 1, 0)</f>
        <v>1</v>
      </c>
      <c r="R303" s="23">
        <v>0</v>
      </c>
      <c r="S303" s="8">
        <f t="shared" si="10"/>
        <v>29</v>
      </c>
      <c r="U303" s="1">
        <f>90-Datos_General[[#This Row],[Minutos Jugados]]</f>
        <v>61</v>
      </c>
      <c r="V303" s="1">
        <v>0</v>
      </c>
      <c r="W303" s="1">
        <v>2</v>
      </c>
      <c r="X303" s="1">
        <v>0</v>
      </c>
      <c r="Y303" s="10">
        <f>+IF(Datos_General[[#This Row],[Resultado]]="Victoria", "3", IF(Datos_General[[#This Row],[Resultado]]="Empate","1",0))</f>
        <v>0</v>
      </c>
      <c r="Z303" s="11">
        <f>+Datos_General[[#This Row],[Minutos Jugados]]*Datos_General[[#This Row],[Puntos Jug_Campo]]</f>
        <v>87</v>
      </c>
      <c r="AA30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03" s="10" t="str">
        <f>+IF(Datos_General[[#This Row],[Resultado Jug_Campo]] = "Empate", "1",IF(Datos_General[[#This Row],[Resultado Jug_Campo]] = "Victoria", "3","0"))</f>
        <v>3</v>
      </c>
    </row>
    <row r="304" spans="1:28">
      <c r="A304" s="1">
        <v>19</v>
      </c>
      <c r="B304" s="6">
        <v>46074</v>
      </c>
      <c r="C304" s="1" t="s">
        <v>135</v>
      </c>
      <c r="D304" s="1" t="s">
        <v>133</v>
      </c>
      <c r="E304" s="10" t="str">
        <f>+CONCATENATE(Datos_General[[#This Row],[Eq.Local]], "-", Datos_General[[#This Row],[Eq.Visitante]])</f>
        <v>C.D. Choco B-Conxo Santiago B</v>
      </c>
      <c r="F304" s="1" t="s">
        <v>201</v>
      </c>
      <c r="G304" s="1" t="s">
        <v>58</v>
      </c>
      <c r="H304" s="1" t="s">
        <v>43</v>
      </c>
      <c r="I304" s="9">
        <v>3</v>
      </c>
      <c r="J304" s="9">
        <v>0</v>
      </c>
      <c r="K304" s="10" t="str">
        <f>+CONCATENATE(Datos_General[[#This Row],[Goles a Favor_Eq_local]],"-",Datos_General[[#This Row],[Gol a Favor_Eq_Visitante]])</f>
        <v>3-0</v>
      </c>
      <c r="L304" s="1" t="s">
        <v>133</v>
      </c>
      <c r="M304" s="1">
        <v>16</v>
      </c>
      <c r="N304" s="1" t="s">
        <v>163</v>
      </c>
      <c r="O304" s="1">
        <v>1</v>
      </c>
      <c r="P304" s="1" t="s">
        <v>70</v>
      </c>
      <c r="Q304" s="7">
        <f>+IF(Datos_General[[#This Row],[Minutos Jugados]]&gt;0, 1, 0)</f>
        <v>1</v>
      </c>
      <c r="R304" s="23">
        <v>0</v>
      </c>
      <c r="S304" s="8">
        <f t="shared" si="10"/>
        <v>22</v>
      </c>
      <c r="U304" s="1">
        <f>90-Datos_General[[#This Row],[Minutos Jugados]]</f>
        <v>68</v>
      </c>
      <c r="V304" s="1">
        <v>0</v>
      </c>
      <c r="W304" s="1">
        <v>1</v>
      </c>
      <c r="X304" s="1">
        <v>0</v>
      </c>
      <c r="Y304" s="10">
        <f>+IF(Datos_General[[#This Row],[Resultado]]="Victoria", "3", IF(Datos_General[[#This Row],[Resultado]]="Empate","1",0))</f>
        <v>0</v>
      </c>
      <c r="Z304" s="11">
        <f>+Datos_General[[#This Row],[Minutos Jugados]]*Datos_General[[#This Row],[Puntos Jug_Campo]]</f>
        <v>66</v>
      </c>
      <c r="AA30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04" s="10" t="str">
        <f>+IF(Datos_General[[#This Row],[Resultado Jug_Campo]] = "Empate", "1",IF(Datos_General[[#This Row],[Resultado Jug_Campo]] = "Victoria", "3","0"))</f>
        <v>3</v>
      </c>
    </row>
    <row r="305" spans="1:28">
      <c r="A305" s="1">
        <v>20</v>
      </c>
      <c r="B305" s="6">
        <v>46082</v>
      </c>
      <c r="C305" s="1" t="s">
        <v>133</v>
      </c>
      <c r="D305" s="1" t="s">
        <v>122</v>
      </c>
      <c r="E305" s="10" t="str">
        <f>+CONCATENATE(Datos_General[[#This Row],[Eq.Local]], "-", Datos_General[[#This Row],[Eq.Visitante]])</f>
        <v>Conxo Santiago B-Cidade de Ribeira</v>
      </c>
      <c r="F305" s="1" t="s">
        <v>157</v>
      </c>
      <c r="G305" s="1" t="s">
        <v>57</v>
      </c>
      <c r="H305" s="1" t="s">
        <v>12</v>
      </c>
      <c r="I305" s="9">
        <v>1</v>
      </c>
      <c r="J305" s="9">
        <v>0</v>
      </c>
      <c r="K305" s="10" t="str">
        <f>+CONCATENATE(Datos_General[[#This Row],[Goles a Favor_Eq_local]],"-",Datos_General[[#This Row],[Gol a Favor_Eq_Visitante]])</f>
        <v>1-0</v>
      </c>
      <c r="L305" s="1" t="s">
        <v>133</v>
      </c>
      <c r="M305" s="1">
        <v>1</v>
      </c>
      <c r="N305" s="1" t="s">
        <v>137</v>
      </c>
      <c r="O305" s="1">
        <v>1</v>
      </c>
      <c r="P305" s="1" t="s">
        <v>2</v>
      </c>
      <c r="Q305" s="22">
        <v>1</v>
      </c>
      <c r="R305" s="9">
        <v>1</v>
      </c>
      <c r="S305" s="1">
        <v>90</v>
      </c>
      <c r="U305" s="1">
        <f>90-Datos_General[[#This Row],[Minutos Jugados]]</f>
        <v>0</v>
      </c>
      <c r="V305" s="1">
        <v>0</v>
      </c>
      <c r="W305" s="1">
        <v>1</v>
      </c>
      <c r="X305" s="1">
        <v>0</v>
      </c>
      <c r="Y305" s="10" t="str">
        <f>+IF(Datos_General[[#This Row],[Resultado]]="Victoria", "3", IF(Datos_General[[#This Row],[Resultado]]="Empate","1",0))</f>
        <v>3</v>
      </c>
      <c r="Z305" s="11">
        <f>+Datos_General[[#This Row],[Minutos Jugados]]*Datos_General[[#This Row],[Puntos Jug_Campo]]</f>
        <v>270</v>
      </c>
      <c r="AA30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05" s="10" t="str">
        <f>+IF(Datos_General[[#This Row],[Resultado Jug_Campo]] = "Empate", "1",IF(Datos_General[[#This Row],[Resultado Jug_Campo]] = "Victoria", "3","0"))</f>
        <v>3</v>
      </c>
    </row>
    <row r="306" spans="1:28">
      <c r="A306" s="1">
        <v>20</v>
      </c>
      <c r="B306" s="6">
        <v>46082</v>
      </c>
      <c r="C306" s="1" t="s">
        <v>133</v>
      </c>
      <c r="D306" s="1" t="s">
        <v>122</v>
      </c>
      <c r="E306" s="10" t="str">
        <f>+CONCATENATE(Datos_General[[#This Row],[Eq.Local]], "-", Datos_General[[#This Row],[Eq.Visitante]])</f>
        <v>Conxo Santiago B-Cidade de Ribeira</v>
      </c>
      <c r="F306" s="1" t="s">
        <v>157</v>
      </c>
      <c r="G306" s="1" t="s">
        <v>57</v>
      </c>
      <c r="H306" s="1" t="s">
        <v>12</v>
      </c>
      <c r="I306" s="9">
        <v>1</v>
      </c>
      <c r="J306" s="9">
        <v>0</v>
      </c>
      <c r="K306" s="10" t="str">
        <f>+CONCATENATE(Datos_General[[#This Row],[Goles a Favor_Eq_local]],"-",Datos_General[[#This Row],[Gol a Favor_Eq_Visitante]])</f>
        <v>1-0</v>
      </c>
      <c r="L306" s="1" t="s">
        <v>133</v>
      </c>
      <c r="M306" s="1">
        <v>2</v>
      </c>
      <c r="N306" s="1" t="s">
        <v>138</v>
      </c>
      <c r="O306" s="1">
        <v>1</v>
      </c>
      <c r="P306" s="1" t="s">
        <v>2</v>
      </c>
      <c r="Q306" s="22">
        <v>1</v>
      </c>
      <c r="R306" s="9">
        <v>1</v>
      </c>
      <c r="S306" s="1">
        <v>90</v>
      </c>
      <c r="U306" s="1">
        <f>90-Datos_General[[#This Row],[Minutos Jugados]]</f>
        <v>0</v>
      </c>
      <c r="V306" s="1">
        <v>0</v>
      </c>
      <c r="W306" s="1">
        <v>1</v>
      </c>
      <c r="X306" s="1">
        <v>0</v>
      </c>
      <c r="Y306" s="10" t="str">
        <f>+IF(Datos_General[[#This Row],[Resultado]]="Victoria", "3", IF(Datos_General[[#This Row],[Resultado]]="Empate","1",0))</f>
        <v>3</v>
      </c>
      <c r="Z306" s="11">
        <f>+Datos_General[[#This Row],[Minutos Jugados]]*Datos_General[[#This Row],[Puntos Jug_Campo]]</f>
        <v>270</v>
      </c>
      <c r="AA30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06" s="10" t="str">
        <f>+IF(Datos_General[[#This Row],[Resultado Jug_Campo]] = "Empate", "1",IF(Datos_General[[#This Row],[Resultado Jug_Campo]] = "Victoria", "3","0"))</f>
        <v>3</v>
      </c>
    </row>
    <row r="307" spans="1:28">
      <c r="A307" s="1">
        <v>20</v>
      </c>
      <c r="B307" s="6">
        <v>46082</v>
      </c>
      <c r="C307" s="1" t="s">
        <v>133</v>
      </c>
      <c r="D307" s="1" t="s">
        <v>122</v>
      </c>
      <c r="E307" s="10" t="str">
        <f>+CONCATENATE(Datos_General[[#This Row],[Eq.Local]], "-", Datos_General[[#This Row],[Eq.Visitante]])</f>
        <v>Conxo Santiago B-Cidade de Ribeira</v>
      </c>
      <c r="F307" s="1" t="s">
        <v>157</v>
      </c>
      <c r="G307" s="1" t="s">
        <v>57</v>
      </c>
      <c r="H307" s="1" t="s">
        <v>12</v>
      </c>
      <c r="I307" s="9">
        <v>1</v>
      </c>
      <c r="J307" s="9">
        <v>0</v>
      </c>
      <c r="K307" s="10" t="str">
        <f>+CONCATENATE(Datos_General[[#This Row],[Goles a Favor_Eq_local]],"-",Datos_General[[#This Row],[Gol a Favor_Eq_Visitante]])</f>
        <v>1-0</v>
      </c>
      <c r="L307" s="1" t="s">
        <v>133</v>
      </c>
      <c r="M307" s="1">
        <v>3</v>
      </c>
      <c r="N307" s="1" t="s">
        <v>163</v>
      </c>
      <c r="O307" s="1">
        <v>1</v>
      </c>
      <c r="P307" s="1" t="s">
        <v>2</v>
      </c>
      <c r="Q307" s="22">
        <v>1</v>
      </c>
      <c r="R307" s="9">
        <v>1</v>
      </c>
      <c r="S307" s="1">
        <v>90</v>
      </c>
      <c r="U307" s="1">
        <f>90-Datos_General[[#This Row],[Minutos Jugados]]</f>
        <v>0</v>
      </c>
      <c r="V307" s="1">
        <v>0</v>
      </c>
      <c r="W307" s="1">
        <v>1</v>
      </c>
      <c r="X307" s="1">
        <v>0</v>
      </c>
      <c r="Y307" s="10" t="str">
        <f>+IF(Datos_General[[#This Row],[Resultado]]="Victoria", "3", IF(Datos_General[[#This Row],[Resultado]]="Empate","1",0))</f>
        <v>3</v>
      </c>
      <c r="Z307" s="11">
        <f>+Datos_General[[#This Row],[Minutos Jugados]]*Datos_General[[#This Row],[Puntos Jug_Campo]]</f>
        <v>270</v>
      </c>
      <c r="AA30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07" s="10" t="str">
        <f>+IF(Datos_General[[#This Row],[Resultado Jug_Campo]] = "Empate", "1",IF(Datos_General[[#This Row],[Resultado Jug_Campo]] = "Victoria", "3","0"))</f>
        <v>3</v>
      </c>
    </row>
    <row r="308" spans="1:28">
      <c r="A308" s="1">
        <v>20</v>
      </c>
      <c r="B308" s="6">
        <v>46082</v>
      </c>
      <c r="C308" s="1" t="s">
        <v>133</v>
      </c>
      <c r="D308" s="1" t="s">
        <v>122</v>
      </c>
      <c r="E308" s="10" t="str">
        <f>+CONCATENATE(Datos_General[[#This Row],[Eq.Local]], "-", Datos_General[[#This Row],[Eq.Visitante]])</f>
        <v>Conxo Santiago B-Cidade de Ribeira</v>
      </c>
      <c r="F308" s="1" t="s">
        <v>157</v>
      </c>
      <c r="G308" s="1" t="s">
        <v>57</v>
      </c>
      <c r="H308" s="1" t="s">
        <v>12</v>
      </c>
      <c r="I308" s="9">
        <v>1</v>
      </c>
      <c r="J308" s="9">
        <v>0</v>
      </c>
      <c r="K308" s="10" t="str">
        <f>+CONCATENATE(Datos_General[[#This Row],[Goles a Favor_Eq_local]],"-",Datos_General[[#This Row],[Gol a Favor_Eq_Visitante]])</f>
        <v>1-0</v>
      </c>
      <c r="L308" s="1" t="s">
        <v>133</v>
      </c>
      <c r="M308" s="1">
        <v>4</v>
      </c>
      <c r="N308" s="1" t="s">
        <v>140</v>
      </c>
      <c r="O308" s="1">
        <v>1</v>
      </c>
      <c r="P308" s="1" t="s">
        <v>2</v>
      </c>
      <c r="Q308" s="22">
        <v>1</v>
      </c>
      <c r="R308" s="9">
        <v>1</v>
      </c>
      <c r="S308" s="1">
        <v>90</v>
      </c>
      <c r="U308" s="1">
        <f>90-Datos_General[[#This Row],[Minutos Jugados]]</f>
        <v>0</v>
      </c>
      <c r="V308" s="1">
        <v>0</v>
      </c>
      <c r="W308" s="1">
        <v>1</v>
      </c>
      <c r="X308" s="1">
        <v>0</v>
      </c>
      <c r="Y308" s="10" t="str">
        <f>+IF(Datos_General[[#This Row],[Resultado]]="Victoria", "3", IF(Datos_General[[#This Row],[Resultado]]="Empate","1",0))</f>
        <v>3</v>
      </c>
      <c r="Z308" s="11">
        <f>+Datos_General[[#This Row],[Minutos Jugados]]*Datos_General[[#This Row],[Puntos Jug_Campo]]</f>
        <v>270</v>
      </c>
      <c r="AA30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08" s="10" t="str">
        <f>+IF(Datos_General[[#This Row],[Resultado Jug_Campo]] = "Empate", "1",IF(Datos_General[[#This Row],[Resultado Jug_Campo]] = "Victoria", "3","0"))</f>
        <v>3</v>
      </c>
    </row>
    <row r="309" spans="1:28">
      <c r="A309" s="1">
        <v>20</v>
      </c>
      <c r="B309" s="6">
        <v>46082</v>
      </c>
      <c r="C309" s="1" t="s">
        <v>133</v>
      </c>
      <c r="D309" s="1" t="s">
        <v>122</v>
      </c>
      <c r="E309" s="10" t="str">
        <f>+CONCATENATE(Datos_General[[#This Row],[Eq.Local]], "-", Datos_General[[#This Row],[Eq.Visitante]])</f>
        <v>Conxo Santiago B-Cidade de Ribeira</v>
      </c>
      <c r="F309" s="1" t="s">
        <v>157</v>
      </c>
      <c r="G309" s="1" t="s">
        <v>57</v>
      </c>
      <c r="H309" s="1" t="s">
        <v>12</v>
      </c>
      <c r="I309" s="9">
        <v>1</v>
      </c>
      <c r="J309" s="9">
        <v>0</v>
      </c>
      <c r="K309" s="10" t="str">
        <f>+CONCATENATE(Datos_General[[#This Row],[Goles a Favor_Eq_local]],"-",Datos_General[[#This Row],[Gol a Favor_Eq_Visitante]])</f>
        <v>1-0</v>
      </c>
      <c r="L309" s="1" t="s">
        <v>133</v>
      </c>
      <c r="M309" s="1">
        <v>5</v>
      </c>
      <c r="N309" s="1" t="s">
        <v>162</v>
      </c>
      <c r="O309" s="1">
        <v>1</v>
      </c>
      <c r="P309" s="1" t="s">
        <v>2</v>
      </c>
      <c r="Q309" s="22">
        <v>1</v>
      </c>
      <c r="R309" s="9">
        <v>1</v>
      </c>
      <c r="S309" s="1">
        <v>90</v>
      </c>
      <c r="U309" s="1">
        <f>90-Datos_General[[#This Row],[Minutos Jugados]]</f>
        <v>0</v>
      </c>
      <c r="V309" s="1">
        <v>1</v>
      </c>
      <c r="W309" s="1">
        <v>1</v>
      </c>
      <c r="X309" s="1">
        <v>0</v>
      </c>
      <c r="Y309" s="10" t="str">
        <f>+IF(Datos_General[[#This Row],[Resultado]]="Victoria", "3", IF(Datos_General[[#This Row],[Resultado]]="Empate","1",0))</f>
        <v>3</v>
      </c>
      <c r="Z309" s="11">
        <f>+Datos_General[[#This Row],[Minutos Jugados]]*Datos_General[[#This Row],[Puntos Jug_Campo]]</f>
        <v>270</v>
      </c>
      <c r="AA30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09" s="10" t="str">
        <f>+IF(Datos_General[[#This Row],[Resultado Jug_Campo]] = "Empate", "1",IF(Datos_General[[#This Row],[Resultado Jug_Campo]] = "Victoria", "3","0"))</f>
        <v>3</v>
      </c>
    </row>
    <row r="310" spans="1:28">
      <c r="A310" s="1">
        <v>20</v>
      </c>
      <c r="B310" s="6">
        <v>46082</v>
      </c>
      <c r="C310" s="1" t="s">
        <v>133</v>
      </c>
      <c r="D310" s="1" t="s">
        <v>122</v>
      </c>
      <c r="E310" s="10" t="str">
        <f>+CONCATENATE(Datos_General[[#This Row],[Eq.Local]], "-", Datos_General[[#This Row],[Eq.Visitante]])</f>
        <v>Conxo Santiago B-Cidade de Ribeira</v>
      </c>
      <c r="F310" s="1" t="s">
        <v>157</v>
      </c>
      <c r="G310" s="1" t="s">
        <v>57</v>
      </c>
      <c r="H310" s="1" t="s">
        <v>12</v>
      </c>
      <c r="I310" s="9">
        <v>1</v>
      </c>
      <c r="J310" s="9">
        <v>0</v>
      </c>
      <c r="K310" s="10" t="str">
        <f>+CONCATENATE(Datos_General[[#This Row],[Goles a Favor_Eq_local]],"-",Datos_General[[#This Row],[Gol a Favor_Eq_Visitante]])</f>
        <v>1-0</v>
      </c>
      <c r="L310" s="1" t="s">
        <v>133</v>
      </c>
      <c r="M310" s="1">
        <v>6</v>
      </c>
      <c r="N310" s="1" t="s">
        <v>144</v>
      </c>
      <c r="O310" s="1">
        <v>1</v>
      </c>
      <c r="P310" s="1" t="s">
        <v>2</v>
      </c>
      <c r="Q310" s="22">
        <v>1</v>
      </c>
      <c r="R310" s="9">
        <v>1</v>
      </c>
      <c r="S310" s="1">
        <v>90</v>
      </c>
      <c r="U310" s="1">
        <f>90-Datos_General[[#This Row],[Minutos Jugados]]</f>
        <v>0</v>
      </c>
      <c r="V310" s="1">
        <v>0</v>
      </c>
      <c r="W310" s="1">
        <v>1</v>
      </c>
      <c r="X310" s="1">
        <v>0</v>
      </c>
      <c r="Y310" s="10" t="str">
        <f>+IF(Datos_General[[#This Row],[Resultado]]="Victoria", "3", IF(Datos_General[[#This Row],[Resultado]]="Empate","1",0))</f>
        <v>3</v>
      </c>
      <c r="Z310" s="11">
        <f>+Datos_General[[#This Row],[Minutos Jugados]]*Datos_General[[#This Row],[Puntos Jug_Campo]]</f>
        <v>270</v>
      </c>
      <c r="AA31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10" s="10" t="str">
        <f>+IF(Datos_General[[#This Row],[Resultado Jug_Campo]] = "Empate", "1",IF(Datos_General[[#This Row],[Resultado Jug_Campo]] = "Victoria", "3","0"))</f>
        <v>3</v>
      </c>
    </row>
    <row r="311" spans="1:28">
      <c r="A311" s="1">
        <v>20</v>
      </c>
      <c r="B311" s="6">
        <v>46082</v>
      </c>
      <c r="C311" s="1" t="s">
        <v>133</v>
      </c>
      <c r="D311" s="1" t="s">
        <v>122</v>
      </c>
      <c r="E311" s="10" t="str">
        <f>+CONCATENATE(Datos_General[[#This Row],[Eq.Local]], "-", Datos_General[[#This Row],[Eq.Visitante]])</f>
        <v>Conxo Santiago B-Cidade de Ribeira</v>
      </c>
      <c r="F311" s="1" t="s">
        <v>157</v>
      </c>
      <c r="G311" s="1" t="s">
        <v>57</v>
      </c>
      <c r="H311" s="1" t="s">
        <v>12</v>
      </c>
      <c r="I311" s="9">
        <v>1</v>
      </c>
      <c r="J311" s="9">
        <v>0</v>
      </c>
      <c r="K311" s="10" t="str">
        <f>+CONCATENATE(Datos_General[[#This Row],[Goles a Favor_Eq_local]],"-",Datos_General[[#This Row],[Gol a Favor_Eq_Visitante]])</f>
        <v>1-0</v>
      </c>
      <c r="L311" s="1" t="s">
        <v>133</v>
      </c>
      <c r="M311" s="1">
        <v>7</v>
      </c>
      <c r="N311" s="1" t="s">
        <v>156</v>
      </c>
      <c r="O311" s="1">
        <v>1</v>
      </c>
      <c r="P311" s="1" t="s">
        <v>2</v>
      </c>
      <c r="Q311" s="22">
        <v>1</v>
      </c>
      <c r="R311" s="9">
        <v>1</v>
      </c>
      <c r="S311" s="1">
        <v>73</v>
      </c>
      <c r="T311" s="1" t="s">
        <v>194</v>
      </c>
      <c r="U311" s="1">
        <f>90-Datos_General[[#This Row],[Minutos Jugados]]</f>
        <v>17</v>
      </c>
      <c r="V311" s="1">
        <v>0</v>
      </c>
      <c r="W311" s="1">
        <v>1</v>
      </c>
      <c r="X311" s="1">
        <v>0</v>
      </c>
      <c r="Y311" s="10" t="str">
        <f>+IF(Datos_General[[#This Row],[Resultado]]="Victoria", "3", IF(Datos_General[[#This Row],[Resultado]]="Empate","1",0))</f>
        <v>3</v>
      </c>
      <c r="Z311" s="11">
        <f>+Datos_General[[#This Row],[Minutos Jugados]]*Datos_General[[#This Row],[Puntos Jug_Campo]]</f>
        <v>219</v>
      </c>
      <c r="AA31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11" s="10" t="str">
        <f>+IF(Datos_General[[#This Row],[Resultado Jug_Campo]] = "Empate", "1",IF(Datos_General[[#This Row],[Resultado Jug_Campo]] = "Victoria", "3","0"))</f>
        <v>3</v>
      </c>
    </row>
    <row r="312" spans="1:28">
      <c r="A312" s="1">
        <v>20</v>
      </c>
      <c r="B312" s="6">
        <v>46082</v>
      </c>
      <c r="C312" s="1" t="s">
        <v>133</v>
      </c>
      <c r="D312" s="1" t="s">
        <v>122</v>
      </c>
      <c r="E312" s="10" t="str">
        <f>+CONCATENATE(Datos_General[[#This Row],[Eq.Local]], "-", Datos_General[[#This Row],[Eq.Visitante]])</f>
        <v>Conxo Santiago B-Cidade de Ribeira</v>
      </c>
      <c r="F312" s="1" t="s">
        <v>157</v>
      </c>
      <c r="G312" s="1" t="s">
        <v>57</v>
      </c>
      <c r="H312" s="1" t="s">
        <v>12</v>
      </c>
      <c r="I312" s="9">
        <v>1</v>
      </c>
      <c r="J312" s="9">
        <v>0</v>
      </c>
      <c r="K312" s="10" t="str">
        <f>+CONCATENATE(Datos_General[[#This Row],[Goles a Favor_Eq_local]],"-",Datos_General[[#This Row],[Gol a Favor_Eq_Visitante]])</f>
        <v>1-0</v>
      </c>
      <c r="L312" s="1" t="s">
        <v>133</v>
      </c>
      <c r="M312" s="1">
        <v>8</v>
      </c>
      <c r="N312" s="1" t="s">
        <v>146</v>
      </c>
      <c r="O312" s="1">
        <v>1</v>
      </c>
      <c r="P312" s="1" t="s">
        <v>2</v>
      </c>
      <c r="Q312" s="22">
        <v>1</v>
      </c>
      <c r="R312" s="9">
        <v>1</v>
      </c>
      <c r="S312" s="1">
        <v>90</v>
      </c>
      <c r="U312" s="1">
        <f>90-Datos_General[[#This Row],[Minutos Jugados]]</f>
        <v>0</v>
      </c>
      <c r="V312" s="1">
        <v>0</v>
      </c>
      <c r="W312" s="1">
        <v>1</v>
      </c>
      <c r="X312" s="1">
        <v>0</v>
      </c>
      <c r="Y312" s="10" t="str">
        <f>+IF(Datos_General[[#This Row],[Resultado]]="Victoria", "3", IF(Datos_General[[#This Row],[Resultado]]="Empate","1",0))</f>
        <v>3</v>
      </c>
      <c r="Z312" s="11">
        <f>+Datos_General[[#This Row],[Minutos Jugados]]*Datos_General[[#This Row],[Puntos Jug_Campo]]</f>
        <v>270</v>
      </c>
      <c r="AA31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12" s="10" t="str">
        <f>+IF(Datos_General[[#This Row],[Resultado Jug_Campo]] = "Empate", "1",IF(Datos_General[[#This Row],[Resultado Jug_Campo]] = "Victoria", "3","0"))</f>
        <v>3</v>
      </c>
    </row>
    <row r="313" spans="1:28">
      <c r="A313" s="1">
        <v>20</v>
      </c>
      <c r="B313" s="6">
        <v>46082</v>
      </c>
      <c r="C313" s="1" t="s">
        <v>133</v>
      </c>
      <c r="D313" s="1" t="s">
        <v>122</v>
      </c>
      <c r="E313" s="10" t="str">
        <f>+CONCATENATE(Datos_General[[#This Row],[Eq.Local]], "-", Datos_General[[#This Row],[Eq.Visitante]])</f>
        <v>Conxo Santiago B-Cidade de Ribeira</v>
      </c>
      <c r="F313" s="1" t="s">
        <v>157</v>
      </c>
      <c r="G313" s="1" t="s">
        <v>57</v>
      </c>
      <c r="H313" s="1" t="s">
        <v>12</v>
      </c>
      <c r="I313" s="9">
        <v>1</v>
      </c>
      <c r="J313" s="9">
        <v>0</v>
      </c>
      <c r="K313" s="10" t="str">
        <f>+CONCATENATE(Datos_General[[#This Row],[Goles a Favor_Eq_local]],"-",Datos_General[[#This Row],[Gol a Favor_Eq_Visitante]])</f>
        <v>1-0</v>
      </c>
      <c r="L313" s="1" t="s">
        <v>133</v>
      </c>
      <c r="M313" s="1">
        <v>9</v>
      </c>
      <c r="N313" s="1" t="s">
        <v>152</v>
      </c>
      <c r="O313" s="1">
        <v>1</v>
      </c>
      <c r="P313" s="1" t="s">
        <v>2</v>
      </c>
      <c r="Q313" s="22">
        <v>1</v>
      </c>
      <c r="R313" s="9">
        <v>1</v>
      </c>
      <c r="S313" s="1">
        <v>90</v>
      </c>
      <c r="U313" s="1">
        <f>90-Datos_General[[#This Row],[Minutos Jugados]]</f>
        <v>0</v>
      </c>
      <c r="V313" s="1">
        <v>0</v>
      </c>
      <c r="W313" s="1">
        <v>1</v>
      </c>
      <c r="X313" s="1">
        <v>0</v>
      </c>
      <c r="Y313" s="10" t="str">
        <f>+IF(Datos_General[[#This Row],[Resultado]]="Victoria", "3", IF(Datos_General[[#This Row],[Resultado]]="Empate","1",0))</f>
        <v>3</v>
      </c>
      <c r="Z313" s="11">
        <f>+Datos_General[[#This Row],[Minutos Jugados]]*Datos_General[[#This Row],[Puntos Jug_Campo]]</f>
        <v>270</v>
      </c>
      <c r="AA31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13" s="10" t="str">
        <f>+IF(Datos_General[[#This Row],[Resultado Jug_Campo]] = "Empate", "1",IF(Datos_General[[#This Row],[Resultado Jug_Campo]] = "Victoria", "3","0"))</f>
        <v>3</v>
      </c>
    </row>
    <row r="314" spans="1:28">
      <c r="A314" s="1">
        <v>20</v>
      </c>
      <c r="B314" s="6">
        <v>46082</v>
      </c>
      <c r="C314" s="1" t="s">
        <v>133</v>
      </c>
      <c r="D314" s="1" t="s">
        <v>122</v>
      </c>
      <c r="E314" s="10" t="str">
        <f>+CONCATENATE(Datos_General[[#This Row],[Eq.Local]], "-", Datos_General[[#This Row],[Eq.Visitante]])</f>
        <v>Conxo Santiago B-Cidade de Ribeira</v>
      </c>
      <c r="F314" s="1" t="s">
        <v>157</v>
      </c>
      <c r="G314" s="1" t="s">
        <v>57</v>
      </c>
      <c r="H314" s="1" t="s">
        <v>12</v>
      </c>
      <c r="I314" s="9">
        <v>1</v>
      </c>
      <c r="J314" s="9">
        <v>0</v>
      </c>
      <c r="K314" s="10" t="str">
        <f>+CONCATENATE(Datos_General[[#This Row],[Goles a Favor_Eq_local]],"-",Datos_General[[#This Row],[Gol a Favor_Eq_Visitante]])</f>
        <v>1-0</v>
      </c>
      <c r="L314" s="1" t="s">
        <v>133</v>
      </c>
      <c r="M314" s="1">
        <v>10</v>
      </c>
      <c r="N314" s="1" t="s">
        <v>166</v>
      </c>
      <c r="O314" s="1">
        <v>1</v>
      </c>
      <c r="P314" s="1" t="s">
        <v>2</v>
      </c>
      <c r="Q314" s="22">
        <v>1</v>
      </c>
      <c r="R314" s="9">
        <v>1</v>
      </c>
      <c r="S314" s="1">
        <v>73</v>
      </c>
      <c r="T314" s="1" t="s">
        <v>139</v>
      </c>
      <c r="U314" s="1">
        <f>90-Datos_General[[#This Row],[Minutos Jugados]]</f>
        <v>17</v>
      </c>
      <c r="V314" s="1">
        <v>0</v>
      </c>
      <c r="W314" s="1">
        <v>1</v>
      </c>
      <c r="X314" s="1">
        <v>0</v>
      </c>
      <c r="Y314" s="10" t="str">
        <f>+IF(Datos_General[[#This Row],[Resultado]]="Victoria", "3", IF(Datos_General[[#This Row],[Resultado]]="Empate","1",0))</f>
        <v>3</v>
      </c>
      <c r="Z314" s="11">
        <f>+Datos_General[[#This Row],[Minutos Jugados]]*Datos_General[[#This Row],[Puntos Jug_Campo]]</f>
        <v>219</v>
      </c>
      <c r="AA31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14" s="10" t="str">
        <f>+IF(Datos_General[[#This Row],[Resultado Jug_Campo]] = "Empate", "1",IF(Datos_General[[#This Row],[Resultado Jug_Campo]] = "Victoria", "3","0"))</f>
        <v>3</v>
      </c>
    </row>
    <row r="315" spans="1:28">
      <c r="A315" s="1">
        <v>20</v>
      </c>
      <c r="B315" s="6">
        <v>46082</v>
      </c>
      <c r="C315" s="1" t="s">
        <v>133</v>
      </c>
      <c r="D315" s="1" t="s">
        <v>122</v>
      </c>
      <c r="E315" s="10" t="str">
        <f>+CONCATENATE(Datos_General[[#This Row],[Eq.Local]], "-", Datos_General[[#This Row],[Eq.Visitante]])</f>
        <v>Conxo Santiago B-Cidade de Ribeira</v>
      </c>
      <c r="F315" s="1" t="s">
        <v>157</v>
      </c>
      <c r="G315" s="1" t="s">
        <v>57</v>
      </c>
      <c r="H315" s="1" t="s">
        <v>12</v>
      </c>
      <c r="I315" s="9">
        <v>1</v>
      </c>
      <c r="J315" s="9">
        <v>0</v>
      </c>
      <c r="K315" s="10" t="str">
        <f>+CONCATENATE(Datos_General[[#This Row],[Goles a Favor_Eq_local]],"-",Datos_General[[#This Row],[Gol a Favor_Eq_Visitante]])</f>
        <v>1-0</v>
      </c>
      <c r="L315" s="1" t="s">
        <v>133</v>
      </c>
      <c r="M315" s="1">
        <v>11</v>
      </c>
      <c r="N315" s="1" t="s">
        <v>151</v>
      </c>
      <c r="O315" s="1">
        <v>1</v>
      </c>
      <c r="P315" s="1" t="s">
        <v>2</v>
      </c>
      <c r="Q315" s="22">
        <v>1</v>
      </c>
      <c r="R315" s="9">
        <v>1</v>
      </c>
      <c r="S315" s="1">
        <v>18</v>
      </c>
      <c r="T315" s="1" t="s">
        <v>198</v>
      </c>
      <c r="U315" s="1">
        <f>66-12</f>
        <v>54</v>
      </c>
      <c r="V315" s="1">
        <v>0</v>
      </c>
      <c r="W315" s="1">
        <v>0</v>
      </c>
      <c r="X315" s="1">
        <v>0</v>
      </c>
      <c r="Y315" s="10" t="str">
        <f>+IF(Datos_General[[#This Row],[Resultado]]="Victoria", "3", IF(Datos_General[[#This Row],[Resultado]]="Empate","1",0))</f>
        <v>3</v>
      </c>
      <c r="Z315" s="11">
        <f>+Datos_General[[#This Row],[Minutos Jugados]]*Datos_General[[#This Row],[Puntos Jug_Campo]]</f>
        <v>18</v>
      </c>
      <c r="AA31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315" s="10" t="str">
        <f>+IF(Datos_General[[#This Row],[Resultado Jug_Campo]] = "Empate", "1",IF(Datos_General[[#This Row],[Resultado Jug_Campo]] = "Victoria", "3","0"))</f>
        <v>1</v>
      </c>
    </row>
    <row r="316" spans="1:28">
      <c r="A316" s="1">
        <v>20</v>
      </c>
      <c r="B316" s="6">
        <v>46082</v>
      </c>
      <c r="C316" s="1" t="s">
        <v>133</v>
      </c>
      <c r="D316" s="1" t="s">
        <v>122</v>
      </c>
      <c r="E316" s="10" t="str">
        <f>+CONCATENATE(Datos_General[[#This Row],[Eq.Local]], "-", Datos_General[[#This Row],[Eq.Visitante]])</f>
        <v>Conxo Santiago B-Cidade de Ribeira</v>
      </c>
      <c r="F316" s="1" t="s">
        <v>157</v>
      </c>
      <c r="G316" s="1" t="s">
        <v>57</v>
      </c>
      <c r="H316" s="1" t="s">
        <v>12</v>
      </c>
      <c r="I316" s="9">
        <v>1</v>
      </c>
      <c r="J316" s="9">
        <v>0</v>
      </c>
      <c r="K316" s="10" t="str">
        <f>+CONCATENATE(Datos_General[[#This Row],[Goles a Favor_Eq_local]],"-",Datos_General[[#This Row],[Gol a Favor_Eq_Visitante]])</f>
        <v>1-0</v>
      </c>
      <c r="L316" s="1" t="s">
        <v>133</v>
      </c>
      <c r="M316" s="1">
        <v>13</v>
      </c>
      <c r="N316" s="1" t="s">
        <v>148</v>
      </c>
      <c r="O316" s="1">
        <v>1</v>
      </c>
      <c r="P316" s="1" t="s">
        <v>70</v>
      </c>
      <c r="Q316" s="7">
        <f>+IF(Datos_General[[#This Row],[Minutos Jugados]]&gt;0, 1, 0)</f>
        <v>0</v>
      </c>
      <c r="R316" s="23">
        <v>0</v>
      </c>
      <c r="S316" s="8">
        <f>IFERROR(IF(MATCH(N316,$T$305:$T$320,0), INDEX($U$305:$U$320,MATCH(N316,$T$305:$T$320,0))),0)</f>
        <v>0</v>
      </c>
      <c r="U316" s="1">
        <f>90-Datos_General[[#This Row],[Minutos Jugados]]</f>
        <v>90</v>
      </c>
      <c r="V316" s="1">
        <v>0</v>
      </c>
      <c r="W316" s="1">
        <v>0</v>
      </c>
      <c r="X316" s="1">
        <v>0</v>
      </c>
      <c r="Y316" s="10" t="str">
        <f>+IF(Datos_General[[#This Row],[Resultado]]="Victoria", "3", IF(Datos_General[[#This Row],[Resultado]]="Empate","1",0))</f>
        <v>3</v>
      </c>
      <c r="Z316" s="11">
        <f>+Datos_General[[#This Row],[Minutos Jugados]]*Datos_General[[#This Row],[Puntos Jug_Campo]]</f>
        <v>0</v>
      </c>
      <c r="AA31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316" s="10" t="str">
        <f>+IF(Datos_General[[#This Row],[Resultado Jug_Campo]] = "Empate", "1",IF(Datos_General[[#This Row],[Resultado Jug_Campo]] = "Victoria", "3","0"))</f>
        <v>0</v>
      </c>
    </row>
    <row r="317" spans="1:28">
      <c r="A317" s="1">
        <v>20</v>
      </c>
      <c r="B317" s="6">
        <v>46082</v>
      </c>
      <c r="C317" s="1" t="s">
        <v>133</v>
      </c>
      <c r="D317" s="1" t="s">
        <v>122</v>
      </c>
      <c r="E317" s="10" t="str">
        <f>+CONCATENATE(Datos_General[[#This Row],[Eq.Local]], "-", Datos_General[[#This Row],[Eq.Visitante]])</f>
        <v>Conxo Santiago B-Cidade de Ribeira</v>
      </c>
      <c r="F317" s="1" t="s">
        <v>157</v>
      </c>
      <c r="G317" s="1" t="s">
        <v>57</v>
      </c>
      <c r="H317" s="1" t="s">
        <v>12</v>
      </c>
      <c r="I317" s="9">
        <v>1</v>
      </c>
      <c r="J317" s="9">
        <v>0</v>
      </c>
      <c r="K317" s="10" t="str">
        <f>+CONCATENATE(Datos_General[[#This Row],[Goles a Favor_Eq_local]],"-",Datos_General[[#This Row],[Gol a Favor_Eq_Visitante]])</f>
        <v>1-0</v>
      </c>
      <c r="L317" s="1" t="s">
        <v>133</v>
      </c>
      <c r="M317" s="1">
        <v>12</v>
      </c>
      <c r="N317" s="1" t="s">
        <v>198</v>
      </c>
      <c r="O317" s="1">
        <v>1</v>
      </c>
      <c r="P317" s="1" t="s">
        <v>70</v>
      </c>
      <c r="Q317" s="7">
        <f>+IF(Datos_General[[#This Row],[Minutos Jugados]]&gt;0, 1, 0)</f>
        <v>1</v>
      </c>
      <c r="R317" s="23">
        <v>0</v>
      </c>
      <c r="S317" s="8">
        <f t="shared" ref="S317:S320" si="11">IFERROR(IF(MATCH(N317,$T$305:$T$320,0), INDEX($U$305:$U$320,MATCH(N317,$T$305:$T$320,0))),0)</f>
        <v>54</v>
      </c>
      <c r="T317" s="1" t="s">
        <v>150</v>
      </c>
      <c r="U317" s="1">
        <f>90-54</f>
        <v>36</v>
      </c>
      <c r="V317" s="1">
        <v>0</v>
      </c>
      <c r="W317" s="1">
        <v>1</v>
      </c>
      <c r="X317" s="1">
        <v>0</v>
      </c>
      <c r="Y317" s="10" t="str">
        <f>+IF(Datos_General[[#This Row],[Resultado]]="Victoria", "3", IF(Datos_General[[#This Row],[Resultado]]="Empate","1",0))</f>
        <v>3</v>
      </c>
      <c r="Z317" s="11">
        <f>+Datos_General[[#This Row],[Minutos Jugados]]*Datos_General[[#This Row],[Puntos Jug_Campo]]</f>
        <v>162</v>
      </c>
      <c r="AA31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17" s="10" t="str">
        <f>+IF(Datos_General[[#This Row],[Resultado Jug_Campo]] = "Empate", "1",IF(Datos_General[[#This Row],[Resultado Jug_Campo]] = "Victoria", "3","0"))</f>
        <v>3</v>
      </c>
    </row>
    <row r="318" spans="1:28">
      <c r="A318" s="1">
        <v>20</v>
      </c>
      <c r="B318" s="6">
        <v>46082</v>
      </c>
      <c r="C318" s="1" t="s">
        <v>133</v>
      </c>
      <c r="D318" s="1" t="s">
        <v>122</v>
      </c>
      <c r="E318" s="10" t="str">
        <f>+CONCATENATE(Datos_General[[#This Row],[Eq.Local]], "-", Datos_General[[#This Row],[Eq.Visitante]])</f>
        <v>Conxo Santiago B-Cidade de Ribeira</v>
      </c>
      <c r="F318" s="1" t="s">
        <v>157</v>
      </c>
      <c r="G318" s="1" t="s">
        <v>57</v>
      </c>
      <c r="H318" s="1" t="s">
        <v>12</v>
      </c>
      <c r="I318" s="9">
        <v>1</v>
      </c>
      <c r="J318" s="9">
        <v>0</v>
      </c>
      <c r="K318" s="10" t="str">
        <f>+CONCATENATE(Datos_General[[#This Row],[Goles a Favor_Eq_local]],"-",Datos_General[[#This Row],[Gol a Favor_Eq_Visitante]])</f>
        <v>1-0</v>
      </c>
      <c r="L318" s="1" t="s">
        <v>133</v>
      </c>
      <c r="M318" s="1">
        <v>14</v>
      </c>
      <c r="N318" s="1" t="s">
        <v>150</v>
      </c>
      <c r="O318" s="1">
        <v>1</v>
      </c>
      <c r="P318" s="1" t="s">
        <v>70</v>
      </c>
      <c r="Q318" s="7">
        <f>+IF(Datos_General[[#This Row],[Minutos Jugados]]&gt;0, 1, 0)</f>
        <v>1</v>
      </c>
      <c r="R318" s="23">
        <v>0</v>
      </c>
      <c r="S318" s="8">
        <f t="shared" si="11"/>
        <v>36</v>
      </c>
      <c r="U318" s="1">
        <f>90-Datos_General[[#This Row],[Minutos Jugados]]</f>
        <v>54</v>
      </c>
      <c r="V318" s="1">
        <v>0</v>
      </c>
      <c r="W318" s="1">
        <v>0</v>
      </c>
      <c r="X318" s="1">
        <v>0</v>
      </c>
      <c r="Y318" s="10" t="str">
        <f>+IF(Datos_General[[#This Row],[Resultado]]="Victoria", "3", IF(Datos_General[[#This Row],[Resultado]]="Empate","1",0))</f>
        <v>3</v>
      </c>
      <c r="Z318" s="11">
        <f>+Datos_General[[#This Row],[Minutos Jugados]]*Datos_General[[#This Row],[Puntos Jug_Campo]]</f>
        <v>36</v>
      </c>
      <c r="AA31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318" s="10" t="str">
        <f>+IF(Datos_General[[#This Row],[Resultado Jug_Campo]] = "Empate", "1",IF(Datos_General[[#This Row],[Resultado Jug_Campo]] = "Victoria", "3","0"))</f>
        <v>1</v>
      </c>
    </row>
    <row r="319" spans="1:28">
      <c r="A319" s="1">
        <v>20</v>
      </c>
      <c r="B319" s="6">
        <v>46082</v>
      </c>
      <c r="C319" s="1" t="s">
        <v>133</v>
      </c>
      <c r="D319" s="1" t="s">
        <v>122</v>
      </c>
      <c r="E319" s="10" t="str">
        <f>+CONCATENATE(Datos_General[[#This Row],[Eq.Local]], "-", Datos_General[[#This Row],[Eq.Visitante]])</f>
        <v>Conxo Santiago B-Cidade de Ribeira</v>
      </c>
      <c r="F319" s="1" t="s">
        <v>157</v>
      </c>
      <c r="G319" s="1" t="s">
        <v>57</v>
      </c>
      <c r="H319" s="1" t="s">
        <v>12</v>
      </c>
      <c r="I319" s="9">
        <v>1</v>
      </c>
      <c r="J319" s="9">
        <v>0</v>
      </c>
      <c r="K319" s="10" t="str">
        <f>+CONCATENATE(Datos_General[[#This Row],[Goles a Favor_Eq_local]],"-",Datos_General[[#This Row],[Gol a Favor_Eq_Visitante]])</f>
        <v>1-0</v>
      </c>
      <c r="L319" s="1" t="s">
        <v>133</v>
      </c>
      <c r="M319" s="1">
        <v>15</v>
      </c>
      <c r="N319" s="1" t="s">
        <v>194</v>
      </c>
      <c r="O319" s="1">
        <v>1</v>
      </c>
      <c r="P319" s="1" t="s">
        <v>70</v>
      </c>
      <c r="Q319" s="7">
        <f>+IF(Datos_General[[#This Row],[Minutos Jugados]]&gt;0, 1, 0)</f>
        <v>1</v>
      </c>
      <c r="R319" s="23">
        <v>0</v>
      </c>
      <c r="S319" s="8">
        <f t="shared" si="11"/>
        <v>17</v>
      </c>
      <c r="U319" s="1">
        <f>90-Datos_General[[#This Row],[Minutos Jugados]]</f>
        <v>73</v>
      </c>
      <c r="V319" s="1">
        <v>0</v>
      </c>
      <c r="W319" s="1">
        <v>0</v>
      </c>
      <c r="X319" s="1">
        <v>0</v>
      </c>
      <c r="Y319" s="10" t="str">
        <f>+IF(Datos_General[[#This Row],[Resultado]]="Victoria", "3", IF(Datos_General[[#This Row],[Resultado]]="Empate","1",0))</f>
        <v>3</v>
      </c>
      <c r="Z319" s="11">
        <f>+Datos_General[[#This Row],[Minutos Jugados]]*Datos_General[[#This Row],[Puntos Jug_Campo]]</f>
        <v>17</v>
      </c>
      <c r="AA31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319" s="10" t="str">
        <f>+IF(Datos_General[[#This Row],[Resultado Jug_Campo]] = "Empate", "1",IF(Datos_General[[#This Row],[Resultado Jug_Campo]] = "Victoria", "3","0"))</f>
        <v>1</v>
      </c>
    </row>
    <row r="320" spans="1:28">
      <c r="A320" s="1">
        <v>20</v>
      </c>
      <c r="B320" s="6">
        <v>46082</v>
      </c>
      <c r="C320" s="1" t="s">
        <v>133</v>
      </c>
      <c r="D320" s="1" t="s">
        <v>122</v>
      </c>
      <c r="E320" s="10" t="str">
        <f>+CONCATENATE(Datos_General[[#This Row],[Eq.Local]], "-", Datos_General[[#This Row],[Eq.Visitante]])</f>
        <v>Conxo Santiago B-Cidade de Ribeira</v>
      </c>
      <c r="F320" s="1" t="s">
        <v>157</v>
      </c>
      <c r="G320" s="1" t="s">
        <v>57</v>
      </c>
      <c r="H320" s="1" t="s">
        <v>12</v>
      </c>
      <c r="I320" s="9">
        <v>1</v>
      </c>
      <c r="J320" s="9">
        <v>0</v>
      </c>
      <c r="K320" s="10" t="str">
        <f>+CONCATENATE(Datos_General[[#This Row],[Goles a Favor_Eq_local]],"-",Datos_General[[#This Row],[Gol a Favor_Eq_Visitante]])</f>
        <v>1-0</v>
      </c>
      <c r="L320" s="1" t="s">
        <v>133</v>
      </c>
      <c r="M320" s="1">
        <v>16</v>
      </c>
      <c r="N320" s="1" t="s">
        <v>139</v>
      </c>
      <c r="O320" s="1">
        <v>1</v>
      </c>
      <c r="P320" s="1" t="s">
        <v>70</v>
      </c>
      <c r="Q320" s="7">
        <f>+IF(Datos_General[[#This Row],[Minutos Jugados]]&gt;0, 1, 0)</f>
        <v>1</v>
      </c>
      <c r="R320" s="23">
        <v>0</v>
      </c>
      <c r="S320" s="8">
        <f t="shared" si="11"/>
        <v>17</v>
      </c>
      <c r="U320" s="1">
        <f>90-Datos_General[[#This Row],[Minutos Jugados]]</f>
        <v>73</v>
      </c>
      <c r="V320" s="1">
        <v>0</v>
      </c>
      <c r="W320" s="1">
        <v>0</v>
      </c>
      <c r="X320" s="1">
        <v>0</v>
      </c>
      <c r="Y320" s="10" t="str">
        <f>+IF(Datos_General[[#This Row],[Resultado]]="Victoria", "3", IF(Datos_General[[#This Row],[Resultado]]="Empate","1",0))</f>
        <v>3</v>
      </c>
      <c r="Z320" s="11">
        <f>+Datos_General[[#This Row],[Minutos Jugados]]*Datos_General[[#This Row],[Puntos Jug_Campo]]</f>
        <v>17</v>
      </c>
      <c r="AA32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320" s="10" t="str">
        <f>+IF(Datos_General[[#This Row],[Resultado Jug_Campo]] = "Empate", "1",IF(Datos_General[[#This Row],[Resultado Jug_Campo]] = "Victoria", "3","0"))</f>
        <v>1</v>
      </c>
    </row>
    <row r="321" spans="1:28">
      <c r="A321" s="1">
        <v>21</v>
      </c>
      <c r="B321" s="6">
        <v>46088</v>
      </c>
      <c r="C321" s="1" t="s">
        <v>126</v>
      </c>
      <c r="D321" s="1" t="s">
        <v>133</v>
      </c>
      <c r="E321" s="10" t="str">
        <f>+CONCATENATE(Datos_General[[#This Row],[Eq.Local]], "-", Datos_General[[#This Row],[Eq.Visitante]])</f>
        <v>Porriño Industrial-Conxo Santiago B</v>
      </c>
      <c r="F321" s="1" t="s">
        <v>203</v>
      </c>
      <c r="G321" s="1" t="s">
        <v>58</v>
      </c>
      <c r="H321" s="1" t="s">
        <v>43</v>
      </c>
      <c r="I321" s="9">
        <v>6</v>
      </c>
      <c r="J321" s="9">
        <v>3</v>
      </c>
      <c r="K321" s="10" t="str">
        <f>+CONCATENATE(Datos_General[[#This Row],[Goles a Favor_Eq_local]],"-",Datos_General[[#This Row],[Gol a Favor_Eq_Visitante]])</f>
        <v>6-3</v>
      </c>
      <c r="L321" s="1" t="s">
        <v>133</v>
      </c>
      <c r="M321" s="1">
        <v>1</v>
      </c>
      <c r="N321" s="1" t="s">
        <v>137</v>
      </c>
      <c r="O321" s="1">
        <v>1</v>
      </c>
      <c r="P321" s="1" t="s">
        <v>2</v>
      </c>
      <c r="Q321" s="22">
        <v>1</v>
      </c>
      <c r="R321" s="9">
        <v>1</v>
      </c>
      <c r="S321" s="1">
        <v>90</v>
      </c>
      <c r="U321" s="1">
        <f>90-Datos_General[[#This Row],[Minutos Jugados]]</f>
        <v>0</v>
      </c>
      <c r="V321" s="1">
        <v>0</v>
      </c>
      <c r="W321" s="1">
        <v>3</v>
      </c>
      <c r="X321" s="1">
        <v>6</v>
      </c>
      <c r="Y321" s="10">
        <f>+IF(Datos_General[[#This Row],[Resultado]]="Victoria", "3", IF(Datos_General[[#This Row],[Resultado]]="Empate","1",0))</f>
        <v>0</v>
      </c>
      <c r="Z321" s="11">
        <f>+Datos_General[[#This Row],[Minutos Jugados]]*Datos_General[[#This Row],[Puntos Jug_Campo]]</f>
        <v>0</v>
      </c>
      <c r="AA32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1" s="10" t="str">
        <f>+IF(Datos_General[[#This Row],[Resultado Jug_Campo]] = "Empate", "1",IF(Datos_General[[#This Row],[Resultado Jug_Campo]] = "Victoria", "3","0"))</f>
        <v>0</v>
      </c>
    </row>
    <row r="322" spans="1:28">
      <c r="A322" s="1">
        <v>21</v>
      </c>
      <c r="B322" s="6">
        <v>46088</v>
      </c>
      <c r="C322" s="1" t="s">
        <v>126</v>
      </c>
      <c r="D322" s="1" t="s">
        <v>133</v>
      </c>
      <c r="E322" s="10" t="str">
        <f>+CONCATENATE(Datos_General[[#This Row],[Eq.Local]], "-", Datos_General[[#This Row],[Eq.Visitante]])</f>
        <v>Porriño Industrial-Conxo Santiago B</v>
      </c>
      <c r="F322" s="1" t="s">
        <v>203</v>
      </c>
      <c r="G322" s="1" t="s">
        <v>58</v>
      </c>
      <c r="H322" s="1" t="s">
        <v>43</v>
      </c>
      <c r="I322" s="9">
        <v>6</v>
      </c>
      <c r="J322" s="9">
        <v>3</v>
      </c>
      <c r="K322" s="10" t="str">
        <f>+CONCATENATE(Datos_General[[#This Row],[Goles a Favor_Eq_local]],"-",Datos_General[[#This Row],[Gol a Favor_Eq_Visitante]])</f>
        <v>6-3</v>
      </c>
      <c r="L322" s="1" t="s">
        <v>133</v>
      </c>
      <c r="M322" s="1">
        <v>2</v>
      </c>
      <c r="N322" s="1" t="s">
        <v>138</v>
      </c>
      <c r="O322" s="1">
        <v>1</v>
      </c>
      <c r="P322" s="1" t="s">
        <v>2</v>
      </c>
      <c r="Q322" s="22">
        <v>1</v>
      </c>
      <c r="R322" s="9">
        <v>1</v>
      </c>
      <c r="S322" s="1">
        <v>90</v>
      </c>
      <c r="U322" s="1">
        <f>90-Datos_General[[#This Row],[Minutos Jugados]]</f>
        <v>0</v>
      </c>
      <c r="V322" s="1">
        <v>1</v>
      </c>
      <c r="W322" s="1">
        <v>3</v>
      </c>
      <c r="X322" s="1">
        <v>6</v>
      </c>
      <c r="Y322" s="10">
        <f>+IF(Datos_General[[#This Row],[Resultado]]="Victoria", "3", IF(Datos_General[[#This Row],[Resultado]]="Empate","1",0))</f>
        <v>0</v>
      </c>
      <c r="Z322" s="11">
        <f>+Datos_General[[#This Row],[Minutos Jugados]]*Datos_General[[#This Row],[Puntos Jug_Campo]]</f>
        <v>0</v>
      </c>
      <c r="AA32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2" s="10" t="str">
        <f>+IF(Datos_General[[#This Row],[Resultado Jug_Campo]] = "Empate", "1",IF(Datos_General[[#This Row],[Resultado Jug_Campo]] = "Victoria", "3","0"))</f>
        <v>0</v>
      </c>
    </row>
    <row r="323" spans="1:28">
      <c r="A323" s="1">
        <v>21</v>
      </c>
      <c r="B323" s="6">
        <v>46088</v>
      </c>
      <c r="C323" s="1" t="s">
        <v>126</v>
      </c>
      <c r="D323" s="1" t="s">
        <v>133</v>
      </c>
      <c r="E323" s="10" t="str">
        <f>+CONCATENATE(Datos_General[[#This Row],[Eq.Local]], "-", Datos_General[[#This Row],[Eq.Visitante]])</f>
        <v>Porriño Industrial-Conxo Santiago B</v>
      </c>
      <c r="F323" s="1" t="s">
        <v>203</v>
      </c>
      <c r="G323" s="1" t="s">
        <v>58</v>
      </c>
      <c r="H323" s="1" t="s">
        <v>43</v>
      </c>
      <c r="I323" s="9">
        <v>6</v>
      </c>
      <c r="J323" s="9">
        <v>3</v>
      </c>
      <c r="K323" s="10" t="str">
        <f>+CONCATENATE(Datos_General[[#This Row],[Goles a Favor_Eq_local]],"-",Datos_General[[#This Row],[Gol a Favor_Eq_Visitante]])</f>
        <v>6-3</v>
      </c>
      <c r="L323" s="1" t="s">
        <v>133</v>
      </c>
      <c r="M323" s="1">
        <v>3</v>
      </c>
      <c r="N323" s="1" t="s">
        <v>163</v>
      </c>
      <c r="O323" s="1">
        <v>1</v>
      </c>
      <c r="P323" s="1" t="s">
        <v>2</v>
      </c>
      <c r="Q323" s="22">
        <v>1</v>
      </c>
      <c r="R323" s="9">
        <v>1</v>
      </c>
      <c r="S323" s="1">
        <v>51</v>
      </c>
      <c r="T323" s="1" t="s">
        <v>165</v>
      </c>
      <c r="U323" s="1">
        <f>90-Datos_General[[#This Row],[Minutos Jugados]]</f>
        <v>39</v>
      </c>
      <c r="V323" s="1">
        <v>0</v>
      </c>
      <c r="W323" s="1">
        <v>2</v>
      </c>
      <c r="X323" s="1">
        <v>3</v>
      </c>
      <c r="Y323" s="10">
        <f>+IF(Datos_General[[#This Row],[Resultado]]="Victoria", "3", IF(Datos_General[[#This Row],[Resultado]]="Empate","1",0))</f>
        <v>0</v>
      </c>
      <c r="Z323" s="11">
        <f>+Datos_General[[#This Row],[Minutos Jugados]]*Datos_General[[#This Row],[Puntos Jug_Campo]]</f>
        <v>0</v>
      </c>
      <c r="AA32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3" s="10" t="str">
        <f>+IF(Datos_General[[#This Row],[Resultado Jug_Campo]] = "Empate", "1",IF(Datos_General[[#This Row],[Resultado Jug_Campo]] = "Victoria", "3","0"))</f>
        <v>0</v>
      </c>
    </row>
    <row r="324" spans="1:28">
      <c r="A324" s="1">
        <v>21</v>
      </c>
      <c r="B324" s="6">
        <v>46088</v>
      </c>
      <c r="C324" s="1" t="s">
        <v>126</v>
      </c>
      <c r="D324" s="1" t="s">
        <v>133</v>
      </c>
      <c r="E324" s="10" t="str">
        <f>+CONCATENATE(Datos_General[[#This Row],[Eq.Local]], "-", Datos_General[[#This Row],[Eq.Visitante]])</f>
        <v>Porriño Industrial-Conxo Santiago B</v>
      </c>
      <c r="F324" s="1" t="s">
        <v>203</v>
      </c>
      <c r="G324" s="1" t="s">
        <v>58</v>
      </c>
      <c r="H324" s="1" t="s">
        <v>43</v>
      </c>
      <c r="I324" s="9">
        <v>6</v>
      </c>
      <c r="J324" s="9">
        <v>3</v>
      </c>
      <c r="K324" s="10" t="str">
        <f>+CONCATENATE(Datos_General[[#This Row],[Goles a Favor_Eq_local]],"-",Datos_General[[#This Row],[Gol a Favor_Eq_Visitante]])</f>
        <v>6-3</v>
      </c>
      <c r="L324" s="1" t="s">
        <v>133</v>
      </c>
      <c r="M324" s="1">
        <v>4</v>
      </c>
      <c r="N324" s="1" t="s">
        <v>140</v>
      </c>
      <c r="O324" s="1">
        <v>1</v>
      </c>
      <c r="P324" s="1" t="s">
        <v>2</v>
      </c>
      <c r="Q324" s="22">
        <v>1</v>
      </c>
      <c r="R324" s="9">
        <v>1</v>
      </c>
      <c r="S324" s="1">
        <v>90</v>
      </c>
      <c r="U324" s="1">
        <f>90-Datos_General[[#This Row],[Minutos Jugados]]</f>
        <v>0</v>
      </c>
      <c r="V324" s="1">
        <v>0</v>
      </c>
      <c r="W324" s="1">
        <v>3</v>
      </c>
      <c r="X324" s="1">
        <v>6</v>
      </c>
      <c r="Y324" s="10">
        <f>+IF(Datos_General[[#This Row],[Resultado]]="Victoria", "3", IF(Datos_General[[#This Row],[Resultado]]="Empate","1",0))</f>
        <v>0</v>
      </c>
      <c r="Z324" s="11">
        <f>+Datos_General[[#This Row],[Minutos Jugados]]*Datos_General[[#This Row],[Puntos Jug_Campo]]</f>
        <v>0</v>
      </c>
      <c r="AA32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4" s="10" t="str">
        <f>+IF(Datos_General[[#This Row],[Resultado Jug_Campo]] = "Empate", "1",IF(Datos_General[[#This Row],[Resultado Jug_Campo]] = "Victoria", "3","0"))</f>
        <v>0</v>
      </c>
    </row>
    <row r="325" spans="1:28">
      <c r="A325" s="1">
        <v>21</v>
      </c>
      <c r="B325" s="6">
        <v>46088</v>
      </c>
      <c r="C325" s="1" t="s">
        <v>126</v>
      </c>
      <c r="D325" s="1" t="s">
        <v>133</v>
      </c>
      <c r="E325" s="10" t="str">
        <f>+CONCATENATE(Datos_General[[#This Row],[Eq.Local]], "-", Datos_General[[#This Row],[Eq.Visitante]])</f>
        <v>Porriño Industrial-Conxo Santiago B</v>
      </c>
      <c r="F325" s="1" t="s">
        <v>203</v>
      </c>
      <c r="G325" s="1" t="s">
        <v>58</v>
      </c>
      <c r="H325" s="1" t="s">
        <v>43</v>
      </c>
      <c r="I325" s="9">
        <v>6</v>
      </c>
      <c r="J325" s="9">
        <v>3</v>
      </c>
      <c r="K325" s="10" t="str">
        <f>+CONCATENATE(Datos_General[[#This Row],[Goles a Favor_Eq_local]],"-",Datos_General[[#This Row],[Gol a Favor_Eq_Visitante]])</f>
        <v>6-3</v>
      </c>
      <c r="L325" s="1" t="s">
        <v>133</v>
      </c>
      <c r="M325" s="1">
        <v>5</v>
      </c>
      <c r="N325" s="1" t="s">
        <v>199</v>
      </c>
      <c r="O325" s="1">
        <v>1</v>
      </c>
      <c r="P325" s="1" t="s">
        <v>2</v>
      </c>
      <c r="Q325" s="22">
        <v>1</v>
      </c>
      <c r="R325" s="9">
        <v>1</v>
      </c>
      <c r="S325" s="1">
        <v>90</v>
      </c>
      <c r="U325" s="1">
        <f>90-Datos_General[[#This Row],[Minutos Jugados]]</f>
        <v>0</v>
      </c>
      <c r="V325" s="1">
        <v>0</v>
      </c>
      <c r="W325" s="1">
        <v>3</v>
      </c>
      <c r="X325" s="1">
        <v>6</v>
      </c>
      <c r="Y325" s="10">
        <f>+IF(Datos_General[[#This Row],[Resultado]]="Victoria", "3", IF(Datos_General[[#This Row],[Resultado]]="Empate","1",0))</f>
        <v>0</v>
      </c>
      <c r="Z325" s="11">
        <f>+Datos_General[[#This Row],[Minutos Jugados]]*Datos_General[[#This Row],[Puntos Jug_Campo]]</f>
        <v>0</v>
      </c>
      <c r="AA32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5" s="10" t="str">
        <f>+IF(Datos_General[[#This Row],[Resultado Jug_Campo]] = "Empate", "1",IF(Datos_General[[#This Row],[Resultado Jug_Campo]] = "Victoria", "3","0"))</f>
        <v>0</v>
      </c>
    </row>
    <row r="326" spans="1:28">
      <c r="A326" s="1">
        <v>21</v>
      </c>
      <c r="B326" s="6">
        <v>46088</v>
      </c>
      <c r="C326" s="1" t="s">
        <v>126</v>
      </c>
      <c r="D326" s="1" t="s">
        <v>133</v>
      </c>
      <c r="E326" s="10" t="str">
        <f>+CONCATENATE(Datos_General[[#This Row],[Eq.Local]], "-", Datos_General[[#This Row],[Eq.Visitante]])</f>
        <v>Porriño Industrial-Conxo Santiago B</v>
      </c>
      <c r="F326" s="1" t="s">
        <v>203</v>
      </c>
      <c r="G326" s="1" t="s">
        <v>58</v>
      </c>
      <c r="H326" s="1" t="s">
        <v>43</v>
      </c>
      <c r="I326" s="9">
        <v>6</v>
      </c>
      <c r="J326" s="9">
        <v>3</v>
      </c>
      <c r="K326" s="10" t="str">
        <f>+CONCATENATE(Datos_General[[#This Row],[Goles a Favor_Eq_local]],"-",Datos_General[[#This Row],[Gol a Favor_Eq_Visitante]])</f>
        <v>6-3</v>
      </c>
      <c r="L326" s="1" t="s">
        <v>133</v>
      </c>
      <c r="M326" s="1">
        <v>6</v>
      </c>
      <c r="N326" s="1" t="s">
        <v>144</v>
      </c>
      <c r="O326" s="1">
        <v>1</v>
      </c>
      <c r="P326" s="1" t="s">
        <v>2</v>
      </c>
      <c r="Q326" s="22">
        <v>1</v>
      </c>
      <c r="R326" s="9">
        <v>1</v>
      </c>
      <c r="S326" s="1">
        <v>90</v>
      </c>
      <c r="U326" s="1">
        <f>90-Datos_General[[#This Row],[Minutos Jugados]]</f>
        <v>0</v>
      </c>
      <c r="V326" s="1">
        <v>1</v>
      </c>
      <c r="W326" s="1">
        <v>3</v>
      </c>
      <c r="X326" s="1">
        <v>6</v>
      </c>
      <c r="Y326" s="10">
        <f>+IF(Datos_General[[#This Row],[Resultado]]="Victoria", "3", IF(Datos_General[[#This Row],[Resultado]]="Empate","1",0))</f>
        <v>0</v>
      </c>
      <c r="Z326" s="11">
        <f>+Datos_General[[#This Row],[Minutos Jugados]]*Datos_General[[#This Row],[Puntos Jug_Campo]]</f>
        <v>0</v>
      </c>
      <c r="AA32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6" s="10" t="str">
        <f>+IF(Datos_General[[#This Row],[Resultado Jug_Campo]] = "Empate", "1",IF(Datos_General[[#This Row],[Resultado Jug_Campo]] = "Victoria", "3","0"))</f>
        <v>0</v>
      </c>
    </row>
    <row r="327" spans="1:28">
      <c r="A327" s="1">
        <v>21</v>
      </c>
      <c r="B327" s="6">
        <v>46088</v>
      </c>
      <c r="C327" s="1" t="s">
        <v>126</v>
      </c>
      <c r="D327" s="1" t="s">
        <v>133</v>
      </c>
      <c r="E327" s="10" t="str">
        <f>+CONCATENATE(Datos_General[[#This Row],[Eq.Local]], "-", Datos_General[[#This Row],[Eq.Visitante]])</f>
        <v>Porriño Industrial-Conxo Santiago B</v>
      </c>
      <c r="F327" s="1" t="s">
        <v>203</v>
      </c>
      <c r="G327" s="1" t="s">
        <v>58</v>
      </c>
      <c r="H327" s="1" t="s">
        <v>43</v>
      </c>
      <c r="I327" s="9">
        <v>6</v>
      </c>
      <c r="J327" s="9">
        <v>3</v>
      </c>
      <c r="K327" s="10" t="str">
        <f>+CONCATENATE(Datos_General[[#This Row],[Goles a Favor_Eq_local]],"-",Datos_General[[#This Row],[Gol a Favor_Eq_Visitante]])</f>
        <v>6-3</v>
      </c>
      <c r="L327" s="1" t="s">
        <v>133</v>
      </c>
      <c r="M327" s="1">
        <v>7</v>
      </c>
      <c r="N327" s="1" t="s">
        <v>156</v>
      </c>
      <c r="O327" s="1">
        <v>1</v>
      </c>
      <c r="P327" s="1" t="s">
        <v>2</v>
      </c>
      <c r="Q327" s="22">
        <v>1</v>
      </c>
      <c r="R327" s="9">
        <v>1</v>
      </c>
      <c r="S327" s="1">
        <v>58</v>
      </c>
      <c r="T327" s="1" t="s">
        <v>142</v>
      </c>
      <c r="U327" s="1">
        <f>90-Datos_General[[#This Row],[Minutos Jugados]]</f>
        <v>32</v>
      </c>
      <c r="V327" s="1">
        <v>0</v>
      </c>
      <c r="W327" s="1">
        <v>2</v>
      </c>
      <c r="X327" s="1">
        <v>3</v>
      </c>
      <c r="Y327" s="10">
        <f>+IF(Datos_General[[#This Row],[Resultado]]="Victoria", "3", IF(Datos_General[[#This Row],[Resultado]]="Empate","1",0))</f>
        <v>0</v>
      </c>
      <c r="Z327" s="11">
        <f>+Datos_General[[#This Row],[Minutos Jugados]]*Datos_General[[#This Row],[Puntos Jug_Campo]]</f>
        <v>0</v>
      </c>
      <c r="AA32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7" s="10" t="str">
        <f>+IF(Datos_General[[#This Row],[Resultado Jug_Campo]] = "Empate", "1",IF(Datos_General[[#This Row],[Resultado Jug_Campo]] = "Victoria", "3","0"))</f>
        <v>0</v>
      </c>
    </row>
    <row r="328" spans="1:28">
      <c r="A328" s="1">
        <v>21</v>
      </c>
      <c r="B328" s="6">
        <v>46088</v>
      </c>
      <c r="C328" s="1" t="s">
        <v>126</v>
      </c>
      <c r="D328" s="1" t="s">
        <v>133</v>
      </c>
      <c r="E328" s="10" t="str">
        <f>+CONCATENATE(Datos_General[[#This Row],[Eq.Local]], "-", Datos_General[[#This Row],[Eq.Visitante]])</f>
        <v>Porriño Industrial-Conxo Santiago B</v>
      </c>
      <c r="F328" s="1" t="s">
        <v>203</v>
      </c>
      <c r="G328" s="1" t="s">
        <v>58</v>
      </c>
      <c r="H328" s="1" t="s">
        <v>43</v>
      </c>
      <c r="I328" s="9">
        <v>6</v>
      </c>
      <c r="J328" s="9">
        <v>3</v>
      </c>
      <c r="K328" s="10" t="str">
        <f>+CONCATENATE(Datos_General[[#This Row],[Goles a Favor_Eq_local]],"-",Datos_General[[#This Row],[Gol a Favor_Eq_Visitante]])</f>
        <v>6-3</v>
      </c>
      <c r="L328" s="1" t="s">
        <v>133</v>
      </c>
      <c r="M328" s="1">
        <v>8</v>
      </c>
      <c r="N328" s="1" t="s">
        <v>146</v>
      </c>
      <c r="O328" s="1">
        <v>1</v>
      </c>
      <c r="P328" s="1" t="s">
        <v>2</v>
      </c>
      <c r="Q328" s="22">
        <v>1</v>
      </c>
      <c r="R328" s="9">
        <v>1</v>
      </c>
      <c r="S328" s="1">
        <v>90</v>
      </c>
      <c r="U328" s="1">
        <f>90-Datos_General[[#This Row],[Minutos Jugados]]</f>
        <v>0</v>
      </c>
      <c r="V328" s="1">
        <v>0</v>
      </c>
      <c r="W328" s="1">
        <v>3</v>
      </c>
      <c r="X328" s="1">
        <v>6</v>
      </c>
      <c r="Y328" s="10">
        <f>+IF(Datos_General[[#This Row],[Resultado]]="Victoria", "3", IF(Datos_General[[#This Row],[Resultado]]="Empate","1",0))</f>
        <v>0</v>
      </c>
      <c r="Z328" s="11">
        <f>+Datos_General[[#This Row],[Minutos Jugados]]*Datos_General[[#This Row],[Puntos Jug_Campo]]</f>
        <v>0</v>
      </c>
      <c r="AA32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8" s="10" t="str">
        <f>+IF(Datos_General[[#This Row],[Resultado Jug_Campo]] = "Empate", "1",IF(Datos_General[[#This Row],[Resultado Jug_Campo]] = "Victoria", "3","0"))</f>
        <v>0</v>
      </c>
    </row>
    <row r="329" spans="1:28">
      <c r="A329" s="1">
        <v>21</v>
      </c>
      <c r="B329" s="6">
        <v>46088</v>
      </c>
      <c r="C329" s="1" t="s">
        <v>126</v>
      </c>
      <c r="D329" s="1" t="s">
        <v>133</v>
      </c>
      <c r="E329" s="10" t="str">
        <f>+CONCATENATE(Datos_General[[#This Row],[Eq.Local]], "-", Datos_General[[#This Row],[Eq.Visitante]])</f>
        <v>Porriño Industrial-Conxo Santiago B</v>
      </c>
      <c r="F329" s="1" t="s">
        <v>203</v>
      </c>
      <c r="G329" s="1" t="s">
        <v>58</v>
      </c>
      <c r="H329" s="1" t="s">
        <v>43</v>
      </c>
      <c r="I329" s="9">
        <v>6</v>
      </c>
      <c r="J329" s="9">
        <v>3</v>
      </c>
      <c r="K329" s="10" t="str">
        <f>+CONCATENATE(Datos_General[[#This Row],[Goles a Favor_Eq_local]],"-",Datos_General[[#This Row],[Gol a Favor_Eq_Visitante]])</f>
        <v>6-3</v>
      </c>
      <c r="L329" s="1" t="s">
        <v>133</v>
      </c>
      <c r="M329" s="1">
        <v>9</v>
      </c>
      <c r="N329" s="1" t="s">
        <v>152</v>
      </c>
      <c r="O329" s="1">
        <v>1</v>
      </c>
      <c r="P329" s="1" t="s">
        <v>2</v>
      </c>
      <c r="Q329" s="22">
        <v>1</v>
      </c>
      <c r="R329" s="9">
        <v>1</v>
      </c>
      <c r="S329" s="1">
        <v>90</v>
      </c>
      <c r="U329" s="1">
        <f>90-Datos_General[[#This Row],[Minutos Jugados]]</f>
        <v>0</v>
      </c>
      <c r="V329" s="1">
        <v>1</v>
      </c>
      <c r="W329" s="1">
        <v>3</v>
      </c>
      <c r="X329" s="1">
        <v>6</v>
      </c>
      <c r="Y329" s="10">
        <f>+IF(Datos_General[[#This Row],[Resultado]]="Victoria", "3", IF(Datos_General[[#This Row],[Resultado]]="Empate","1",0))</f>
        <v>0</v>
      </c>
      <c r="Z329" s="11">
        <f>+Datos_General[[#This Row],[Minutos Jugados]]*Datos_General[[#This Row],[Puntos Jug_Campo]]</f>
        <v>0</v>
      </c>
      <c r="AA32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29" s="10" t="str">
        <f>+IF(Datos_General[[#This Row],[Resultado Jug_Campo]] = "Empate", "1",IF(Datos_General[[#This Row],[Resultado Jug_Campo]] = "Victoria", "3","0"))</f>
        <v>0</v>
      </c>
    </row>
    <row r="330" spans="1:28">
      <c r="A330" s="1">
        <v>21</v>
      </c>
      <c r="B330" s="6">
        <v>46088</v>
      </c>
      <c r="C330" s="1" t="s">
        <v>126</v>
      </c>
      <c r="D330" s="1" t="s">
        <v>133</v>
      </c>
      <c r="E330" s="10" t="str">
        <f>+CONCATENATE(Datos_General[[#This Row],[Eq.Local]], "-", Datos_General[[#This Row],[Eq.Visitante]])</f>
        <v>Porriño Industrial-Conxo Santiago B</v>
      </c>
      <c r="F330" s="1" t="s">
        <v>203</v>
      </c>
      <c r="G330" s="1" t="s">
        <v>58</v>
      </c>
      <c r="H330" s="1" t="s">
        <v>43</v>
      </c>
      <c r="I330" s="9">
        <v>6</v>
      </c>
      <c r="J330" s="9">
        <v>3</v>
      </c>
      <c r="K330" s="10" t="str">
        <f>+CONCATENATE(Datos_General[[#This Row],[Goles a Favor_Eq_local]],"-",Datos_General[[#This Row],[Gol a Favor_Eq_Visitante]])</f>
        <v>6-3</v>
      </c>
      <c r="L330" s="1" t="s">
        <v>133</v>
      </c>
      <c r="M330" s="1">
        <v>10</v>
      </c>
      <c r="N330" s="1" t="s">
        <v>166</v>
      </c>
      <c r="O330" s="1">
        <v>1</v>
      </c>
      <c r="P330" s="1" t="s">
        <v>2</v>
      </c>
      <c r="Q330" s="22">
        <v>1</v>
      </c>
      <c r="R330" s="9">
        <v>1</v>
      </c>
      <c r="S330" s="1">
        <v>58</v>
      </c>
      <c r="T330" s="1" t="s">
        <v>150</v>
      </c>
      <c r="U330" s="1">
        <f>90-Datos_General[[#This Row],[Minutos Jugados]]</f>
        <v>32</v>
      </c>
      <c r="V330" s="1">
        <v>0</v>
      </c>
      <c r="W330" s="1">
        <v>2</v>
      </c>
      <c r="X330" s="1">
        <v>3</v>
      </c>
      <c r="Y330" s="10">
        <f>+IF(Datos_General[[#This Row],[Resultado]]="Victoria", "3", IF(Datos_General[[#This Row],[Resultado]]="Empate","1",0))</f>
        <v>0</v>
      </c>
      <c r="Z330" s="11">
        <f>+Datos_General[[#This Row],[Minutos Jugados]]*Datos_General[[#This Row],[Puntos Jug_Campo]]</f>
        <v>0</v>
      </c>
      <c r="AA33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30" s="10" t="str">
        <f>+IF(Datos_General[[#This Row],[Resultado Jug_Campo]] = "Empate", "1",IF(Datos_General[[#This Row],[Resultado Jug_Campo]] = "Victoria", "3","0"))</f>
        <v>0</v>
      </c>
    </row>
    <row r="331" spans="1:28">
      <c r="A331" s="1">
        <v>21</v>
      </c>
      <c r="B331" s="6">
        <v>46088</v>
      </c>
      <c r="C331" s="1" t="s">
        <v>126</v>
      </c>
      <c r="D331" s="1" t="s">
        <v>133</v>
      </c>
      <c r="E331" s="10" t="str">
        <f>+CONCATENATE(Datos_General[[#This Row],[Eq.Local]], "-", Datos_General[[#This Row],[Eq.Visitante]])</f>
        <v>Porriño Industrial-Conxo Santiago B</v>
      </c>
      <c r="F331" s="1" t="s">
        <v>203</v>
      </c>
      <c r="G331" s="1" t="s">
        <v>58</v>
      </c>
      <c r="H331" s="1" t="s">
        <v>43</v>
      </c>
      <c r="I331" s="9">
        <v>6</v>
      </c>
      <c r="J331" s="9">
        <v>3</v>
      </c>
      <c r="K331" s="10" t="str">
        <f>+CONCATENATE(Datos_General[[#This Row],[Goles a Favor_Eq_local]],"-",Datos_General[[#This Row],[Gol a Favor_Eq_Visitante]])</f>
        <v>6-3</v>
      </c>
      <c r="L331" s="1" t="s">
        <v>133</v>
      </c>
      <c r="M331" s="1">
        <v>11</v>
      </c>
      <c r="N331" s="1" t="s">
        <v>198</v>
      </c>
      <c r="O331" s="1">
        <v>1</v>
      </c>
      <c r="P331" s="1" t="s">
        <v>2</v>
      </c>
      <c r="Q331" s="22">
        <v>1</v>
      </c>
      <c r="R331" s="9">
        <v>1</v>
      </c>
      <c r="S331" s="1">
        <v>58</v>
      </c>
      <c r="T331" s="1" t="s">
        <v>202</v>
      </c>
      <c r="U331" s="1">
        <f>90-Datos_General[[#This Row],[Minutos Jugados]]</f>
        <v>32</v>
      </c>
      <c r="V331" s="1">
        <v>0</v>
      </c>
      <c r="W331" s="1">
        <v>2</v>
      </c>
      <c r="X331" s="1">
        <v>3</v>
      </c>
      <c r="Y331" s="10">
        <f>+IF(Datos_General[[#This Row],[Resultado]]="Victoria", "3", IF(Datos_General[[#This Row],[Resultado]]="Empate","1",0))</f>
        <v>0</v>
      </c>
      <c r="Z331" s="11">
        <f>+Datos_General[[#This Row],[Minutos Jugados]]*Datos_General[[#This Row],[Puntos Jug_Campo]]</f>
        <v>0</v>
      </c>
      <c r="AA33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31" s="10" t="str">
        <f>+IF(Datos_General[[#This Row],[Resultado Jug_Campo]] = "Empate", "1",IF(Datos_General[[#This Row],[Resultado Jug_Campo]] = "Victoria", "3","0"))</f>
        <v>0</v>
      </c>
    </row>
    <row r="332" spans="1:28">
      <c r="A332" s="1">
        <v>21</v>
      </c>
      <c r="B332" s="6">
        <v>46088</v>
      </c>
      <c r="C332" s="1" t="s">
        <v>126</v>
      </c>
      <c r="D332" s="1" t="s">
        <v>133</v>
      </c>
      <c r="E332" s="10" t="str">
        <f>+CONCATENATE(Datos_General[[#This Row],[Eq.Local]], "-", Datos_General[[#This Row],[Eq.Visitante]])</f>
        <v>Porriño Industrial-Conxo Santiago B</v>
      </c>
      <c r="F332" s="1" t="s">
        <v>203</v>
      </c>
      <c r="G332" s="1" t="s">
        <v>58</v>
      </c>
      <c r="H332" s="1" t="s">
        <v>43</v>
      </c>
      <c r="I332" s="9">
        <v>6</v>
      </c>
      <c r="J332" s="9">
        <v>3</v>
      </c>
      <c r="K332" s="10" t="str">
        <f>+CONCATENATE(Datos_General[[#This Row],[Goles a Favor_Eq_local]],"-",Datos_General[[#This Row],[Gol a Favor_Eq_Visitante]])</f>
        <v>6-3</v>
      </c>
      <c r="L332" s="1" t="s">
        <v>133</v>
      </c>
      <c r="M332" s="1">
        <v>13</v>
      </c>
      <c r="N332" s="1" t="s">
        <v>148</v>
      </c>
      <c r="O332" s="1">
        <v>1</v>
      </c>
      <c r="P332" s="1" t="s">
        <v>70</v>
      </c>
      <c r="Q332" s="7">
        <f>+IF(Datos_General[[#This Row],[Minutos Jugados]]&gt;0, 1, 0)</f>
        <v>0</v>
      </c>
      <c r="R332" s="23">
        <v>0</v>
      </c>
      <c r="S332" s="8">
        <f>IFERROR(IF(MATCH(N332,$T$321:$T$336,0), INDEX($U$321:$U$336,MATCH(N332,$T$321:$T$336,0))),0)</f>
        <v>0</v>
      </c>
      <c r="U332" s="1">
        <f>90-Datos_General[[#This Row],[Minutos Jugados]]</f>
        <v>90</v>
      </c>
      <c r="V332" s="1">
        <v>0</v>
      </c>
      <c r="W332" s="1">
        <v>0</v>
      </c>
      <c r="X332" s="1">
        <v>0</v>
      </c>
      <c r="Y332" s="10">
        <f>+IF(Datos_General[[#This Row],[Resultado]]="Victoria", "3", IF(Datos_General[[#This Row],[Resultado]]="Empate","1",0))</f>
        <v>0</v>
      </c>
      <c r="Z332" s="11">
        <f>+Datos_General[[#This Row],[Minutos Jugados]]*Datos_General[[#This Row],[Puntos Jug_Campo]]</f>
        <v>0</v>
      </c>
      <c r="AA33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332" s="10" t="str">
        <f>+IF(Datos_General[[#This Row],[Resultado Jug_Campo]] = "Empate", "1",IF(Datos_General[[#This Row],[Resultado Jug_Campo]] = "Victoria", "3","0"))</f>
        <v>0</v>
      </c>
    </row>
    <row r="333" spans="1:28">
      <c r="A333" s="1">
        <v>21</v>
      </c>
      <c r="B333" s="6">
        <v>46088</v>
      </c>
      <c r="C333" s="1" t="s">
        <v>126</v>
      </c>
      <c r="D333" s="1" t="s">
        <v>133</v>
      </c>
      <c r="E333" s="10" t="str">
        <f>+CONCATENATE(Datos_General[[#This Row],[Eq.Local]], "-", Datos_General[[#This Row],[Eq.Visitante]])</f>
        <v>Porriño Industrial-Conxo Santiago B</v>
      </c>
      <c r="F333" s="1" t="s">
        <v>203</v>
      </c>
      <c r="G333" s="1" t="s">
        <v>58</v>
      </c>
      <c r="H333" s="1" t="s">
        <v>43</v>
      </c>
      <c r="I333" s="9">
        <v>6</v>
      </c>
      <c r="J333" s="9">
        <v>3</v>
      </c>
      <c r="K333" s="10" t="str">
        <f>+CONCATENATE(Datos_General[[#This Row],[Goles a Favor_Eq_local]],"-",Datos_General[[#This Row],[Gol a Favor_Eq_Visitante]])</f>
        <v>6-3</v>
      </c>
      <c r="L333" s="1" t="s">
        <v>133</v>
      </c>
      <c r="M333" s="1">
        <v>12</v>
      </c>
      <c r="N333" s="1" t="s">
        <v>165</v>
      </c>
      <c r="O333" s="1">
        <v>1</v>
      </c>
      <c r="P333" s="1" t="s">
        <v>70</v>
      </c>
      <c r="Q333" s="7">
        <f>+IF(Datos_General[[#This Row],[Minutos Jugados]]&gt;0, 1, 0)</f>
        <v>1</v>
      </c>
      <c r="R333" s="23">
        <v>0</v>
      </c>
      <c r="S333" s="8">
        <f t="shared" ref="S333:S336" si="12">IFERROR(IF(MATCH(N333,$T$321:$T$336,0), INDEX($U$321:$U$336,MATCH(N333,$T$321:$T$336,0))),0)</f>
        <v>39</v>
      </c>
      <c r="U333" s="1">
        <f>90-Datos_General[[#This Row],[Minutos Jugados]]</f>
        <v>51</v>
      </c>
      <c r="V333" s="1">
        <v>0</v>
      </c>
      <c r="W333" s="1">
        <v>1</v>
      </c>
      <c r="X333" s="1">
        <v>3</v>
      </c>
      <c r="Y333" s="10">
        <f>+IF(Datos_General[[#This Row],[Resultado]]="Victoria", "3", IF(Datos_General[[#This Row],[Resultado]]="Empate","1",0))</f>
        <v>0</v>
      </c>
      <c r="Z333" s="11">
        <f>+Datos_General[[#This Row],[Minutos Jugados]]*Datos_General[[#This Row],[Puntos Jug_Campo]]</f>
        <v>0</v>
      </c>
      <c r="AA33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33" s="10" t="str">
        <f>+IF(Datos_General[[#This Row],[Resultado Jug_Campo]] = "Empate", "1",IF(Datos_General[[#This Row],[Resultado Jug_Campo]] = "Victoria", "3","0"))</f>
        <v>0</v>
      </c>
    </row>
    <row r="334" spans="1:28">
      <c r="A334" s="1">
        <v>21</v>
      </c>
      <c r="B334" s="6">
        <v>46088</v>
      </c>
      <c r="C334" s="1" t="s">
        <v>126</v>
      </c>
      <c r="D334" s="1" t="s">
        <v>133</v>
      </c>
      <c r="E334" s="10" t="str">
        <f>+CONCATENATE(Datos_General[[#This Row],[Eq.Local]], "-", Datos_General[[#This Row],[Eq.Visitante]])</f>
        <v>Porriño Industrial-Conxo Santiago B</v>
      </c>
      <c r="F334" s="1" t="s">
        <v>203</v>
      </c>
      <c r="G334" s="1" t="s">
        <v>58</v>
      </c>
      <c r="H334" s="1" t="s">
        <v>43</v>
      </c>
      <c r="I334" s="9">
        <v>6</v>
      </c>
      <c r="J334" s="9">
        <v>3</v>
      </c>
      <c r="K334" s="10" t="str">
        <f>+CONCATENATE(Datos_General[[#This Row],[Goles a Favor_Eq_local]],"-",Datos_General[[#This Row],[Gol a Favor_Eq_Visitante]])</f>
        <v>6-3</v>
      </c>
      <c r="L334" s="1" t="s">
        <v>133</v>
      </c>
      <c r="M334" s="1">
        <v>14</v>
      </c>
      <c r="N334" s="1" t="s">
        <v>142</v>
      </c>
      <c r="O334" s="1">
        <v>1</v>
      </c>
      <c r="P334" s="1" t="s">
        <v>70</v>
      </c>
      <c r="Q334" s="7">
        <f>+IF(Datos_General[[#This Row],[Minutos Jugados]]&gt;0, 1, 0)</f>
        <v>1</v>
      </c>
      <c r="R334" s="23">
        <v>0</v>
      </c>
      <c r="S334" s="8">
        <f t="shared" si="12"/>
        <v>32</v>
      </c>
      <c r="U334" s="1">
        <f>90-Datos_General[[#This Row],[Minutos Jugados]]</f>
        <v>58</v>
      </c>
      <c r="V334" s="1">
        <v>0</v>
      </c>
      <c r="W334" s="1">
        <v>1</v>
      </c>
      <c r="X334" s="1">
        <v>3</v>
      </c>
      <c r="Y334" s="10">
        <f>+IF(Datos_General[[#This Row],[Resultado]]="Victoria", "3", IF(Datos_General[[#This Row],[Resultado]]="Empate","1",0))</f>
        <v>0</v>
      </c>
      <c r="Z334" s="11">
        <f>+Datos_General[[#This Row],[Minutos Jugados]]*Datos_General[[#This Row],[Puntos Jug_Campo]]</f>
        <v>0</v>
      </c>
      <c r="AA33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34" s="10" t="str">
        <f>+IF(Datos_General[[#This Row],[Resultado Jug_Campo]] = "Empate", "1",IF(Datos_General[[#This Row],[Resultado Jug_Campo]] = "Victoria", "3","0"))</f>
        <v>0</v>
      </c>
    </row>
    <row r="335" spans="1:28">
      <c r="A335" s="1">
        <v>21</v>
      </c>
      <c r="B335" s="6">
        <v>46088</v>
      </c>
      <c r="C335" s="1" t="s">
        <v>126</v>
      </c>
      <c r="D335" s="1" t="s">
        <v>133</v>
      </c>
      <c r="E335" s="10" t="str">
        <f>+CONCATENATE(Datos_General[[#This Row],[Eq.Local]], "-", Datos_General[[#This Row],[Eq.Visitante]])</f>
        <v>Porriño Industrial-Conxo Santiago B</v>
      </c>
      <c r="F335" s="1" t="s">
        <v>203</v>
      </c>
      <c r="G335" s="1" t="s">
        <v>58</v>
      </c>
      <c r="H335" s="1" t="s">
        <v>43</v>
      </c>
      <c r="I335" s="9">
        <v>6</v>
      </c>
      <c r="J335" s="9">
        <v>3</v>
      </c>
      <c r="K335" s="10" t="str">
        <f>+CONCATENATE(Datos_General[[#This Row],[Goles a Favor_Eq_local]],"-",Datos_General[[#This Row],[Gol a Favor_Eq_Visitante]])</f>
        <v>6-3</v>
      </c>
      <c r="L335" s="1" t="s">
        <v>133</v>
      </c>
      <c r="M335" s="1">
        <v>15</v>
      </c>
      <c r="N335" s="1" t="s">
        <v>150</v>
      </c>
      <c r="O335" s="1">
        <v>1</v>
      </c>
      <c r="P335" s="1" t="s">
        <v>70</v>
      </c>
      <c r="Q335" s="7">
        <f>+IF(Datos_General[[#This Row],[Minutos Jugados]]&gt;0, 1, 0)</f>
        <v>1</v>
      </c>
      <c r="R335" s="23">
        <v>0</v>
      </c>
      <c r="S335" s="8">
        <f t="shared" si="12"/>
        <v>32</v>
      </c>
      <c r="U335" s="1">
        <f>90-Datos_General[[#This Row],[Minutos Jugados]]</f>
        <v>58</v>
      </c>
      <c r="V335" s="1">
        <v>0</v>
      </c>
      <c r="W335" s="1">
        <v>1</v>
      </c>
      <c r="X335" s="1">
        <v>3</v>
      </c>
      <c r="Y335" s="10">
        <f>+IF(Datos_General[[#This Row],[Resultado]]="Victoria", "3", IF(Datos_General[[#This Row],[Resultado]]="Empate","1",0))</f>
        <v>0</v>
      </c>
      <c r="Z335" s="11">
        <f>+Datos_General[[#This Row],[Minutos Jugados]]*Datos_General[[#This Row],[Puntos Jug_Campo]]</f>
        <v>0</v>
      </c>
      <c r="AA33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35" s="10" t="str">
        <f>+IF(Datos_General[[#This Row],[Resultado Jug_Campo]] = "Empate", "1",IF(Datos_General[[#This Row],[Resultado Jug_Campo]] = "Victoria", "3","0"))</f>
        <v>0</v>
      </c>
    </row>
    <row r="336" spans="1:28">
      <c r="A336" s="1">
        <v>21</v>
      </c>
      <c r="B336" s="6">
        <v>46088</v>
      </c>
      <c r="C336" s="1" t="s">
        <v>126</v>
      </c>
      <c r="D336" s="1" t="s">
        <v>133</v>
      </c>
      <c r="E336" s="10" t="str">
        <f>+CONCATENATE(Datos_General[[#This Row],[Eq.Local]], "-", Datos_General[[#This Row],[Eq.Visitante]])</f>
        <v>Porriño Industrial-Conxo Santiago B</v>
      </c>
      <c r="F336" s="1" t="s">
        <v>203</v>
      </c>
      <c r="G336" s="1" t="s">
        <v>58</v>
      </c>
      <c r="H336" s="1" t="s">
        <v>43</v>
      </c>
      <c r="I336" s="9">
        <v>6</v>
      </c>
      <c r="J336" s="9">
        <v>3</v>
      </c>
      <c r="K336" s="10" t="str">
        <f>+CONCATENATE(Datos_General[[#This Row],[Goles a Favor_Eq_local]],"-",Datos_General[[#This Row],[Gol a Favor_Eq_Visitante]])</f>
        <v>6-3</v>
      </c>
      <c r="L336" s="1" t="s">
        <v>133</v>
      </c>
      <c r="M336" s="1">
        <v>16</v>
      </c>
      <c r="N336" s="1" t="s">
        <v>202</v>
      </c>
      <c r="O336" s="1">
        <v>1</v>
      </c>
      <c r="P336" s="1" t="s">
        <v>70</v>
      </c>
      <c r="Q336" s="7">
        <f>+IF(Datos_General[[#This Row],[Minutos Jugados]]&gt;0, 1, 0)</f>
        <v>1</v>
      </c>
      <c r="R336" s="23">
        <v>0</v>
      </c>
      <c r="S336" s="8">
        <f t="shared" si="12"/>
        <v>32</v>
      </c>
      <c r="U336" s="1">
        <f>90-Datos_General[[#This Row],[Minutos Jugados]]</f>
        <v>58</v>
      </c>
      <c r="V336" s="1">
        <v>0</v>
      </c>
      <c r="W336" s="1">
        <v>1</v>
      </c>
      <c r="X336" s="1">
        <v>3</v>
      </c>
      <c r="Y336" s="10">
        <f>+IF(Datos_General[[#This Row],[Resultado]]="Victoria", "3", IF(Datos_General[[#This Row],[Resultado]]="Empate","1",0))</f>
        <v>0</v>
      </c>
      <c r="Z336" s="11">
        <f>+Datos_General[[#This Row],[Minutos Jugados]]*Datos_General[[#This Row],[Puntos Jug_Campo]]</f>
        <v>0</v>
      </c>
      <c r="AA33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36" s="10" t="str">
        <f>+IF(Datos_General[[#This Row],[Resultado Jug_Campo]] = "Empate", "1",IF(Datos_General[[#This Row],[Resultado Jug_Campo]] = "Victoria", "3","0"))</f>
        <v>0</v>
      </c>
    </row>
    <row r="337" spans="1:28">
      <c r="A337" s="1">
        <v>22</v>
      </c>
      <c r="B337" s="6">
        <v>46095</v>
      </c>
      <c r="C337" s="1" t="s">
        <v>133</v>
      </c>
      <c r="D337" s="1" t="s">
        <v>130</v>
      </c>
      <c r="E337" s="10" t="str">
        <f>+CONCATENATE(Datos_General[[#This Row],[Eq.Local]], "-", Datos_General[[#This Row],[Eq.Visitante]])</f>
        <v>Conxo Santiago B-Arosa S.C. B</v>
      </c>
      <c r="F337" s="1" t="s">
        <v>157</v>
      </c>
      <c r="G337" s="1" t="s">
        <v>57</v>
      </c>
      <c r="H337" s="1" t="s">
        <v>12</v>
      </c>
      <c r="I337" s="9">
        <v>2</v>
      </c>
      <c r="J337" s="9">
        <v>0</v>
      </c>
      <c r="K337" s="10" t="str">
        <f>+CONCATENATE(Datos_General[[#This Row],[Goles a Favor_Eq_local]],"-",Datos_General[[#This Row],[Gol a Favor_Eq_Visitante]])</f>
        <v>2-0</v>
      </c>
      <c r="L337" s="1" t="s">
        <v>133</v>
      </c>
      <c r="M337" s="1">
        <v>1</v>
      </c>
      <c r="N337" s="1" t="s">
        <v>148</v>
      </c>
      <c r="O337" s="1">
        <v>1</v>
      </c>
      <c r="P337" s="1" t="s">
        <v>2</v>
      </c>
      <c r="Q337" s="22">
        <v>1</v>
      </c>
      <c r="R337" s="9">
        <v>1</v>
      </c>
      <c r="S337" s="1">
        <v>90</v>
      </c>
      <c r="U337" s="1">
        <f>90-Datos_General[[#This Row],[Minutos Jugados]]</f>
        <v>0</v>
      </c>
      <c r="V337" s="1">
        <v>0</v>
      </c>
      <c r="W337" s="1">
        <v>1</v>
      </c>
      <c r="X337" s="1">
        <v>0</v>
      </c>
      <c r="Y337" s="10" t="str">
        <f>+IF(Datos_General[[#This Row],[Resultado]]="Victoria", "3", IF(Datos_General[[#This Row],[Resultado]]="Empate","1",0))</f>
        <v>3</v>
      </c>
      <c r="Z337" s="11">
        <f>+Datos_General[[#This Row],[Minutos Jugados]]*Datos_General[[#This Row],[Puntos Jug_Campo]]</f>
        <v>270</v>
      </c>
      <c r="AA33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37" s="10" t="str">
        <f>+IF(Datos_General[[#This Row],[Resultado Jug_Campo]] = "Empate", "1",IF(Datos_General[[#This Row],[Resultado Jug_Campo]] = "Victoria", "3","0"))</f>
        <v>3</v>
      </c>
    </row>
    <row r="338" spans="1:28">
      <c r="A338" s="1">
        <v>22</v>
      </c>
      <c r="B338" s="6">
        <v>46095</v>
      </c>
      <c r="C338" s="1" t="s">
        <v>133</v>
      </c>
      <c r="D338" s="1" t="s">
        <v>130</v>
      </c>
      <c r="E338" s="10" t="str">
        <f>+CONCATENATE(Datos_General[[#This Row],[Eq.Local]], "-", Datos_General[[#This Row],[Eq.Visitante]])</f>
        <v>Conxo Santiago B-Arosa S.C. B</v>
      </c>
      <c r="F338" s="1" t="s">
        <v>157</v>
      </c>
      <c r="G338" s="1" t="s">
        <v>57</v>
      </c>
      <c r="H338" s="1" t="s">
        <v>12</v>
      </c>
      <c r="I338" s="9">
        <v>2</v>
      </c>
      <c r="J338" s="9">
        <v>0</v>
      </c>
      <c r="K338" s="10" t="str">
        <f>+CONCATENATE(Datos_General[[#This Row],[Goles a Favor_Eq_local]],"-",Datos_General[[#This Row],[Gol a Favor_Eq_Visitante]])</f>
        <v>2-0</v>
      </c>
      <c r="L338" s="1" t="s">
        <v>133</v>
      </c>
      <c r="M338" s="1">
        <v>2</v>
      </c>
      <c r="N338" s="1" t="s">
        <v>138</v>
      </c>
      <c r="O338" s="1">
        <v>1</v>
      </c>
      <c r="P338" s="1" t="s">
        <v>2</v>
      </c>
      <c r="Q338" s="22">
        <v>1</v>
      </c>
      <c r="R338" s="9">
        <v>1</v>
      </c>
      <c r="S338" s="1">
        <v>65</v>
      </c>
      <c r="T338" s="1" t="s">
        <v>166</v>
      </c>
      <c r="U338" s="1">
        <f>90-Datos_General[[#This Row],[Minutos Jugados]]</f>
        <v>25</v>
      </c>
      <c r="V338" s="1">
        <v>0</v>
      </c>
      <c r="W338" s="1">
        <v>1</v>
      </c>
      <c r="X338" s="1">
        <v>0</v>
      </c>
      <c r="Y338" s="10" t="str">
        <f>+IF(Datos_General[[#This Row],[Resultado]]="Victoria", "3", IF(Datos_General[[#This Row],[Resultado]]="Empate","1",0))</f>
        <v>3</v>
      </c>
      <c r="Z338" s="11">
        <f>+Datos_General[[#This Row],[Minutos Jugados]]*Datos_General[[#This Row],[Puntos Jug_Campo]]</f>
        <v>195</v>
      </c>
      <c r="AA33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38" s="10" t="str">
        <f>+IF(Datos_General[[#This Row],[Resultado Jug_Campo]] = "Empate", "1",IF(Datos_General[[#This Row],[Resultado Jug_Campo]] = "Victoria", "3","0"))</f>
        <v>3</v>
      </c>
    </row>
    <row r="339" spans="1:28">
      <c r="A339" s="1">
        <v>22</v>
      </c>
      <c r="B339" s="6">
        <v>46095</v>
      </c>
      <c r="C339" s="1" t="s">
        <v>133</v>
      </c>
      <c r="D339" s="1" t="s">
        <v>130</v>
      </c>
      <c r="E339" s="10" t="str">
        <f>+CONCATENATE(Datos_General[[#This Row],[Eq.Local]], "-", Datos_General[[#This Row],[Eq.Visitante]])</f>
        <v>Conxo Santiago B-Arosa S.C. B</v>
      </c>
      <c r="F339" s="1" t="s">
        <v>157</v>
      </c>
      <c r="G339" s="1" t="s">
        <v>57</v>
      </c>
      <c r="H339" s="1" t="s">
        <v>12</v>
      </c>
      <c r="I339" s="9">
        <v>2</v>
      </c>
      <c r="J339" s="9">
        <v>0</v>
      </c>
      <c r="K339" s="10" t="str">
        <f>+CONCATENATE(Datos_General[[#This Row],[Goles a Favor_Eq_local]],"-",Datos_General[[#This Row],[Gol a Favor_Eq_Visitante]])</f>
        <v>2-0</v>
      </c>
      <c r="L339" s="1" t="s">
        <v>133</v>
      </c>
      <c r="M339" s="1">
        <v>3</v>
      </c>
      <c r="N339" s="1" t="s">
        <v>144</v>
      </c>
      <c r="O339" s="1">
        <v>1</v>
      </c>
      <c r="P339" s="1" t="s">
        <v>2</v>
      </c>
      <c r="Q339" s="22">
        <v>1</v>
      </c>
      <c r="R339" s="9">
        <v>1</v>
      </c>
      <c r="S339" s="1">
        <v>90</v>
      </c>
      <c r="U339" s="1">
        <f>90-Datos_General[[#This Row],[Minutos Jugados]]</f>
        <v>0</v>
      </c>
      <c r="V339" s="1">
        <v>0</v>
      </c>
      <c r="W339" s="1">
        <v>1</v>
      </c>
      <c r="X339" s="1">
        <v>0</v>
      </c>
      <c r="Y339" s="10" t="str">
        <f>+IF(Datos_General[[#This Row],[Resultado]]="Victoria", "3", IF(Datos_General[[#This Row],[Resultado]]="Empate","1",0))</f>
        <v>3</v>
      </c>
      <c r="Z339" s="11">
        <f>+Datos_General[[#This Row],[Minutos Jugados]]*Datos_General[[#This Row],[Puntos Jug_Campo]]</f>
        <v>270</v>
      </c>
      <c r="AA33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39" s="10" t="str">
        <f>+IF(Datos_General[[#This Row],[Resultado Jug_Campo]] = "Empate", "1",IF(Datos_General[[#This Row],[Resultado Jug_Campo]] = "Victoria", "3","0"))</f>
        <v>3</v>
      </c>
    </row>
    <row r="340" spans="1:28">
      <c r="A340" s="1">
        <v>22</v>
      </c>
      <c r="B340" s="6">
        <v>46095</v>
      </c>
      <c r="C340" s="1" t="s">
        <v>133</v>
      </c>
      <c r="D340" s="1" t="s">
        <v>130</v>
      </c>
      <c r="E340" s="10" t="str">
        <f>+CONCATENATE(Datos_General[[#This Row],[Eq.Local]], "-", Datos_General[[#This Row],[Eq.Visitante]])</f>
        <v>Conxo Santiago B-Arosa S.C. B</v>
      </c>
      <c r="F340" s="1" t="s">
        <v>157</v>
      </c>
      <c r="G340" s="1" t="s">
        <v>57</v>
      </c>
      <c r="H340" s="1" t="s">
        <v>12</v>
      </c>
      <c r="I340" s="9">
        <v>2</v>
      </c>
      <c r="J340" s="9">
        <v>0</v>
      </c>
      <c r="K340" s="10" t="str">
        <f>+CONCATENATE(Datos_General[[#This Row],[Goles a Favor_Eq_local]],"-",Datos_General[[#This Row],[Gol a Favor_Eq_Visitante]])</f>
        <v>2-0</v>
      </c>
      <c r="L340" s="1" t="s">
        <v>133</v>
      </c>
      <c r="M340" s="1">
        <v>4</v>
      </c>
      <c r="N340" s="1" t="s">
        <v>199</v>
      </c>
      <c r="O340" s="1">
        <v>1</v>
      </c>
      <c r="P340" s="1" t="s">
        <v>2</v>
      </c>
      <c r="Q340" s="22">
        <v>1</v>
      </c>
      <c r="R340" s="9">
        <v>1</v>
      </c>
      <c r="S340" s="1">
        <v>90</v>
      </c>
      <c r="U340" s="1">
        <f>90-Datos_General[[#This Row],[Minutos Jugados]]</f>
        <v>0</v>
      </c>
      <c r="V340" s="1">
        <v>0</v>
      </c>
      <c r="W340" s="1">
        <v>1</v>
      </c>
      <c r="X340" s="1">
        <v>0</v>
      </c>
      <c r="Y340" s="10" t="str">
        <f>+IF(Datos_General[[#This Row],[Resultado]]="Victoria", "3", IF(Datos_General[[#This Row],[Resultado]]="Empate","1",0))</f>
        <v>3</v>
      </c>
      <c r="Z340" s="11">
        <f>+Datos_General[[#This Row],[Minutos Jugados]]*Datos_General[[#This Row],[Puntos Jug_Campo]]</f>
        <v>270</v>
      </c>
      <c r="AA34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40" s="10" t="str">
        <f>+IF(Datos_General[[#This Row],[Resultado Jug_Campo]] = "Empate", "1",IF(Datos_General[[#This Row],[Resultado Jug_Campo]] = "Victoria", "3","0"))</f>
        <v>3</v>
      </c>
    </row>
    <row r="341" spans="1:28">
      <c r="A341" s="1">
        <v>22</v>
      </c>
      <c r="B341" s="6">
        <v>46095</v>
      </c>
      <c r="C341" s="1" t="s">
        <v>133</v>
      </c>
      <c r="D341" s="1" t="s">
        <v>130</v>
      </c>
      <c r="E341" s="10" t="str">
        <f>+CONCATENATE(Datos_General[[#This Row],[Eq.Local]], "-", Datos_General[[#This Row],[Eq.Visitante]])</f>
        <v>Conxo Santiago B-Arosa S.C. B</v>
      </c>
      <c r="F341" s="1" t="s">
        <v>157</v>
      </c>
      <c r="G341" s="1" t="s">
        <v>57</v>
      </c>
      <c r="H341" s="1" t="s">
        <v>12</v>
      </c>
      <c r="I341" s="9">
        <v>2</v>
      </c>
      <c r="J341" s="9">
        <v>0</v>
      </c>
      <c r="K341" s="10" t="str">
        <f>+CONCATENATE(Datos_General[[#This Row],[Goles a Favor_Eq_local]],"-",Datos_General[[#This Row],[Gol a Favor_Eq_Visitante]])</f>
        <v>2-0</v>
      </c>
      <c r="L341" s="1" t="s">
        <v>133</v>
      </c>
      <c r="M341" s="1">
        <v>5</v>
      </c>
      <c r="N341" s="1" t="s">
        <v>162</v>
      </c>
      <c r="O341" s="1">
        <v>1</v>
      </c>
      <c r="P341" s="1" t="s">
        <v>2</v>
      </c>
      <c r="Q341" s="22">
        <v>1</v>
      </c>
      <c r="R341" s="9">
        <v>1</v>
      </c>
      <c r="S341" s="1">
        <v>90</v>
      </c>
      <c r="U341" s="1">
        <f>90-Datos_General[[#This Row],[Minutos Jugados]]</f>
        <v>0</v>
      </c>
      <c r="V341" s="1">
        <v>0</v>
      </c>
      <c r="W341" s="1">
        <v>1</v>
      </c>
      <c r="X341" s="1">
        <v>0</v>
      </c>
      <c r="Y341" s="10" t="str">
        <f>+IF(Datos_General[[#This Row],[Resultado]]="Victoria", "3", IF(Datos_General[[#This Row],[Resultado]]="Empate","1",0))</f>
        <v>3</v>
      </c>
      <c r="Z341" s="11">
        <f>+Datos_General[[#This Row],[Minutos Jugados]]*Datos_General[[#This Row],[Puntos Jug_Campo]]</f>
        <v>270</v>
      </c>
      <c r="AA34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41" s="10" t="str">
        <f>+IF(Datos_General[[#This Row],[Resultado Jug_Campo]] = "Empate", "1",IF(Datos_General[[#This Row],[Resultado Jug_Campo]] = "Victoria", "3","0"))</f>
        <v>3</v>
      </c>
    </row>
    <row r="342" spans="1:28">
      <c r="A342" s="1">
        <v>22</v>
      </c>
      <c r="B342" s="6">
        <v>46095</v>
      </c>
      <c r="C342" s="1" t="s">
        <v>133</v>
      </c>
      <c r="D342" s="1" t="s">
        <v>130</v>
      </c>
      <c r="E342" s="10" t="str">
        <f>+CONCATENATE(Datos_General[[#This Row],[Eq.Local]], "-", Datos_General[[#This Row],[Eq.Visitante]])</f>
        <v>Conxo Santiago B-Arosa S.C. B</v>
      </c>
      <c r="F342" s="1" t="s">
        <v>157</v>
      </c>
      <c r="G342" s="1" t="s">
        <v>57</v>
      </c>
      <c r="H342" s="1" t="s">
        <v>12</v>
      </c>
      <c r="I342" s="9">
        <v>2</v>
      </c>
      <c r="J342" s="9">
        <v>0</v>
      </c>
      <c r="K342" s="10" t="str">
        <f>+CONCATENATE(Datos_General[[#This Row],[Goles a Favor_Eq_local]],"-",Datos_General[[#This Row],[Gol a Favor_Eq_Visitante]])</f>
        <v>2-0</v>
      </c>
      <c r="L342" s="1" t="s">
        <v>133</v>
      </c>
      <c r="M342" s="1">
        <v>6</v>
      </c>
      <c r="N342" s="1" t="s">
        <v>142</v>
      </c>
      <c r="O342" s="1">
        <v>1</v>
      </c>
      <c r="P342" s="1" t="s">
        <v>2</v>
      </c>
      <c r="Q342" s="22">
        <v>1</v>
      </c>
      <c r="R342" s="9">
        <v>1</v>
      </c>
      <c r="S342" s="1">
        <v>90</v>
      </c>
      <c r="U342" s="1">
        <f>90-Datos_General[[#This Row],[Minutos Jugados]]</f>
        <v>0</v>
      </c>
      <c r="V342" s="1">
        <v>0</v>
      </c>
      <c r="W342" s="1">
        <v>1</v>
      </c>
      <c r="X342" s="1">
        <v>0</v>
      </c>
      <c r="Y342" s="10" t="str">
        <f>+IF(Datos_General[[#This Row],[Resultado]]="Victoria", "3", IF(Datos_General[[#This Row],[Resultado]]="Empate","1",0))</f>
        <v>3</v>
      </c>
      <c r="Z342" s="11">
        <f>+Datos_General[[#This Row],[Minutos Jugados]]*Datos_General[[#This Row],[Puntos Jug_Campo]]</f>
        <v>270</v>
      </c>
      <c r="AA34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42" s="10" t="str">
        <f>+IF(Datos_General[[#This Row],[Resultado Jug_Campo]] = "Empate", "1",IF(Datos_General[[#This Row],[Resultado Jug_Campo]] = "Victoria", "3","0"))</f>
        <v>3</v>
      </c>
    </row>
    <row r="343" spans="1:28">
      <c r="A343" s="1">
        <v>22</v>
      </c>
      <c r="B343" s="6">
        <v>46095</v>
      </c>
      <c r="C343" s="1" t="s">
        <v>133</v>
      </c>
      <c r="D343" s="1" t="s">
        <v>130</v>
      </c>
      <c r="E343" s="10" t="str">
        <f>+CONCATENATE(Datos_General[[#This Row],[Eq.Local]], "-", Datos_General[[#This Row],[Eq.Visitante]])</f>
        <v>Conxo Santiago B-Arosa S.C. B</v>
      </c>
      <c r="F343" s="1" t="s">
        <v>157</v>
      </c>
      <c r="G343" s="1" t="s">
        <v>57</v>
      </c>
      <c r="H343" s="1" t="s">
        <v>12</v>
      </c>
      <c r="I343" s="9">
        <v>2</v>
      </c>
      <c r="J343" s="9">
        <v>0</v>
      </c>
      <c r="K343" s="10" t="str">
        <f>+CONCATENATE(Datos_General[[#This Row],[Goles a Favor_Eq_local]],"-",Datos_General[[#This Row],[Gol a Favor_Eq_Visitante]])</f>
        <v>2-0</v>
      </c>
      <c r="L343" s="1" t="s">
        <v>133</v>
      </c>
      <c r="M343" s="1">
        <v>7</v>
      </c>
      <c r="N343" s="1" t="s">
        <v>156</v>
      </c>
      <c r="O343" s="1">
        <v>1</v>
      </c>
      <c r="P343" s="1" t="s">
        <v>2</v>
      </c>
      <c r="Q343" s="22">
        <v>1</v>
      </c>
      <c r="R343" s="9">
        <v>1</v>
      </c>
      <c r="S343" s="1">
        <v>65</v>
      </c>
      <c r="T343" s="1" t="s">
        <v>163</v>
      </c>
      <c r="U343" s="1">
        <f>90-Datos_General[[#This Row],[Minutos Jugados]]</f>
        <v>25</v>
      </c>
      <c r="V343" s="1">
        <v>0</v>
      </c>
      <c r="W343" s="1">
        <v>1</v>
      </c>
      <c r="X343" s="1">
        <v>0</v>
      </c>
      <c r="Y343" s="10" t="str">
        <f>+IF(Datos_General[[#This Row],[Resultado]]="Victoria", "3", IF(Datos_General[[#This Row],[Resultado]]="Empate","1",0))</f>
        <v>3</v>
      </c>
      <c r="Z343" s="11">
        <f>+Datos_General[[#This Row],[Minutos Jugados]]*Datos_General[[#This Row],[Puntos Jug_Campo]]</f>
        <v>195</v>
      </c>
      <c r="AA34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43" s="10" t="str">
        <f>+IF(Datos_General[[#This Row],[Resultado Jug_Campo]] = "Empate", "1",IF(Datos_General[[#This Row],[Resultado Jug_Campo]] = "Victoria", "3","0"))</f>
        <v>3</v>
      </c>
    </row>
    <row r="344" spans="1:28">
      <c r="A344" s="1">
        <v>22</v>
      </c>
      <c r="B344" s="6">
        <v>46095</v>
      </c>
      <c r="C344" s="1" t="s">
        <v>133</v>
      </c>
      <c r="D344" s="1" t="s">
        <v>130</v>
      </c>
      <c r="E344" s="10" t="str">
        <f>+CONCATENATE(Datos_General[[#This Row],[Eq.Local]], "-", Datos_General[[#This Row],[Eq.Visitante]])</f>
        <v>Conxo Santiago B-Arosa S.C. B</v>
      </c>
      <c r="F344" s="1" t="s">
        <v>157</v>
      </c>
      <c r="G344" s="1" t="s">
        <v>57</v>
      </c>
      <c r="H344" s="1" t="s">
        <v>12</v>
      </c>
      <c r="I344" s="9">
        <v>2</v>
      </c>
      <c r="J344" s="9">
        <v>0</v>
      </c>
      <c r="K344" s="10" t="str">
        <f>+CONCATENATE(Datos_General[[#This Row],[Goles a Favor_Eq_local]],"-",Datos_General[[#This Row],[Gol a Favor_Eq_Visitante]])</f>
        <v>2-0</v>
      </c>
      <c r="L344" s="1" t="s">
        <v>133</v>
      </c>
      <c r="M344" s="1">
        <v>8</v>
      </c>
      <c r="N344" s="1" t="s">
        <v>146</v>
      </c>
      <c r="O344" s="1">
        <v>1</v>
      </c>
      <c r="P344" s="1" t="s">
        <v>2</v>
      </c>
      <c r="Q344" s="22">
        <v>1</v>
      </c>
      <c r="R344" s="9">
        <v>1</v>
      </c>
      <c r="S344" s="1">
        <v>90</v>
      </c>
      <c r="U344" s="1">
        <f>90-Datos_General[[#This Row],[Minutos Jugados]]</f>
        <v>0</v>
      </c>
      <c r="V344" s="1">
        <v>0</v>
      </c>
      <c r="W344" s="1">
        <v>1</v>
      </c>
      <c r="X344" s="1">
        <v>0</v>
      </c>
      <c r="Y344" s="10" t="str">
        <f>+IF(Datos_General[[#This Row],[Resultado]]="Victoria", "3", IF(Datos_General[[#This Row],[Resultado]]="Empate","1",0))</f>
        <v>3</v>
      </c>
      <c r="Z344" s="11">
        <f>+Datos_General[[#This Row],[Minutos Jugados]]*Datos_General[[#This Row],[Puntos Jug_Campo]]</f>
        <v>270</v>
      </c>
      <c r="AA34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44" s="10" t="str">
        <f>+IF(Datos_General[[#This Row],[Resultado Jug_Campo]] = "Empate", "1",IF(Datos_General[[#This Row],[Resultado Jug_Campo]] = "Victoria", "3","0"))</f>
        <v>3</v>
      </c>
    </row>
    <row r="345" spans="1:28">
      <c r="A345" s="1">
        <v>22</v>
      </c>
      <c r="B345" s="6">
        <v>46095</v>
      </c>
      <c r="C345" s="1" t="s">
        <v>133</v>
      </c>
      <c r="D345" s="1" t="s">
        <v>130</v>
      </c>
      <c r="E345" s="10" t="str">
        <f>+CONCATENATE(Datos_General[[#This Row],[Eq.Local]], "-", Datos_General[[#This Row],[Eq.Visitante]])</f>
        <v>Conxo Santiago B-Arosa S.C. B</v>
      </c>
      <c r="F345" s="1" t="s">
        <v>157</v>
      </c>
      <c r="G345" s="1" t="s">
        <v>57</v>
      </c>
      <c r="H345" s="1" t="s">
        <v>12</v>
      </c>
      <c r="I345" s="9">
        <v>2</v>
      </c>
      <c r="J345" s="9">
        <v>0</v>
      </c>
      <c r="K345" s="10" t="str">
        <f>+CONCATENATE(Datos_General[[#This Row],[Goles a Favor_Eq_local]],"-",Datos_General[[#This Row],[Gol a Favor_Eq_Visitante]])</f>
        <v>2-0</v>
      </c>
      <c r="L345" s="1" t="s">
        <v>133</v>
      </c>
      <c r="M345" s="1">
        <v>9</v>
      </c>
      <c r="N345" s="1" t="s">
        <v>152</v>
      </c>
      <c r="O345" s="1">
        <v>1</v>
      </c>
      <c r="P345" s="1" t="s">
        <v>2</v>
      </c>
      <c r="Q345" s="22">
        <v>1</v>
      </c>
      <c r="R345" s="9">
        <v>1</v>
      </c>
      <c r="S345" s="1">
        <v>65</v>
      </c>
      <c r="T345" s="1" t="s">
        <v>194</v>
      </c>
      <c r="U345" s="1">
        <f>90-Datos_General[[#This Row],[Minutos Jugados]]</f>
        <v>25</v>
      </c>
      <c r="V345" s="1">
        <v>0</v>
      </c>
      <c r="W345" s="1">
        <v>1</v>
      </c>
      <c r="X345" s="1">
        <v>0</v>
      </c>
      <c r="Y345" s="10" t="str">
        <f>+IF(Datos_General[[#This Row],[Resultado]]="Victoria", "3", IF(Datos_General[[#This Row],[Resultado]]="Empate","1",0))</f>
        <v>3</v>
      </c>
      <c r="Z345" s="11">
        <f>+Datos_General[[#This Row],[Minutos Jugados]]*Datos_General[[#This Row],[Puntos Jug_Campo]]</f>
        <v>195</v>
      </c>
      <c r="AA34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45" s="10" t="str">
        <f>+IF(Datos_General[[#This Row],[Resultado Jug_Campo]] = "Empate", "1",IF(Datos_General[[#This Row],[Resultado Jug_Campo]] = "Victoria", "3","0"))</f>
        <v>3</v>
      </c>
    </row>
    <row r="346" spans="1:28">
      <c r="A346" s="1">
        <v>22</v>
      </c>
      <c r="B346" s="6">
        <v>46095</v>
      </c>
      <c r="C346" s="1" t="s">
        <v>133</v>
      </c>
      <c r="D346" s="1" t="s">
        <v>130</v>
      </c>
      <c r="E346" s="10" t="str">
        <f>+CONCATENATE(Datos_General[[#This Row],[Eq.Local]], "-", Datos_General[[#This Row],[Eq.Visitante]])</f>
        <v>Conxo Santiago B-Arosa S.C. B</v>
      </c>
      <c r="F346" s="1" t="s">
        <v>157</v>
      </c>
      <c r="G346" s="1" t="s">
        <v>57</v>
      </c>
      <c r="H346" s="1" t="s">
        <v>12</v>
      </c>
      <c r="I346" s="9">
        <v>2</v>
      </c>
      <c r="J346" s="9">
        <v>0</v>
      </c>
      <c r="K346" s="10" t="str">
        <f>+CONCATENATE(Datos_General[[#This Row],[Goles a Favor_Eq_local]],"-",Datos_General[[#This Row],[Gol a Favor_Eq_Visitante]])</f>
        <v>2-0</v>
      </c>
      <c r="L346" s="1" t="s">
        <v>133</v>
      </c>
      <c r="M346" s="1">
        <v>10</v>
      </c>
      <c r="N346" s="1" t="s">
        <v>165</v>
      </c>
      <c r="O346" s="1">
        <v>1</v>
      </c>
      <c r="P346" s="1" t="s">
        <v>2</v>
      </c>
      <c r="Q346" s="22">
        <v>1</v>
      </c>
      <c r="R346" s="9">
        <v>1</v>
      </c>
      <c r="S346" s="1">
        <v>90</v>
      </c>
      <c r="U346" s="1">
        <f>90-Datos_General[[#This Row],[Minutos Jugados]]</f>
        <v>0</v>
      </c>
      <c r="V346" s="1">
        <v>1</v>
      </c>
      <c r="W346" s="1">
        <v>1</v>
      </c>
      <c r="X346" s="1">
        <v>0</v>
      </c>
      <c r="Y346" s="10" t="str">
        <f>+IF(Datos_General[[#This Row],[Resultado]]="Victoria", "3", IF(Datos_General[[#This Row],[Resultado]]="Empate","1",0))</f>
        <v>3</v>
      </c>
      <c r="Z346" s="11">
        <f>+Datos_General[[#This Row],[Minutos Jugados]]*Datos_General[[#This Row],[Puntos Jug_Campo]]</f>
        <v>270</v>
      </c>
      <c r="AA34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46" s="10" t="str">
        <f>+IF(Datos_General[[#This Row],[Resultado Jug_Campo]] = "Empate", "1",IF(Datos_General[[#This Row],[Resultado Jug_Campo]] = "Victoria", "3","0"))</f>
        <v>3</v>
      </c>
    </row>
    <row r="347" spans="1:28">
      <c r="A347" s="1">
        <v>22</v>
      </c>
      <c r="B347" s="6">
        <v>46095</v>
      </c>
      <c r="C347" s="1" t="s">
        <v>133</v>
      </c>
      <c r="D347" s="1" t="s">
        <v>130</v>
      </c>
      <c r="E347" s="10" t="str">
        <f>+CONCATENATE(Datos_General[[#This Row],[Eq.Local]], "-", Datos_General[[#This Row],[Eq.Visitante]])</f>
        <v>Conxo Santiago B-Arosa S.C. B</v>
      </c>
      <c r="F347" s="1" t="s">
        <v>157</v>
      </c>
      <c r="G347" s="1" t="s">
        <v>57</v>
      </c>
      <c r="H347" s="1" t="s">
        <v>12</v>
      </c>
      <c r="I347" s="9">
        <v>2</v>
      </c>
      <c r="J347" s="9">
        <v>0</v>
      </c>
      <c r="K347" s="10" t="str">
        <f>+CONCATENATE(Datos_General[[#This Row],[Goles a Favor_Eq_local]],"-",Datos_General[[#This Row],[Gol a Favor_Eq_Visitante]])</f>
        <v>2-0</v>
      </c>
      <c r="L347" s="1" t="s">
        <v>133</v>
      </c>
      <c r="M347" s="1">
        <v>11</v>
      </c>
      <c r="N347" s="1" t="s">
        <v>150</v>
      </c>
      <c r="O347" s="1">
        <v>1</v>
      </c>
      <c r="P347" s="1" t="s">
        <v>2</v>
      </c>
      <c r="Q347" s="22">
        <v>1</v>
      </c>
      <c r="R347" s="9">
        <v>1</v>
      </c>
      <c r="S347" s="1">
        <v>61</v>
      </c>
      <c r="T347" s="1" t="s">
        <v>198</v>
      </c>
      <c r="U347" s="1">
        <f>90-Datos_General[[#This Row],[Minutos Jugados]]</f>
        <v>29</v>
      </c>
      <c r="V347" s="1">
        <v>0</v>
      </c>
      <c r="W347" s="1">
        <v>0</v>
      </c>
      <c r="X347" s="1">
        <v>0</v>
      </c>
      <c r="Y347" s="10" t="str">
        <f>+IF(Datos_General[[#This Row],[Resultado]]="Victoria", "3", IF(Datos_General[[#This Row],[Resultado]]="Empate","1",0))</f>
        <v>3</v>
      </c>
      <c r="Z347" s="11">
        <f>+Datos_General[[#This Row],[Minutos Jugados]]*Datos_General[[#This Row],[Puntos Jug_Campo]]</f>
        <v>61</v>
      </c>
      <c r="AA34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347" s="10" t="str">
        <f>+IF(Datos_General[[#This Row],[Resultado Jug_Campo]] = "Empate", "1",IF(Datos_General[[#This Row],[Resultado Jug_Campo]] = "Victoria", "3","0"))</f>
        <v>1</v>
      </c>
    </row>
    <row r="348" spans="1:28">
      <c r="A348" s="1">
        <v>22</v>
      </c>
      <c r="B348" s="6">
        <v>46095</v>
      </c>
      <c r="C348" s="1" t="s">
        <v>133</v>
      </c>
      <c r="D348" s="1" t="s">
        <v>130</v>
      </c>
      <c r="E348" s="10" t="str">
        <f>+CONCATENATE(Datos_General[[#This Row],[Eq.Local]], "-", Datos_General[[#This Row],[Eq.Visitante]])</f>
        <v>Conxo Santiago B-Arosa S.C. B</v>
      </c>
      <c r="F348" s="1" t="s">
        <v>157</v>
      </c>
      <c r="G348" s="1" t="s">
        <v>57</v>
      </c>
      <c r="H348" s="1" t="s">
        <v>12</v>
      </c>
      <c r="I348" s="9">
        <v>2</v>
      </c>
      <c r="J348" s="9">
        <v>0</v>
      </c>
      <c r="K348" s="10" t="str">
        <f>+CONCATENATE(Datos_General[[#This Row],[Goles a Favor_Eq_local]],"-",Datos_General[[#This Row],[Gol a Favor_Eq_Visitante]])</f>
        <v>2-0</v>
      </c>
      <c r="L348" s="1" t="s">
        <v>133</v>
      </c>
      <c r="M348" s="1">
        <v>13</v>
      </c>
      <c r="N348" s="1" t="s">
        <v>137</v>
      </c>
      <c r="O348" s="1">
        <v>1</v>
      </c>
      <c r="P348" s="1" t="s">
        <v>70</v>
      </c>
      <c r="Q348" s="7">
        <f>+IF(Datos_General[[#This Row],[Minutos Jugados]]&gt;0, 1, 0)</f>
        <v>0</v>
      </c>
      <c r="R348" s="23">
        <v>0</v>
      </c>
      <c r="S348" s="8">
        <f>IFERROR(IF(MATCH(N348,$T$337:$T$352,0), INDEX($U$337:$U$352,MATCH(N348,$T$337:$T$352,0))),0)</f>
        <v>0</v>
      </c>
      <c r="U348" s="1">
        <f>90-Datos_General[[#This Row],[Minutos Jugados]]</f>
        <v>90</v>
      </c>
      <c r="V348" s="1">
        <v>0</v>
      </c>
      <c r="W348" s="1">
        <v>0</v>
      </c>
      <c r="X348" s="1">
        <v>0</v>
      </c>
      <c r="Y348" s="10" t="str">
        <f>+IF(Datos_General[[#This Row],[Resultado]]="Victoria", "3", IF(Datos_General[[#This Row],[Resultado]]="Empate","1",0))</f>
        <v>3</v>
      </c>
      <c r="Z348" s="11">
        <f>+Datos_General[[#This Row],[Minutos Jugados]]*Datos_General[[#This Row],[Puntos Jug_Campo]]</f>
        <v>0</v>
      </c>
      <c r="AA34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348" s="10" t="str">
        <f>+IF(Datos_General[[#This Row],[Resultado Jug_Campo]] = "Empate", "1",IF(Datos_General[[#This Row],[Resultado Jug_Campo]] = "Victoria", "3","0"))</f>
        <v>0</v>
      </c>
    </row>
    <row r="349" spans="1:28">
      <c r="A349" s="1">
        <v>22</v>
      </c>
      <c r="B349" s="6">
        <v>46095</v>
      </c>
      <c r="C349" s="1" t="s">
        <v>133</v>
      </c>
      <c r="D349" s="1" t="s">
        <v>130</v>
      </c>
      <c r="E349" s="10" t="str">
        <f>+CONCATENATE(Datos_General[[#This Row],[Eq.Local]], "-", Datos_General[[#This Row],[Eq.Visitante]])</f>
        <v>Conxo Santiago B-Arosa S.C. B</v>
      </c>
      <c r="F349" s="1" t="s">
        <v>157</v>
      </c>
      <c r="G349" s="1" t="s">
        <v>57</v>
      </c>
      <c r="H349" s="1" t="s">
        <v>12</v>
      </c>
      <c r="I349" s="9">
        <v>2</v>
      </c>
      <c r="J349" s="9">
        <v>0</v>
      </c>
      <c r="K349" s="10" t="str">
        <f>+CONCATENATE(Datos_General[[#This Row],[Goles a Favor_Eq_local]],"-",Datos_General[[#This Row],[Gol a Favor_Eq_Visitante]])</f>
        <v>2-0</v>
      </c>
      <c r="L349" s="1" t="s">
        <v>133</v>
      </c>
      <c r="M349" s="1">
        <v>12</v>
      </c>
      <c r="N349" s="1" t="s">
        <v>166</v>
      </c>
      <c r="O349" s="1">
        <v>1</v>
      </c>
      <c r="P349" s="1" t="s">
        <v>70</v>
      </c>
      <c r="Q349" s="7">
        <f>+IF(Datos_General[[#This Row],[Minutos Jugados]]&gt;0, 1, 0)</f>
        <v>1</v>
      </c>
      <c r="R349" s="23">
        <v>0</v>
      </c>
      <c r="S349" s="8">
        <f t="shared" ref="S349:S352" si="13">IFERROR(IF(MATCH(N349,$T$337:$T$352,0), INDEX($U$337:$U$352,MATCH(N349,$T$337:$T$352,0))),0)</f>
        <v>25</v>
      </c>
      <c r="U349" s="1">
        <f>90-Datos_General[[#This Row],[Minutos Jugados]]</f>
        <v>65</v>
      </c>
      <c r="V349" s="1">
        <v>0</v>
      </c>
      <c r="W349" s="1">
        <v>1</v>
      </c>
      <c r="X349" s="1">
        <v>0</v>
      </c>
      <c r="Y349" s="10" t="str">
        <f>+IF(Datos_General[[#This Row],[Resultado]]="Victoria", "3", IF(Datos_General[[#This Row],[Resultado]]="Empate","1",0))</f>
        <v>3</v>
      </c>
      <c r="Z349" s="11">
        <f>+Datos_General[[#This Row],[Minutos Jugados]]*Datos_General[[#This Row],[Puntos Jug_Campo]]</f>
        <v>75</v>
      </c>
      <c r="AA34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49" s="10" t="str">
        <f>+IF(Datos_General[[#This Row],[Resultado Jug_Campo]] = "Empate", "1",IF(Datos_General[[#This Row],[Resultado Jug_Campo]] = "Victoria", "3","0"))</f>
        <v>3</v>
      </c>
    </row>
    <row r="350" spans="1:28">
      <c r="A350" s="1">
        <v>22</v>
      </c>
      <c r="B350" s="6">
        <v>46095</v>
      </c>
      <c r="C350" s="1" t="s">
        <v>133</v>
      </c>
      <c r="D350" s="1" t="s">
        <v>130</v>
      </c>
      <c r="E350" s="10" t="str">
        <f>+CONCATENATE(Datos_General[[#This Row],[Eq.Local]], "-", Datos_General[[#This Row],[Eq.Visitante]])</f>
        <v>Conxo Santiago B-Arosa S.C. B</v>
      </c>
      <c r="F350" s="1" t="s">
        <v>157</v>
      </c>
      <c r="G350" s="1" t="s">
        <v>57</v>
      </c>
      <c r="H350" s="1" t="s">
        <v>12</v>
      </c>
      <c r="I350" s="9">
        <v>2</v>
      </c>
      <c r="J350" s="9">
        <v>0</v>
      </c>
      <c r="K350" s="10" t="str">
        <f>+CONCATENATE(Datos_General[[#This Row],[Goles a Favor_Eq_local]],"-",Datos_General[[#This Row],[Gol a Favor_Eq_Visitante]])</f>
        <v>2-0</v>
      </c>
      <c r="L350" s="1" t="s">
        <v>133</v>
      </c>
      <c r="M350" s="1">
        <v>14</v>
      </c>
      <c r="N350" s="1" t="s">
        <v>198</v>
      </c>
      <c r="O350" s="1">
        <v>1</v>
      </c>
      <c r="P350" s="1" t="s">
        <v>70</v>
      </c>
      <c r="Q350" s="7">
        <f>+IF(Datos_General[[#This Row],[Minutos Jugados]]&gt;0, 1, 0)</f>
        <v>1</v>
      </c>
      <c r="R350" s="23">
        <v>0</v>
      </c>
      <c r="S350" s="8">
        <f t="shared" si="13"/>
        <v>29</v>
      </c>
      <c r="U350" s="1">
        <f>90-Datos_General[[#This Row],[Minutos Jugados]]</f>
        <v>61</v>
      </c>
      <c r="V350" s="1">
        <v>1</v>
      </c>
      <c r="W350" s="1">
        <v>2</v>
      </c>
      <c r="X350" s="1">
        <v>0</v>
      </c>
      <c r="Y350" s="10" t="str">
        <f>+IF(Datos_General[[#This Row],[Resultado]]="Victoria", "3", IF(Datos_General[[#This Row],[Resultado]]="Empate","1",0))</f>
        <v>3</v>
      </c>
      <c r="Z350" s="11">
        <f>+Datos_General[[#This Row],[Minutos Jugados]]*Datos_General[[#This Row],[Puntos Jug_Campo]]</f>
        <v>87</v>
      </c>
      <c r="AA35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50" s="10" t="str">
        <f>+IF(Datos_General[[#This Row],[Resultado Jug_Campo]] = "Empate", "1",IF(Datos_General[[#This Row],[Resultado Jug_Campo]] = "Victoria", "3","0"))</f>
        <v>3</v>
      </c>
    </row>
    <row r="351" spans="1:28">
      <c r="A351" s="1">
        <v>22</v>
      </c>
      <c r="B351" s="6">
        <v>46095</v>
      </c>
      <c r="C351" s="1" t="s">
        <v>133</v>
      </c>
      <c r="D351" s="1" t="s">
        <v>130</v>
      </c>
      <c r="E351" s="10" t="str">
        <f>+CONCATENATE(Datos_General[[#This Row],[Eq.Local]], "-", Datos_General[[#This Row],[Eq.Visitante]])</f>
        <v>Conxo Santiago B-Arosa S.C. B</v>
      </c>
      <c r="F351" s="1" t="s">
        <v>157</v>
      </c>
      <c r="G351" s="1" t="s">
        <v>57</v>
      </c>
      <c r="H351" s="1" t="s">
        <v>12</v>
      </c>
      <c r="I351" s="9">
        <v>2</v>
      </c>
      <c r="J351" s="9">
        <v>0</v>
      </c>
      <c r="K351" s="10" t="str">
        <f>+CONCATENATE(Datos_General[[#This Row],[Goles a Favor_Eq_local]],"-",Datos_General[[#This Row],[Gol a Favor_Eq_Visitante]])</f>
        <v>2-0</v>
      </c>
      <c r="L351" s="1" t="s">
        <v>133</v>
      </c>
      <c r="M351" s="1">
        <v>15</v>
      </c>
      <c r="N351" s="1" t="s">
        <v>163</v>
      </c>
      <c r="O351" s="1">
        <v>1</v>
      </c>
      <c r="P351" s="1" t="s">
        <v>70</v>
      </c>
      <c r="Q351" s="7">
        <f>+IF(Datos_General[[#This Row],[Minutos Jugados]]&gt;0, 1, 0)</f>
        <v>1</v>
      </c>
      <c r="R351" s="23">
        <v>0</v>
      </c>
      <c r="S351" s="8">
        <f t="shared" si="13"/>
        <v>25</v>
      </c>
      <c r="U351" s="1">
        <f>90-Datos_General[[#This Row],[Minutos Jugados]]</f>
        <v>65</v>
      </c>
      <c r="V351" s="1">
        <v>0</v>
      </c>
      <c r="W351" s="1">
        <v>1</v>
      </c>
      <c r="X351" s="1">
        <v>0</v>
      </c>
      <c r="Y351" s="10" t="str">
        <f>+IF(Datos_General[[#This Row],[Resultado]]="Victoria", "3", IF(Datos_General[[#This Row],[Resultado]]="Empate","1",0))</f>
        <v>3</v>
      </c>
      <c r="Z351" s="11">
        <f>+Datos_General[[#This Row],[Minutos Jugados]]*Datos_General[[#This Row],[Puntos Jug_Campo]]</f>
        <v>75</v>
      </c>
      <c r="AA35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51" s="10" t="str">
        <f>+IF(Datos_General[[#This Row],[Resultado Jug_Campo]] = "Empate", "1",IF(Datos_General[[#This Row],[Resultado Jug_Campo]] = "Victoria", "3","0"))</f>
        <v>3</v>
      </c>
    </row>
    <row r="352" spans="1:28">
      <c r="A352" s="1">
        <v>22</v>
      </c>
      <c r="B352" s="6">
        <v>46095</v>
      </c>
      <c r="C352" s="1" t="s">
        <v>133</v>
      </c>
      <c r="D352" s="1" t="s">
        <v>130</v>
      </c>
      <c r="E352" s="10" t="str">
        <f>+CONCATENATE(Datos_General[[#This Row],[Eq.Local]], "-", Datos_General[[#This Row],[Eq.Visitante]])</f>
        <v>Conxo Santiago B-Arosa S.C. B</v>
      </c>
      <c r="F352" s="1" t="s">
        <v>157</v>
      </c>
      <c r="G352" s="1" t="s">
        <v>57</v>
      </c>
      <c r="H352" s="1" t="s">
        <v>12</v>
      </c>
      <c r="I352" s="9">
        <v>2</v>
      </c>
      <c r="J352" s="9">
        <v>0</v>
      </c>
      <c r="K352" s="10" t="str">
        <f>+CONCATENATE(Datos_General[[#This Row],[Goles a Favor_Eq_local]],"-",Datos_General[[#This Row],[Gol a Favor_Eq_Visitante]])</f>
        <v>2-0</v>
      </c>
      <c r="L352" s="1" t="s">
        <v>133</v>
      </c>
      <c r="M352" s="1">
        <v>16</v>
      </c>
      <c r="N352" s="1" t="s">
        <v>194</v>
      </c>
      <c r="O352" s="1">
        <v>1</v>
      </c>
      <c r="P352" s="1" t="s">
        <v>70</v>
      </c>
      <c r="Q352" s="7">
        <f>+IF(Datos_General[[#This Row],[Minutos Jugados]]&gt;0, 1, 0)</f>
        <v>1</v>
      </c>
      <c r="R352" s="23">
        <v>0</v>
      </c>
      <c r="S352" s="8">
        <f t="shared" si="13"/>
        <v>25</v>
      </c>
      <c r="U352" s="1">
        <f>90-Datos_General[[#This Row],[Minutos Jugados]]</f>
        <v>65</v>
      </c>
      <c r="V352" s="1">
        <v>0</v>
      </c>
      <c r="W352" s="1">
        <v>1</v>
      </c>
      <c r="X352" s="1">
        <v>0</v>
      </c>
      <c r="Y352" s="10" t="str">
        <f>+IF(Datos_General[[#This Row],[Resultado]]="Victoria", "3", IF(Datos_General[[#This Row],[Resultado]]="Empate","1",0))</f>
        <v>3</v>
      </c>
      <c r="Z352" s="11">
        <f>+Datos_General[[#This Row],[Minutos Jugados]]*Datos_General[[#This Row],[Puntos Jug_Campo]]</f>
        <v>75</v>
      </c>
      <c r="AA35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352" s="10" t="str">
        <f>+IF(Datos_General[[#This Row],[Resultado Jug_Campo]] = "Empate", "1",IF(Datos_General[[#This Row],[Resultado Jug_Campo]] = "Victoria", "3","0"))</f>
        <v>3</v>
      </c>
    </row>
    <row r="353" spans="1:28">
      <c r="A353" s="1">
        <v>23</v>
      </c>
      <c r="B353" s="6">
        <v>46104</v>
      </c>
      <c r="C353" s="1" t="s">
        <v>128</v>
      </c>
      <c r="D353" s="1" t="s">
        <v>133</v>
      </c>
      <c r="E353" s="10" t="str">
        <f>+CONCATENATE(Datos_General[[#This Row],[Eq.Local]], "-", Datos_General[[#This Row],[Eq.Visitante]])</f>
        <v>S.D. Compostela B-Conxo Santiago B</v>
      </c>
      <c r="F353" s="1" t="s">
        <v>204</v>
      </c>
      <c r="G353" s="1" t="s">
        <v>58</v>
      </c>
      <c r="H353" s="1" t="s">
        <v>43</v>
      </c>
      <c r="I353" s="9">
        <v>2</v>
      </c>
      <c r="J353" s="9">
        <v>0</v>
      </c>
      <c r="K353" s="10" t="str">
        <f>+CONCATENATE(Datos_General[[#This Row],[Goles a Favor_Eq_local]],"-",Datos_General[[#This Row],[Gol a Favor_Eq_Visitante]])</f>
        <v>2-0</v>
      </c>
      <c r="L353" s="1" t="s">
        <v>133</v>
      </c>
      <c r="M353" s="1">
        <v>1</v>
      </c>
      <c r="N353" s="1" t="s">
        <v>148</v>
      </c>
      <c r="O353" s="1">
        <v>1</v>
      </c>
      <c r="P353" s="1" t="s">
        <v>2</v>
      </c>
      <c r="Q353" s="22">
        <v>1</v>
      </c>
      <c r="R353" s="9">
        <v>1</v>
      </c>
      <c r="S353" s="1">
        <v>90</v>
      </c>
      <c r="U353" s="1">
        <f>90-Datos_General[[#This Row],[Minutos Jugados]]</f>
        <v>0</v>
      </c>
      <c r="V353" s="1">
        <v>0</v>
      </c>
      <c r="W353" s="1">
        <v>0</v>
      </c>
      <c r="X353" s="1">
        <v>2</v>
      </c>
      <c r="Y353" s="10">
        <f>+IF(Datos_General[[#This Row],[Resultado]]="Victoria", "3", IF(Datos_General[[#This Row],[Resultado]]="Empate","1",0))</f>
        <v>0</v>
      </c>
      <c r="Z353" s="11">
        <f>+Datos_General[[#This Row],[Minutos Jugados]]*Datos_General[[#This Row],[Puntos Jug_Campo]]</f>
        <v>0</v>
      </c>
      <c r="AA35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53" s="10" t="str">
        <f>+IF(Datos_General[[#This Row],[Resultado Jug_Campo]] = "Empate", "1",IF(Datos_General[[#This Row],[Resultado Jug_Campo]] = "Victoria", "3","0"))</f>
        <v>0</v>
      </c>
    </row>
    <row r="354" spans="1:28">
      <c r="A354" s="1">
        <v>23</v>
      </c>
      <c r="B354" s="6">
        <v>46104</v>
      </c>
      <c r="C354" s="1" t="s">
        <v>128</v>
      </c>
      <c r="D354" s="1" t="s">
        <v>133</v>
      </c>
      <c r="E354" s="10" t="str">
        <f>+CONCATENATE(Datos_General[[#This Row],[Eq.Local]], "-", Datos_General[[#This Row],[Eq.Visitante]])</f>
        <v>S.D. Compostela B-Conxo Santiago B</v>
      </c>
      <c r="F354" s="1" t="s">
        <v>204</v>
      </c>
      <c r="G354" s="1" t="s">
        <v>58</v>
      </c>
      <c r="H354" s="1" t="s">
        <v>43</v>
      </c>
      <c r="I354" s="9">
        <v>2</v>
      </c>
      <c r="J354" s="9">
        <v>0</v>
      </c>
      <c r="K354" s="10" t="str">
        <f>+CONCATENATE(Datos_General[[#This Row],[Goles a Favor_Eq_local]],"-",Datos_General[[#This Row],[Gol a Favor_Eq_Visitante]])</f>
        <v>2-0</v>
      </c>
      <c r="L354" s="1" t="s">
        <v>133</v>
      </c>
      <c r="M354" s="1">
        <v>2</v>
      </c>
      <c r="N354" s="1" t="s">
        <v>140</v>
      </c>
      <c r="O354" s="1">
        <v>1</v>
      </c>
      <c r="P354" s="1" t="s">
        <v>2</v>
      </c>
      <c r="Q354" s="22">
        <v>1</v>
      </c>
      <c r="R354" s="9">
        <v>1</v>
      </c>
      <c r="S354" s="1">
        <v>90</v>
      </c>
      <c r="U354" s="1">
        <f>90-Datos_General[[#This Row],[Minutos Jugados]]</f>
        <v>0</v>
      </c>
      <c r="V354" s="1">
        <v>0</v>
      </c>
      <c r="W354" s="1">
        <v>0</v>
      </c>
      <c r="X354" s="1">
        <v>2</v>
      </c>
      <c r="Y354" s="10">
        <f>+IF(Datos_General[[#This Row],[Resultado]]="Victoria", "3", IF(Datos_General[[#This Row],[Resultado]]="Empate","1",0))</f>
        <v>0</v>
      </c>
      <c r="Z354" s="11">
        <f>+Datos_General[[#This Row],[Minutos Jugados]]*Datos_General[[#This Row],[Puntos Jug_Campo]]</f>
        <v>0</v>
      </c>
      <c r="AA35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54" s="10" t="str">
        <f>+IF(Datos_General[[#This Row],[Resultado Jug_Campo]] = "Empate", "1",IF(Datos_General[[#This Row],[Resultado Jug_Campo]] = "Victoria", "3","0"))</f>
        <v>0</v>
      </c>
    </row>
    <row r="355" spans="1:28">
      <c r="A355" s="1">
        <v>23</v>
      </c>
      <c r="B355" s="6">
        <v>46104</v>
      </c>
      <c r="C355" s="1" t="s">
        <v>128</v>
      </c>
      <c r="D355" s="1" t="s">
        <v>133</v>
      </c>
      <c r="E355" s="10" t="str">
        <f>+CONCATENATE(Datos_General[[#This Row],[Eq.Local]], "-", Datos_General[[#This Row],[Eq.Visitante]])</f>
        <v>S.D. Compostela B-Conxo Santiago B</v>
      </c>
      <c r="F355" s="1" t="s">
        <v>204</v>
      </c>
      <c r="G355" s="1" t="s">
        <v>58</v>
      </c>
      <c r="H355" s="1" t="s">
        <v>43</v>
      </c>
      <c r="I355" s="9">
        <v>2</v>
      </c>
      <c r="J355" s="9">
        <v>0</v>
      </c>
      <c r="K355" s="10" t="str">
        <f>+CONCATENATE(Datos_General[[#This Row],[Goles a Favor_Eq_local]],"-",Datos_General[[#This Row],[Gol a Favor_Eq_Visitante]])</f>
        <v>2-0</v>
      </c>
      <c r="L355" s="1" t="s">
        <v>133</v>
      </c>
      <c r="M355" s="1">
        <v>3</v>
      </c>
      <c r="N355" s="1" t="s">
        <v>163</v>
      </c>
      <c r="O355" s="1">
        <v>1</v>
      </c>
      <c r="P355" s="1" t="s">
        <v>2</v>
      </c>
      <c r="Q355" s="22">
        <v>1</v>
      </c>
      <c r="R355" s="9">
        <v>1</v>
      </c>
      <c r="S355" s="1">
        <v>70</v>
      </c>
      <c r="T355" s="1" t="s">
        <v>207</v>
      </c>
      <c r="U355" s="1">
        <f>90-Datos_General[[#This Row],[Minutos Jugados]]</f>
        <v>20</v>
      </c>
      <c r="V355" s="1">
        <v>0</v>
      </c>
      <c r="W355" s="1">
        <v>0</v>
      </c>
      <c r="X355" s="1">
        <v>1</v>
      </c>
      <c r="Y355" s="10">
        <f>+IF(Datos_General[[#This Row],[Resultado]]="Victoria", "3", IF(Datos_General[[#This Row],[Resultado]]="Empate","1",0))</f>
        <v>0</v>
      </c>
      <c r="Z355" s="11">
        <f>+Datos_General[[#This Row],[Minutos Jugados]]*Datos_General[[#This Row],[Puntos Jug_Campo]]</f>
        <v>0</v>
      </c>
      <c r="AA35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55" s="10" t="str">
        <f>+IF(Datos_General[[#This Row],[Resultado Jug_Campo]] = "Empate", "1",IF(Datos_General[[#This Row],[Resultado Jug_Campo]] = "Victoria", "3","0"))</f>
        <v>0</v>
      </c>
    </row>
    <row r="356" spans="1:28">
      <c r="A356" s="1">
        <v>23</v>
      </c>
      <c r="B356" s="6">
        <v>46104</v>
      </c>
      <c r="C356" s="1" t="s">
        <v>128</v>
      </c>
      <c r="D356" s="1" t="s">
        <v>133</v>
      </c>
      <c r="E356" s="10" t="str">
        <f>+CONCATENATE(Datos_General[[#This Row],[Eq.Local]], "-", Datos_General[[#This Row],[Eq.Visitante]])</f>
        <v>S.D. Compostela B-Conxo Santiago B</v>
      </c>
      <c r="F356" s="1" t="s">
        <v>204</v>
      </c>
      <c r="G356" s="1" t="s">
        <v>58</v>
      </c>
      <c r="H356" s="1" t="s">
        <v>43</v>
      </c>
      <c r="I356" s="9">
        <v>2</v>
      </c>
      <c r="J356" s="9">
        <v>0</v>
      </c>
      <c r="K356" s="10" t="str">
        <f>+CONCATENATE(Datos_General[[#This Row],[Goles a Favor_Eq_local]],"-",Datos_General[[#This Row],[Gol a Favor_Eq_Visitante]])</f>
        <v>2-0</v>
      </c>
      <c r="L356" s="1" t="s">
        <v>133</v>
      </c>
      <c r="M356" s="1">
        <v>4</v>
      </c>
      <c r="N356" s="1" t="s">
        <v>199</v>
      </c>
      <c r="O356" s="1">
        <v>1</v>
      </c>
      <c r="P356" s="1" t="s">
        <v>2</v>
      </c>
      <c r="Q356" s="22">
        <v>1</v>
      </c>
      <c r="R356" s="9">
        <v>1</v>
      </c>
      <c r="S356" s="1">
        <v>90</v>
      </c>
      <c r="U356" s="1">
        <f>90-Datos_General[[#This Row],[Minutos Jugados]]</f>
        <v>0</v>
      </c>
      <c r="V356" s="1">
        <v>0</v>
      </c>
      <c r="W356" s="1">
        <v>0</v>
      </c>
      <c r="X356" s="1">
        <v>2</v>
      </c>
      <c r="Y356" s="10">
        <f>+IF(Datos_General[[#This Row],[Resultado]]="Victoria", "3", IF(Datos_General[[#This Row],[Resultado]]="Empate","1",0))</f>
        <v>0</v>
      </c>
      <c r="Z356" s="11">
        <f>+Datos_General[[#This Row],[Minutos Jugados]]*Datos_General[[#This Row],[Puntos Jug_Campo]]</f>
        <v>0</v>
      </c>
      <c r="AA35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56" s="10" t="str">
        <f>+IF(Datos_General[[#This Row],[Resultado Jug_Campo]] = "Empate", "1",IF(Datos_General[[#This Row],[Resultado Jug_Campo]] = "Victoria", "3","0"))</f>
        <v>0</v>
      </c>
    </row>
    <row r="357" spans="1:28">
      <c r="A357" s="1">
        <v>23</v>
      </c>
      <c r="B357" s="6">
        <v>46104</v>
      </c>
      <c r="C357" s="1" t="s">
        <v>128</v>
      </c>
      <c r="D357" s="1" t="s">
        <v>133</v>
      </c>
      <c r="E357" s="10" t="str">
        <f>+CONCATENATE(Datos_General[[#This Row],[Eq.Local]], "-", Datos_General[[#This Row],[Eq.Visitante]])</f>
        <v>S.D. Compostela B-Conxo Santiago B</v>
      </c>
      <c r="F357" s="1" t="s">
        <v>204</v>
      </c>
      <c r="G357" s="1" t="s">
        <v>58</v>
      </c>
      <c r="H357" s="1" t="s">
        <v>43</v>
      </c>
      <c r="I357" s="9">
        <v>2</v>
      </c>
      <c r="J357" s="9">
        <v>0</v>
      </c>
      <c r="K357" s="10" t="str">
        <f>+CONCATENATE(Datos_General[[#This Row],[Goles a Favor_Eq_local]],"-",Datos_General[[#This Row],[Gol a Favor_Eq_Visitante]])</f>
        <v>2-0</v>
      </c>
      <c r="L357" s="1" t="s">
        <v>133</v>
      </c>
      <c r="M357" s="1">
        <v>5</v>
      </c>
      <c r="N357" s="1" t="s">
        <v>162</v>
      </c>
      <c r="O357" s="1">
        <v>1</v>
      </c>
      <c r="P357" s="1" t="s">
        <v>2</v>
      </c>
      <c r="Q357" s="22">
        <v>1</v>
      </c>
      <c r="R357" s="9">
        <v>1</v>
      </c>
      <c r="S357" s="1">
        <v>90</v>
      </c>
      <c r="U357" s="1">
        <f>90-Datos_General[[#This Row],[Minutos Jugados]]</f>
        <v>0</v>
      </c>
      <c r="V357" s="1">
        <v>0</v>
      </c>
      <c r="W357" s="1">
        <v>0</v>
      </c>
      <c r="X357" s="1">
        <v>2</v>
      </c>
      <c r="Y357" s="10">
        <f>+IF(Datos_General[[#This Row],[Resultado]]="Victoria", "3", IF(Datos_General[[#This Row],[Resultado]]="Empate","1",0))</f>
        <v>0</v>
      </c>
      <c r="Z357" s="11">
        <f>+Datos_General[[#This Row],[Minutos Jugados]]*Datos_General[[#This Row],[Puntos Jug_Campo]]</f>
        <v>0</v>
      </c>
      <c r="AA35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57" s="10" t="str">
        <f>+IF(Datos_General[[#This Row],[Resultado Jug_Campo]] = "Empate", "1",IF(Datos_General[[#This Row],[Resultado Jug_Campo]] = "Victoria", "3","0"))</f>
        <v>0</v>
      </c>
    </row>
    <row r="358" spans="1:28">
      <c r="A358" s="1">
        <v>23</v>
      </c>
      <c r="B358" s="6">
        <v>46104</v>
      </c>
      <c r="C358" s="1" t="s">
        <v>128</v>
      </c>
      <c r="D358" s="1" t="s">
        <v>133</v>
      </c>
      <c r="E358" s="10" t="str">
        <f>+CONCATENATE(Datos_General[[#This Row],[Eq.Local]], "-", Datos_General[[#This Row],[Eq.Visitante]])</f>
        <v>S.D. Compostela B-Conxo Santiago B</v>
      </c>
      <c r="F358" s="1" t="s">
        <v>204</v>
      </c>
      <c r="G358" s="1" t="s">
        <v>58</v>
      </c>
      <c r="H358" s="1" t="s">
        <v>43</v>
      </c>
      <c r="I358" s="9">
        <v>2</v>
      </c>
      <c r="J358" s="9">
        <v>0</v>
      </c>
      <c r="K358" s="10" t="str">
        <f>+CONCATENATE(Datos_General[[#This Row],[Goles a Favor_Eq_local]],"-",Datos_General[[#This Row],[Gol a Favor_Eq_Visitante]])</f>
        <v>2-0</v>
      </c>
      <c r="L358" s="1" t="s">
        <v>133</v>
      </c>
      <c r="M358" s="1">
        <v>6</v>
      </c>
      <c r="N358" s="1" t="s">
        <v>142</v>
      </c>
      <c r="O358" s="1">
        <v>1</v>
      </c>
      <c r="P358" s="1" t="s">
        <v>2</v>
      </c>
      <c r="Q358" s="22">
        <v>1</v>
      </c>
      <c r="R358" s="9">
        <v>1</v>
      </c>
      <c r="S358" s="1">
        <v>90</v>
      </c>
      <c r="U358" s="1">
        <f>90-Datos_General[[#This Row],[Minutos Jugados]]</f>
        <v>0</v>
      </c>
      <c r="V358" s="1">
        <v>0</v>
      </c>
      <c r="W358" s="1">
        <v>0</v>
      </c>
      <c r="X358" s="1">
        <v>2</v>
      </c>
      <c r="Y358" s="10">
        <f>+IF(Datos_General[[#This Row],[Resultado]]="Victoria", "3", IF(Datos_General[[#This Row],[Resultado]]="Empate","1",0))</f>
        <v>0</v>
      </c>
      <c r="Z358" s="11">
        <f>+Datos_General[[#This Row],[Minutos Jugados]]*Datos_General[[#This Row],[Puntos Jug_Campo]]</f>
        <v>0</v>
      </c>
      <c r="AA35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58" s="10" t="str">
        <f>+IF(Datos_General[[#This Row],[Resultado Jug_Campo]] = "Empate", "1",IF(Datos_General[[#This Row],[Resultado Jug_Campo]] = "Victoria", "3","0"))</f>
        <v>0</v>
      </c>
    </row>
    <row r="359" spans="1:28">
      <c r="A359" s="1">
        <v>23</v>
      </c>
      <c r="B359" s="6">
        <v>46104</v>
      </c>
      <c r="C359" s="1" t="s">
        <v>128</v>
      </c>
      <c r="D359" s="1" t="s">
        <v>133</v>
      </c>
      <c r="E359" s="10" t="str">
        <f>+CONCATENATE(Datos_General[[#This Row],[Eq.Local]], "-", Datos_General[[#This Row],[Eq.Visitante]])</f>
        <v>S.D. Compostela B-Conxo Santiago B</v>
      </c>
      <c r="F359" s="1" t="s">
        <v>204</v>
      </c>
      <c r="G359" s="1" t="s">
        <v>58</v>
      </c>
      <c r="H359" s="1" t="s">
        <v>43</v>
      </c>
      <c r="I359" s="9">
        <v>2</v>
      </c>
      <c r="J359" s="9">
        <v>0</v>
      </c>
      <c r="K359" s="10" t="str">
        <f>+CONCATENATE(Datos_General[[#This Row],[Goles a Favor_Eq_local]],"-",Datos_General[[#This Row],[Gol a Favor_Eq_Visitante]])</f>
        <v>2-0</v>
      </c>
      <c r="L359" s="1" t="s">
        <v>133</v>
      </c>
      <c r="M359" s="1">
        <v>7</v>
      </c>
      <c r="N359" s="1" t="s">
        <v>156</v>
      </c>
      <c r="O359" s="1">
        <v>1</v>
      </c>
      <c r="P359" s="1" t="s">
        <v>2</v>
      </c>
      <c r="Q359" s="22">
        <v>1</v>
      </c>
      <c r="R359" s="9">
        <v>1</v>
      </c>
      <c r="S359" s="1">
        <v>70</v>
      </c>
      <c r="T359" s="1" t="s">
        <v>206</v>
      </c>
      <c r="U359" s="1">
        <f>90-Datos_General[[#This Row],[Minutos Jugados]]</f>
        <v>20</v>
      </c>
      <c r="V359" s="1">
        <v>0</v>
      </c>
      <c r="W359" s="1">
        <v>0</v>
      </c>
      <c r="X359" s="1">
        <v>1</v>
      </c>
      <c r="Y359" s="10">
        <f>+IF(Datos_General[[#This Row],[Resultado]]="Victoria", "3", IF(Datos_General[[#This Row],[Resultado]]="Empate","1",0))</f>
        <v>0</v>
      </c>
      <c r="Z359" s="11">
        <f>+Datos_General[[#This Row],[Minutos Jugados]]*Datos_General[[#This Row],[Puntos Jug_Campo]]</f>
        <v>0</v>
      </c>
      <c r="AA35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59" s="10" t="str">
        <f>+IF(Datos_General[[#This Row],[Resultado Jug_Campo]] = "Empate", "1",IF(Datos_General[[#This Row],[Resultado Jug_Campo]] = "Victoria", "3","0"))</f>
        <v>0</v>
      </c>
    </row>
    <row r="360" spans="1:28">
      <c r="A360" s="1">
        <v>23</v>
      </c>
      <c r="B360" s="6">
        <v>46104</v>
      </c>
      <c r="C360" s="1" t="s">
        <v>128</v>
      </c>
      <c r="D360" s="1" t="s">
        <v>133</v>
      </c>
      <c r="E360" s="10" t="str">
        <f>+CONCATENATE(Datos_General[[#This Row],[Eq.Local]], "-", Datos_General[[#This Row],[Eq.Visitante]])</f>
        <v>S.D. Compostela B-Conxo Santiago B</v>
      </c>
      <c r="F360" s="1" t="s">
        <v>204</v>
      </c>
      <c r="G360" s="1" t="s">
        <v>58</v>
      </c>
      <c r="H360" s="1" t="s">
        <v>43</v>
      </c>
      <c r="I360" s="9">
        <v>2</v>
      </c>
      <c r="J360" s="9">
        <v>0</v>
      </c>
      <c r="K360" s="10" t="str">
        <f>+CONCATENATE(Datos_General[[#This Row],[Goles a Favor_Eq_local]],"-",Datos_General[[#This Row],[Gol a Favor_Eq_Visitante]])</f>
        <v>2-0</v>
      </c>
      <c r="L360" s="1" t="s">
        <v>133</v>
      </c>
      <c r="M360" s="1">
        <v>8</v>
      </c>
      <c r="N360" s="1" t="s">
        <v>165</v>
      </c>
      <c r="O360" s="1">
        <v>1</v>
      </c>
      <c r="P360" s="1" t="s">
        <v>2</v>
      </c>
      <c r="Q360" s="22">
        <v>1</v>
      </c>
      <c r="R360" s="9">
        <v>1</v>
      </c>
      <c r="S360" s="1">
        <v>90</v>
      </c>
      <c r="U360" s="1">
        <f>90-Datos_General[[#This Row],[Minutos Jugados]]</f>
        <v>0</v>
      </c>
      <c r="V360" s="1">
        <v>0</v>
      </c>
      <c r="W360" s="1">
        <v>0</v>
      </c>
      <c r="X360" s="1">
        <v>2</v>
      </c>
      <c r="Y360" s="10">
        <f>+IF(Datos_General[[#This Row],[Resultado]]="Victoria", "3", IF(Datos_General[[#This Row],[Resultado]]="Empate","1",0))</f>
        <v>0</v>
      </c>
      <c r="Z360" s="11">
        <f>+Datos_General[[#This Row],[Minutos Jugados]]*Datos_General[[#This Row],[Puntos Jug_Campo]]</f>
        <v>0</v>
      </c>
      <c r="AA36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0" s="10" t="str">
        <f>+IF(Datos_General[[#This Row],[Resultado Jug_Campo]] = "Empate", "1",IF(Datos_General[[#This Row],[Resultado Jug_Campo]] = "Victoria", "3","0"))</f>
        <v>0</v>
      </c>
    </row>
    <row r="361" spans="1:28">
      <c r="A361" s="1">
        <v>23</v>
      </c>
      <c r="B361" s="6">
        <v>46104</v>
      </c>
      <c r="C361" s="1" t="s">
        <v>128</v>
      </c>
      <c r="D361" s="1" t="s">
        <v>133</v>
      </c>
      <c r="E361" s="10" t="str">
        <f>+CONCATENATE(Datos_General[[#This Row],[Eq.Local]], "-", Datos_General[[#This Row],[Eq.Visitante]])</f>
        <v>S.D. Compostela B-Conxo Santiago B</v>
      </c>
      <c r="F361" s="1" t="s">
        <v>204</v>
      </c>
      <c r="G361" s="1" t="s">
        <v>58</v>
      </c>
      <c r="H361" s="1" t="s">
        <v>43</v>
      </c>
      <c r="I361" s="9">
        <v>2</v>
      </c>
      <c r="J361" s="9">
        <v>0</v>
      </c>
      <c r="K361" s="10" t="str">
        <f>+CONCATENATE(Datos_General[[#This Row],[Goles a Favor_Eq_local]],"-",Datos_General[[#This Row],[Gol a Favor_Eq_Visitante]])</f>
        <v>2-0</v>
      </c>
      <c r="L361" s="1" t="s">
        <v>133</v>
      </c>
      <c r="M361" s="1">
        <v>9</v>
      </c>
      <c r="N361" s="1" t="s">
        <v>194</v>
      </c>
      <c r="O361" s="1">
        <v>1</v>
      </c>
      <c r="P361" s="1" t="s">
        <v>2</v>
      </c>
      <c r="Q361" s="22">
        <v>1</v>
      </c>
      <c r="R361" s="9">
        <v>1</v>
      </c>
      <c r="S361" s="1">
        <v>90</v>
      </c>
      <c r="U361" s="1">
        <f>90-Datos_General[[#This Row],[Minutos Jugados]]</f>
        <v>0</v>
      </c>
      <c r="V361" s="1">
        <v>0</v>
      </c>
      <c r="W361" s="1">
        <v>0</v>
      </c>
      <c r="X361" s="1">
        <v>2</v>
      </c>
      <c r="Y361" s="10">
        <f>+IF(Datos_General[[#This Row],[Resultado]]="Victoria", "3", IF(Datos_General[[#This Row],[Resultado]]="Empate","1",0))</f>
        <v>0</v>
      </c>
      <c r="Z361" s="11">
        <f>+Datos_General[[#This Row],[Minutos Jugados]]*Datos_General[[#This Row],[Puntos Jug_Campo]]</f>
        <v>0</v>
      </c>
      <c r="AA36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1" s="10" t="str">
        <f>+IF(Datos_General[[#This Row],[Resultado Jug_Campo]] = "Empate", "1",IF(Datos_General[[#This Row],[Resultado Jug_Campo]] = "Victoria", "3","0"))</f>
        <v>0</v>
      </c>
    </row>
    <row r="362" spans="1:28">
      <c r="A362" s="1">
        <v>23</v>
      </c>
      <c r="B362" s="6">
        <v>46104</v>
      </c>
      <c r="C362" s="1" t="s">
        <v>128</v>
      </c>
      <c r="D362" s="1" t="s">
        <v>133</v>
      </c>
      <c r="E362" s="10" t="str">
        <f>+CONCATENATE(Datos_General[[#This Row],[Eq.Local]], "-", Datos_General[[#This Row],[Eq.Visitante]])</f>
        <v>S.D. Compostela B-Conxo Santiago B</v>
      </c>
      <c r="F362" s="1" t="s">
        <v>204</v>
      </c>
      <c r="G362" s="1" t="s">
        <v>58</v>
      </c>
      <c r="H362" s="1" t="s">
        <v>43</v>
      </c>
      <c r="I362" s="9">
        <v>2</v>
      </c>
      <c r="J362" s="9">
        <v>0</v>
      </c>
      <c r="K362" s="10" t="str">
        <f>+CONCATENATE(Datos_General[[#This Row],[Goles a Favor_Eq_local]],"-",Datos_General[[#This Row],[Gol a Favor_Eq_Visitante]])</f>
        <v>2-0</v>
      </c>
      <c r="L362" s="1" t="s">
        <v>133</v>
      </c>
      <c r="M362" s="1">
        <v>10</v>
      </c>
      <c r="N362" s="1" t="s">
        <v>205</v>
      </c>
      <c r="O362" s="1">
        <v>1</v>
      </c>
      <c r="P362" s="1" t="s">
        <v>2</v>
      </c>
      <c r="Q362" s="22">
        <v>1</v>
      </c>
      <c r="R362" s="9">
        <v>1</v>
      </c>
      <c r="S362" s="1">
        <v>63</v>
      </c>
      <c r="T362" s="1" t="s">
        <v>164</v>
      </c>
      <c r="U362" s="1">
        <f>90-Datos_General[[#This Row],[Minutos Jugados]]</f>
        <v>27</v>
      </c>
      <c r="V362" s="1">
        <v>0</v>
      </c>
      <c r="W362" s="1">
        <v>0</v>
      </c>
      <c r="X362" s="1">
        <v>1</v>
      </c>
      <c r="Y362" s="10">
        <f>+IF(Datos_General[[#This Row],[Resultado]]="Victoria", "3", IF(Datos_General[[#This Row],[Resultado]]="Empate","1",0))</f>
        <v>0</v>
      </c>
      <c r="Z362" s="11">
        <f>+Datos_General[[#This Row],[Minutos Jugados]]*Datos_General[[#This Row],[Puntos Jug_Campo]]</f>
        <v>0</v>
      </c>
      <c r="AA36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2" s="10" t="str">
        <f>+IF(Datos_General[[#This Row],[Resultado Jug_Campo]] = "Empate", "1",IF(Datos_General[[#This Row],[Resultado Jug_Campo]] = "Victoria", "3","0"))</f>
        <v>0</v>
      </c>
    </row>
    <row r="363" spans="1:28">
      <c r="A363" s="1">
        <v>23</v>
      </c>
      <c r="B363" s="6">
        <v>46104</v>
      </c>
      <c r="C363" s="1" t="s">
        <v>128</v>
      </c>
      <c r="D363" s="1" t="s">
        <v>133</v>
      </c>
      <c r="E363" s="10" t="str">
        <f>+CONCATENATE(Datos_General[[#This Row],[Eq.Local]], "-", Datos_General[[#This Row],[Eq.Visitante]])</f>
        <v>S.D. Compostela B-Conxo Santiago B</v>
      </c>
      <c r="F363" s="1" t="s">
        <v>204</v>
      </c>
      <c r="G363" s="1" t="s">
        <v>58</v>
      </c>
      <c r="H363" s="1" t="s">
        <v>43</v>
      </c>
      <c r="I363" s="9">
        <v>2</v>
      </c>
      <c r="J363" s="9">
        <v>0</v>
      </c>
      <c r="K363" s="10" t="str">
        <f>+CONCATENATE(Datos_General[[#This Row],[Goles a Favor_Eq_local]],"-",Datos_General[[#This Row],[Gol a Favor_Eq_Visitante]])</f>
        <v>2-0</v>
      </c>
      <c r="L363" s="1" t="s">
        <v>133</v>
      </c>
      <c r="M363" s="1">
        <v>11</v>
      </c>
      <c r="N363" s="1" t="s">
        <v>198</v>
      </c>
      <c r="O363" s="1">
        <v>1</v>
      </c>
      <c r="P363" s="1" t="s">
        <v>2</v>
      </c>
      <c r="Q363" s="22">
        <v>1</v>
      </c>
      <c r="R363" s="9">
        <v>1</v>
      </c>
      <c r="S363" s="1">
        <v>57</v>
      </c>
      <c r="T363" s="1" t="s">
        <v>139</v>
      </c>
      <c r="U363" s="1">
        <f>90-Datos_General[[#This Row],[Minutos Jugados]]</f>
        <v>33</v>
      </c>
      <c r="V363" s="1">
        <v>0</v>
      </c>
      <c r="W363" s="1">
        <v>0</v>
      </c>
      <c r="X363" s="1">
        <v>1</v>
      </c>
      <c r="Y363" s="10">
        <f>+IF(Datos_General[[#This Row],[Resultado]]="Victoria", "3", IF(Datos_General[[#This Row],[Resultado]]="Empate","1",0))</f>
        <v>0</v>
      </c>
      <c r="Z363" s="11">
        <f>+Datos_General[[#This Row],[Minutos Jugados]]*Datos_General[[#This Row],[Puntos Jug_Campo]]</f>
        <v>0</v>
      </c>
      <c r="AA36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3" s="10" t="str">
        <f>+IF(Datos_General[[#This Row],[Resultado Jug_Campo]] = "Empate", "1",IF(Datos_General[[#This Row],[Resultado Jug_Campo]] = "Victoria", "3","0"))</f>
        <v>0</v>
      </c>
    </row>
    <row r="364" spans="1:28">
      <c r="A364" s="1">
        <v>23</v>
      </c>
      <c r="B364" s="6">
        <v>46104</v>
      </c>
      <c r="C364" s="1" t="s">
        <v>128</v>
      </c>
      <c r="D364" s="1" t="s">
        <v>133</v>
      </c>
      <c r="E364" s="10" t="str">
        <f>+CONCATENATE(Datos_General[[#This Row],[Eq.Local]], "-", Datos_General[[#This Row],[Eq.Visitante]])</f>
        <v>S.D. Compostela B-Conxo Santiago B</v>
      </c>
      <c r="F364" s="1" t="s">
        <v>204</v>
      </c>
      <c r="G364" s="1" t="s">
        <v>58</v>
      </c>
      <c r="H364" s="1" t="s">
        <v>43</v>
      </c>
      <c r="I364" s="9">
        <v>2</v>
      </c>
      <c r="J364" s="9">
        <v>0</v>
      </c>
      <c r="K364" s="10" t="str">
        <f>+CONCATENATE(Datos_General[[#This Row],[Goles a Favor_Eq_local]],"-",Datos_General[[#This Row],[Gol a Favor_Eq_Visitante]])</f>
        <v>2-0</v>
      </c>
      <c r="L364" s="1" t="s">
        <v>133</v>
      </c>
      <c r="M364" s="1">
        <v>12</v>
      </c>
      <c r="N364" s="1" t="s">
        <v>139</v>
      </c>
      <c r="O364" s="1">
        <v>1</v>
      </c>
      <c r="P364" s="1" t="s">
        <v>70</v>
      </c>
      <c r="Q364" s="7">
        <f>+IF(Datos_General[[#This Row],[Minutos Jugados]]&gt;0, 1, 0)</f>
        <v>1</v>
      </c>
      <c r="R364" s="23">
        <v>0</v>
      </c>
      <c r="S364" s="8">
        <f>IFERROR(IF(MATCH(N364,$T$353:$T$368,0), INDEX($U$353:$U$368,MATCH(N364,$T$353:$T$368,0))),0)</f>
        <v>33</v>
      </c>
      <c r="U364" s="1">
        <f>90-Datos_General[[#This Row],[Minutos Jugados]]</f>
        <v>57</v>
      </c>
      <c r="V364" s="1">
        <v>0</v>
      </c>
      <c r="W364" s="1">
        <v>0</v>
      </c>
      <c r="X364" s="1">
        <v>1</v>
      </c>
      <c r="Y364" s="10">
        <f>+IF(Datos_General[[#This Row],[Resultado]]="Victoria", "3", IF(Datos_General[[#This Row],[Resultado]]="Empate","1",0))</f>
        <v>0</v>
      </c>
      <c r="Z364" s="11">
        <f>+Datos_General[[#This Row],[Minutos Jugados]]*Datos_General[[#This Row],[Puntos Jug_Campo]]</f>
        <v>0</v>
      </c>
      <c r="AA36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4" s="10" t="str">
        <f>+IF(Datos_General[[#This Row],[Resultado Jug_Campo]] = "Empate", "1",IF(Datos_General[[#This Row],[Resultado Jug_Campo]] = "Victoria", "3","0"))</f>
        <v>0</v>
      </c>
    </row>
    <row r="365" spans="1:28">
      <c r="A365" s="1">
        <v>23</v>
      </c>
      <c r="B365" s="6">
        <v>46104</v>
      </c>
      <c r="C365" s="1" t="s">
        <v>128</v>
      </c>
      <c r="D365" s="1" t="s">
        <v>133</v>
      </c>
      <c r="E365" s="10" t="str">
        <f>+CONCATENATE(Datos_General[[#This Row],[Eq.Local]], "-", Datos_General[[#This Row],[Eq.Visitante]])</f>
        <v>S.D. Compostela B-Conxo Santiago B</v>
      </c>
      <c r="F365" s="1" t="s">
        <v>204</v>
      </c>
      <c r="G365" s="1" t="s">
        <v>58</v>
      </c>
      <c r="H365" s="1" t="s">
        <v>43</v>
      </c>
      <c r="I365" s="9">
        <v>2</v>
      </c>
      <c r="J365" s="9">
        <v>0</v>
      </c>
      <c r="K365" s="10" t="str">
        <f>+CONCATENATE(Datos_General[[#This Row],[Goles a Favor_Eq_local]],"-",Datos_General[[#This Row],[Gol a Favor_Eq_Visitante]])</f>
        <v>2-0</v>
      </c>
      <c r="L365" s="1" t="s">
        <v>133</v>
      </c>
      <c r="M365" s="1">
        <v>14</v>
      </c>
      <c r="N365" s="1" t="s">
        <v>206</v>
      </c>
      <c r="O365" s="1">
        <v>1</v>
      </c>
      <c r="P365" s="1" t="s">
        <v>70</v>
      </c>
      <c r="Q365" s="7">
        <f>+IF(Datos_General[[#This Row],[Minutos Jugados]]&gt;0, 1, 0)</f>
        <v>1</v>
      </c>
      <c r="R365" s="23">
        <v>0</v>
      </c>
      <c r="S365" s="8">
        <f t="shared" ref="S365:S368" si="14">IFERROR(IF(MATCH(N365,$T$353:$T$368,0), INDEX($U$353:$U$368,MATCH(N365,$T$353:$T$368,0))),0)</f>
        <v>20</v>
      </c>
      <c r="U365" s="1">
        <f>90-Datos_General[[#This Row],[Minutos Jugados]]</f>
        <v>70</v>
      </c>
      <c r="V365" s="1">
        <v>0</v>
      </c>
      <c r="W365" s="1">
        <v>0</v>
      </c>
      <c r="X365" s="1">
        <v>1</v>
      </c>
      <c r="Y365" s="10">
        <f>+IF(Datos_General[[#This Row],[Resultado]]="Victoria", "3", IF(Datos_General[[#This Row],[Resultado]]="Empate","1",0))</f>
        <v>0</v>
      </c>
      <c r="Z365" s="11">
        <f>+Datos_General[[#This Row],[Minutos Jugados]]*Datos_General[[#This Row],[Puntos Jug_Campo]]</f>
        <v>0</v>
      </c>
      <c r="AA36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5" s="10" t="str">
        <f>+IF(Datos_General[[#This Row],[Resultado Jug_Campo]] = "Empate", "1",IF(Datos_General[[#This Row],[Resultado Jug_Campo]] = "Victoria", "3","0"))</f>
        <v>0</v>
      </c>
    </row>
    <row r="366" spans="1:28">
      <c r="A366" s="1">
        <v>23</v>
      </c>
      <c r="B366" s="6">
        <v>46104</v>
      </c>
      <c r="C366" s="1" t="s">
        <v>128</v>
      </c>
      <c r="D366" s="1" t="s">
        <v>133</v>
      </c>
      <c r="E366" s="10" t="str">
        <f>+CONCATENATE(Datos_General[[#This Row],[Eq.Local]], "-", Datos_General[[#This Row],[Eq.Visitante]])</f>
        <v>S.D. Compostela B-Conxo Santiago B</v>
      </c>
      <c r="F366" s="1" t="s">
        <v>204</v>
      </c>
      <c r="G366" s="1" t="s">
        <v>58</v>
      </c>
      <c r="H366" s="1" t="s">
        <v>43</v>
      </c>
      <c r="I366" s="9">
        <v>2</v>
      </c>
      <c r="J366" s="9">
        <v>0</v>
      </c>
      <c r="K366" s="10" t="str">
        <f>+CONCATENATE(Datos_General[[#This Row],[Goles a Favor_Eq_local]],"-",Datos_General[[#This Row],[Gol a Favor_Eq_Visitante]])</f>
        <v>2-0</v>
      </c>
      <c r="L366" s="1" t="s">
        <v>133</v>
      </c>
      <c r="M366" s="1">
        <v>15</v>
      </c>
      <c r="N366" s="1" t="s">
        <v>202</v>
      </c>
      <c r="O366" s="1">
        <v>1</v>
      </c>
      <c r="P366" s="1" t="s">
        <v>70</v>
      </c>
      <c r="Q366" s="7">
        <f>+IF(Datos_General[[#This Row],[Minutos Jugados]]&gt;0, 1, 0)</f>
        <v>0</v>
      </c>
      <c r="R366" s="23">
        <v>0</v>
      </c>
      <c r="S366" s="8">
        <f t="shared" si="14"/>
        <v>0</v>
      </c>
      <c r="U366" s="1">
        <f>90-Datos_General[[#This Row],[Minutos Jugados]]</f>
        <v>90</v>
      </c>
      <c r="V366" s="1">
        <v>0</v>
      </c>
      <c r="W366" s="1">
        <v>0</v>
      </c>
      <c r="X366" s="1">
        <v>0</v>
      </c>
      <c r="Y366" s="10">
        <f>+IF(Datos_General[[#This Row],[Resultado]]="Victoria", "3", IF(Datos_General[[#This Row],[Resultado]]="Empate","1",0))</f>
        <v>0</v>
      </c>
      <c r="Z366" s="11">
        <f>+Datos_General[[#This Row],[Minutos Jugados]]*Datos_General[[#This Row],[Puntos Jug_Campo]]</f>
        <v>0</v>
      </c>
      <c r="AA36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366" s="10" t="str">
        <f>+IF(Datos_General[[#This Row],[Resultado Jug_Campo]] = "Empate", "1",IF(Datos_General[[#This Row],[Resultado Jug_Campo]] = "Victoria", "3","0"))</f>
        <v>0</v>
      </c>
    </row>
    <row r="367" spans="1:28">
      <c r="A367" s="1">
        <v>23</v>
      </c>
      <c r="B367" s="6">
        <v>46104</v>
      </c>
      <c r="C367" s="1" t="s">
        <v>128</v>
      </c>
      <c r="D367" s="1" t="s">
        <v>133</v>
      </c>
      <c r="E367" s="10" t="str">
        <f>+CONCATENATE(Datos_General[[#This Row],[Eq.Local]], "-", Datos_General[[#This Row],[Eq.Visitante]])</f>
        <v>S.D. Compostela B-Conxo Santiago B</v>
      </c>
      <c r="F367" s="1" t="s">
        <v>204</v>
      </c>
      <c r="G367" s="1" t="s">
        <v>58</v>
      </c>
      <c r="H367" s="1" t="s">
        <v>43</v>
      </c>
      <c r="I367" s="9">
        <v>2</v>
      </c>
      <c r="J367" s="9">
        <v>0</v>
      </c>
      <c r="K367" s="10" t="str">
        <f>+CONCATENATE(Datos_General[[#This Row],[Goles a Favor_Eq_local]],"-",Datos_General[[#This Row],[Gol a Favor_Eq_Visitante]])</f>
        <v>2-0</v>
      </c>
      <c r="L367" s="1" t="s">
        <v>133</v>
      </c>
      <c r="M367" s="1">
        <v>16</v>
      </c>
      <c r="N367" s="1" t="s">
        <v>164</v>
      </c>
      <c r="O367" s="1">
        <v>1</v>
      </c>
      <c r="P367" s="1" t="s">
        <v>70</v>
      </c>
      <c r="Q367" s="7">
        <f>+IF(Datos_General[[#This Row],[Minutos Jugados]]&gt;0, 1, 0)</f>
        <v>1</v>
      </c>
      <c r="R367" s="23">
        <v>0</v>
      </c>
      <c r="S367" s="8">
        <f t="shared" si="14"/>
        <v>27</v>
      </c>
      <c r="U367" s="1">
        <f>90-Datos_General[[#This Row],[Minutos Jugados]]</f>
        <v>63</v>
      </c>
      <c r="V367" s="1">
        <v>0</v>
      </c>
      <c r="W367" s="1">
        <v>0</v>
      </c>
      <c r="X367" s="1">
        <v>1</v>
      </c>
      <c r="Y367" s="10">
        <f>+IF(Datos_General[[#This Row],[Resultado]]="Victoria", "3", IF(Datos_General[[#This Row],[Resultado]]="Empate","1",0))</f>
        <v>0</v>
      </c>
      <c r="Z367" s="11">
        <f>+Datos_General[[#This Row],[Minutos Jugados]]*Datos_General[[#This Row],[Puntos Jug_Campo]]</f>
        <v>0</v>
      </c>
      <c r="AA36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7" s="10" t="str">
        <f>+IF(Datos_General[[#This Row],[Resultado Jug_Campo]] = "Empate", "1",IF(Datos_General[[#This Row],[Resultado Jug_Campo]] = "Victoria", "3","0"))</f>
        <v>0</v>
      </c>
    </row>
    <row r="368" spans="1:28">
      <c r="A368" s="1">
        <v>23</v>
      </c>
      <c r="B368" s="6">
        <v>46104</v>
      </c>
      <c r="C368" s="1" t="s">
        <v>128</v>
      </c>
      <c r="D368" s="1" t="s">
        <v>133</v>
      </c>
      <c r="E368" s="10" t="str">
        <f>+CONCATENATE(Datos_General[[#This Row],[Eq.Local]], "-", Datos_General[[#This Row],[Eq.Visitante]])</f>
        <v>S.D. Compostela B-Conxo Santiago B</v>
      </c>
      <c r="F368" s="1" t="s">
        <v>204</v>
      </c>
      <c r="G368" s="1" t="s">
        <v>58</v>
      </c>
      <c r="H368" s="1" t="s">
        <v>43</v>
      </c>
      <c r="I368" s="9">
        <v>2</v>
      </c>
      <c r="J368" s="9">
        <v>0</v>
      </c>
      <c r="K368" s="10" t="str">
        <f>+CONCATENATE(Datos_General[[#This Row],[Goles a Favor_Eq_local]],"-",Datos_General[[#This Row],[Gol a Favor_Eq_Visitante]])</f>
        <v>2-0</v>
      </c>
      <c r="L368" s="1" t="s">
        <v>133</v>
      </c>
      <c r="M368" s="1">
        <v>17</v>
      </c>
      <c r="N368" s="1" t="s">
        <v>207</v>
      </c>
      <c r="O368" s="1">
        <v>1</v>
      </c>
      <c r="P368" s="1" t="s">
        <v>70</v>
      </c>
      <c r="Q368" s="7">
        <f>+IF(Datos_General[[#This Row],[Minutos Jugados]]&gt;0, 1, 0)</f>
        <v>1</v>
      </c>
      <c r="R368" s="23">
        <v>0</v>
      </c>
      <c r="S368" s="8">
        <f t="shared" si="14"/>
        <v>20</v>
      </c>
      <c r="U368" s="1">
        <f>90-Datos_General[[#This Row],[Minutos Jugados]]</f>
        <v>70</v>
      </c>
      <c r="V368" s="1">
        <v>0</v>
      </c>
      <c r="W368" s="1">
        <v>0</v>
      </c>
      <c r="X368" s="1">
        <v>1</v>
      </c>
      <c r="Y368" s="10">
        <f>+IF(Datos_General[[#This Row],[Resultado]]="Victoria", "3", IF(Datos_General[[#This Row],[Resultado]]="Empate","1",0))</f>
        <v>0</v>
      </c>
      <c r="Z368" s="11">
        <f>+Datos_General[[#This Row],[Minutos Jugados]]*Datos_General[[#This Row],[Puntos Jug_Campo]]</f>
        <v>0</v>
      </c>
      <c r="AA36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8" s="10" t="str">
        <f>+IF(Datos_General[[#This Row],[Resultado Jug_Campo]] = "Empate", "1",IF(Datos_General[[#This Row],[Resultado Jug_Campo]] = "Victoria", "3","0"))</f>
        <v>0</v>
      </c>
    </row>
    <row r="369" spans="1:28">
      <c r="A369" s="1">
        <v>24</v>
      </c>
      <c r="B369" s="6">
        <v>46110</v>
      </c>
      <c r="C369" s="1" t="s">
        <v>133</v>
      </c>
      <c r="D369" s="1" t="s">
        <v>127</v>
      </c>
      <c r="E369" s="10" t="str">
        <f>+CONCATENATE(Datos_General[[#This Row],[Eq.Local]], "-", Datos_General[[#This Row],[Eq.Visitante]])</f>
        <v>Conxo Santiago B-Amio S.D.</v>
      </c>
      <c r="F369" s="1" t="s">
        <v>157</v>
      </c>
      <c r="G369" s="1" t="s">
        <v>57</v>
      </c>
      <c r="H369" s="1" t="s">
        <v>43</v>
      </c>
      <c r="I369" s="9">
        <v>1</v>
      </c>
      <c r="J369" s="9">
        <v>4</v>
      </c>
      <c r="K369" s="10" t="str">
        <f>+CONCATENATE(Datos_General[[#This Row],[Goles a Favor_Eq_local]],"-",Datos_General[[#This Row],[Gol a Favor_Eq_Visitante]])</f>
        <v>1-4</v>
      </c>
      <c r="L369" s="1" t="s">
        <v>133</v>
      </c>
      <c r="M369" s="1">
        <v>1</v>
      </c>
      <c r="N369" s="1" t="s">
        <v>148</v>
      </c>
      <c r="O369" s="1">
        <v>1</v>
      </c>
      <c r="P369" s="1" t="s">
        <v>2</v>
      </c>
      <c r="Q369" s="22">
        <v>1</v>
      </c>
      <c r="R369" s="9">
        <v>1</v>
      </c>
      <c r="S369" s="1">
        <v>90</v>
      </c>
      <c r="U369" s="1">
        <f>90-Datos_General[[#This Row],[Minutos Jugados]]</f>
        <v>0</v>
      </c>
      <c r="V369" s="1">
        <v>0</v>
      </c>
      <c r="W369" s="1">
        <v>1</v>
      </c>
      <c r="X369" s="1">
        <v>4</v>
      </c>
      <c r="Y369" s="10">
        <f>+IF(Datos_General[[#This Row],[Resultado]]="Victoria", "3", IF(Datos_General[[#This Row],[Resultado]]="Empate","1",0))</f>
        <v>0</v>
      </c>
      <c r="Z369" s="11">
        <f>+Datos_General[[#This Row],[Minutos Jugados]]*Datos_General[[#This Row],[Puntos Jug_Campo]]</f>
        <v>0</v>
      </c>
      <c r="AA36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69" s="10" t="str">
        <f>+IF(Datos_General[[#This Row],[Resultado Jug_Campo]] = "Empate", "1",IF(Datos_General[[#This Row],[Resultado Jug_Campo]] = "Victoria", "3","0"))</f>
        <v>0</v>
      </c>
    </row>
    <row r="370" spans="1:28">
      <c r="A370" s="1">
        <v>24</v>
      </c>
      <c r="B370" s="6">
        <v>46110</v>
      </c>
      <c r="C370" s="1" t="s">
        <v>133</v>
      </c>
      <c r="D370" s="1" t="s">
        <v>127</v>
      </c>
      <c r="E370" s="10" t="str">
        <f>+CONCATENATE(Datos_General[[#This Row],[Eq.Local]], "-", Datos_General[[#This Row],[Eq.Visitante]])</f>
        <v>Conxo Santiago B-Amio S.D.</v>
      </c>
      <c r="F370" s="1" t="s">
        <v>157</v>
      </c>
      <c r="G370" s="1" t="s">
        <v>57</v>
      </c>
      <c r="H370" s="1" t="s">
        <v>43</v>
      </c>
      <c r="I370" s="9">
        <v>1</v>
      </c>
      <c r="J370" s="9">
        <v>4</v>
      </c>
      <c r="K370" s="10" t="str">
        <f>+CONCATENATE(Datos_General[[#This Row],[Goles a Favor_Eq_local]],"-",Datos_General[[#This Row],[Gol a Favor_Eq_Visitante]])</f>
        <v>1-4</v>
      </c>
      <c r="L370" s="1" t="s">
        <v>133</v>
      </c>
      <c r="M370" s="1">
        <v>2</v>
      </c>
      <c r="N370" s="1" t="s">
        <v>199</v>
      </c>
      <c r="O370" s="1">
        <v>1</v>
      </c>
      <c r="P370" s="1" t="s">
        <v>2</v>
      </c>
      <c r="Q370" s="22">
        <v>1</v>
      </c>
      <c r="R370" s="9">
        <v>1</v>
      </c>
      <c r="S370" s="1">
        <v>90</v>
      </c>
      <c r="U370" s="1">
        <f>90-Datos_General[[#This Row],[Minutos Jugados]]</f>
        <v>0</v>
      </c>
      <c r="V370" s="1">
        <v>0</v>
      </c>
      <c r="W370" s="1">
        <v>1</v>
      </c>
      <c r="X370" s="1">
        <v>4</v>
      </c>
      <c r="Y370" s="10">
        <f>+IF(Datos_General[[#This Row],[Resultado]]="Victoria", "3", IF(Datos_General[[#This Row],[Resultado]]="Empate","1",0))</f>
        <v>0</v>
      </c>
      <c r="Z370" s="11">
        <f>+Datos_General[[#This Row],[Minutos Jugados]]*Datos_General[[#This Row],[Puntos Jug_Campo]]</f>
        <v>0</v>
      </c>
      <c r="AA37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0" s="10" t="str">
        <f>+IF(Datos_General[[#This Row],[Resultado Jug_Campo]] = "Empate", "1",IF(Datos_General[[#This Row],[Resultado Jug_Campo]] = "Victoria", "3","0"))</f>
        <v>0</v>
      </c>
    </row>
    <row r="371" spans="1:28">
      <c r="A371" s="1">
        <v>24</v>
      </c>
      <c r="B371" s="6">
        <v>46110</v>
      </c>
      <c r="C371" s="1" t="s">
        <v>133</v>
      </c>
      <c r="D371" s="1" t="s">
        <v>127</v>
      </c>
      <c r="E371" s="10" t="str">
        <f>+CONCATENATE(Datos_General[[#This Row],[Eq.Local]], "-", Datos_General[[#This Row],[Eq.Visitante]])</f>
        <v>Conxo Santiago B-Amio S.D.</v>
      </c>
      <c r="F371" s="1" t="s">
        <v>157</v>
      </c>
      <c r="G371" s="1" t="s">
        <v>57</v>
      </c>
      <c r="H371" s="1" t="s">
        <v>43</v>
      </c>
      <c r="I371" s="9">
        <v>1</v>
      </c>
      <c r="J371" s="9">
        <v>4</v>
      </c>
      <c r="K371" s="10" t="str">
        <f>+CONCATENATE(Datos_General[[#This Row],[Goles a Favor_Eq_local]],"-",Datos_General[[#This Row],[Gol a Favor_Eq_Visitante]])</f>
        <v>1-4</v>
      </c>
      <c r="L371" s="1" t="s">
        <v>133</v>
      </c>
      <c r="M371" s="1">
        <v>3</v>
      </c>
      <c r="N371" s="1" t="s">
        <v>163</v>
      </c>
      <c r="O371" s="1">
        <v>1</v>
      </c>
      <c r="P371" s="1" t="s">
        <v>2</v>
      </c>
      <c r="Q371" s="22">
        <v>1</v>
      </c>
      <c r="R371" s="9">
        <v>1</v>
      </c>
      <c r="S371" s="1">
        <v>90</v>
      </c>
      <c r="U371" s="1">
        <f>90-Datos_General[[#This Row],[Minutos Jugados]]</f>
        <v>0</v>
      </c>
      <c r="V371" s="1">
        <v>0</v>
      </c>
      <c r="W371" s="1">
        <v>1</v>
      </c>
      <c r="X371" s="1">
        <v>4</v>
      </c>
      <c r="Y371" s="10">
        <f>+IF(Datos_General[[#This Row],[Resultado]]="Victoria", "3", IF(Datos_General[[#This Row],[Resultado]]="Empate","1",0))</f>
        <v>0</v>
      </c>
      <c r="Z371" s="11">
        <f>+Datos_General[[#This Row],[Minutos Jugados]]*Datos_General[[#This Row],[Puntos Jug_Campo]]</f>
        <v>0</v>
      </c>
      <c r="AA37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1" s="10" t="str">
        <f>+IF(Datos_General[[#This Row],[Resultado Jug_Campo]] = "Empate", "1",IF(Datos_General[[#This Row],[Resultado Jug_Campo]] = "Victoria", "3","0"))</f>
        <v>0</v>
      </c>
    </row>
    <row r="372" spans="1:28">
      <c r="A372" s="1">
        <v>24</v>
      </c>
      <c r="B372" s="6">
        <v>46110</v>
      </c>
      <c r="C372" s="1" t="s">
        <v>133</v>
      </c>
      <c r="D372" s="1" t="s">
        <v>127</v>
      </c>
      <c r="E372" s="10" t="str">
        <f>+CONCATENATE(Datos_General[[#This Row],[Eq.Local]], "-", Datos_General[[#This Row],[Eq.Visitante]])</f>
        <v>Conxo Santiago B-Amio S.D.</v>
      </c>
      <c r="F372" s="1" t="s">
        <v>157</v>
      </c>
      <c r="G372" s="1" t="s">
        <v>57</v>
      </c>
      <c r="H372" s="1" t="s">
        <v>43</v>
      </c>
      <c r="I372" s="9">
        <v>1</v>
      </c>
      <c r="J372" s="9">
        <v>4</v>
      </c>
      <c r="K372" s="10" t="str">
        <f>+CONCATENATE(Datos_General[[#This Row],[Goles a Favor_Eq_local]],"-",Datos_General[[#This Row],[Gol a Favor_Eq_Visitante]])</f>
        <v>1-4</v>
      </c>
      <c r="L372" s="1" t="s">
        <v>133</v>
      </c>
      <c r="M372" s="1">
        <v>4</v>
      </c>
      <c r="N372" s="1" t="s">
        <v>140</v>
      </c>
      <c r="O372" s="1">
        <v>1</v>
      </c>
      <c r="P372" s="1" t="s">
        <v>2</v>
      </c>
      <c r="Q372" s="22">
        <v>1</v>
      </c>
      <c r="R372" s="9">
        <v>1</v>
      </c>
      <c r="S372" s="1">
        <v>46</v>
      </c>
      <c r="T372" s="1" t="s">
        <v>164</v>
      </c>
      <c r="U372" s="1">
        <f>90-Datos_General[[#This Row],[Minutos Jugados]]</f>
        <v>44</v>
      </c>
      <c r="V372" s="1">
        <v>0</v>
      </c>
      <c r="W372" s="1">
        <v>1</v>
      </c>
      <c r="X372" s="1">
        <v>2</v>
      </c>
      <c r="Y372" s="10">
        <f>+IF(Datos_General[[#This Row],[Resultado]]="Victoria", "3", IF(Datos_General[[#This Row],[Resultado]]="Empate","1",0))</f>
        <v>0</v>
      </c>
      <c r="Z372" s="11">
        <f>+Datos_General[[#This Row],[Minutos Jugados]]*Datos_General[[#This Row],[Puntos Jug_Campo]]</f>
        <v>0</v>
      </c>
      <c r="AA37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2" s="10" t="str">
        <f>+IF(Datos_General[[#This Row],[Resultado Jug_Campo]] = "Empate", "1",IF(Datos_General[[#This Row],[Resultado Jug_Campo]] = "Victoria", "3","0"))</f>
        <v>0</v>
      </c>
    </row>
    <row r="373" spans="1:28">
      <c r="A373" s="1">
        <v>24</v>
      </c>
      <c r="B373" s="6">
        <v>46110</v>
      </c>
      <c r="C373" s="1" t="s">
        <v>133</v>
      </c>
      <c r="D373" s="1" t="s">
        <v>127</v>
      </c>
      <c r="E373" s="10" t="str">
        <f>+CONCATENATE(Datos_General[[#This Row],[Eq.Local]], "-", Datos_General[[#This Row],[Eq.Visitante]])</f>
        <v>Conxo Santiago B-Amio S.D.</v>
      </c>
      <c r="F373" s="1" t="s">
        <v>157</v>
      </c>
      <c r="G373" s="1" t="s">
        <v>57</v>
      </c>
      <c r="H373" s="1" t="s">
        <v>43</v>
      </c>
      <c r="I373" s="9">
        <v>1</v>
      </c>
      <c r="J373" s="9">
        <v>4</v>
      </c>
      <c r="K373" s="10" t="str">
        <f>+CONCATENATE(Datos_General[[#This Row],[Goles a Favor_Eq_local]],"-",Datos_General[[#This Row],[Gol a Favor_Eq_Visitante]])</f>
        <v>1-4</v>
      </c>
      <c r="L373" s="1" t="s">
        <v>133</v>
      </c>
      <c r="M373" s="1">
        <v>5</v>
      </c>
      <c r="N373" s="1" t="s">
        <v>162</v>
      </c>
      <c r="O373" s="1">
        <v>1</v>
      </c>
      <c r="P373" s="1" t="s">
        <v>2</v>
      </c>
      <c r="Q373" s="22">
        <v>1</v>
      </c>
      <c r="R373" s="9">
        <v>1</v>
      </c>
      <c r="S373" s="1">
        <v>90</v>
      </c>
      <c r="U373" s="1">
        <f>90-Datos_General[[#This Row],[Minutos Jugados]]</f>
        <v>0</v>
      </c>
      <c r="V373" s="1">
        <v>0</v>
      </c>
      <c r="W373" s="1">
        <v>1</v>
      </c>
      <c r="X373" s="1">
        <v>4</v>
      </c>
      <c r="Y373" s="10">
        <f>+IF(Datos_General[[#This Row],[Resultado]]="Victoria", "3", IF(Datos_General[[#This Row],[Resultado]]="Empate","1",0))</f>
        <v>0</v>
      </c>
      <c r="Z373" s="11">
        <f>+Datos_General[[#This Row],[Minutos Jugados]]*Datos_General[[#This Row],[Puntos Jug_Campo]]</f>
        <v>0</v>
      </c>
      <c r="AA37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3" s="10" t="str">
        <f>+IF(Datos_General[[#This Row],[Resultado Jug_Campo]] = "Empate", "1",IF(Datos_General[[#This Row],[Resultado Jug_Campo]] = "Victoria", "3","0"))</f>
        <v>0</v>
      </c>
    </row>
    <row r="374" spans="1:28">
      <c r="A374" s="1">
        <v>24</v>
      </c>
      <c r="B374" s="6">
        <v>46110</v>
      </c>
      <c r="C374" s="1" t="s">
        <v>133</v>
      </c>
      <c r="D374" s="1" t="s">
        <v>127</v>
      </c>
      <c r="E374" s="10" t="str">
        <f>+CONCATENATE(Datos_General[[#This Row],[Eq.Local]], "-", Datos_General[[#This Row],[Eq.Visitante]])</f>
        <v>Conxo Santiago B-Amio S.D.</v>
      </c>
      <c r="F374" s="1" t="s">
        <v>157</v>
      </c>
      <c r="G374" s="1" t="s">
        <v>57</v>
      </c>
      <c r="H374" s="1" t="s">
        <v>43</v>
      </c>
      <c r="I374" s="9">
        <v>1</v>
      </c>
      <c r="J374" s="9">
        <v>4</v>
      </c>
      <c r="K374" s="10" t="str">
        <f>+CONCATENATE(Datos_General[[#This Row],[Goles a Favor_Eq_local]],"-",Datos_General[[#This Row],[Gol a Favor_Eq_Visitante]])</f>
        <v>1-4</v>
      </c>
      <c r="L374" s="1" t="s">
        <v>133</v>
      </c>
      <c r="M374" s="1">
        <v>6</v>
      </c>
      <c r="N374" s="1" t="s">
        <v>142</v>
      </c>
      <c r="O374" s="1">
        <v>1</v>
      </c>
      <c r="P374" s="1" t="s">
        <v>2</v>
      </c>
      <c r="Q374" s="22">
        <v>1</v>
      </c>
      <c r="R374" s="9">
        <v>1</v>
      </c>
      <c r="S374" s="1">
        <v>90</v>
      </c>
      <c r="U374" s="1">
        <f>90-Datos_General[[#This Row],[Minutos Jugados]]</f>
        <v>0</v>
      </c>
      <c r="V374" s="1">
        <v>0</v>
      </c>
      <c r="W374" s="1">
        <v>1</v>
      </c>
      <c r="X374" s="1">
        <v>4</v>
      </c>
      <c r="Y374" s="10">
        <f>+IF(Datos_General[[#This Row],[Resultado]]="Victoria", "3", IF(Datos_General[[#This Row],[Resultado]]="Empate","1",0))</f>
        <v>0</v>
      </c>
      <c r="Z374" s="11">
        <f>+Datos_General[[#This Row],[Minutos Jugados]]*Datos_General[[#This Row],[Puntos Jug_Campo]]</f>
        <v>0</v>
      </c>
      <c r="AA37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4" s="10" t="str">
        <f>+IF(Datos_General[[#This Row],[Resultado Jug_Campo]] = "Empate", "1",IF(Datos_General[[#This Row],[Resultado Jug_Campo]] = "Victoria", "3","0"))</f>
        <v>0</v>
      </c>
    </row>
    <row r="375" spans="1:28">
      <c r="A375" s="1">
        <v>24</v>
      </c>
      <c r="B375" s="6">
        <v>46110</v>
      </c>
      <c r="C375" s="1" t="s">
        <v>133</v>
      </c>
      <c r="D375" s="1" t="s">
        <v>127</v>
      </c>
      <c r="E375" s="10" t="str">
        <f>+CONCATENATE(Datos_General[[#This Row],[Eq.Local]], "-", Datos_General[[#This Row],[Eq.Visitante]])</f>
        <v>Conxo Santiago B-Amio S.D.</v>
      </c>
      <c r="F375" s="1" t="s">
        <v>157</v>
      </c>
      <c r="G375" s="1" t="s">
        <v>57</v>
      </c>
      <c r="H375" s="1" t="s">
        <v>43</v>
      </c>
      <c r="I375" s="9">
        <v>1</v>
      </c>
      <c r="J375" s="9">
        <v>4</v>
      </c>
      <c r="K375" s="10" t="str">
        <f>+CONCATENATE(Datos_General[[#This Row],[Goles a Favor_Eq_local]],"-",Datos_General[[#This Row],[Gol a Favor_Eq_Visitante]])</f>
        <v>1-4</v>
      </c>
      <c r="L375" s="1" t="s">
        <v>133</v>
      </c>
      <c r="M375" s="1">
        <v>7</v>
      </c>
      <c r="N375" s="1" t="s">
        <v>156</v>
      </c>
      <c r="O375" s="1">
        <v>1</v>
      </c>
      <c r="P375" s="1" t="s">
        <v>2</v>
      </c>
      <c r="Q375" s="22">
        <v>1</v>
      </c>
      <c r="R375" s="9">
        <v>1</v>
      </c>
      <c r="S375" s="1">
        <v>65</v>
      </c>
      <c r="U375" s="1">
        <f>90-Datos_General[[#This Row],[Minutos Jugados]]</f>
        <v>25</v>
      </c>
      <c r="V375" s="1">
        <v>0</v>
      </c>
      <c r="W375" s="1">
        <v>1</v>
      </c>
      <c r="X375" s="1">
        <v>4</v>
      </c>
      <c r="Y375" s="10">
        <f>+IF(Datos_General[[#This Row],[Resultado]]="Victoria", "3", IF(Datos_General[[#This Row],[Resultado]]="Empate","1",0))</f>
        <v>0</v>
      </c>
      <c r="Z375" s="11">
        <f>+Datos_General[[#This Row],[Minutos Jugados]]*Datos_General[[#This Row],[Puntos Jug_Campo]]</f>
        <v>0</v>
      </c>
      <c r="AA37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5" s="10" t="str">
        <f>+IF(Datos_General[[#This Row],[Resultado Jug_Campo]] = "Empate", "1",IF(Datos_General[[#This Row],[Resultado Jug_Campo]] = "Victoria", "3","0"))</f>
        <v>0</v>
      </c>
    </row>
    <row r="376" spans="1:28">
      <c r="A376" s="1">
        <v>24</v>
      </c>
      <c r="B376" s="6">
        <v>46110</v>
      </c>
      <c r="C376" s="1" t="s">
        <v>133</v>
      </c>
      <c r="D376" s="1" t="s">
        <v>127</v>
      </c>
      <c r="E376" s="10" t="str">
        <f>+CONCATENATE(Datos_General[[#This Row],[Eq.Local]], "-", Datos_General[[#This Row],[Eq.Visitante]])</f>
        <v>Conxo Santiago B-Amio S.D.</v>
      </c>
      <c r="F376" s="1" t="s">
        <v>157</v>
      </c>
      <c r="G376" s="1" t="s">
        <v>57</v>
      </c>
      <c r="H376" s="1" t="s">
        <v>43</v>
      </c>
      <c r="I376" s="9">
        <v>1</v>
      </c>
      <c r="J376" s="9">
        <v>4</v>
      </c>
      <c r="K376" s="10" t="str">
        <f>+CONCATENATE(Datos_General[[#This Row],[Goles a Favor_Eq_local]],"-",Datos_General[[#This Row],[Gol a Favor_Eq_Visitante]])</f>
        <v>1-4</v>
      </c>
      <c r="L376" s="1" t="s">
        <v>133</v>
      </c>
      <c r="M376" s="1">
        <v>8</v>
      </c>
      <c r="N376" s="1" t="s">
        <v>165</v>
      </c>
      <c r="O376" s="1">
        <v>1</v>
      </c>
      <c r="P376" s="1" t="s">
        <v>2</v>
      </c>
      <c r="Q376" s="22">
        <v>1</v>
      </c>
      <c r="R376" s="9">
        <v>1</v>
      </c>
      <c r="S376" s="1">
        <v>90</v>
      </c>
      <c r="U376" s="1">
        <f>90-Datos_General[[#This Row],[Minutos Jugados]]</f>
        <v>0</v>
      </c>
      <c r="V376" s="1">
        <v>0</v>
      </c>
      <c r="W376" s="1">
        <v>1</v>
      </c>
      <c r="X376" s="1">
        <v>4</v>
      </c>
      <c r="Y376" s="10">
        <f>+IF(Datos_General[[#This Row],[Resultado]]="Victoria", "3", IF(Datos_General[[#This Row],[Resultado]]="Empate","1",0))</f>
        <v>0</v>
      </c>
      <c r="Z376" s="11">
        <f>+Datos_General[[#This Row],[Minutos Jugados]]*Datos_General[[#This Row],[Puntos Jug_Campo]]</f>
        <v>0</v>
      </c>
      <c r="AA37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6" s="10" t="str">
        <f>+IF(Datos_General[[#This Row],[Resultado Jug_Campo]] = "Empate", "1",IF(Datos_General[[#This Row],[Resultado Jug_Campo]] = "Victoria", "3","0"))</f>
        <v>0</v>
      </c>
    </row>
    <row r="377" spans="1:28">
      <c r="A377" s="1">
        <v>24</v>
      </c>
      <c r="B377" s="6">
        <v>46110</v>
      </c>
      <c r="C377" s="1" t="s">
        <v>133</v>
      </c>
      <c r="D377" s="1" t="s">
        <v>127</v>
      </c>
      <c r="E377" s="10" t="str">
        <f>+CONCATENATE(Datos_General[[#This Row],[Eq.Local]], "-", Datos_General[[#This Row],[Eq.Visitante]])</f>
        <v>Conxo Santiago B-Amio S.D.</v>
      </c>
      <c r="F377" s="1" t="s">
        <v>157</v>
      </c>
      <c r="G377" s="1" t="s">
        <v>57</v>
      </c>
      <c r="H377" s="1" t="s">
        <v>43</v>
      </c>
      <c r="I377" s="9">
        <v>1</v>
      </c>
      <c r="J377" s="9">
        <v>4</v>
      </c>
      <c r="K377" s="10" t="str">
        <f>+CONCATENATE(Datos_General[[#This Row],[Goles a Favor_Eq_local]],"-",Datos_General[[#This Row],[Gol a Favor_Eq_Visitante]])</f>
        <v>1-4</v>
      </c>
      <c r="L377" s="1" t="s">
        <v>133</v>
      </c>
      <c r="M377" s="1">
        <v>9</v>
      </c>
      <c r="N377" s="1" t="s">
        <v>194</v>
      </c>
      <c r="O377" s="1">
        <v>1</v>
      </c>
      <c r="P377" s="1" t="s">
        <v>2</v>
      </c>
      <c r="Q377" s="22">
        <v>1</v>
      </c>
      <c r="R377" s="9">
        <v>1</v>
      </c>
      <c r="S377" s="1">
        <v>61</v>
      </c>
      <c r="T377" s="1" t="s">
        <v>152</v>
      </c>
      <c r="U377" s="1">
        <f>90-Datos_General[[#This Row],[Minutos Jugados]]</f>
        <v>29</v>
      </c>
      <c r="V377" s="1">
        <v>0</v>
      </c>
      <c r="W377" s="1">
        <v>1</v>
      </c>
      <c r="X377" s="1">
        <v>3</v>
      </c>
      <c r="Y377" s="10">
        <f>+IF(Datos_General[[#This Row],[Resultado]]="Victoria", "3", IF(Datos_General[[#This Row],[Resultado]]="Empate","1",0))</f>
        <v>0</v>
      </c>
      <c r="Z377" s="11">
        <f>+Datos_General[[#This Row],[Minutos Jugados]]*Datos_General[[#This Row],[Puntos Jug_Campo]]</f>
        <v>0</v>
      </c>
      <c r="AA37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7" s="10" t="str">
        <f>+IF(Datos_General[[#This Row],[Resultado Jug_Campo]] = "Empate", "1",IF(Datos_General[[#This Row],[Resultado Jug_Campo]] = "Victoria", "3","0"))</f>
        <v>0</v>
      </c>
    </row>
    <row r="378" spans="1:28">
      <c r="A378" s="1">
        <v>24</v>
      </c>
      <c r="B378" s="6">
        <v>46110</v>
      </c>
      <c r="C378" s="1" t="s">
        <v>133</v>
      </c>
      <c r="D378" s="1" t="s">
        <v>127</v>
      </c>
      <c r="E378" s="10" t="str">
        <f>+CONCATENATE(Datos_General[[#This Row],[Eq.Local]], "-", Datos_General[[#This Row],[Eq.Visitante]])</f>
        <v>Conxo Santiago B-Amio S.D.</v>
      </c>
      <c r="F378" s="1" t="s">
        <v>157</v>
      </c>
      <c r="G378" s="1" t="s">
        <v>57</v>
      </c>
      <c r="H378" s="1" t="s">
        <v>43</v>
      </c>
      <c r="I378" s="9">
        <v>1</v>
      </c>
      <c r="J378" s="9">
        <v>4</v>
      </c>
      <c r="K378" s="10" t="str">
        <f>+CONCATENATE(Datos_General[[#This Row],[Goles a Favor_Eq_local]],"-",Datos_General[[#This Row],[Gol a Favor_Eq_Visitante]])</f>
        <v>1-4</v>
      </c>
      <c r="L378" s="1" t="s">
        <v>133</v>
      </c>
      <c r="M378" s="1">
        <v>10</v>
      </c>
      <c r="N378" s="1" t="s">
        <v>205</v>
      </c>
      <c r="O378" s="1">
        <v>1</v>
      </c>
      <c r="P378" s="1" t="s">
        <v>2</v>
      </c>
      <c r="Q378" s="22">
        <v>1</v>
      </c>
      <c r="R378" s="9">
        <v>1</v>
      </c>
      <c r="S378" s="1">
        <v>90</v>
      </c>
      <c r="U378" s="1">
        <f>90-Datos_General[[#This Row],[Minutos Jugados]]</f>
        <v>0</v>
      </c>
      <c r="V378" s="1">
        <v>0</v>
      </c>
      <c r="W378" s="1">
        <v>1</v>
      </c>
      <c r="X378" s="1">
        <v>4</v>
      </c>
      <c r="Y378" s="10">
        <f>+IF(Datos_General[[#This Row],[Resultado]]="Victoria", "3", IF(Datos_General[[#This Row],[Resultado]]="Empate","1",0))</f>
        <v>0</v>
      </c>
      <c r="Z378" s="11">
        <f>+Datos_General[[#This Row],[Minutos Jugados]]*Datos_General[[#This Row],[Puntos Jug_Campo]]</f>
        <v>0</v>
      </c>
      <c r="AA37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8" s="10" t="str">
        <f>+IF(Datos_General[[#This Row],[Resultado Jug_Campo]] = "Empate", "1",IF(Datos_General[[#This Row],[Resultado Jug_Campo]] = "Victoria", "3","0"))</f>
        <v>0</v>
      </c>
    </row>
    <row r="379" spans="1:28">
      <c r="A379" s="1">
        <v>24</v>
      </c>
      <c r="B379" s="6">
        <v>46110</v>
      </c>
      <c r="C379" s="1" t="s">
        <v>133</v>
      </c>
      <c r="D379" s="1" t="s">
        <v>127</v>
      </c>
      <c r="E379" s="10" t="str">
        <f>+CONCATENATE(Datos_General[[#This Row],[Eq.Local]], "-", Datos_General[[#This Row],[Eq.Visitante]])</f>
        <v>Conxo Santiago B-Amio S.D.</v>
      </c>
      <c r="F379" s="1" t="s">
        <v>157</v>
      </c>
      <c r="G379" s="1" t="s">
        <v>57</v>
      </c>
      <c r="H379" s="1" t="s">
        <v>43</v>
      </c>
      <c r="I379" s="9">
        <v>1</v>
      </c>
      <c r="J379" s="9">
        <v>4</v>
      </c>
      <c r="K379" s="10" t="str">
        <f>+CONCATENATE(Datos_General[[#This Row],[Goles a Favor_Eq_local]],"-",Datos_General[[#This Row],[Gol a Favor_Eq_Visitante]])</f>
        <v>1-4</v>
      </c>
      <c r="L379" s="1" t="s">
        <v>133</v>
      </c>
      <c r="M379" s="1">
        <v>11</v>
      </c>
      <c r="N379" s="1" t="s">
        <v>198</v>
      </c>
      <c r="O379" s="1">
        <v>1</v>
      </c>
      <c r="P379" s="1" t="s">
        <v>2</v>
      </c>
      <c r="Q379" s="22">
        <v>1</v>
      </c>
      <c r="R379" s="9">
        <v>1</v>
      </c>
      <c r="S379" s="1">
        <v>61</v>
      </c>
      <c r="T379" s="1" t="s">
        <v>208</v>
      </c>
      <c r="U379" s="1">
        <f>90-Datos_General[[#This Row],[Minutos Jugados]]</f>
        <v>29</v>
      </c>
      <c r="V379" s="1">
        <v>1</v>
      </c>
      <c r="W379" s="1">
        <v>1</v>
      </c>
      <c r="X379" s="1">
        <v>3</v>
      </c>
      <c r="Y379" s="10">
        <f>+IF(Datos_General[[#This Row],[Resultado]]="Victoria", "3", IF(Datos_General[[#This Row],[Resultado]]="Empate","1",0))</f>
        <v>0</v>
      </c>
      <c r="Z379" s="11">
        <f>+Datos_General[[#This Row],[Minutos Jugados]]*Datos_General[[#This Row],[Puntos Jug_Campo]]</f>
        <v>0</v>
      </c>
      <c r="AA37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79" s="10" t="str">
        <f>+IF(Datos_General[[#This Row],[Resultado Jug_Campo]] = "Empate", "1",IF(Datos_General[[#This Row],[Resultado Jug_Campo]] = "Victoria", "3","0"))</f>
        <v>0</v>
      </c>
    </row>
    <row r="380" spans="1:28">
      <c r="A380" s="1">
        <v>24</v>
      </c>
      <c r="B380" s="6">
        <v>46110</v>
      </c>
      <c r="C380" s="1" t="s">
        <v>133</v>
      </c>
      <c r="D380" s="1" t="s">
        <v>127</v>
      </c>
      <c r="E380" s="10" t="str">
        <f>+CONCATENATE(Datos_General[[#This Row],[Eq.Local]], "-", Datos_General[[#This Row],[Eq.Visitante]])</f>
        <v>Conxo Santiago B-Amio S.D.</v>
      </c>
      <c r="F380" s="1" t="s">
        <v>157</v>
      </c>
      <c r="G380" s="1" t="s">
        <v>57</v>
      </c>
      <c r="H380" s="1" t="s">
        <v>43</v>
      </c>
      <c r="I380" s="9">
        <v>1</v>
      </c>
      <c r="J380" s="9">
        <v>4</v>
      </c>
      <c r="K380" s="10" t="str">
        <f>+CONCATENATE(Datos_General[[#This Row],[Goles a Favor_Eq_local]],"-",Datos_General[[#This Row],[Gol a Favor_Eq_Visitante]])</f>
        <v>1-4</v>
      </c>
      <c r="L380" s="1" t="s">
        <v>133</v>
      </c>
      <c r="M380" s="1">
        <v>12</v>
      </c>
      <c r="N380" s="1" t="s">
        <v>152</v>
      </c>
      <c r="O380" s="1">
        <v>1</v>
      </c>
      <c r="P380" s="1" t="s">
        <v>70</v>
      </c>
      <c r="Q380" s="7">
        <f>+IF(Datos_General[[#This Row],[Minutos Jugados]]&gt;0, 1, 0)</f>
        <v>1</v>
      </c>
      <c r="R380" s="23">
        <v>0</v>
      </c>
      <c r="S380" s="8">
        <f>IFERROR(IF(MATCH(N380,$T$369:$T$384,0), INDEX($U$369:$U$384,MATCH(N380,$T$369:$T$384,0))),0)</f>
        <v>29</v>
      </c>
      <c r="U380" s="1">
        <f>90-Datos_General[[#This Row],[Minutos Jugados]]</f>
        <v>61</v>
      </c>
      <c r="V380" s="1">
        <v>0</v>
      </c>
      <c r="W380" s="1">
        <v>0</v>
      </c>
      <c r="X380" s="1">
        <v>1</v>
      </c>
      <c r="Y380" s="10">
        <f>+IF(Datos_General[[#This Row],[Resultado]]="Victoria", "3", IF(Datos_General[[#This Row],[Resultado]]="Empate","1",0))</f>
        <v>0</v>
      </c>
      <c r="Z380" s="11">
        <f>+Datos_General[[#This Row],[Minutos Jugados]]*Datos_General[[#This Row],[Puntos Jug_Campo]]</f>
        <v>0</v>
      </c>
      <c r="AA38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80" s="10" t="str">
        <f>+IF(Datos_General[[#This Row],[Resultado Jug_Campo]] = "Empate", "1",IF(Datos_General[[#This Row],[Resultado Jug_Campo]] = "Victoria", "3","0"))</f>
        <v>0</v>
      </c>
    </row>
    <row r="381" spans="1:28">
      <c r="A381" s="1">
        <v>24</v>
      </c>
      <c r="B381" s="6">
        <v>46110</v>
      </c>
      <c r="C381" s="1" t="s">
        <v>133</v>
      </c>
      <c r="D381" s="1" t="s">
        <v>127</v>
      </c>
      <c r="E381" s="10" t="str">
        <f>+CONCATENATE(Datos_General[[#This Row],[Eq.Local]], "-", Datos_General[[#This Row],[Eq.Visitante]])</f>
        <v>Conxo Santiago B-Amio S.D.</v>
      </c>
      <c r="F381" s="1" t="s">
        <v>157</v>
      </c>
      <c r="G381" s="1" t="s">
        <v>57</v>
      </c>
      <c r="H381" s="1" t="s">
        <v>43</v>
      </c>
      <c r="I381" s="9">
        <v>1</v>
      </c>
      <c r="J381" s="9">
        <v>4</v>
      </c>
      <c r="K381" s="10" t="str">
        <f>+CONCATENATE(Datos_General[[#This Row],[Goles a Favor_Eq_local]],"-",Datos_General[[#This Row],[Gol a Favor_Eq_Visitante]])</f>
        <v>1-4</v>
      </c>
      <c r="L381" s="1" t="s">
        <v>133</v>
      </c>
      <c r="M381" s="1">
        <v>13</v>
      </c>
      <c r="N381" s="1" t="s">
        <v>137</v>
      </c>
      <c r="O381" s="1">
        <v>1</v>
      </c>
      <c r="P381" s="1" t="s">
        <v>70</v>
      </c>
      <c r="Q381" s="7">
        <f>+IF(Datos_General[[#This Row],[Minutos Jugados]]&gt;0, 1, 0)</f>
        <v>0</v>
      </c>
      <c r="R381" s="23">
        <v>0</v>
      </c>
      <c r="S381" s="8">
        <f t="shared" ref="S381:S384" si="15">IFERROR(IF(MATCH(N381,$T$369:$T$384,0), INDEX($U$369:$U$384,MATCH(N381,$T$369:$T$384,0))),0)</f>
        <v>0</v>
      </c>
      <c r="U381" s="1">
        <f>90-Datos_General[[#This Row],[Minutos Jugados]]</f>
        <v>90</v>
      </c>
      <c r="V381" s="1">
        <v>0</v>
      </c>
      <c r="W381" s="1">
        <v>0</v>
      </c>
      <c r="X381" s="1">
        <v>0</v>
      </c>
      <c r="Y381" s="10">
        <f>+IF(Datos_General[[#This Row],[Resultado]]="Victoria", "3", IF(Datos_General[[#This Row],[Resultado]]="Empate","1",0))</f>
        <v>0</v>
      </c>
      <c r="Z381" s="11">
        <f>+Datos_General[[#This Row],[Minutos Jugados]]*Datos_General[[#This Row],[Puntos Jug_Campo]]</f>
        <v>0</v>
      </c>
      <c r="AA38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381" s="10" t="str">
        <f>+IF(Datos_General[[#This Row],[Resultado Jug_Campo]] = "Empate", "1",IF(Datos_General[[#This Row],[Resultado Jug_Campo]] = "Victoria", "3","0"))</f>
        <v>0</v>
      </c>
    </row>
    <row r="382" spans="1:28">
      <c r="A382" s="1">
        <v>24</v>
      </c>
      <c r="B382" s="6">
        <v>46110</v>
      </c>
      <c r="C382" s="1" t="s">
        <v>133</v>
      </c>
      <c r="D382" s="1" t="s">
        <v>127</v>
      </c>
      <c r="E382" s="10" t="str">
        <f>+CONCATENATE(Datos_General[[#This Row],[Eq.Local]], "-", Datos_General[[#This Row],[Eq.Visitante]])</f>
        <v>Conxo Santiago B-Amio S.D.</v>
      </c>
      <c r="F382" s="1" t="s">
        <v>157</v>
      </c>
      <c r="G382" s="1" t="s">
        <v>57</v>
      </c>
      <c r="H382" s="1" t="s">
        <v>43</v>
      </c>
      <c r="I382" s="9">
        <v>1</v>
      </c>
      <c r="J382" s="9">
        <v>4</v>
      </c>
      <c r="K382" s="10" t="str">
        <f>+CONCATENATE(Datos_General[[#This Row],[Goles a Favor_Eq_local]],"-",Datos_General[[#This Row],[Gol a Favor_Eq_Visitante]])</f>
        <v>1-4</v>
      </c>
      <c r="L382" s="1" t="s">
        <v>133</v>
      </c>
      <c r="M382" s="1">
        <v>14</v>
      </c>
      <c r="N382" s="1" t="s">
        <v>208</v>
      </c>
      <c r="O382" s="1">
        <v>1</v>
      </c>
      <c r="P382" s="1" t="s">
        <v>70</v>
      </c>
      <c r="Q382" s="7">
        <f>+IF(Datos_General[[#This Row],[Minutos Jugados]]&gt;0, 1, 0)</f>
        <v>1</v>
      </c>
      <c r="R382" s="23">
        <v>0</v>
      </c>
      <c r="S382" s="8">
        <f t="shared" si="15"/>
        <v>29</v>
      </c>
      <c r="U382" s="1">
        <f>90-Datos_General[[#This Row],[Minutos Jugados]]</f>
        <v>61</v>
      </c>
      <c r="V382" s="1">
        <v>0</v>
      </c>
      <c r="W382" s="1">
        <v>0</v>
      </c>
      <c r="X382" s="1">
        <v>1</v>
      </c>
      <c r="Y382" s="10">
        <f>+IF(Datos_General[[#This Row],[Resultado]]="Victoria", "3", IF(Datos_General[[#This Row],[Resultado]]="Empate","1",0))</f>
        <v>0</v>
      </c>
      <c r="Z382" s="11">
        <f>+Datos_General[[#This Row],[Minutos Jugados]]*Datos_General[[#This Row],[Puntos Jug_Campo]]</f>
        <v>0</v>
      </c>
      <c r="AA38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82" s="10" t="str">
        <f>+IF(Datos_General[[#This Row],[Resultado Jug_Campo]] = "Empate", "1",IF(Datos_General[[#This Row],[Resultado Jug_Campo]] = "Victoria", "3","0"))</f>
        <v>0</v>
      </c>
    </row>
    <row r="383" spans="1:28">
      <c r="A383" s="1">
        <v>24</v>
      </c>
      <c r="B383" s="6">
        <v>46110</v>
      </c>
      <c r="C383" s="1" t="s">
        <v>133</v>
      </c>
      <c r="D383" s="1" t="s">
        <v>127</v>
      </c>
      <c r="E383" s="10" t="str">
        <f>+CONCATENATE(Datos_General[[#This Row],[Eq.Local]], "-", Datos_General[[#This Row],[Eq.Visitante]])</f>
        <v>Conxo Santiago B-Amio S.D.</v>
      </c>
      <c r="F383" s="1" t="s">
        <v>157</v>
      </c>
      <c r="G383" s="1" t="s">
        <v>57</v>
      </c>
      <c r="H383" s="1" t="s">
        <v>43</v>
      </c>
      <c r="I383" s="9">
        <v>1</v>
      </c>
      <c r="J383" s="9">
        <v>4</v>
      </c>
      <c r="K383" s="10" t="str">
        <f>+CONCATENATE(Datos_General[[#This Row],[Goles a Favor_Eq_local]],"-",Datos_General[[#This Row],[Gol a Favor_Eq_Visitante]])</f>
        <v>1-4</v>
      </c>
      <c r="L383" s="1" t="s">
        <v>133</v>
      </c>
      <c r="M383" s="1">
        <v>15</v>
      </c>
      <c r="N383" s="1" t="s">
        <v>164</v>
      </c>
      <c r="O383" s="1">
        <v>1</v>
      </c>
      <c r="P383" s="1" t="s">
        <v>70</v>
      </c>
      <c r="Q383" s="7">
        <f>+IF(Datos_General[[#This Row],[Minutos Jugados]]&gt;0, 1, 0)</f>
        <v>1</v>
      </c>
      <c r="R383" s="23">
        <v>0</v>
      </c>
      <c r="S383" s="8">
        <f t="shared" si="15"/>
        <v>44</v>
      </c>
      <c r="U383" s="1">
        <f>90-Datos_General[[#This Row],[Minutos Jugados]]</f>
        <v>46</v>
      </c>
      <c r="V383" s="1">
        <v>0</v>
      </c>
      <c r="W383" s="1">
        <v>0</v>
      </c>
      <c r="X383" s="1">
        <v>2</v>
      </c>
      <c r="Y383" s="10">
        <f>+IF(Datos_General[[#This Row],[Resultado]]="Victoria", "3", IF(Datos_General[[#This Row],[Resultado]]="Empate","1",0))</f>
        <v>0</v>
      </c>
      <c r="Z383" s="11">
        <f>+Datos_General[[#This Row],[Minutos Jugados]]*Datos_General[[#This Row],[Puntos Jug_Campo]]</f>
        <v>0</v>
      </c>
      <c r="AA38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83" s="10" t="str">
        <f>+IF(Datos_General[[#This Row],[Resultado Jug_Campo]] = "Empate", "1",IF(Datos_General[[#This Row],[Resultado Jug_Campo]] = "Victoria", "3","0"))</f>
        <v>0</v>
      </c>
    </row>
    <row r="384" spans="1:28">
      <c r="A384" s="1">
        <v>24</v>
      </c>
      <c r="B384" s="6">
        <v>46110</v>
      </c>
      <c r="C384" s="1" t="s">
        <v>133</v>
      </c>
      <c r="D384" s="1" t="s">
        <v>127</v>
      </c>
      <c r="E384" s="10" t="str">
        <f>+CONCATENATE(Datos_General[[#This Row],[Eq.Local]], "-", Datos_General[[#This Row],[Eq.Visitante]])</f>
        <v>Conxo Santiago B-Amio S.D.</v>
      </c>
      <c r="F384" s="1" t="s">
        <v>157</v>
      </c>
      <c r="G384" s="1" t="s">
        <v>57</v>
      </c>
      <c r="H384" s="1" t="s">
        <v>43</v>
      </c>
      <c r="I384" s="9">
        <v>1</v>
      </c>
      <c r="J384" s="9">
        <v>4</v>
      </c>
      <c r="K384" s="10" t="str">
        <f>+CONCATENATE(Datos_General[[#This Row],[Goles a Favor_Eq_local]],"-",Datos_General[[#This Row],[Gol a Favor_Eq_Visitante]])</f>
        <v>1-4</v>
      </c>
      <c r="L384" s="1" t="s">
        <v>133</v>
      </c>
      <c r="M384" s="1">
        <v>16</v>
      </c>
      <c r="N384" s="1" t="s">
        <v>206</v>
      </c>
      <c r="O384" s="1">
        <v>1</v>
      </c>
      <c r="P384" s="1" t="s">
        <v>70</v>
      </c>
      <c r="Q384" s="7">
        <f>+IF(Datos_General[[#This Row],[Minutos Jugados]]&gt;0, 1, 0)</f>
        <v>0</v>
      </c>
      <c r="R384" s="23">
        <v>0</v>
      </c>
      <c r="S384" s="8">
        <f t="shared" si="15"/>
        <v>0</v>
      </c>
      <c r="U384" s="1">
        <f>90-Datos_General[[#This Row],[Minutos Jugados]]</f>
        <v>90</v>
      </c>
      <c r="V384" s="1">
        <v>0</v>
      </c>
      <c r="W384" s="1">
        <v>0</v>
      </c>
      <c r="X384" s="1">
        <v>0</v>
      </c>
      <c r="Y384" s="10">
        <f>+IF(Datos_General[[#This Row],[Resultado]]="Victoria", "3", IF(Datos_General[[#This Row],[Resultado]]="Empate","1",0))</f>
        <v>0</v>
      </c>
      <c r="Z384" s="11">
        <f>+Datos_General[[#This Row],[Minutos Jugados]]*Datos_General[[#This Row],[Puntos Jug_Campo]]</f>
        <v>0</v>
      </c>
      <c r="AA38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384" s="10" t="str">
        <f>+IF(Datos_General[[#This Row],[Resultado Jug_Campo]] = "Empate", "1",IF(Datos_General[[#This Row],[Resultado Jug_Campo]] = "Victoria", "3","0"))</f>
        <v>0</v>
      </c>
    </row>
    <row r="385" spans="1:28">
      <c r="A385" s="1">
        <v>25</v>
      </c>
      <c r="B385" s="6">
        <v>46123</v>
      </c>
      <c r="C385" s="1" t="s">
        <v>129</v>
      </c>
      <c r="D385" s="1" t="s">
        <v>133</v>
      </c>
      <c r="E385" s="10" t="str">
        <f>+CONCATENATE(Datos_General[[#This Row],[Eq.Local]], "-", Datos_General[[#This Row],[Eq.Visitante]])</f>
        <v>C.D. Ribadumia-Conxo Santiago B</v>
      </c>
      <c r="F385" s="1" t="s">
        <v>209</v>
      </c>
      <c r="G385" s="1" t="s">
        <v>58</v>
      </c>
      <c r="H385" s="1" t="s">
        <v>43</v>
      </c>
      <c r="I385" s="9">
        <v>3</v>
      </c>
      <c r="J385" s="9">
        <v>1</v>
      </c>
      <c r="K385" s="10" t="str">
        <f>+CONCATENATE(Datos_General[[#This Row],[Goles a Favor_Eq_local]],"-",Datos_General[[#This Row],[Gol a Favor_Eq_Visitante]])</f>
        <v>3-1</v>
      </c>
      <c r="L385" s="1" t="s">
        <v>133</v>
      </c>
      <c r="M385" s="1">
        <v>1</v>
      </c>
      <c r="N385" s="1" t="s">
        <v>137</v>
      </c>
      <c r="O385" s="1">
        <v>1</v>
      </c>
      <c r="P385" s="1" t="s">
        <v>2</v>
      </c>
      <c r="Q385" s="22">
        <v>1</v>
      </c>
      <c r="R385" s="9">
        <v>1</v>
      </c>
      <c r="S385" s="1">
        <v>90</v>
      </c>
      <c r="U385" s="1">
        <f>90-Datos_General[[#This Row],[Minutos Jugados]]</f>
        <v>0</v>
      </c>
      <c r="V385" s="1">
        <v>0</v>
      </c>
      <c r="W385" s="1">
        <v>1</v>
      </c>
      <c r="X385" s="1">
        <v>3</v>
      </c>
      <c r="Y385" s="10">
        <f>+IF(Datos_General[[#This Row],[Resultado]]="Victoria", "3", IF(Datos_General[[#This Row],[Resultado]]="Empate","1",0))</f>
        <v>0</v>
      </c>
      <c r="Z385" s="11">
        <f>+Datos_General[[#This Row],[Minutos Jugados]]*Datos_General[[#This Row],[Puntos Jug_Campo]]</f>
        <v>0</v>
      </c>
      <c r="AA38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85" s="10" t="str">
        <f>+IF(Datos_General[[#This Row],[Resultado Jug_Campo]] = "Empate", "1",IF(Datos_General[[#This Row],[Resultado Jug_Campo]] = "Victoria", "3","0"))</f>
        <v>0</v>
      </c>
    </row>
    <row r="386" spans="1:28">
      <c r="A386" s="1">
        <v>25</v>
      </c>
      <c r="B386" s="6">
        <v>46123</v>
      </c>
      <c r="C386" s="1" t="s">
        <v>129</v>
      </c>
      <c r="D386" s="1" t="s">
        <v>133</v>
      </c>
      <c r="E386" s="10" t="str">
        <f>+CONCATENATE(Datos_General[[#This Row],[Eq.Local]], "-", Datos_General[[#This Row],[Eq.Visitante]])</f>
        <v>C.D. Ribadumia-Conxo Santiago B</v>
      </c>
      <c r="F386" s="1" t="s">
        <v>209</v>
      </c>
      <c r="G386" s="1" t="s">
        <v>58</v>
      </c>
      <c r="H386" s="1" t="s">
        <v>43</v>
      </c>
      <c r="I386" s="9">
        <v>3</v>
      </c>
      <c r="J386" s="9">
        <v>1</v>
      </c>
      <c r="K386" s="10" t="str">
        <f>+CONCATENATE(Datos_General[[#This Row],[Goles a Favor_Eq_local]],"-",Datos_General[[#This Row],[Gol a Favor_Eq_Visitante]])</f>
        <v>3-1</v>
      </c>
      <c r="L386" s="1" t="s">
        <v>133</v>
      </c>
      <c r="M386" s="1">
        <v>2</v>
      </c>
      <c r="N386" s="1" t="s">
        <v>199</v>
      </c>
      <c r="O386" s="1">
        <v>1</v>
      </c>
      <c r="P386" s="1" t="s">
        <v>2</v>
      </c>
      <c r="Q386" s="22">
        <v>1</v>
      </c>
      <c r="R386" s="9">
        <v>1</v>
      </c>
      <c r="S386" s="1">
        <v>64</v>
      </c>
      <c r="T386" s="1" t="s">
        <v>163</v>
      </c>
      <c r="U386" s="1">
        <f>90-Datos_General[[#This Row],[Minutos Jugados]]</f>
        <v>26</v>
      </c>
      <c r="V386" s="1">
        <v>1</v>
      </c>
      <c r="W386" s="1">
        <v>1</v>
      </c>
      <c r="X386" s="1">
        <v>3</v>
      </c>
      <c r="Y386" s="10">
        <f>+IF(Datos_General[[#This Row],[Resultado]]="Victoria", "3", IF(Datos_General[[#This Row],[Resultado]]="Empate","1",0))</f>
        <v>0</v>
      </c>
      <c r="Z386" s="11">
        <f>+Datos_General[[#This Row],[Minutos Jugados]]*Datos_General[[#This Row],[Puntos Jug_Campo]]</f>
        <v>0</v>
      </c>
      <c r="AA38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86" s="10" t="str">
        <f>+IF(Datos_General[[#This Row],[Resultado Jug_Campo]] = "Empate", "1",IF(Datos_General[[#This Row],[Resultado Jug_Campo]] = "Victoria", "3","0"))</f>
        <v>0</v>
      </c>
    </row>
    <row r="387" spans="1:28">
      <c r="A387" s="1">
        <v>25</v>
      </c>
      <c r="B387" s="6">
        <v>46123</v>
      </c>
      <c r="C387" s="1" t="s">
        <v>129</v>
      </c>
      <c r="D387" s="1" t="s">
        <v>133</v>
      </c>
      <c r="E387" s="10" t="str">
        <f>+CONCATENATE(Datos_General[[#This Row],[Eq.Local]], "-", Datos_General[[#This Row],[Eq.Visitante]])</f>
        <v>C.D. Ribadumia-Conxo Santiago B</v>
      </c>
      <c r="F387" s="1" t="s">
        <v>209</v>
      </c>
      <c r="G387" s="1" t="s">
        <v>58</v>
      </c>
      <c r="H387" s="1" t="s">
        <v>43</v>
      </c>
      <c r="I387" s="9">
        <v>3</v>
      </c>
      <c r="J387" s="9">
        <v>1</v>
      </c>
      <c r="K387" s="10" t="str">
        <f>+CONCATENATE(Datos_General[[#This Row],[Goles a Favor_Eq_local]],"-",Datos_General[[#This Row],[Gol a Favor_Eq_Visitante]])</f>
        <v>3-1</v>
      </c>
      <c r="L387" s="1" t="s">
        <v>133</v>
      </c>
      <c r="M387" s="1">
        <v>3</v>
      </c>
      <c r="N387" s="1" t="s">
        <v>144</v>
      </c>
      <c r="O387" s="1">
        <v>1</v>
      </c>
      <c r="P387" s="1" t="s">
        <v>2</v>
      </c>
      <c r="Q387" s="22">
        <v>1</v>
      </c>
      <c r="R387" s="9">
        <v>1</v>
      </c>
      <c r="S387" s="1">
        <v>90</v>
      </c>
      <c r="U387" s="1">
        <f>90-Datos_General[[#This Row],[Minutos Jugados]]</f>
        <v>0</v>
      </c>
      <c r="V387" s="1">
        <v>0</v>
      </c>
      <c r="W387" s="1">
        <v>1</v>
      </c>
      <c r="X387" s="1">
        <v>3</v>
      </c>
      <c r="Y387" s="10">
        <f>+IF(Datos_General[[#This Row],[Resultado]]="Victoria", "3", IF(Datos_General[[#This Row],[Resultado]]="Empate","1",0))</f>
        <v>0</v>
      </c>
      <c r="Z387" s="11">
        <f>+Datos_General[[#This Row],[Minutos Jugados]]*Datos_General[[#This Row],[Puntos Jug_Campo]]</f>
        <v>0</v>
      </c>
      <c r="AA38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87" s="10" t="str">
        <f>+IF(Datos_General[[#This Row],[Resultado Jug_Campo]] = "Empate", "1",IF(Datos_General[[#This Row],[Resultado Jug_Campo]] = "Victoria", "3","0"))</f>
        <v>0</v>
      </c>
    </row>
    <row r="388" spans="1:28">
      <c r="A388" s="1">
        <v>25</v>
      </c>
      <c r="B388" s="6">
        <v>46123</v>
      </c>
      <c r="C388" s="1" t="s">
        <v>129</v>
      </c>
      <c r="D388" s="1" t="s">
        <v>133</v>
      </c>
      <c r="E388" s="10" t="str">
        <f>+CONCATENATE(Datos_General[[#This Row],[Eq.Local]], "-", Datos_General[[#This Row],[Eq.Visitante]])</f>
        <v>C.D. Ribadumia-Conxo Santiago B</v>
      </c>
      <c r="F388" s="1" t="s">
        <v>209</v>
      </c>
      <c r="G388" s="1" t="s">
        <v>58</v>
      </c>
      <c r="H388" s="1" t="s">
        <v>43</v>
      </c>
      <c r="I388" s="9">
        <v>3</v>
      </c>
      <c r="J388" s="9">
        <v>1</v>
      </c>
      <c r="K388" s="10" t="str">
        <f>+CONCATENATE(Datos_General[[#This Row],[Goles a Favor_Eq_local]],"-",Datos_General[[#This Row],[Gol a Favor_Eq_Visitante]])</f>
        <v>3-1</v>
      </c>
      <c r="L388" s="1" t="s">
        <v>133</v>
      </c>
      <c r="M388" s="1">
        <v>4</v>
      </c>
      <c r="N388" s="1" t="s">
        <v>140</v>
      </c>
      <c r="O388" s="1">
        <v>1</v>
      </c>
      <c r="P388" s="1" t="s">
        <v>2</v>
      </c>
      <c r="Q388" s="22">
        <v>1</v>
      </c>
      <c r="R388" s="9">
        <v>1</v>
      </c>
      <c r="S388" s="1">
        <v>90</v>
      </c>
      <c r="U388" s="1">
        <f>90-Datos_General[[#This Row],[Minutos Jugados]]</f>
        <v>0</v>
      </c>
      <c r="V388" s="1">
        <v>0</v>
      </c>
      <c r="W388" s="1">
        <v>1</v>
      </c>
      <c r="X388" s="1">
        <v>3</v>
      </c>
      <c r="Y388" s="10">
        <f>+IF(Datos_General[[#This Row],[Resultado]]="Victoria", "3", IF(Datos_General[[#This Row],[Resultado]]="Empate","1",0))</f>
        <v>0</v>
      </c>
      <c r="Z388" s="11">
        <f>+Datos_General[[#This Row],[Minutos Jugados]]*Datos_General[[#This Row],[Puntos Jug_Campo]]</f>
        <v>0</v>
      </c>
      <c r="AA38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88" s="10" t="str">
        <f>+IF(Datos_General[[#This Row],[Resultado Jug_Campo]] = "Empate", "1",IF(Datos_General[[#This Row],[Resultado Jug_Campo]] = "Victoria", "3","0"))</f>
        <v>0</v>
      </c>
    </row>
    <row r="389" spans="1:28">
      <c r="A389" s="1">
        <v>25</v>
      </c>
      <c r="B389" s="6">
        <v>46123</v>
      </c>
      <c r="C389" s="1" t="s">
        <v>129</v>
      </c>
      <c r="D389" s="1" t="s">
        <v>133</v>
      </c>
      <c r="E389" s="10" t="str">
        <f>+CONCATENATE(Datos_General[[#This Row],[Eq.Local]], "-", Datos_General[[#This Row],[Eq.Visitante]])</f>
        <v>C.D. Ribadumia-Conxo Santiago B</v>
      </c>
      <c r="F389" s="1" t="s">
        <v>209</v>
      </c>
      <c r="G389" s="1" t="s">
        <v>58</v>
      </c>
      <c r="H389" s="1" t="s">
        <v>43</v>
      </c>
      <c r="I389" s="9">
        <v>3</v>
      </c>
      <c r="J389" s="9">
        <v>1</v>
      </c>
      <c r="K389" s="10" t="str">
        <f>+CONCATENATE(Datos_General[[#This Row],[Goles a Favor_Eq_local]],"-",Datos_General[[#This Row],[Gol a Favor_Eq_Visitante]])</f>
        <v>3-1</v>
      </c>
      <c r="L389" s="1" t="s">
        <v>133</v>
      </c>
      <c r="M389" s="1">
        <v>5</v>
      </c>
      <c r="N389" s="1" t="s">
        <v>162</v>
      </c>
      <c r="O389" s="1">
        <v>1</v>
      </c>
      <c r="P389" s="1" t="s">
        <v>2</v>
      </c>
      <c r="Q389" s="22">
        <v>1</v>
      </c>
      <c r="R389" s="9">
        <v>1</v>
      </c>
      <c r="S389" s="1">
        <v>90</v>
      </c>
      <c r="U389" s="1">
        <f>90-Datos_General[[#This Row],[Minutos Jugados]]</f>
        <v>0</v>
      </c>
      <c r="V389" s="1">
        <v>0</v>
      </c>
      <c r="W389" s="1">
        <v>1</v>
      </c>
      <c r="X389" s="1">
        <v>3</v>
      </c>
      <c r="Y389" s="10">
        <f>+IF(Datos_General[[#This Row],[Resultado]]="Victoria", "3", IF(Datos_General[[#This Row],[Resultado]]="Empate","1",0))</f>
        <v>0</v>
      </c>
      <c r="Z389" s="11">
        <f>+Datos_General[[#This Row],[Minutos Jugados]]*Datos_General[[#This Row],[Puntos Jug_Campo]]</f>
        <v>0</v>
      </c>
      <c r="AA38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89" s="10" t="str">
        <f>+IF(Datos_General[[#This Row],[Resultado Jug_Campo]] = "Empate", "1",IF(Datos_General[[#This Row],[Resultado Jug_Campo]] = "Victoria", "3","0"))</f>
        <v>0</v>
      </c>
    </row>
    <row r="390" spans="1:28">
      <c r="A390" s="1">
        <v>25</v>
      </c>
      <c r="B390" s="6">
        <v>46123</v>
      </c>
      <c r="C390" s="1" t="s">
        <v>129</v>
      </c>
      <c r="D390" s="1" t="s">
        <v>133</v>
      </c>
      <c r="E390" s="10" t="str">
        <f>+CONCATENATE(Datos_General[[#This Row],[Eq.Local]], "-", Datos_General[[#This Row],[Eq.Visitante]])</f>
        <v>C.D. Ribadumia-Conxo Santiago B</v>
      </c>
      <c r="F390" s="1" t="s">
        <v>209</v>
      </c>
      <c r="G390" s="1" t="s">
        <v>58</v>
      </c>
      <c r="H390" s="1" t="s">
        <v>43</v>
      </c>
      <c r="I390" s="9">
        <v>3</v>
      </c>
      <c r="J390" s="9">
        <v>1</v>
      </c>
      <c r="K390" s="10" t="str">
        <f>+CONCATENATE(Datos_General[[#This Row],[Goles a Favor_Eq_local]],"-",Datos_General[[#This Row],[Gol a Favor_Eq_Visitante]])</f>
        <v>3-1</v>
      </c>
      <c r="L390" s="1" t="s">
        <v>133</v>
      </c>
      <c r="M390" s="1">
        <v>6</v>
      </c>
      <c r="N390" s="1" t="s">
        <v>142</v>
      </c>
      <c r="O390" s="1">
        <v>1</v>
      </c>
      <c r="P390" s="1" t="s">
        <v>2</v>
      </c>
      <c r="Q390" s="22">
        <v>1</v>
      </c>
      <c r="R390" s="9">
        <v>1</v>
      </c>
      <c r="S390" s="1">
        <v>90</v>
      </c>
      <c r="U390" s="1">
        <f>90-Datos_General[[#This Row],[Minutos Jugados]]</f>
        <v>0</v>
      </c>
      <c r="V390" s="1">
        <v>0</v>
      </c>
      <c r="W390" s="1">
        <v>1</v>
      </c>
      <c r="X390" s="1">
        <v>3</v>
      </c>
      <c r="Y390" s="10">
        <f>+IF(Datos_General[[#This Row],[Resultado]]="Victoria", "3", IF(Datos_General[[#This Row],[Resultado]]="Empate","1",0))</f>
        <v>0</v>
      </c>
      <c r="Z390" s="11">
        <f>+Datos_General[[#This Row],[Minutos Jugados]]*Datos_General[[#This Row],[Puntos Jug_Campo]]</f>
        <v>0</v>
      </c>
      <c r="AA39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90" s="10" t="str">
        <f>+IF(Datos_General[[#This Row],[Resultado Jug_Campo]] = "Empate", "1",IF(Datos_General[[#This Row],[Resultado Jug_Campo]] = "Victoria", "3","0"))</f>
        <v>0</v>
      </c>
    </row>
    <row r="391" spans="1:28">
      <c r="A391" s="1">
        <v>25</v>
      </c>
      <c r="B391" s="6">
        <v>46123</v>
      </c>
      <c r="C391" s="1" t="s">
        <v>129</v>
      </c>
      <c r="D391" s="1" t="s">
        <v>133</v>
      </c>
      <c r="E391" s="10" t="str">
        <f>+CONCATENATE(Datos_General[[#This Row],[Eq.Local]], "-", Datos_General[[#This Row],[Eq.Visitante]])</f>
        <v>C.D. Ribadumia-Conxo Santiago B</v>
      </c>
      <c r="F391" s="1" t="s">
        <v>209</v>
      </c>
      <c r="G391" s="1" t="s">
        <v>58</v>
      </c>
      <c r="H391" s="1" t="s">
        <v>43</v>
      </c>
      <c r="I391" s="9">
        <v>3</v>
      </c>
      <c r="J391" s="9">
        <v>1</v>
      </c>
      <c r="K391" s="10" t="str">
        <f>+CONCATENATE(Datos_General[[#This Row],[Goles a Favor_Eq_local]],"-",Datos_General[[#This Row],[Gol a Favor_Eq_Visitante]])</f>
        <v>3-1</v>
      </c>
      <c r="L391" s="1" t="s">
        <v>133</v>
      </c>
      <c r="M391" s="1">
        <v>7</v>
      </c>
      <c r="N391" s="1" t="s">
        <v>138</v>
      </c>
      <c r="O391" s="1">
        <v>1</v>
      </c>
      <c r="P391" s="1" t="s">
        <v>2</v>
      </c>
      <c r="Q391" s="22">
        <v>1</v>
      </c>
      <c r="R391" s="9">
        <v>1</v>
      </c>
      <c r="S391" s="1">
        <v>56</v>
      </c>
      <c r="T391" s="1" t="s">
        <v>150</v>
      </c>
      <c r="U391" s="1">
        <f>90-Datos_General[[#This Row],[Minutos Jugados]]</f>
        <v>34</v>
      </c>
      <c r="V391" s="1">
        <v>0</v>
      </c>
      <c r="W391" s="1">
        <v>1</v>
      </c>
      <c r="X391" s="1">
        <v>2</v>
      </c>
      <c r="Y391" s="10">
        <f>+IF(Datos_General[[#This Row],[Resultado]]="Victoria", "3", IF(Datos_General[[#This Row],[Resultado]]="Empate","1",0))</f>
        <v>0</v>
      </c>
      <c r="Z391" s="11">
        <f>+Datos_General[[#This Row],[Minutos Jugados]]*Datos_General[[#This Row],[Puntos Jug_Campo]]</f>
        <v>0</v>
      </c>
      <c r="AA39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91" s="10" t="str">
        <f>+IF(Datos_General[[#This Row],[Resultado Jug_Campo]] = "Empate", "1",IF(Datos_General[[#This Row],[Resultado Jug_Campo]] = "Victoria", "3","0"))</f>
        <v>0</v>
      </c>
    </row>
    <row r="392" spans="1:28">
      <c r="A392" s="1">
        <v>25</v>
      </c>
      <c r="B392" s="6">
        <v>46123</v>
      </c>
      <c r="C392" s="1" t="s">
        <v>129</v>
      </c>
      <c r="D392" s="1" t="s">
        <v>133</v>
      </c>
      <c r="E392" s="10" t="str">
        <f>+CONCATENATE(Datos_General[[#This Row],[Eq.Local]], "-", Datos_General[[#This Row],[Eq.Visitante]])</f>
        <v>C.D. Ribadumia-Conxo Santiago B</v>
      </c>
      <c r="F392" s="1" t="s">
        <v>209</v>
      </c>
      <c r="G392" s="1" t="s">
        <v>58</v>
      </c>
      <c r="H392" s="1" t="s">
        <v>43</v>
      </c>
      <c r="I392" s="9">
        <v>3</v>
      </c>
      <c r="J392" s="9">
        <v>1</v>
      </c>
      <c r="K392" s="10" t="str">
        <f>+CONCATENATE(Datos_General[[#This Row],[Goles a Favor_Eq_local]],"-",Datos_General[[#This Row],[Gol a Favor_Eq_Visitante]])</f>
        <v>3-1</v>
      </c>
      <c r="L392" s="1" t="s">
        <v>133</v>
      </c>
      <c r="M392" s="1">
        <v>8</v>
      </c>
      <c r="N392" s="1" t="s">
        <v>165</v>
      </c>
      <c r="O392" s="1">
        <v>1</v>
      </c>
      <c r="P392" s="1" t="s">
        <v>2</v>
      </c>
      <c r="Q392" s="22">
        <v>1</v>
      </c>
      <c r="R392" s="9">
        <v>1</v>
      </c>
      <c r="S392" s="1">
        <v>90</v>
      </c>
      <c r="U392" s="1">
        <f>90-Datos_General[[#This Row],[Minutos Jugados]]</f>
        <v>0</v>
      </c>
      <c r="V392" s="1">
        <v>0</v>
      </c>
      <c r="W392" s="1">
        <v>1</v>
      </c>
      <c r="X392" s="1">
        <v>3</v>
      </c>
      <c r="Y392" s="10">
        <f>+IF(Datos_General[[#This Row],[Resultado]]="Victoria", "3", IF(Datos_General[[#This Row],[Resultado]]="Empate","1",0))</f>
        <v>0</v>
      </c>
      <c r="Z392" s="11">
        <f>+Datos_General[[#This Row],[Minutos Jugados]]*Datos_General[[#This Row],[Puntos Jug_Campo]]</f>
        <v>0</v>
      </c>
      <c r="AA39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92" s="10" t="str">
        <f>+IF(Datos_General[[#This Row],[Resultado Jug_Campo]] = "Empate", "1",IF(Datos_General[[#This Row],[Resultado Jug_Campo]] = "Victoria", "3","0"))</f>
        <v>0</v>
      </c>
    </row>
    <row r="393" spans="1:28">
      <c r="A393" s="1">
        <v>25</v>
      </c>
      <c r="B393" s="6">
        <v>46123</v>
      </c>
      <c r="C393" s="1" t="s">
        <v>129</v>
      </c>
      <c r="D393" s="1" t="s">
        <v>133</v>
      </c>
      <c r="E393" s="10" t="str">
        <f>+CONCATENATE(Datos_General[[#This Row],[Eq.Local]], "-", Datos_General[[#This Row],[Eq.Visitante]])</f>
        <v>C.D. Ribadumia-Conxo Santiago B</v>
      </c>
      <c r="F393" s="1" t="s">
        <v>209</v>
      </c>
      <c r="G393" s="1" t="s">
        <v>58</v>
      </c>
      <c r="H393" s="1" t="s">
        <v>43</v>
      </c>
      <c r="I393" s="9">
        <v>3</v>
      </c>
      <c r="J393" s="9">
        <v>1</v>
      </c>
      <c r="K393" s="10" t="str">
        <f>+CONCATENATE(Datos_General[[#This Row],[Goles a Favor_Eq_local]],"-",Datos_General[[#This Row],[Gol a Favor_Eq_Visitante]])</f>
        <v>3-1</v>
      </c>
      <c r="L393" s="1" t="s">
        <v>133</v>
      </c>
      <c r="M393" s="1">
        <v>9</v>
      </c>
      <c r="N393" s="1" t="s">
        <v>194</v>
      </c>
      <c r="O393" s="1">
        <v>1</v>
      </c>
      <c r="P393" s="1" t="s">
        <v>2</v>
      </c>
      <c r="Q393" s="22">
        <v>1</v>
      </c>
      <c r="R393" s="9">
        <v>1</v>
      </c>
      <c r="S393" s="1">
        <v>64</v>
      </c>
      <c r="T393" s="1" t="s">
        <v>151</v>
      </c>
      <c r="U393" s="1">
        <f>90-Datos_General[[#This Row],[Minutos Jugados]]</f>
        <v>26</v>
      </c>
      <c r="V393" s="1">
        <v>0</v>
      </c>
      <c r="W393" s="1">
        <v>1</v>
      </c>
      <c r="X393" s="1">
        <v>3</v>
      </c>
      <c r="Y393" s="10">
        <f>+IF(Datos_General[[#This Row],[Resultado]]="Victoria", "3", IF(Datos_General[[#This Row],[Resultado]]="Empate","1",0))</f>
        <v>0</v>
      </c>
      <c r="Z393" s="11">
        <f>+Datos_General[[#This Row],[Minutos Jugados]]*Datos_General[[#This Row],[Puntos Jug_Campo]]</f>
        <v>0</v>
      </c>
      <c r="AA39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93" s="10" t="str">
        <f>+IF(Datos_General[[#This Row],[Resultado Jug_Campo]] = "Empate", "1",IF(Datos_General[[#This Row],[Resultado Jug_Campo]] = "Victoria", "3","0"))</f>
        <v>0</v>
      </c>
    </row>
    <row r="394" spans="1:28">
      <c r="A394" s="1">
        <v>25</v>
      </c>
      <c r="B394" s="6">
        <v>46123</v>
      </c>
      <c r="C394" s="1" t="s">
        <v>129</v>
      </c>
      <c r="D394" s="1" t="s">
        <v>133</v>
      </c>
      <c r="E394" s="10" t="str">
        <f>+CONCATENATE(Datos_General[[#This Row],[Eq.Local]], "-", Datos_General[[#This Row],[Eq.Visitante]])</f>
        <v>C.D. Ribadumia-Conxo Santiago B</v>
      </c>
      <c r="F394" s="1" t="s">
        <v>209</v>
      </c>
      <c r="G394" s="1" t="s">
        <v>58</v>
      </c>
      <c r="H394" s="1" t="s">
        <v>43</v>
      </c>
      <c r="I394" s="9">
        <v>3</v>
      </c>
      <c r="J394" s="9">
        <v>1</v>
      </c>
      <c r="K394" s="10" t="str">
        <f>+CONCATENATE(Datos_General[[#This Row],[Goles a Favor_Eq_local]],"-",Datos_General[[#This Row],[Gol a Favor_Eq_Visitante]])</f>
        <v>3-1</v>
      </c>
      <c r="L394" s="1" t="s">
        <v>133</v>
      </c>
      <c r="M394" s="1">
        <v>10</v>
      </c>
      <c r="N394" s="1" t="s">
        <v>146</v>
      </c>
      <c r="O394" s="1">
        <v>1</v>
      </c>
      <c r="P394" s="1" t="s">
        <v>2</v>
      </c>
      <c r="Q394" s="22">
        <v>1</v>
      </c>
      <c r="R394" s="9">
        <v>1</v>
      </c>
      <c r="S394" s="1">
        <v>90</v>
      </c>
      <c r="U394" s="1">
        <f>90-Datos_General[[#This Row],[Minutos Jugados]]</f>
        <v>0</v>
      </c>
      <c r="V394" s="1">
        <v>0</v>
      </c>
      <c r="W394" s="1">
        <v>1</v>
      </c>
      <c r="X394" s="1">
        <v>3</v>
      </c>
      <c r="Y394" s="10">
        <f>+IF(Datos_General[[#This Row],[Resultado]]="Victoria", "3", IF(Datos_General[[#This Row],[Resultado]]="Empate","1",0))</f>
        <v>0</v>
      </c>
      <c r="Z394" s="11">
        <f>+Datos_General[[#This Row],[Minutos Jugados]]*Datos_General[[#This Row],[Puntos Jug_Campo]]</f>
        <v>0</v>
      </c>
      <c r="AA39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94" s="10" t="str">
        <f>+IF(Datos_General[[#This Row],[Resultado Jug_Campo]] = "Empate", "1",IF(Datos_General[[#This Row],[Resultado Jug_Campo]] = "Victoria", "3","0"))</f>
        <v>0</v>
      </c>
    </row>
    <row r="395" spans="1:28">
      <c r="A395" s="1">
        <v>25</v>
      </c>
      <c r="B395" s="6">
        <v>46123</v>
      </c>
      <c r="C395" s="1" t="s">
        <v>129</v>
      </c>
      <c r="D395" s="1" t="s">
        <v>133</v>
      </c>
      <c r="E395" s="10" t="str">
        <f>+CONCATENATE(Datos_General[[#This Row],[Eq.Local]], "-", Datos_General[[#This Row],[Eq.Visitante]])</f>
        <v>C.D. Ribadumia-Conxo Santiago B</v>
      </c>
      <c r="F395" s="1" t="s">
        <v>209</v>
      </c>
      <c r="G395" s="1" t="s">
        <v>58</v>
      </c>
      <c r="H395" s="1" t="s">
        <v>43</v>
      </c>
      <c r="I395" s="9">
        <v>3</v>
      </c>
      <c r="J395" s="9">
        <v>1</v>
      </c>
      <c r="K395" s="10" t="str">
        <f>+CONCATENATE(Datos_General[[#This Row],[Goles a Favor_Eq_local]],"-",Datos_General[[#This Row],[Gol a Favor_Eq_Visitante]])</f>
        <v>3-1</v>
      </c>
      <c r="L395" s="1" t="s">
        <v>133</v>
      </c>
      <c r="M395" s="1">
        <v>11</v>
      </c>
      <c r="N395" s="1" t="s">
        <v>156</v>
      </c>
      <c r="O395" s="1">
        <v>1</v>
      </c>
      <c r="P395" s="1" t="s">
        <v>2</v>
      </c>
      <c r="Q395" s="22">
        <v>1</v>
      </c>
      <c r="R395" s="9">
        <v>1</v>
      </c>
      <c r="S395" s="1">
        <v>56</v>
      </c>
      <c r="T395" s="1" t="s">
        <v>166</v>
      </c>
      <c r="U395" s="1">
        <f>90-Datos_General[[#This Row],[Minutos Jugados]]</f>
        <v>34</v>
      </c>
      <c r="V395" s="1">
        <v>0</v>
      </c>
      <c r="W395" s="1">
        <v>1</v>
      </c>
      <c r="X395" s="1">
        <v>2</v>
      </c>
      <c r="Y395" s="10">
        <f>+IF(Datos_General[[#This Row],[Resultado]]="Victoria", "3", IF(Datos_General[[#This Row],[Resultado]]="Empate","1",0))</f>
        <v>0</v>
      </c>
      <c r="Z395" s="11">
        <f>+Datos_General[[#This Row],[Minutos Jugados]]*Datos_General[[#This Row],[Puntos Jug_Campo]]</f>
        <v>0</v>
      </c>
      <c r="AA39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95" s="10" t="str">
        <f>+IF(Datos_General[[#This Row],[Resultado Jug_Campo]] = "Empate", "1",IF(Datos_General[[#This Row],[Resultado Jug_Campo]] = "Victoria", "3","0"))</f>
        <v>0</v>
      </c>
    </row>
    <row r="396" spans="1:28">
      <c r="A396" s="1">
        <v>25</v>
      </c>
      <c r="B396" s="6">
        <v>46123</v>
      </c>
      <c r="C396" s="1" t="s">
        <v>129</v>
      </c>
      <c r="D396" s="1" t="s">
        <v>133</v>
      </c>
      <c r="E396" s="10" t="str">
        <f>+CONCATENATE(Datos_General[[#This Row],[Eq.Local]], "-", Datos_General[[#This Row],[Eq.Visitante]])</f>
        <v>C.D. Ribadumia-Conxo Santiago B</v>
      </c>
      <c r="F396" s="1" t="s">
        <v>209</v>
      </c>
      <c r="G396" s="1" t="s">
        <v>58</v>
      </c>
      <c r="H396" s="1" t="s">
        <v>43</v>
      </c>
      <c r="I396" s="9">
        <v>3</v>
      </c>
      <c r="J396" s="9">
        <v>1</v>
      </c>
      <c r="K396" s="10" t="str">
        <f>+CONCATENATE(Datos_General[[#This Row],[Goles a Favor_Eq_local]],"-",Datos_General[[#This Row],[Gol a Favor_Eq_Visitante]])</f>
        <v>3-1</v>
      </c>
      <c r="L396" s="1" t="s">
        <v>133</v>
      </c>
      <c r="M396" s="1">
        <v>13</v>
      </c>
      <c r="N396" s="1" t="s">
        <v>148</v>
      </c>
      <c r="O396" s="1">
        <v>1</v>
      </c>
      <c r="P396" s="1" t="s">
        <v>70</v>
      </c>
      <c r="Q396" s="7">
        <f>+IF(Datos_General[[#This Row],[Minutos Jugados]]&gt;0, 1, 0)</f>
        <v>0</v>
      </c>
      <c r="R396" s="23">
        <v>0</v>
      </c>
      <c r="S396" s="8">
        <f>IFERROR(IF(MATCH(N396,$T$385:$T$400,0), INDEX($U$385:$U$400,MATCH(N396,$T$385:$T$400,0))),0)</f>
        <v>0</v>
      </c>
      <c r="U396" s="1">
        <f>90-Datos_General[[#This Row],[Minutos Jugados]]</f>
        <v>90</v>
      </c>
      <c r="V396" s="1">
        <v>0</v>
      </c>
      <c r="W396" s="1">
        <v>0</v>
      </c>
      <c r="X396" s="1">
        <v>0</v>
      </c>
      <c r="Y396" s="10">
        <f>+IF(Datos_General[[#This Row],[Resultado]]="Victoria", "3", IF(Datos_General[[#This Row],[Resultado]]="Empate","1",0))</f>
        <v>0</v>
      </c>
      <c r="Z396" s="11">
        <f>+Datos_General[[#This Row],[Minutos Jugados]]*Datos_General[[#This Row],[Puntos Jug_Campo]]</f>
        <v>0</v>
      </c>
      <c r="AA39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396" s="10" t="str">
        <f>+IF(Datos_General[[#This Row],[Resultado Jug_Campo]] = "Empate", "1",IF(Datos_General[[#This Row],[Resultado Jug_Campo]] = "Victoria", "3","0"))</f>
        <v>0</v>
      </c>
    </row>
    <row r="397" spans="1:28">
      <c r="A397" s="1">
        <v>25</v>
      </c>
      <c r="B397" s="6">
        <v>46123</v>
      </c>
      <c r="C397" s="1" t="s">
        <v>129</v>
      </c>
      <c r="D397" s="1" t="s">
        <v>133</v>
      </c>
      <c r="E397" s="10" t="str">
        <f>+CONCATENATE(Datos_General[[#This Row],[Eq.Local]], "-", Datos_General[[#This Row],[Eq.Visitante]])</f>
        <v>C.D. Ribadumia-Conxo Santiago B</v>
      </c>
      <c r="F397" s="1" t="s">
        <v>209</v>
      </c>
      <c r="G397" s="1" t="s">
        <v>58</v>
      </c>
      <c r="H397" s="1" t="s">
        <v>43</v>
      </c>
      <c r="I397" s="9">
        <v>3</v>
      </c>
      <c r="J397" s="9">
        <v>1</v>
      </c>
      <c r="K397" s="10" t="str">
        <f>+CONCATENATE(Datos_General[[#This Row],[Goles a Favor_Eq_local]],"-",Datos_General[[#This Row],[Gol a Favor_Eq_Visitante]])</f>
        <v>3-1</v>
      </c>
      <c r="L397" s="1" t="s">
        <v>133</v>
      </c>
      <c r="M397" s="1">
        <v>12</v>
      </c>
      <c r="N397" s="1" t="s">
        <v>150</v>
      </c>
      <c r="O397" s="1">
        <v>1</v>
      </c>
      <c r="P397" s="1" t="s">
        <v>70</v>
      </c>
      <c r="Q397" s="7">
        <f>+IF(Datos_General[[#This Row],[Minutos Jugados]]&gt;0, 1, 0)</f>
        <v>1</v>
      </c>
      <c r="R397" s="23">
        <v>0</v>
      </c>
      <c r="S397" s="8">
        <f t="shared" ref="S397:S400" si="16">IFERROR(IF(MATCH(N397,$T$385:$T$400,0), INDEX($U$385:$U$400,MATCH(N397,$T$385:$T$400,0))),0)</f>
        <v>34</v>
      </c>
      <c r="U397" s="1">
        <f>90-Datos_General[[#This Row],[Minutos Jugados]]</f>
        <v>56</v>
      </c>
      <c r="V397" s="1">
        <v>0</v>
      </c>
      <c r="W397" s="1">
        <v>0</v>
      </c>
      <c r="X397" s="1">
        <v>1</v>
      </c>
      <c r="Y397" s="10">
        <f>+IF(Datos_General[[#This Row],[Resultado]]="Victoria", "3", IF(Datos_General[[#This Row],[Resultado]]="Empate","1",0))</f>
        <v>0</v>
      </c>
      <c r="Z397" s="11">
        <f>+Datos_General[[#This Row],[Minutos Jugados]]*Datos_General[[#This Row],[Puntos Jug_Campo]]</f>
        <v>0</v>
      </c>
      <c r="AA39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97" s="10" t="str">
        <f>+IF(Datos_General[[#This Row],[Resultado Jug_Campo]] = "Empate", "1",IF(Datos_General[[#This Row],[Resultado Jug_Campo]] = "Victoria", "3","0"))</f>
        <v>0</v>
      </c>
    </row>
    <row r="398" spans="1:28">
      <c r="A398" s="1">
        <v>25</v>
      </c>
      <c r="B398" s="6">
        <v>46123</v>
      </c>
      <c r="C398" s="1" t="s">
        <v>129</v>
      </c>
      <c r="D398" s="1" t="s">
        <v>133</v>
      </c>
      <c r="E398" s="10" t="str">
        <f>+CONCATENATE(Datos_General[[#This Row],[Eq.Local]], "-", Datos_General[[#This Row],[Eq.Visitante]])</f>
        <v>C.D. Ribadumia-Conxo Santiago B</v>
      </c>
      <c r="F398" s="1" t="s">
        <v>209</v>
      </c>
      <c r="G398" s="1" t="s">
        <v>58</v>
      </c>
      <c r="H398" s="1" t="s">
        <v>43</v>
      </c>
      <c r="I398" s="9">
        <v>3</v>
      </c>
      <c r="J398" s="9">
        <v>1</v>
      </c>
      <c r="K398" s="10" t="str">
        <f>+CONCATENATE(Datos_General[[#This Row],[Goles a Favor_Eq_local]],"-",Datos_General[[#This Row],[Gol a Favor_Eq_Visitante]])</f>
        <v>3-1</v>
      </c>
      <c r="L398" s="1" t="s">
        <v>133</v>
      </c>
      <c r="M398" s="1">
        <v>14</v>
      </c>
      <c r="N398" s="1" t="s">
        <v>166</v>
      </c>
      <c r="O398" s="1">
        <v>1</v>
      </c>
      <c r="P398" s="1" t="s">
        <v>70</v>
      </c>
      <c r="Q398" s="7">
        <f>+IF(Datos_General[[#This Row],[Minutos Jugados]]&gt;0, 1, 0)</f>
        <v>1</v>
      </c>
      <c r="R398" s="23">
        <v>0</v>
      </c>
      <c r="S398" s="8">
        <f t="shared" si="16"/>
        <v>34</v>
      </c>
      <c r="U398" s="1">
        <f>90-Datos_General[[#This Row],[Minutos Jugados]]</f>
        <v>56</v>
      </c>
      <c r="V398" s="1">
        <v>0</v>
      </c>
      <c r="W398" s="1">
        <v>0</v>
      </c>
      <c r="X398" s="1">
        <v>1</v>
      </c>
      <c r="Y398" s="10">
        <f>+IF(Datos_General[[#This Row],[Resultado]]="Victoria", "3", IF(Datos_General[[#This Row],[Resultado]]="Empate","1",0))</f>
        <v>0</v>
      </c>
      <c r="Z398" s="11">
        <f>+Datos_General[[#This Row],[Minutos Jugados]]*Datos_General[[#This Row],[Puntos Jug_Campo]]</f>
        <v>0</v>
      </c>
      <c r="AA39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398" s="10" t="str">
        <f>+IF(Datos_General[[#This Row],[Resultado Jug_Campo]] = "Empate", "1",IF(Datos_General[[#This Row],[Resultado Jug_Campo]] = "Victoria", "3","0"))</f>
        <v>0</v>
      </c>
    </row>
    <row r="399" spans="1:28">
      <c r="A399" s="1">
        <v>25</v>
      </c>
      <c r="B399" s="6">
        <v>46123</v>
      </c>
      <c r="C399" s="1" t="s">
        <v>129</v>
      </c>
      <c r="D399" s="1" t="s">
        <v>133</v>
      </c>
      <c r="E399" s="10" t="str">
        <f>+CONCATENATE(Datos_General[[#This Row],[Eq.Local]], "-", Datos_General[[#This Row],[Eq.Visitante]])</f>
        <v>C.D. Ribadumia-Conxo Santiago B</v>
      </c>
      <c r="F399" s="1" t="s">
        <v>209</v>
      </c>
      <c r="G399" s="1" t="s">
        <v>58</v>
      </c>
      <c r="H399" s="1" t="s">
        <v>43</v>
      </c>
      <c r="I399" s="9">
        <v>3</v>
      </c>
      <c r="J399" s="9">
        <v>1</v>
      </c>
      <c r="K399" s="10" t="str">
        <f>+CONCATENATE(Datos_General[[#This Row],[Goles a Favor_Eq_local]],"-",Datos_General[[#This Row],[Gol a Favor_Eq_Visitante]])</f>
        <v>3-1</v>
      </c>
      <c r="L399" s="1" t="s">
        <v>133</v>
      </c>
      <c r="M399" s="1">
        <v>15</v>
      </c>
      <c r="N399" s="1" t="s">
        <v>163</v>
      </c>
      <c r="O399" s="1">
        <v>1</v>
      </c>
      <c r="P399" s="1" t="s">
        <v>70</v>
      </c>
      <c r="Q399" s="7">
        <f>+IF(Datos_General[[#This Row],[Minutos Jugados]]&gt;0, 1, 0)</f>
        <v>1</v>
      </c>
      <c r="R399" s="23">
        <v>0</v>
      </c>
      <c r="S399" s="8">
        <f t="shared" si="16"/>
        <v>26</v>
      </c>
      <c r="U399" s="1">
        <f>90-Datos_General[[#This Row],[Minutos Jugados]]</f>
        <v>64</v>
      </c>
      <c r="V399" s="1">
        <v>0</v>
      </c>
      <c r="W399" s="1">
        <v>0</v>
      </c>
      <c r="X399" s="1">
        <v>0</v>
      </c>
      <c r="Y399" s="10">
        <f>+IF(Datos_General[[#This Row],[Resultado]]="Victoria", "3", IF(Datos_General[[#This Row],[Resultado]]="Empate","1",0))</f>
        <v>0</v>
      </c>
      <c r="Z399" s="11">
        <f>+Datos_General[[#This Row],[Minutos Jugados]]*Datos_General[[#This Row],[Puntos Jug_Campo]]</f>
        <v>26</v>
      </c>
      <c r="AA39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399" s="10" t="str">
        <f>+IF(Datos_General[[#This Row],[Resultado Jug_Campo]] = "Empate", "1",IF(Datos_General[[#This Row],[Resultado Jug_Campo]] = "Victoria", "3","0"))</f>
        <v>1</v>
      </c>
    </row>
    <row r="400" spans="1:28">
      <c r="A400" s="1">
        <v>25</v>
      </c>
      <c r="B400" s="6">
        <v>46123</v>
      </c>
      <c r="C400" s="1" t="s">
        <v>129</v>
      </c>
      <c r="D400" s="1" t="s">
        <v>133</v>
      </c>
      <c r="E400" s="10" t="str">
        <f>+CONCATENATE(Datos_General[[#This Row],[Eq.Local]], "-", Datos_General[[#This Row],[Eq.Visitante]])</f>
        <v>C.D. Ribadumia-Conxo Santiago B</v>
      </c>
      <c r="F400" s="1" t="s">
        <v>209</v>
      </c>
      <c r="G400" s="1" t="s">
        <v>58</v>
      </c>
      <c r="H400" s="1" t="s">
        <v>43</v>
      </c>
      <c r="I400" s="9">
        <v>3</v>
      </c>
      <c r="J400" s="9">
        <v>1</v>
      </c>
      <c r="K400" s="10" t="str">
        <f>+CONCATENATE(Datos_General[[#This Row],[Goles a Favor_Eq_local]],"-",Datos_General[[#This Row],[Gol a Favor_Eq_Visitante]])</f>
        <v>3-1</v>
      </c>
      <c r="L400" s="1" t="s">
        <v>133</v>
      </c>
      <c r="M400" s="1">
        <v>16</v>
      </c>
      <c r="N400" s="1" t="s">
        <v>151</v>
      </c>
      <c r="O400" s="1">
        <v>1</v>
      </c>
      <c r="P400" s="1" t="s">
        <v>70</v>
      </c>
      <c r="Q400" s="7">
        <f>+IF(Datos_General[[#This Row],[Minutos Jugados]]&gt;0, 1, 0)</f>
        <v>1</v>
      </c>
      <c r="R400" s="23">
        <v>0</v>
      </c>
      <c r="S400" s="8">
        <f t="shared" si="16"/>
        <v>26</v>
      </c>
      <c r="U400" s="1">
        <f>90-Datos_General[[#This Row],[Minutos Jugados]]</f>
        <v>64</v>
      </c>
      <c r="V400" s="1">
        <v>0</v>
      </c>
      <c r="W400" s="1">
        <v>3</v>
      </c>
      <c r="X400" s="1">
        <v>0</v>
      </c>
      <c r="Y400" s="10">
        <f>+IF(Datos_General[[#This Row],[Resultado]]="Victoria", "3", IF(Datos_General[[#This Row],[Resultado]]="Empate","1",0))</f>
        <v>0</v>
      </c>
      <c r="Z400" s="11">
        <f>+Datos_General[[#This Row],[Minutos Jugados]]*Datos_General[[#This Row],[Puntos Jug_Campo]]</f>
        <v>78</v>
      </c>
      <c r="AA40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0" s="10" t="str">
        <f>+IF(Datos_General[[#This Row],[Resultado Jug_Campo]] = "Empate", "1",IF(Datos_General[[#This Row],[Resultado Jug_Campo]] = "Victoria", "3","0"))</f>
        <v>3</v>
      </c>
    </row>
    <row r="401" spans="1:28">
      <c r="A401" s="1">
        <v>26</v>
      </c>
      <c r="B401" s="6">
        <v>46131</v>
      </c>
      <c r="C401" s="1" t="s">
        <v>133</v>
      </c>
      <c r="D401" s="1" t="s">
        <v>131</v>
      </c>
      <c r="E401" s="10" t="str">
        <f>+CONCATENATE(Datos_General[[#This Row],[Eq.Local]], "-", Datos_General[[#This Row],[Eq.Visitante]])</f>
        <v>Conxo Santiago B-Escola Estrada F.B.</v>
      </c>
      <c r="F401" s="1" t="s">
        <v>157</v>
      </c>
      <c r="G401" s="1" t="s">
        <v>57</v>
      </c>
      <c r="H401" s="1" t="s">
        <v>12</v>
      </c>
      <c r="I401" s="9">
        <v>3</v>
      </c>
      <c r="J401" s="9">
        <v>2</v>
      </c>
      <c r="K401" s="10" t="str">
        <f>+CONCATENATE(Datos_General[[#This Row],[Goles a Favor_Eq_local]],"-",Datos_General[[#This Row],[Gol a Favor_Eq_Visitante]])</f>
        <v>3-2</v>
      </c>
      <c r="L401" s="1" t="s">
        <v>133</v>
      </c>
      <c r="M401" s="1">
        <v>1</v>
      </c>
      <c r="N401" s="1" t="s">
        <v>137</v>
      </c>
      <c r="O401" s="1">
        <v>1</v>
      </c>
      <c r="P401" s="1" t="s">
        <v>2</v>
      </c>
      <c r="Q401" s="22">
        <v>1</v>
      </c>
      <c r="R401" s="9">
        <v>1</v>
      </c>
      <c r="S401" s="1">
        <v>90</v>
      </c>
      <c r="U401" s="1">
        <f>90-Datos_General[[#This Row],[Minutos Jugados]]</f>
        <v>0</v>
      </c>
      <c r="V401" s="1">
        <v>0</v>
      </c>
      <c r="W401" s="1">
        <v>3</v>
      </c>
      <c r="X401" s="1">
        <v>2</v>
      </c>
      <c r="Y401" s="10" t="str">
        <f>+IF(Datos_General[[#This Row],[Resultado]]="Victoria", "3", IF(Datos_General[[#This Row],[Resultado]]="Empate","1",0))</f>
        <v>3</v>
      </c>
      <c r="Z401" s="11">
        <f>+Datos_General[[#This Row],[Minutos Jugados]]*Datos_General[[#This Row],[Puntos Jug_Campo]]</f>
        <v>270</v>
      </c>
      <c r="AA40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1" s="10" t="str">
        <f>+IF(Datos_General[[#This Row],[Resultado Jug_Campo]] = "Empate", "1",IF(Datos_General[[#This Row],[Resultado Jug_Campo]] = "Victoria", "3","0"))</f>
        <v>3</v>
      </c>
    </row>
    <row r="402" spans="1:28">
      <c r="A402" s="1">
        <v>26</v>
      </c>
      <c r="B402" s="6">
        <v>46131</v>
      </c>
      <c r="C402" s="1" t="s">
        <v>133</v>
      </c>
      <c r="D402" s="1" t="s">
        <v>131</v>
      </c>
      <c r="E402" s="10" t="str">
        <f>+CONCATENATE(Datos_General[[#This Row],[Eq.Local]], "-", Datos_General[[#This Row],[Eq.Visitante]])</f>
        <v>Conxo Santiago B-Escola Estrada F.B.</v>
      </c>
      <c r="F402" s="1" t="s">
        <v>157</v>
      </c>
      <c r="G402" s="1" t="s">
        <v>57</v>
      </c>
      <c r="H402" s="1" t="s">
        <v>12</v>
      </c>
      <c r="I402" s="9">
        <v>3</v>
      </c>
      <c r="J402" s="9">
        <v>2</v>
      </c>
      <c r="K402" s="10" t="str">
        <f>+CONCATENATE(Datos_General[[#This Row],[Goles a Favor_Eq_local]],"-",Datos_General[[#This Row],[Gol a Favor_Eq_Visitante]])</f>
        <v>3-2</v>
      </c>
      <c r="L402" s="1" t="s">
        <v>133</v>
      </c>
      <c r="M402" s="1">
        <v>2</v>
      </c>
      <c r="N402" s="1" t="s">
        <v>199</v>
      </c>
      <c r="O402" s="1">
        <v>1</v>
      </c>
      <c r="P402" s="1" t="s">
        <v>2</v>
      </c>
      <c r="Q402" s="22">
        <v>1</v>
      </c>
      <c r="R402" s="9">
        <v>1</v>
      </c>
      <c r="S402" s="1">
        <v>90</v>
      </c>
      <c r="U402" s="1">
        <f>90-Datos_General[[#This Row],[Minutos Jugados]]</f>
        <v>0</v>
      </c>
      <c r="V402" s="1">
        <v>0</v>
      </c>
      <c r="W402" s="1">
        <v>3</v>
      </c>
      <c r="X402" s="1">
        <v>2</v>
      </c>
      <c r="Y402" s="10" t="str">
        <f>+IF(Datos_General[[#This Row],[Resultado]]="Victoria", "3", IF(Datos_General[[#This Row],[Resultado]]="Empate","1",0))</f>
        <v>3</v>
      </c>
      <c r="Z402" s="11">
        <f>+Datos_General[[#This Row],[Minutos Jugados]]*Datos_General[[#This Row],[Puntos Jug_Campo]]</f>
        <v>270</v>
      </c>
      <c r="AA40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2" s="10" t="str">
        <f>+IF(Datos_General[[#This Row],[Resultado Jug_Campo]] = "Empate", "1",IF(Datos_General[[#This Row],[Resultado Jug_Campo]] = "Victoria", "3","0"))</f>
        <v>3</v>
      </c>
    </row>
    <row r="403" spans="1:28">
      <c r="A403" s="1">
        <v>26</v>
      </c>
      <c r="B403" s="6">
        <v>46131</v>
      </c>
      <c r="C403" s="1" t="s">
        <v>133</v>
      </c>
      <c r="D403" s="1" t="s">
        <v>131</v>
      </c>
      <c r="E403" s="10" t="str">
        <f>+CONCATENATE(Datos_General[[#This Row],[Eq.Local]], "-", Datos_General[[#This Row],[Eq.Visitante]])</f>
        <v>Conxo Santiago B-Escola Estrada F.B.</v>
      </c>
      <c r="F403" s="1" t="s">
        <v>157</v>
      </c>
      <c r="G403" s="1" t="s">
        <v>57</v>
      </c>
      <c r="H403" s="1" t="s">
        <v>12</v>
      </c>
      <c r="I403" s="9">
        <v>3</v>
      </c>
      <c r="J403" s="9">
        <v>2</v>
      </c>
      <c r="K403" s="10" t="str">
        <f>+CONCATENATE(Datos_General[[#This Row],[Goles a Favor_Eq_local]],"-",Datos_General[[#This Row],[Gol a Favor_Eq_Visitante]])</f>
        <v>3-2</v>
      </c>
      <c r="L403" s="1" t="s">
        <v>133</v>
      </c>
      <c r="M403" s="1">
        <v>3</v>
      </c>
      <c r="N403" s="1" t="s">
        <v>144</v>
      </c>
      <c r="O403" s="1">
        <v>1</v>
      </c>
      <c r="P403" s="1" t="s">
        <v>2</v>
      </c>
      <c r="Q403" s="22">
        <v>1</v>
      </c>
      <c r="R403" s="9">
        <v>1</v>
      </c>
      <c r="S403" s="1">
        <v>90</v>
      </c>
      <c r="U403" s="1">
        <f>90-Datos_General[[#This Row],[Minutos Jugados]]</f>
        <v>0</v>
      </c>
      <c r="V403" s="1">
        <v>0</v>
      </c>
      <c r="W403" s="1">
        <v>3</v>
      </c>
      <c r="X403" s="1">
        <v>2</v>
      </c>
      <c r="Y403" s="10" t="str">
        <f>+IF(Datos_General[[#This Row],[Resultado]]="Victoria", "3", IF(Datos_General[[#This Row],[Resultado]]="Empate","1",0))</f>
        <v>3</v>
      </c>
      <c r="Z403" s="11">
        <f>+Datos_General[[#This Row],[Minutos Jugados]]*Datos_General[[#This Row],[Puntos Jug_Campo]]</f>
        <v>270</v>
      </c>
      <c r="AA40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3" s="10" t="str">
        <f>+IF(Datos_General[[#This Row],[Resultado Jug_Campo]] = "Empate", "1",IF(Datos_General[[#This Row],[Resultado Jug_Campo]] = "Victoria", "3","0"))</f>
        <v>3</v>
      </c>
    </row>
    <row r="404" spans="1:28">
      <c r="A404" s="1">
        <v>26</v>
      </c>
      <c r="B404" s="6">
        <v>46131</v>
      </c>
      <c r="C404" s="1" t="s">
        <v>133</v>
      </c>
      <c r="D404" s="1" t="s">
        <v>131</v>
      </c>
      <c r="E404" s="10" t="str">
        <f>+CONCATENATE(Datos_General[[#This Row],[Eq.Local]], "-", Datos_General[[#This Row],[Eq.Visitante]])</f>
        <v>Conxo Santiago B-Escola Estrada F.B.</v>
      </c>
      <c r="F404" s="1" t="s">
        <v>157</v>
      </c>
      <c r="G404" s="1" t="s">
        <v>57</v>
      </c>
      <c r="H404" s="1" t="s">
        <v>12</v>
      </c>
      <c r="I404" s="9">
        <v>3</v>
      </c>
      <c r="J404" s="9">
        <v>2</v>
      </c>
      <c r="K404" s="10" t="str">
        <f>+CONCATENATE(Datos_General[[#This Row],[Goles a Favor_Eq_local]],"-",Datos_General[[#This Row],[Gol a Favor_Eq_Visitante]])</f>
        <v>3-2</v>
      </c>
      <c r="L404" s="1" t="s">
        <v>133</v>
      </c>
      <c r="M404" s="1">
        <v>4</v>
      </c>
      <c r="N404" s="1" t="s">
        <v>140</v>
      </c>
      <c r="O404" s="1">
        <v>1</v>
      </c>
      <c r="P404" s="1" t="s">
        <v>2</v>
      </c>
      <c r="Q404" s="22">
        <v>1</v>
      </c>
      <c r="R404" s="9">
        <v>1</v>
      </c>
      <c r="S404" s="1">
        <v>90</v>
      </c>
      <c r="U404" s="1">
        <f>90-Datos_General[[#This Row],[Minutos Jugados]]</f>
        <v>0</v>
      </c>
      <c r="V404" s="1">
        <v>0</v>
      </c>
      <c r="W404" s="1">
        <v>3</v>
      </c>
      <c r="X404" s="1">
        <v>2</v>
      </c>
      <c r="Y404" s="10" t="str">
        <f>+IF(Datos_General[[#This Row],[Resultado]]="Victoria", "3", IF(Datos_General[[#This Row],[Resultado]]="Empate","1",0))</f>
        <v>3</v>
      </c>
      <c r="Z404" s="11">
        <f>+Datos_General[[#This Row],[Minutos Jugados]]*Datos_General[[#This Row],[Puntos Jug_Campo]]</f>
        <v>270</v>
      </c>
      <c r="AA40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4" s="10" t="str">
        <f>+IF(Datos_General[[#This Row],[Resultado Jug_Campo]] = "Empate", "1",IF(Datos_General[[#This Row],[Resultado Jug_Campo]] = "Victoria", "3","0"))</f>
        <v>3</v>
      </c>
    </row>
    <row r="405" spans="1:28">
      <c r="A405" s="1">
        <v>26</v>
      </c>
      <c r="B405" s="6">
        <v>46131</v>
      </c>
      <c r="C405" s="1" t="s">
        <v>133</v>
      </c>
      <c r="D405" s="1" t="s">
        <v>131</v>
      </c>
      <c r="E405" s="10" t="str">
        <f>+CONCATENATE(Datos_General[[#This Row],[Eq.Local]], "-", Datos_General[[#This Row],[Eq.Visitante]])</f>
        <v>Conxo Santiago B-Escola Estrada F.B.</v>
      </c>
      <c r="F405" s="1" t="s">
        <v>157</v>
      </c>
      <c r="G405" s="1" t="s">
        <v>57</v>
      </c>
      <c r="H405" s="1" t="s">
        <v>12</v>
      </c>
      <c r="I405" s="9">
        <v>3</v>
      </c>
      <c r="J405" s="9">
        <v>2</v>
      </c>
      <c r="K405" s="10" t="str">
        <f>+CONCATENATE(Datos_General[[#This Row],[Goles a Favor_Eq_local]],"-",Datos_General[[#This Row],[Gol a Favor_Eq_Visitante]])</f>
        <v>3-2</v>
      </c>
      <c r="L405" s="1" t="s">
        <v>133</v>
      </c>
      <c r="M405" s="1">
        <v>5</v>
      </c>
      <c r="N405" s="1" t="s">
        <v>162</v>
      </c>
      <c r="O405" s="1">
        <v>1</v>
      </c>
      <c r="P405" s="1" t="s">
        <v>2</v>
      </c>
      <c r="Q405" s="22">
        <v>1</v>
      </c>
      <c r="R405" s="9">
        <v>1</v>
      </c>
      <c r="S405" s="1">
        <v>90</v>
      </c>
      <c r="U405" s="1">
        <f>90-Datos_General[[#This Row],[Minutos Jugados]]</f>
        <v>0</v>
      </c>
      <c r="V405" s="1">
        <v>0</v>
      </c>
      <c r="W405" s="1">
        <v>3</v>
      </c>
      <c r="X405" s="1">
        <v>2</v>
      </c>
      <c r="Y405" s="10" t="str">
        <f>+IF(Datos_General[[#This Row],[Resultado]]="Victoria", "3", IF(Datos_General[[#This Row],[Resultado]]="Empate","1",0))</f>
        <v>3</v>
      </c>
      <c r="Z405" s="11">
        <f>+Datos_General[[#This Row],[Minutos Jugados]]*Datos_General[[#This Row],[Puntos Jug_Campo]]</f>
        <v>270</v>
      </c>
      <c r="AA40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5" s="10" t="str">
        <f>+IF(Datos_General[[#This Row],[Resultado Jug_Campo]] = "Empate", "1",IF(Datos_General[[#This Row],[Resultado Jug_Campo]] = "Victoria", "3","0"))</f>
        <v>3</v>
      </c>
    </row>
    <row r="406" spans="1:28">
      <c r="A406" s="1">
        <v>26</v>
      </c>
      <c r="B406" s="6">
        <v>46131</v>
      </c>
      <c r="C406" s="1" t="s">
        <v>133</v>
      </c>
      <c r="D406" s="1" t="s">
        <v>131</v>
      </c>
      <c r="E406" s="10" t="str">
        <f>+CONCATENATE(Datos_General[[#This Row],[Eq.Local]], "-", Datos_General[[#This Row],[Eq.Visitante]])</f>
        <v>Conxo Santiago B-Escola Estrada F.B.</v>
      </c>
      <c r="F406" s="1" t="s">
        <v>157</v>
      </c>
      <c r="G406" s="1" t="s">
        <v>57</v>
      </c>
      <c r="H406" s="1" t="s">
        <v>12</v>
      </c>
      <c r="I406" s="9">
        <v>3</v>
      </c>
      <c r="J406" s="9">
        <v>2</v>
      </c>
      <c r="K406" s="10" t="str">
        <f>+CONCATENATE(Datos_General[[#This Row],[Goles a Favor_Eq_local]],"-",Datos_General[[#This Row],[Gol a Favor_Eq_Visitante]])</f>
        <v>3-2</v>
      </c>
      <c r="L406" s="1" t="s">
        <v>133</v>
      </c>
      <c r="M406" s="1">
        <v>6</v>
      </c>
      <c r="N406" s="1" t="s">
        <v>146</v>
      </c>
      <c r="O406" s="1">
        <v>1</v>
      </c>
      <c r="P406" s="1" t="s">
        <v>2</v>
      </c>
      <c r="Q406" s="22">
        <v>1</v>
      </c>
      <c r="R406" s="9">
        <v>1</v>
      </c>
      <c r="S406" s="1">
        <v>90</v>
      </c>
      <c r="U406" s="1">
        <f>90-Datos_General[[#This Row],[Minutos Jugados]]</f>
        <v>0</v>
      </c>
      <c r="V406" s="1">
        <v>0</v>
      </c>
      <c r="W406" s="1">
        <v>3</v>
      </c>
      <c r="X406" s="1">
        <v>2</v>
      </c>
      <c r="Y406" s="10" t="str">
        <f>+IF(Datos_General[[#This Row],[Resultado]]="Victoria", "3", IF(Datos_General[[#This Row],[Resultado]]="Empate","1",0))</f>
        <v>3</v>
      </c>
      <c r="Z406" s="11">
        <f>+Datos_General[[#This Row],[Minutos Jugados]]*Datos_General[[#This Row],[Puntos Jug_Campo]]</f>
        <v>270</v>
      </c>
      <c r="AA40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6" s="10" t="str">
        <f>+IF(Datos_General[[#This Row],[Resultado Jug_Campo]] = "Empate", "1",IF(Datos_General[[#This Row],[Resultado Jug_Campo]] = "Victoria", "3","0"))</f>
        <v>3</v>
      </c>
    </row>
    <row r="407" spans="1:28">
      <c r="A407" s="1">
        <v>26</v>
      </c>
      <c r="B407" s="6">
        <v>46131</v>
      </c>
      <c r="C407" s="1" t="s">
        <v>133</v>
      </c>
      <c r="D407" s="1" t="s">
        <v>131</v>
      </c>
      <c r="E407" s="10" t="str">
        <f>+CONCATENATE(Datos_General[[#This Row],[Eq.Local]], "-", Datos_General[[#This Row],[Eq.Visitante]])</f>
        <v>Conxo Santiago B-Escola Estrada F.B.</v>
      </c>
      <c r="F407" s="1" t="s">
        <v>157</v>
      </c>
      <c r="G407" s="1" t="s">
        <v>57</v>
      </c>
      <c r="H407" s="1" t="s">
        <v>12</v>
      </c>
      <c r="I407" s="9">
        <v>3</v>
      </c>
      <c r="J407" s="9">
        <v>2</v>
      </c>
      <c r="K407" s="10" t="str">
        <f>+CONCATENATE(Datos_General[[#This Row],[Goles a Favor_Eq_local]],"-",Datos_General[[#This Row],[Gol a Favor_Eq_Visitante]])</f>
        <v>3-2</v>
      </c>
      <c r="L407" s="1" t="s">
        <v>133</v>
      </c>
      <c r="M407" s="1">
        <v>7</v>
      </c>
      <c r="N407" s="1" t="s">
        <v>138</v>
      </c>
      <c r="O407" s="1">
        <v>1</v>
      </c>
      <c r="P407" s="1" t="s">
        <v>2</v>
      </c>
      <c r="Q407" s="22">
        <v>1</v>
      </c>
      <c r="R407" s="9">
        <v>1</v>
      </c>
      <c r="S407" s="1">
        <v>56</v>
      </c>
      <c r="T407" s="1" t="s">
        <v>151</v>
      </c>
      <c r="U407" s="1">
        <f>90-Datos_General[[#This Row],[Minutos Jugados]]</f>
        <v>34</v>
      </c>
      <c r="V407" s="1">
        <v>0</v>
      </c>
      <c r="W407" s="1">
        <v>2</v>
      </c>
      <c r="X407" s="1">
        <v>1</v>
      </c>
      <c r="Y407" s="10" t="str">
        <f>+IF(Datos_General[[#This Row],[Resultado]]="Victoria", "3", IF(Datos_General[[#This Row],[Resultado]]="Empate","1",0))</f>
        <v>3</v>
      </c>
      <c r="Z407" s="11">
        <f>+Datos_General[[#This Row],[Minutos Jugados]]*Datos_General[[#This Row],[Puntos Jug_Campo]]</f>
        <v>168</v>
      </c>
      <c r="AA40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7" s="10" t="str">
        <f>+IF(Datos_General[[#This Row],[Resultado Jug_Campo]] = "Empate", "1",IF(Datos_General[[#This Row],[Resultado Jug_Campo]] = "Victoria", "3","0"))</f>
        <v>3</v>
      </c>
    </row>
    <row r="408" spans="1:28">
      <c r="A408" s="1">
        <v>26</v>
      </c>
      <c r="B408" s="6">
        <v>46131</v>
      </c>
      <c r="C408" s="1" t="s">
        <v>133</v>
      </c>
      <c r="D408" s="1" t="s">
        <v>131</v>
      </c>
      <c r="E408" s="10" t="str">
        <f>+CONCATENATE(Datos_General[[#This Row],[Eq.Local]], "-", Datos_General[[#This Row],[Eq.Visitante]])</f>
        <v>Conxo Santiago B-Escola Estrada F.B.</v>
      </c>
      <c r="F408" s="1" t="s">
        <v>157</v>
      </c>
      <c r="G408" s="1" t="s">
        <v>57</v>
      </c>
      <c r="H408" s="1" t="s">
        <v>12</v>
      </c>
      <c r="I408" s="9">
        <v>3</v>
      </c>
      <c r="J408" s="9">
        <v>2</v>
      </c>
      <c r="K408" s="10" t="str">
        <f>+CONCATENATE(Datos_General[[#This Row],[Goles a Favor_Eq_local]],"-",Datos_General[[#This Row],[Gol a Favor_Eq_Visitante]])</f>
        <v>3-2</v>
      </c>
      <c r="L408" s="1" t="s">
        <v>133</v>
      </c>
      <c r="M408" s="1">
        <v>8</v>
      </c>
      <c r="N408" s="1" t="s">
        <v>165</v>
      </c>
      <c r="O408" s="1">
        <v>1</v>
      </c>
      <c r="P408" s="1" t="s">
        <v>2</v>
      </c>
      <c r="Q408" s="22">
        <v>1</v>
      </c>
      <c r="R408" s="9">
        <v>1</v>
      </c>
      <c r="S408" s="1">
        <v>90</v>
      </c>
      <c r="U408" s="1">
        <f>90-Datos_General[[#This Row],[Minutos Jugados]]</f>
        <v>0</v>
      </c>
      <c r="V408" s="1">
        <v>0</v>
      </c>
      <c r="W408" s="1">
        <v>3</v>
      </c>
      <c r="X408" s="1">
        <v>2</v>
      </c>
      <c r="Y408" s="10" t="str">
        <f>+IF(Datos_General[[#This Row],[Resultado]]="Victoria", "3", IF(Datos_General[[#This Row],[Resultado]]="Empate","1",0))</f>
        <v>3</v>
      </c>
      <c r="Z408" s="11">
        <f>+Datos_General[[#This Row],[Minutos Jugados]]*Datos_General[[#This Row],[Puntos Jug_Campo]]</f>
        <v>270</v>
      </c>
      <c r="AA40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8" s="10" t="str">
        <f>+IF(Datos_General[[#This Row],[Resultado Jug_Campo]] = "Empate", "1",IF(Datos_General[[#This Row],[Resultado Jug_Campo]] = "Victoria", "3","0"))</f>
        <v>3</v>
      </c>
    </row>
    <row r="409" spans="1:28">
      <c r="A409" s="1">
        <v>26</v>
      </c>
      <c r="B409" s="6">
        <v>46131</v>
      </c>
      <c r="C409" s="1" t="s">
        <v>133</v>
      </c>
      <c r="D409" s="1" t="s">
        <v>131</v>
      </c>
      <c r="E409" s="10" t="str">
        <f>+CONCATENATE(Datos_General[[#This Row],[Eq.Local]], "-", Datos_General[[#This Row],[Eq.Visitante]])</f>
        <v>Conxo Santiago B-Escola Estrada F.B.</v>
      </c>
      <c r="F409" s="1" t="s">
        <v>157</v>
      </c>
      <c r="G409" s="1" t="s">
        <v>57</v>
      </c>
      <c r="H409" s="1" t="s">
        <v>12</v>
      </c>
      <c r="I409" s="9">
        <v>3</v>
      </c>
      <c r="J409" s="9">
        <v>2</v>
      </c>
      <c r="K409" s="10" t="str">
        <f>+CONCATENATE(Datos_General[[#This Row],[Goles a Favor_Eq_local]],"-",Datos_General[[#This Row],[Gol a Favor_Eq_Visitante]])</f>
        <v>3-2</v>
      </c>
      <c r="L409" s="1" t="s">
        <v>133</v>
      </c>
      <c r="M409" s="1">
        <v>9</v>
      </c>
      <c r="N409" s="1" t="s">
        <v>150</v>
      </c>
      <c r="O409" s="1">
        <v>1</v>
      </c>
      <c r="P409" s="1" t="s">
        <v>2</v>
      </c>
      <c r="Q409" s="22">
        <v>1</v>
      </c>
      <c r="R409" s="9">
        <v>1</v>
      </c>
      <c r="S409" s="1">
        <v>75</v>
      </c>
      <c r="T409" s="1" t="s">
        <v>163</v>
      </c>
      <c r="U409" s="1">
        <f>90-Datos_General[[#This Row],[Minutos Jugados]]</f>
        <v>15</v>
      </c>
      <c r="V409" s="1">
        <v>1</v>
      </c>
      <c r="W409" s="1">
        <v>3</v>
      </c>
      <c r="X409" s="1">
        <v>2</v>
      </c>
      <c r="Y409" s="10" t="str">
        <f>+IF(Datos_General[[#This Row],[Resultado]]="Victoria", "3", IF(Datos_General[[#This Row],[Resultado]]="Empate","1",0))</f>
        <v>3</v>
      </c>
      <c r="Z409" s="11">
        <f>+Datos_General[[#This Row],[Minutos Jugados]]*Datos_General[[#This Row],[Puntos Jug_Campo]]</f>
        <v>225</v>
      </c>
      <c r="AA40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09" s="10" t="str">
        <f>+IF(Datos_General[[#This Row],[Resultado Jug_Campo]] = "Empate", "1",IF(Datos_General[[#This Row],[Resultado Jug_Campo]] = "Victoria", "3","0"))</f>
        <v>3</v>
      </c>
    </row>
    <row r="410" spans="1:28">
      <c r="A410" s="1">
        <v>26</v>
      </c>
      <c r="B410" s="6">
        <v>46131</v>
      </c>
      <c r="C410" s="1" t="s">
        <v>133</v>
      </c>
      <c r="D410" s="1" t="s">
        <v>131</v>
      </c>
      <c r="E410" s="10" t="str">
        <f>+CONCATENATE(Datos_General[[#This Row],[Eq.Local]], "-", Datos_General[[#This Row],[Eq.Visitante]])</f>
        <v>Conxo Santiago B-Escola Estrada F.B.</v>
      </c>
      <c r="F410" s="1" t="s">
        <v>157</v>
      </c>
      <c r="G410" s="1" t="s">
        <v>57</v>
      </c>
      <c r="H410" s="1" t="s">
        <v>12</v>
      </c>
      <c r="I410" s="9">
        <v>3</v>
      </c>
      <c r="J410" s="9">
        <v>2</v>
      </c>
      <c r="K410" s="10" t="str">
        <f>+CONCATENATE(Datos_General[[#This Row],[Goles a Favor_Eq_local]],"-",Datos_General[[#This Row],[Gol a Favor_Eq_Visitante]])</f>
        <v>3-2</v>
      </c>
      <c r="L410" s="1" t="s">
        <v>133</v>
      </c>
      <c r="M410" s="1">
        <v>10</v>
      </c>
      <c r="N410" s="1" t="s">
        <v>194</v>
      </c>
      <c r="O410" s="1">
        <v>1</v>
      </c>
      <c r="P410" s="1" t="s">
        <v>2</v>
      </c>
      <c r="Q410" s="22">
        <v>1</v>
      </c>
      <c r="R410" s="9">
        <v>1</v>
      </c>
      <c r="S410" s="1">
        <v>90</v>
      </c>
      <c r="T410" s="1" t="s">
        <v>205</v>
      </c>
      <c r="U410" s="1">
        <f>90-Datos_General[[#This Row],[Minutos Jugados]]</f>
        <v>0</v>
      </c>
      <c r="V410" s="1">
        <v>0</v>
      </c>
      <c r="W410" s="1">
        <v>3</v>
      </c>
      <c r="X410" s="1">
        <v>2</v>
      </c>
      <c r="Y410" s="10" t="str">
        <f>+IF(Datos_General[[#This Row],[Resultado]]="Victoria", "3", IF(Datos_General[[#This Row],[Resultado]]="Empate","1",0))</f>
        <v>3</v>
      </c>
      <c r="Z410" s="11">
        <f>+Datos_General[[#This Row],[Minutos Jugados]]*Datos_General[[#This Row],[Puntos Jug_Campo]]</f>
        <v>270</v>
      </c>
      <c r="AA41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10" s="10" t="str">
        <f>+IF(Datos_General[[#This Row],[Resultado Jug_Campo]] = "Empate", "1",IF(Datos_General[[#This Row],[Resultado Jug_Campo]] = "Victoria", "3","0"))</f>
        <v>3</v>
      </c>
    </row>
    <row r="411" spans="1:28">
      <c r="A411" s="1">
        <v>26</v>
      </c>
      <c r="B411" s="6">
        <v>46131</v>
      </c>
      <c r="C411" s="1" t="s">
        <v>133</v>
      </c>
      <c r="D411" s="1" t="s">
        <v>131</v>
      </c>
      <c r="E411" s="10" t="str">
        <f>+CONCATENATE(Datos_General[[#This Row],[Eq.Local]], "-", Datos_General[[#This Row],[Eq.Visitante]])</f>
        <v>Conxo Santiago B-Escola Estrada F.B.</v>
      </c>
      <c r="F411" s="1" t="s">
        <v>157</v>
      </c>
      <c r="G411" s="1" t="s">
        <v>57</v>
      </c>
      <c r="H411" s="1" t="s">
        <v>12</v>
      </c>
      <c r="I411" s="9">
        <v>3</v>
      </c>
      <c r="J411" s="9">
        <v>2</v>
      </c>
      <c r="K411" s="10" t="str">
        <f>+CONCATENATE(Datos_General[[#This Row],[Goles a Favor_Eq_local]],"-",Datos_General[[#This Row],[Gol a Favor_Eq_Visitante]])</f>
        <v>3-2</v>
      </c>
      <c r="L411" s="1" t="s">
        <v>133</v>
      </c>
      <c r="M411" s="1">
        <v>11</v>
      </c>
      <c r="N411" s="1" t="s">
        <v>198</v>
      </c>
      <c r="O411" s="1">
        <v>1</v>
      </c>
      <c r="P411" s="1" t="s">
        <v>2</v>
      </c>
      <c r="Q411" s="22">
        <v>1</v>
      </c>
      <c r="R411" s="9">
        <v>1</v>
      </c>
      <c r="S411" s="1">
        <v>56</v>
      </c>
      <c r="T411" s="1" t="s">
        <v>159</v>
      </c>
      <c r="U411" s="1">
        <f>90-Datos_General[[#This Row],[Minutos Jugados]]</f>
        <v>34</v>
      </c>
      <c r="V411" s="1">
        <v>1</v>
      </c>
      <c r="W411" s="1">
        <v>2</v>
      </c>
      <c r="X411" s="1">
        <v>1</v>
      </c>
      <c r="Y411" s="10" t="str">
        <f>+IF(Datos_General[[#This Row],[Resultado]]="Victoria", "3", IF(Datos_General[[#This Row],[Resultado]]="Empate","1",0))</f>
        <v>3</v>
      </c>
      <c r="Z411" s="11">
        <f>+Datos_General[[#This Row],[Minutos Jugados]]*Datos_General[[#This Row],[Puntos Jug_Campo]]</f>
        <v>168</v>
      </c>
      <c r="AA41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11" s="10" t="str">
        <f>+IF(Datos_General[[#This Row],[Resultado Jug_Campo]] = "Empate", "1",IF(Datos_General[[#This Row],[Resultado Jug_Campo]] = "Victoria", "3","0"))</f>
        <v>3</v>
      </c>
    </row>
    <row r="412" spans="1:28">
      <c r="A412" s="1">
        <v>26</v>
      </c>
      <c r="B412" s="6">
        <v>46131</v>
      </c>
      <c r="C412" s="1" t="s">
        <v>133</v>
      </c>
      <c r="D412" s="1" t="s">
        <v>131</v>
      </c>
      <c r="E412" s="10" t="str">
        <f>+CONCATENATE(Datos_General[[#This Row],[Eq.Local]], "-", Datos_General[[#This Row],[Eq.Visitante]])</f>
        <v>Conxo Santiago B-Escola Estrada F.B.</v>
      </c>
      <c r="F412" s="1" t="s">
        <v>157</v>
      </c>
      <c r="G412" s="1" t="s">
        <v>57</v>
      </c>
      <c r="H412" s="1" t="s">
        <v>12</v>
      </c>
      <c r="I412" s="9">
        <v>3</v>
      </c>
      <c r="J412" s="9">
        <v>2</v>
      </c>
      <c r="K412" s="10" t="str">
        <f>+CONCATENATE(Datos_General[[#This Row],[Goles a Favor_Eq_local]],"-",Datos_General[[#This Row],[Gol a Favor_Eq_Visitante]])</f>
        <v>3-2</v>
      </c>
      <c r="L412" s="1" t="s">
        <v>133</v>
      </c>
      <c r="M412" s="1">
        <v>13</v>
      </c>
      <c r="N412" s="1" t="s">
        <v>148</v>
      </c>
      <c r="O412" s="1">
        <v>1</v>
      </c>
      <c r="P412" s="1" t="s">
        <v>70</v>
      </c>
      <c r="Q412" s="7">
        <f>+IF(Datos_General[[#This Row],[Minutos Jugados]]&gt;0, 1, 0)</f>
        <v>0</v>
      </c>
      <c r="R412" s="23">
        <v>0</v>
      </c>
      <c r="S412" s="8">
        <f>IFERROR(IF(MATCH(N412,$T$401:$T$416,0), INDEX($U$401:$U$416,MATCH(N412,$T$401:$T$416,0))),0)</f>
        <v>0</v>
      </c>
      <c r="U412" s="1">
        <f>90-Datos_General[[#This Row],[Minutos Jugados]]</f>
        <v>90</v>
      </c>
      <c r="V412" s="1">
        <v>0</v>
      </c>
      <c r="W412" s="1">
        <v>0</v>
      </c>
      <c r="X412" s="1">
        <v>0</v>
      </c>
      <c r="Y412" s="10" t="str">
        <f>+IF(Datos_General[[#This Row],[Resultado]]="Victoria", "3", IF(Datos_General[[#This Row],[Resultado]]="Empate","1",0))</f>
        <v>3</v>
      </c>
      <c r="Z412" s="11">
        <f>+Datos_General[[#This Row],[Minutos Jugados]]*Datos_General[[#This Row],[Puntos Jug_Campo]]</f>
        <v>0</v>
      </c>
      <c r="AA41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 xml:space="preserve"> No Jugó</v>
      </c>
      <c r="AB412" s="10" t="str">
        <f>+IF(Datos_General[[#This Row],[Resultado Jug_Campo]] = "Empate", "1",IF(Datos_General[[#This Row],[Resultado Jug_Campo]] = "Victoria", "3","0"))</f>
        <v>0</v>
      </c>
    </row>
    <row r="413" spans="1:28">
      <c r="A413" s="1">
        <v>26</v>
      </c>
      <c r="B413" s="6">
        <v>46131</v>
      </c>
      <c r="C413" s="1" t="s">
        <v>133</v>
      </c>
      <c r="D413" s="1" t="s">
        <v>131</v>
      </c>
      <c r="E413" s="10" t="str">
        <f>+CONCATENATE(Datos_General[[#This Row],[Eq.Local]], "-", Datos_General[[#This Row],[Eq.Visitante]])</f>
        <v>Conxo Santiago B-Escola Estrada F.B.</v>
      </c>
      <c r="F413" s="1" t="s">
        <v>157</v>
      </c>
      <c r="G413" s="1" t="s">
        <v>57</v>
      </c>
      <c r="H413" s="1" t="s">
        <v>12</v>
      </c>
      <c r="I413" s="9">
        <v>3</v>
      </c>
      <c r="J413" s="9">
        <v>2</v>
      </c>
      <c r="K413" s="10" t="str">
        <f>+CONCATENATE(Datos_General[[#This Row],[Goles a Favor_Eq_local]],"-",Datos_General[[#This Row],[Gol a Favor_Eq_Visitante]])</f>
        <v>3-2</v>
      </c>
      <c r="L413" s="1" t="s">
        <v>133</v>
      </c>
      <c r="M413" s="1">
        <v>12</v>
      </c>
      <c r="N413" s="1" t="s">
        <v>151</v>
      </c>
      <c r="O413" s="1">
        <v>1</v>
      </c>
      <c r="P413" s="1" t="s">
        <v>70</v>
      </c>
      <c r="Q413" s="7">
        <f>+IF(Datos_General[[#This Row],[Minutos Jugados]]&gt;0, 1, 0)</f>
        <v>1</v>
      </c>
      <c r="R413" s="23">
        <v>0</v>
      </c>
      <c r="S413" s="8">
        <f t="shared" ref="S413:S415" si="17">IFERROR(IF(MATCH(N413,$T$401:$T$416,0), INDEX($U$401:$U$416,MATCH(N413,$T$401:$T$416,0))),0)</f>
        <v>34</v>
      </c>
      <c r="U413" s="1">
        <f>90-Datos_General[[#This Row],[Minutos Jugados]]</f>
        <v>56</v>
      </c>
      <c r="V413" s="1">
        <v>0</v>
      </c>
      <c r="W413" s="1">
        <v>1</v>
      </c>
      <c r="X413" s="1">
        <v>1</v>
      </c>
      <c r="Y413" s="10" t="str">
        <f>+IF(Datos_General[[#This Row],[Resultado]]="Victoria", "3", IF(Datos_General[[#This Row],[Resultado]]="Empate","1",0))</f>
        <v>3</v>
      </c>
      <c r="Z413" s="11">
        <f>+Datos_General[[#This Row],[Minutos Jugados]]*Datos_General[[#This Row],[Puntos Jug_Campo]]</f>
        <v>34</v>
      </c>
      <c r="AA41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13" s="10" t="str">
        <f>+IF(Datos_General[[#This Row],[Resultado Jug_Campo]] = "Empate", "1",IF(Datos_General[[#This Row],[Resultado Jug_Campo]] = "Victoria", "3","0"))</f>
        <v>1</v>
      </c>
    </row>
    <row r="414" spans="1:28">
      <c r="A414" s="1">
        <v>26</v>
      </c>
      <c r="B414" s="6">
        <v>46131</v>
      </c>
      <c r="C414" s="1" t="s">
        <v>133</v>
      </c>
      <c r="D414" s="1" t="s">
        <v>131</v>
      </c>
      <c r="E414" s="10" t="str">
        <f>+CONCATENATE(Datos_General[[#This Row],[Eq.Local]], "-", Datos_General[[#This Row],[Eq.Visitante]])</f>
        <v>Conxo Santiago B-Escola Estrada F.B.</v>
      </c>
      <c r="F414" s="1" t="s">
        <v>157</v>
      </c>
      <c r="G414" s="1" t="s">
        <v>57</v>
      </c>
      <c r="H414" s="1" t="s">
        <v>12</v>
      </c>
      <c r="I414" s="9">
        <v>3</v>
      </c>
      <c r="J414" s="9">
        <v>2</v>
      </c>
      <c r="K414" s="10" t="str">
        <f>+CONCATENATE(Datos_General[[#This Row],[Goles a Favor_Eq_local]],"-",Datos_General[[#This Row],[Gol a Favor_Eq_Visitante]])</f>
        <v>3-2</v>
      </c>
      <c r="L414" s="1" t="s">
        <v>133</v>
      </c>
      <c r="M414" s="1">
        <v>14</v>
      </c>
      <c r="N414" s="1" t="s">
        <v>159</v>
      </c>
      <c r="O414" s="1">
        <v>1</v>
      </c>
      <c r="P414" s="1" t="s">
        <v>70</v>
      </c>
      <c r="Q414" s="7">
        <f>+IF(Datos_General[[#This Row],[Minutos Jugados]]&gt;0, 1, 0)</f>
        <v>1</v>
      </c>
      <c r="R414" s="23">
        <v>0</v>
      </c>
      <c r="S414" s="8">
        <f t="shared" si="17"/>
        <v>34</v>
      </c>
      <c r="U414" s="1">
        <f>90-Datos_General[[#This Row],[Minutos Jugados]]</f>
        <v>56</v>
      </c>
      <c r="V414" s="1">
        <v>1</v>
      </c>
      <c r="W414" s="1">
        <v>1</v>
      </c>
      <c r="X414" s="1">
        <v>1</v>
      </c>
      <c r="Y414" s="10" t="str">
        <f>+IF(Datos_General[[#This Row],[Resultado]]="Victoria", "3", IF(Datos_General[[#This Row],[Resultado]]="Empate","1",0))</f>
        <v>3</v>
      </c>
      <c r="Z414" s="11">
        <f>+Datos_General[[#This Row],[Minutos Jugados]]*Datos_General[[#This Row],[Puntos Jug_Campo]]</f>
        <v>34</v>
      </c>
      <c r="AA41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14" s="10" t="str">
        <f>+IF(Datos_General[[#This Row],[Resultado Jug_Campo]] = "Empate", "1",IF(Datos_General[[#This Row],[Resultado Jug_Campo]] = "Victoria", "3","0"))</f>
        <v>1</v>
      </c>
    </row>
    <row r="415" spans="1:28">
      <c r="A415" s="1">
        <v>26</v>
      </c>
      <c r="B415" s="6">
        <v>46131</v>
      </c>
      <c r="C415" s="1" t="s">
        <v>133</v>
      </c>
      <c r="D415" s="1" t="s">
        <v>131</v>
      </c>
      <c r="E415" s="10" t="str">
        <f>+CONCATENATE(Datos_General[[#This Row],[Eq.Local]], "-", Datos_General[[#This Row],[Eq.Visitante]])</f>
        <v>Conxo Santiago B-Escola Estrada F.B.</v>
      </c>
      <c r="F415" s="1" t="s">
        <v>157</v>
      </c>
      <c r="G415" s="1" t="s">
        <v>57</v>
      </c>
      <c r="H415" s="1" t="s">
        <v>12</v>
      </c>
      <c r="I415" s="9">
        <v>3</v>
      </c>
      <c r="J415" s="9">
        <v>2</v>
      </c>
      <c r="K415" s="10" t="str">
        <f>+CONCATENATE(Datos_General[[#This Row],[Goles a Favor_Eq_local]],"-",Datos_General[[#This Row],[Gol a Favor_Eq_Visitante]])</f>
        <v>3-2</v>
      </c>
      <c r="L415" s="1" t="s">
        <v>133</v>
      </c>
      <c r="M415" s="1">
        <v>15</v>
      </c>
      <c r="N415" s="1" t="s">
        <v>163</v>
      </c>
      <c r="O415" s="1">
        <v>1</v>
      </c>
      <c r="P415" s="1" t="s">
        <v>70</v>
      </c>
      <c r="Q415" s="7">
        <f>+IF(Datos_General[[#This Row],[Minutos Jugados]]&gt;0, 1, 0)</f>
        <v>1</v>
      </c>
      <c r="R415" s="23">
        <v>0</v>
      </c>
      <c r="S415" s="8">
        <f t="shared" si="17"/>
        <v>15</v>
      </c>
      <c r="U415" s="1">
        <f>90-Datos_General[[#This Row],[Minutos Jugados]]</f>
        <v>75</v>
      </c>
      <c r="V415" s="1">
        <v>0</v>
      </c>
      <c r="W415" s="1">
        <v>0</v>
      </c>
      <c r="X415" s="1">
        <v>0</v>
      </c>
      <c r="Y415" s="10" t="str">
        <f>+IF(Datos_General[[#This Row],[Resultado]]="Victoria", "3", IF(Datos_General[[#This Row],[Resultado]]="Empate","1",0))</f>
        <v>3</v>
      </c>
      <c r="Z415" s="11">
        <f>+Datos_General[[#This Row],[Minutos Jugados]]*Datos_General[[#This Row],[Puntos Jug_Campo]]</f>
        <v>15</v>
      </c>
      <c r="AA41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15" s="10" t="str">
        <f>+IF(Datos_General[[#This Row],[Resultado Jug_Campo]] = "Empate", "1",IF(Datos_General[[#This Row],[Resultado Jug_Campo]] = "Victoria", "3","0"))</f>
        <v>1</v>
      </c>
    </row>
    <row r="416" spans="1:28">
      <c r="A416" s="1">
        <v>26</v>
      </c>
      <c r="B416" s="6">
        <v>46131</v>
      </c>
      <c r="C416" s="1" t="s">
        <v>133</v>
      </c>
      <c r="D416" s="1" t="s">
        <v>131</v>
      </c>
      <c r="E416" s="10" t="str">
        <f>+CONCATENATE(Datos_General[[#This Row],[Eq.Local]], "-", Datos_General[[#This Row],[Eq.Visitante]])</f>
        <v>Conxo Santiago B-Escola Estrada F.B.</v>
      </c>
      <c r="F416" s="1" t="s">
        <v>157</v>
      </c>
      <c r="G416" s="1" t="s">
        <v>57</v>
      </c>
      <c r="H416" s="1" t="s">
        <v>12</v>
      </c>
      <c r="I416" s="9">
        <v>3</v>
      </c>
      <c r="J416" s="9">
        <v>2</v>
      </c>
      <c r="K416" s="10" t="str">
        <f>+CONCATENATE(Datos_General[[#This Row],[Goles a Favor_Eq_local]],"-",Datos_General[[#This Row],[Gol a Favor_Eq_Visitante]])</f>
        <v>3-2</v>
      </c>
      <c r="L416" s="1" t="s">
        <v>133</v>
      </c>
      <c r="M416" s="1">
        <v>16</v>
      </c>
      <c r="N416" s="1" t="s">
        <v>205</v>
      </c>
      <c r="O416" s="1">
        <v>1</v>
      </c>
      <c r="P416" s="1" t="s">
        <v>70</v>
      </c>
      <c r="Q416" s="7">
        <f>+IF(Datos_General[[#This Row],[Minutos Jugados]]&gt;0, 1, 0)</f>
        <v>1</v>
      </c>
      <c r="R416" s="23">
        <v>0</v>
      </c>
      <c r="S416" s="8">
        <v>1</v>
      </c>
      <c r="U416" s="1">
        <v>90</v>
      </c>
      <c r="V416" s="1">
        <v>0</v>
      </c>
      <c r="W416" s="1">
        <v>0</v>
      </c>
      <c r="X416" s="1">
        <v>0</v>
      </c>
      <c r="Y416" s="10" t="str">
        <f>+IF(Datos_General[[#This Row],[Resultado]]="Victoria", "3", IF(Datos_General[[#This Row],[Resultado]]="Empate","1",0))</f>
        <v>3</v>
      </c>
      <c r="Z416" s="11">
        <f>+Datos_General[[#This Row],[Minutos Jugados]]*Datos_General[[#This Row],[Puntos Jug_Campo]]</f>
        <v>1</v>
      </c>
      <c r="AA41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16" s="10" t="str">
        <f>+IF(Datos_General[[#This Row],[Resultado Jug_Campo]] = "Empate", "1",IF(Datos_General[[#This Row],[Resultado Jug_Campo]] = "Victoria", "3","0"))</f>
        <v>1</v>
      </c>
    </row>
    <row r="417" spans="1:28">
      <c r="A417" s="1">
        <v>27</v>
      </c>
      <c r="B417" s="6">
        <v>46137</v>
      </c>
      <c r="C417" s="1" t="s">
        <v>132</v>
      </c>
      <c r="D417" s="1" t="s">
        <v>133</v>
      </c>
      <c r="E417" s="10" t="str">
        <f>+CONCATENATE(Datos_General[[#This Row],[Eq.Local]], "-", Datos_General[[#This Row],[Eq.Visitante]])</f>
        <v>E.D. Xuventude Oroso-Conxo Santiago B</v>
      </c>
      <c r="F417" s="1" t="s">
        <v>210</v>
      </c>
      <c r="G417" s="1" t="s">
        <v>58</v>
      </c>
      <c r="H417" s="1" t="s">
        <v>43</v>
      </c>
      <c r="I417" s="9">
        <v>2</v>
      </c>
      <c r="J417" s="9">
        <v>0</v>
      </c>
      <c r="K417" s="10" t="str">
        <f>+CONCATENATE(Datos_General[[#This Row],[Goles a Favor_Eq_local]],"-",Datos_General[[#This Row],[Gol a Favor_Eq_Visitante]])</f>
        <v>2-0</v>
      </c>
      <c r="L417" s="1" t="s">
        <v>133</v>
      </c>
      <c r="M417" s="1">
        <v>1</v>
      </c>
      <c r="N417" s="1" t="s">
        <v>148</v>
      </c>
      <c r="O417" s="1">
        <v>1</v>
      </c>
      <c r="P417" s="1" t="s">
        <v>2</v>
      </c>
      <c r="Q417" s="22">
        <v>1</v>
      </c>
      <c r="R417" s="9">
        <v>1</v>
      </c>
      <c r="S417" s="1">
        <v>90</v>
      </c>
      <c r="U417" s="1">
        <f>90-Datos_General[[#This Row],[Minutos Jugados]]</f>
        <v>0</v>
      </c>
      <c r="V417" s="1">
        <v>0</v>
      </c>
      <c r="W417" s="1">
        <v>0</v>
      </c>
      <c r="X417" s="1">
        <v>2</v>
      </c>
      <c r="Y417" s="10">
        <f>+IF(Datos_General[[#This Row],[Resultado]]="Victoria", "3", IF(Datos_General[[#This Row],[Resultado]]="Empate","1",0))</f>
        <v>0</v>
      </c>
      <c r="Z417" s="11">
        <f>+Datos_General[[#This Row],[Minutos Jugados]]*Datos_General[[#This Row],[Puntos Jug_Campo]]</f>
        <v>0</v>
      </c>
      <c r="AA41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17" s="10" t="str">
        <f>+IF(Datos_General[[#This Row],[Resultado Jug_Campo]] = "Empate", "1",IF(Datos_General[[#This Row],[Resultado Jug_Campo]] = "Victoria", "3","0"))</f>
        <v>0</v>
      </c>
    </row>
    <row r="418" spans="1:28">
      <c r="A418" s="1">
        <v>27</v>
      </c>
      <c r="B418" s="6">
        <v>46137</v>
      </c>
      <c r="C418" s="1" t="s">
        <v>132</v>
      </c>
      <c r="D418" s="1" t="s">
        <v>133</v>
      </c>
      <c r="E418" s="10" t="str">
        <f>+CONCATENATE(Datos_General[[#This Row],[Eq.Local]], "-", Datos_General[[#This Row],[Eq.Visitante]])</f>
        <v>E.D. Xuventude Oroso-Conxo Santiago B</v>
      </c>
      <c r="F418" s="1" t="s">
        <v>210</v>
      </c>
      <c r="G418" s="1" t="s">
        <v>58</v>
      </c>
      <c r="H418" s="1" t="s">
        <v>43</v>
      </c>
      <c r="I418" s="9">
        <v>2</v>
      </c>
      <c r="J418" s="9">
        <v>0</v>
      </c>
      <c r="K418" s="10" t="str">
        <f>+CONCATENATE(Datos_General[[#This Row],[Goles a Favor_Eq_local]],"-",Datos_General[[#This Row],[Gol a Favor_Eq_Visitante]])</f>
        <v>2-0</v>
      </c>
      <c r="L418" s="1" t="s">
        <v>133</v>
      </c>
      <c r="M418" s="1">
        <v>2</v>
      </c>
      <c r="N418" s="1" t="s">
        <v>138</v>
      </c>
      <c r="O418" s="1">
        <v>1</v>
      </c>
      <c r="P418" s="1" t="s">
        <v>2</v>
      </c>
      <c r="Q418" s="22">
        <v>1</v>
      </c>
      <c r="R418" s="9">
        <v>1</v>
      </c>
      <c r="S418" s="1">
        <v>90</v>
      </c>
      <c r="U418" s="1">
        <f>90-Datos_General[[#This Row],[Minutos Jugados]]</f>
        <v>0</v>
      </c>
      <c r="V418" s="1">
        <v>0</v>
      </c>
      <c r="W418" s="1">
        <v>0</v>
      </c>
      <c r="X418" s="1">
        <v>2</v>
      </c>
      <c r="Y418" s="10">
        <f>+IF(Datos_General[[#This Row],[Resultado]]="Victoria", "3", IF(Datos_General[[#This Row],[Resultado]]="Empate","1",0))</f>
        <v>0</v>
      </c>
      <c r="Z418" s="11">
        <f>+Datos_General[[#This Row],[Minutos Jugados]]*Datos_General[[#This Row],[Puntos Jug_Campo]]</f>
        <v>0</v>
      </c>
      <c r="AA41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18" s="10" t="str">
        <f>+IF(Datos_General[[#This Row],[Resultado Jug_Campo]] = "Empate", "1",IF(Datos_General[[#This Row],[Resultado Jug_Campo]] = "Victoria", "3","0"))</f>
        <v>0</v>
      </c>
    </row>
    <row r="419" spans="1:28">
      <c r="A419" s="1">
        <v>27</v>
      </c>
      <c r="B419" s="6">
        <v>46137</v>
      </c>
      <c r="C419" s="1" t="s">
        <v>132</v>
      </c>
      <c r="D419" s="1" t="s">
        <v>133</v>
      </c>
      <c r="E419" s="10" t="str">
        <f>+CONCATENATE(Datos_General[[#This Row],[Eq.Local]], "-", Datos_General[[#This Row],[Eq.Visitante]])</f>
        <v>E.D. Xuventude Oroso-Conxo Santiago B</v>
      </c>
      <c r="F419" s="1" t="s">
        <v>210</v>
      </c>
      <c r="G419" s="1" t="s">
        <v>58</v>
      </c>
      <c r="H419" s="1" t="s">
        <v>43</v>
      </c>
      <c r="I419" s="9">
        <v>2</v>
      </c>
      <c r="J419" s="9">
        <v>0</v>
      </c>
      <c r="K419" s="10" t="str">
        <f>+CONCATENATE(Datos_General[[#This Row],[Goles a Favor_Eq_local]],"-",Datos_General[[#This Row],[Gol a Favor_Eq_Visitante]])</f>
        <v>2-0</v>
      </c>
      <c r="L419" s="1" t="s">
        <v>133</v>
      </c>
      <c r="M419" s="1">
        <v>3</v>
      </c>
      <c r="N419" s="1" t="s">
        <v>144</v>
      </c>
      <c r="O419" s="1">
        <v>1</v>
      </c>
      <c r="P419" s="1" t="s">
        <v>2</v>
      </c>
      <c r="Q419" s="22">
        <v>1</v>
      </c>
      <c r="R419" s="9">
        <v>1</v>
      </c>
      <c r="S419" s="1">
        <v>90</v>
      </c>
      <c r="U419" s="1">
        <f>90-Datos_General[[#This Row],[Minutos Jugados]]</f>
        <v>0</v>
      </c>
      <c r="V419" s="1">
        <v>0</v>
      </c>
      <c r="W419" s="1">
        <v>0</v>
      </c>
      <c r="X419" s="1">
        <v>2</v>
      </c>
      <c r="Y419" s="10">
        <f>+IF(Datos_General[[#This Row],[Resultado]]="Victoria", "3", IF(Datos_General[[#This Row],[Resultado]]="Empate","1",0))</f>
        <v>0</v>
      </c>
      <c r="Z419" s="11">
        <f>+Datos_General[[#This Row],[Minutos Jugados]]*Datos_General[[#This Row],[Puntos Jug_Campo]]</f>
        <v>0</v>
      </c>
      <c r="AA41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19" s="10" t="str">
        <f>+IF(Datos_General[[#This Row],[Resultado Jug_Campo]] = "Empate", "1",IF(Datos_General[[#This Row],[Resultado Jug_Campo]] = "Victoria", "3","0"))</f>
        <v>0</v>
      </c>
    </row>
    <row r="420" spans="1:28">
      <c r="A420" s="1">
        <v>27</v>
      </c>
      <c r="B420" s="6">
        <v>46137</v>
      </c>
      <c r="C420" s="1" t="s">
        <v>132</v>
      </c>
      <c r="D420" s="1" t="s">
        <v>133</v>
      </c>
      <c r="E420" s="10" t="str">
        <f>+CONCATENATE(Datos_General[[#This Row],[Eq.Local]], "-", Datos_General[[#This Row],[Eq.Visitante]])</f>
        <v>E.D. Xuventude Oroso-Conxo Santiago B</v>
      </c>
      <c r="F420" s="1" t="s">
        <v>210</v>
      </c>
      <c r="G420" s="1" t="s">
        <v>58</v>
      </c>
      <c r="H420" s="1" t="s">
        <v>43</v>
      </c>
      <c r="I420" s="9">
        <v>2</v>
      </c>
      <c r="J420" s="9">
        <v>0</v>
      </c>
      <c r="K420" s="10" t="str">
        <f>+CONCATENATE(Datos_General[[#This Row],[Goles a Favor_Eq_local]],"-",Datos_General[[#This Row],[Gol a Favor_Eq_Visitante]])</f>
        <v>2-0</v>
      </c>
      <c r="L420" s="1" t="s">
        <v>133</v>
      </c>
      <c r="M420" s="1">
        <v>4</v>
      </c>
      <c r="N420" s="1" t="s">
        <v>140</v>
      </c>
      <c r="O420" s="1">
        <v>1</v>
      </c>
      <c r="P420" s="1" t="s">
        <v>2</v>
      </c>
      <c r="Q420" s="22">
        <v>1</v>
      </c>
      <c r="R420" s="9">
        <v>1</v>
      </c>
      <c r="S420" s="1">
        <v>90</v>
      </c>
      <c r="U420" s="1">
        <f>90-Datos_General[[#This Row],[Minutos Jugados]]</f>
        <v>0</v>
      </c>
      <c r="V420" s="1">
        <v>0</v>
      </c>
      <c r="W420" s="1">
        <v>0</v>
      </c>
      <c r="X420" s="1">
        <v>2</v>
      </c>
      <c r="Y420" s="10">
        <f>+IF(Datos_General[[#This Row],[Resultado]]="Victoria", "3", IF(Datos_General[[#This Row],[Resultado]]="Empate","1",0))</f>
        <v>0</v>
      </c>
      <c r="Z420" s="11">
        <f>+Datos_General[[#This Row],[Minutos Jugados]]*Datos_General[[#This Row],[Puntos Jug_Campo]]</f>
        <v>0</v>
      </c>
      <c r="AA42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20" s="10" t="str">
        <f>+IF(Datos_General[[#This Row],[Resultado Jug_Campo]] = "Empate", "1",IF(Datos_General[[#This Row],[Resultado Jug_Campo]] = "Victoria", "3","0"))</f>
        <v>0</v>
      </c>
    </row>
    <row r="421" spans="1:28">
      <c r="A421" s="1">
        <v>27</v>
      </c>
      <c r="B421" s="6">
        <v>46137</v>
      </c>
      <c r="C421" s="1" t="s">
        <v>132</v>
      </c>
      <c r="D421" s="1" t="s">
        <v>133</v>
      </c>
      <c r="E421" s="10" t="str">
        <f>+CONCATENATE(Datos_General[[#This Row],[Eq.Local]], "-", Datos_General[[#This Row],[Eq.Visitante]])</f>
        <v>E.D. Xuventude Oroso-Conxo Santiago B</v>
      </c>
      <c r="F421" s="1" t="s">
        <v>210</v>
      </c>
      <c r="G421" s="1" t="s">
        <v>58</v>
      </c>
      <c r="H421" s="1" t="s">
        <v>43</v>
      </c>
      <c r="I421" s="9">
        <v>2</v>
      </c>
      <c r="J421" s="9">
        <v>0</v>
      </c>
      <c r="K421" s="10" t="str">
        <f>+CONCATENATE(Datos_General[[#This Row],[Goles a Favor_Eq_local]],"-",Datos_General[[#This Row],[Gol a Favor_Eq_Visitante]])</f>
        <v>2-0</v>
      </c>
      <c r="L421" s="1" t="s">
        <v>133</v>
      </c>
      <c r="M421" s="1">
        <v>5</v>
      </c>
      <c r="N421" s="1" t="s">
        <v>199</v>
      </c>
      <c r="O421" s="1">
        <v>1</v>
      </c>
      <c r="P421" s="1" t="s">
        <v>2</v>
      </c>
      <c r="Q421" s="22">
        <v>1</v>
      </c>
      <c r="R421" s="9">
        <v>1</v>
      </c>
      <c r="S421" s="1">
        <v>77</v>
      </c>
      <c r="T421" s="1" t="s">
        <v>152</v>
      </c>
      <c r="U421" s="1">
        <f>90-Datos_General[[#This Row],[Minutos Jugados]]</f>
        <v>13</v>
      </c>
      <c r="V421" s="1">
        <v>0</v>
      </c>
      <c r="W421" s="1">
        <v>0</v>
      </c>
      <c r="X421" s="1">
        <v>2</v>
      </c>
      <c r="Y421" s="10">
        <f>+IF(Datos_General[[#This Row],[Resultado]]="Victoria", "3", IF(Datos_General[[#This Row],[Resultado]]="Empate","1",0))</f>
        <v>0</v>
      </c>
      <c r="Z421" s="11">
        <f>+Datos_General[[#This Row],[Minutos Jugados]]*Datos_General[[#This Row],[Puntos Jug_Campo]]</f>
        <v>0</v>
      </c>
      <c r="AA42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21" s="10" t="str">
        <f>+IF(Datos_General[[#This Row],[Resultado Jug_Campo]] = "Empate", "1",IF(Datos_General[[#This Row],[Resultado Jug_Campo]] = "Victoria", "3","0"))</f>
        <v>0</v>
      </c>
    </row>
    <row r="422" spans="1:28">
      <c r="A422" s="1">
        <v>27</v>
      </c>
      <c r="B422" s="6">
        <v>46137</v>
      </c>
      <c r="C422" s="1" t="s">
        <v>132</v>
      </c>
      <c r="D422" s="1" t="s">
        <v>133</v>
      </c>
      <c r="E422" s="10" t="str">
        <f>+CONCATENATE(Datos_General[[#This Row],[Eq.Local]], "-", Datos_General[[#This Row],[Eq.Visitante]])</f>
        <v>E.D. Xuventude Oroso-Conxo Santiago B</v>
      </c>
      <c r="F422" s="1" t="s">
        <v>210</v>
      </c>
      <c r="G422" s="1" t="s">
        <v>58</v>
      </c>
      <c r="H422" s="1" t="s">
        <v>43</v>
      </c>
      <c r="I422" s="9">
        <v>2</v>
      </c>
      <c r="J422" s="9">
        <v>0</v>
      </c>
      <c r="K422" s="10" t="str">
        <f>+CONCATENATE(Datos_General[[#This Row],[Goles a Favor_Eq_local]],"-",Datos_General[[#This Row],[Gol a Favor_Eq_Visitante]])</f>
        <v>2-0</v>
      </c>
      <c r="L422" s="1" t="s">
        <v>133</v>
      </c>
      <c r="M422" s="1">
        <v>6</v>
      </c>
      <c r="N422" s="1" t="s">
        <v>146</v>
      </c>
      <c r="O422" s="1">
        <v>1</v>
      </c>
      <c r="P422" s="1" t="s">
        <v>2</v>
      </c>
      <c r="Q422" s="22">
        <v>1</v>
      </c>
      <c r="R422" s="9">
        <v>1</v>
      </c>
      <c r="S422" s="1">
        <v>90</v>
      </c>
      <c r="U422" s="1">
        <f>90-Datos_General[[#This Row],[Minutos Jugados]]</f>
        <v>0</v>
      </c>
      <c r="V422" s="1">
        <v>0</v>
      </c>
      <c r="W422" s="1">
        <v>0</v>
      </c>
      <c r="X422" s="1">
        <v>2</v>
      </c>
      <c r="Y422" s="10">
        <f>+IF(Datos_General[[#This Row],[Resultado]]="Victoria", "3", IF(Datos_General[[#This Row],[Resultado]]="Empate","1",0))</f>
        <v>0</v>
      </c>
      <c r="Z422" s="11">
        <f>+Datos_General[[#This Row],[Minutos Jugados]]*Datos_General[[#This Row],[Puntos Jug_Campo]]</f>
        <v>0</v>
      </c>
      <c r="AA42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22" s="10" t="str">
        <f>+IF(Datos_General[[#This Row],[Resultado Jug_Campo]] = "Empate", "1",IF(Datos_General[[#This Row],[Resultado Jug_Campo]] = "Victoria", "3","0"))</f>
        <v>0</v>
      </c>
    </row>
    <row r="423" spans="1:28">
      <c r="A423" s="1">
        <v>27</v>
      </c>
      <c r="B423" s="6">
        <v>46137</v>
      </c>
      <c r="C423" s="1" t="s">
        <v>132</v>
      </c>
      <c r="D423" s="1" t="s">
        <v>133</v>
      </c>
      <c r="E423" s="10" t="str">
        <f>+CONCATENATE(Datos_General[[#This Row],[Eq.Local]], "-", Datos_General[[#This Row],[Eq.Visitante]])</f>
        <v>E.D. Xuventude Oroso-Conxo Santiago B</v>
      </c>
      <c r="F423" s="1" t="s">
        <v>210</v>
      </c>
      <c r="G423" s="1" t="s">
        <v>58</v>
      </c>
      <c r="H423" s="1" t="s">
        <v>43</v>
      </c>
      <c r="I423" s="9">
        <v>2</v>
      </c>
      <c r="J423" s="9">
        <v>0</v>
      </c>
      <c r="K423" s="10" t="str">
        <f>+CONCATENATE(Datos_General[[#This Row],[Goles a Favor_Eq_local]],"-",Datos_General[[#This Row],[Gol a Favor_Eq_Visitante]])</f>
        <v>2-0</v>
      </c>
      <c r="L423" s="1" t="s">
        <v>133</v>
      </c>
      <c r="M423" s="1">
        <v>7</v>
      </c>
      <c r="N423" s="1" t="s">
        <v>151</v>
      </c>
      <c r="O423" s="1">
        <v>1</v>
      </c>
      <c r="P423" s="1" t="s">
        <v>2</v>
      </c>
      <c r="Q423" s="22">
        <v>1</v>
      </c>
      <c r="R423" s="9">
        <v>1</v>
      </c>
      <c r="S423" s="1">
        <v>55</v>
      </c>
      <c r="T423" s="1" t="s">
        <v>159</v>
      </c>
      <c r="U423" s="1">
        <f>90-Datos_General[[#This Row],[Minutos Jugados]]</f>
        <v>35</v>
      </c>
      <c r="V423" s="1">
        <v>0</v>
      </c>
      <c r="W423" s="1">
        <v>0</v>
      </c>
      <c r="X423" s="1">
        <v>0</v>
      </c>
      <c r="Y423" s="10">
        <f>+IF(Datos_General[[#This Row],[Resultado]]="Victoria", "3", IF(Datos_General[[#This Row],[Resultado]]="Empate","1",0))</f>
        <v>0</v>
      </c>
      <c r="Z423" s="11">
        <f>+Datos_General[[#This Row],[Minutos Jugados]]*Datos_General[[#This Row],[Puntos Jug_Campo]]</f>
        <v>55</v>
      </c>
      <c r="AA42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23" s="10" t="str">
        <f>+IF(Datos_General[[#This Row],[Resultado Jug_Campo]] = "Empate", "1",IF(Datos_General[[#This Row],[Resultado Jug_Campo]] = "Victoria", "3","0"))</f>
        <v>1</v>
      </c>
    </row>
    <row r="424" spans="1:28">
      <c r="A424" s="1">
        <v>27</v>
      </c>
      <c r="B424" s="6">
        <v>46137</v>
      </c>
      <c r="C424" s="1" t="s">
        <v>132</v>
      </c>
      <c r="D424" s="1" t="s">
        <v>133</v>
      </c>
      <c r="E424" s="10" t="str">
        <f>+CONCATENATE(Datos_General[[#This Row],[Eq.Local]], "-", Datos_General[[#This Row],[Eq.Visitante]])</f>
        <v>E.D. Xuventude Oroso-Conxo Santiago B</v>
      </c>
      <c r="F424" s="1" t="s">
        <v>210</v>
      </c>
      <c r="G424" s="1" t="s">
        <v>58</v>
      </c>
      <c r="H424" s="1" t="s">
        <v>43</v>
      </c>
      <c r="I424" s="9">
        <v>2</v>
      </c>
      <c r="J424" s="9">
        <v>0</v>
      </c>
      <c r="K424" s="10" t="str">
        <f>+CONCATENATE(Datos_General[[#This Row],[Goles a Favor_Eq_local]],"-",Datos_General[[#This Row],[Gol a Favor_Eq_Visitante]])</f>
        <v>2-0</v>
      </c>
      <c r="L424" s="1" t="s">
        <v>133</v>
      </c>
      <c r="M424" s="1">
        <v>8</v>
      </c>
      <c r="N424" s="1" t="s">
        <v>165</v>
      </c>
      <c r="O424" s="1">
        <v>1</v>
      </c>
      <c r="P424" s="1" t="s">
        <v>2</v>
      </c>
      <c r="Q424" s="22">
        <v>1</v>
      </c>
      <c r="R424" s="9">
        <v>1</v>
      </c>
      <c r="S424" s="1">
        <v>90</v>
      </c>
      <c r="U424" s="1">
        <f>90-Datos_General[[#This Row],[Minutos Jugados]]</f>
        <v>0</v>
      </c>
      <c r="V424" s="1">
        <v>0</v>
      </c>
      <c r="W424" s="1">
        <v>0</v>
      </c>
      <c r="X424" s="1">
        <v>2</v>
      </c>
      <c r="Y424" s="10">
        <f>+IF(Datos_General[[#This Row],[Resultado]]="Victoria", "3", IF(Datos_General[[#This Row],[Resultado]]="Empate","1",0))</f>
        <v>0</v>
      </c>
      <c r="Z424" s="11">
        <f>+Datos_General[[#This Row],[Minutos Jugados]]*Datos_General[[#This Row],[Puntos Jug_Campo]]</f>
        <v>0</v>
      </c>
      <c r="AA42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24" s="10" t="str">
        <f>+IF(Datos_General[[#This Row],[Resultado Jug_Campo]] = "Empate", "1",IF(Datos_General[[#This Row],[Resultado Jug_Campo]] = "Victoria", "3","0"))</f>
        <v>0</v>
      </c>
    </row>
    <row r="425" spans="1:28">
      <c r="A425" s="1">
        <v>27</v>
      </c>
      <c r="B425" s="6">
        <v>46137</v>
      </c>
      <c r="C425" s="1" t="s">
        <v>132</v>
      </c>
      <c r="D425" s="1" t="s">
        <v>133</v>
      </c>
      <c r="E425" s="10" t="str">
        <f>+CONCATENATE(Datos_General[[#This Row],[Eq.Local]], "-", Datos_General[[#This Row],[Eq.Visitante]])</f>
        <v>E.D. Xuventude Oroso-Conxo Santiago B</v>
      </c>
      <c r="F425" s="1" t="s">
        <v>210</v>
      </c>
      <c r="G425" s="1" t="s">
        <v>58</v>
      </c>
      <c r="H425" s="1" t="s">
        <v>43</v>
      </c>
      <c r="I425" s="9">
        <v>2</v>
      </c>
      <c r="J425" s="9">
        <v>0</v>
      </c>
      <c r="K425" s="10" t="str">
        <f>+CONCATENATE(Datos_General[[#This Row],[Goles a Favor_Eq_local]],"-",Datos_General[[#This Row],[Gol a Favor_Eq_Visitante]])</f>
        <v>2-0</v>
      </c>
      <c r="L425" s="1" t="s">
        <v>133</v>
      </c>
      <c r="M425" s="1">
        <v>9</v>
      </c>
      <c r="N425" s="1" t="s">
        <v>150</v>
      </c>
      <c r="O425" s="1">
        <v>1</v>
      </c>
      <c r="P425" s="1" t="s">
        <v>2</v>
      </c>
      <c r="Q425" s="22">
        <v>1</v>
      </c>
      <c r="R425" s="9">
        <v>1</v>
      </c>
      <c r="S425" s="1">
        <v>55</v>
      </c>
      <c r="T425" s="1" t="s">
        <v>166</v>
      </c>
      <c r="U425" s="1">
        <f>90-Datos_General[[#This Row],[Minutos Jugados]]</f>
        <v>35</v>
      </c>
      <c r="V425" s="1">
        <v>0</v>
      </c>
      <c r="W425" s="1">
        <v>0</v>
      </c>
      <c r="X425" s="1">
        <v>0</v>
      </c>
      <c r="Y425" s="10">
        <f>+IF(Datos_General[[#This Row],[Resultado]]="Victoria", "3", IF(Datos_General[[#This Row],[Resultado]]="Empate","1",0))</f>
        <v>0</v>
      </c>
      <c r="Z425" s="11">
        <f>+Datos_General[[#This Row],[Minutos Jugados]]*Datos_General[[#This Row],[Puntos Jug_Campo]]</f>
        <v>55</v>
      </c>
      <c r="AA42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25" s="10" t="str">
        <f>+IF(Datos_General[[#This Row],[Resultado Jug_Campo]] = "Empate", "1",IF(Datos_General[[#This Row],[Resultado Jug_Campo]] = "Victoria", "3","0"))</f>
        <v>1</v>
      </c>
    </row>
    <row r="426" spans="1:28">
      <c r="A426" s="1">
        <v>27</v>
      </c>
      <c r="B426" s="6">
        <v>46137</v>
      </c>
      <c r="C426" s="1" t="s">
        <v>132</v>
      </c>
      <c r="D426" s="1" t="s">
        <v>133</v>
      </c>
      <c r="E426" s="10" t="str">
        <f>+CONCATENATE(Datos_General[[#This Row],[Eq.Local]], "-", Datos_General[[#This Row],[Eq.Visitante]])</f>
        <v>E.D. Xuventude Oroso-Conxo Santiago B</v>
      </c>
      <c r="F426" s="1" t="s">
        <v>210</v>
      </c>
      <c r="G426" s="1" t="s">
        <v>58</v>
      </c>
      <c r="H426" s="1" t="s">
        <v>43</v>
      </c>
      <c r="I426" s="9">
        <v>2</v>
      </c>
      <c r="J426" s="9">
        <v>0</v>
      </c>
      <c r="K426" s="10" t="str">
        <f>+CONCATENATE(Datos_General[[#This Row],[Goles a Favor_Eq_local]],"-",Datos_General[[#This Row],[Gol a Favor_Eq_Visitante]])</f>
        <v>2-0</v>
      </c>
      <c r="L426" s="1" t="s">
        <v>133</v>
      </c>
      <c r="M426" s="1">
        <v>10</v>
      </c>
      <c r="N426" s="1" t="s">
        <v>194</v>
      </c>
      <c r="O426" s="1">
        <v>1</v>
      </c>
      <c r="P426" s="1" t="s">
        <v>2</v>
      </c>
      <c r="Q426" s="22">
        <v>1</v>
      </c>
      <c r="R426" s="9">
        <v>1</v>
      </c>
      <c r="S426" s="1">
        <v>46</v>
      </c>
      <c r="T426" s="1" t="s">
        <v>198</v>
      </c>
      <c r="U426" s="1">
        <f>90-Datos_General[[#This Row],[Minutos Jugados]]</f>
        <v>44</v>
      </c>
      <c r="V426" s="1">
        <v>0</v>
      </c>
      <c r="W426" s="1">
        <v>0</v>
      </c>
      <c r="X426" s="1">
        <v>0</v>
      </c>
      <c r="Y426" s="10">
        <f>+IF(Datos_General[[#This Row],[Resultado]]="Victoria", "3", IF(Datos_General[[#This Row],[Resultado]]="Empate","1",0))</f>
        <v>0</v>
      </c>
      <c r="Z426" s="11">
        <f>+Datos_General[[#This Row],[Minutos Jugados]]*Datos_General[[#This Row],[Puntos Jug_Campo]]</f>
        <v>46</v>
      </c>
      <c r="AA42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26" s="10" t="str">
        <f>+IF(Datos_General[[#This Row],[Resultado Jug_Campo]] = "Empate", "1",IF(Datos_General[[#This Row],[Resultado Jug_Campo]] = "Victoria", "3","0"))</f>
        <v>1</v>
      </c>
    </row>
    <row r="427" spans="1:28">
      <c r="A427" s="1">
        <v>27</v>
      </c>
      <c r="B427" s="6">
        <v>46137</v>
      </c>
      <c r="C427" s="1" t="s">
        <v>132</v>
      </c>
      <c r="D427" s="1" t="s">
        <v>133</v>
      </c>
      <c r="E427" s="10" t="str">
        <f>+CONCATENATE(Datos_General[[#This Row],[Eq.Local]], "-", Datos_General[[#This Row],[Eq.Visitante]])</f>
        <v>E.D. Xuventude Oroso-Conxo Santiago B</v>
      </c>
      <c r="F427" s="1" t="s">
        <v>210</v>
      </c>
      <c r="G427" s="1" t="s">
        <v>58</v>
      </c>
      <c r="H427" s="1" t="s">
        <v>43</v>
      </c>
      <c r="I427" s="9">
        <v>2</v>
      </c>
      <c r="J427" s="9">
        <v>0</v>
      </c>
      <c r="K427" s="10" t="str">
        <f>+CONCATENATE(Datos_General[[#This Row],[Goles a Favor_Eq_local]],"-",Datos_General[[#This Row],[Gol a Favor_Eq_Visitante]])</f>
        <v>2-0</v>
      </c>
      <c r="L427" s="1" t="s">
        <v>133</v>
      </c>
      <c r="M427" s="1">
        <v>11</v>
      </c>
      <c r="N427" s="1" t="s">
        <v>163</v>
      </c>
      <c r="O427" s="1">
        <v>1</v>
      </c>
      <c r="P427" s="1" t="s">
        <v>2</v>
      </c>
      <c r="Q427" s="22">
        <v>1</v>
      </c>
      <c r="R427" s="9">
        <v>1</v>
      </c>
      <c r="S427" s="1">
        <v>46</v>
      </c>
      <c r="T427" s="1" t="s">
        <v>156</v>
      </c>
      <c r="U427" s="1">
        <f>90-Datos_General[[#This Row],[Minutos Jugados]]</f>
        <v>44</v>
      </c>
      <c r="V427" s="1">
        <v>0</v>
      </c>
      <c r="W427" s="1">
        <v>0</v>
      </c>
      <c r="X427" s="1">
        <v>0</v>
      </c>
      <c r="Y427" s="10">
        <f>+IF(Datos_General[[#This Row],[Resultado]]="Victoria", "3", IF(Datos_General[[#This Row],[Resultado]]="Empate","1",0))</f>
        <v>0</v>
      </c>
      <c r="Z427" s="11">
        <f>+Datos_General[[#This Row],[Minutos Jugados]]*Datos_General[[#This Row],[Puntos Jug_Campo]]</f>
        <v>46</v>
      </c>
      <c r="AA42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27" s="10" t="str">
        <f>+IF(Datos_General[[#This Row],[Resultado Jug_Campo]] = "Empate", "1",IF(Datos_General[[#This Row],[Resultado Jug_Campo]] = "Victoria", "3","0"))</f>
        <v>1</v>
      </c>
    </row>
    <row r="428" spans="1:28">
      <c r="A428" s="1">
        <v>27</v>
      </c>
      <c r="B428" s="6">
        <v>46137</v>
      </c>
      <c r="C428" s="1" t="s">
        <v>132</v>
      </c>
      <c r="D428" s="1" t="s">
        <v>133</v>
      </c>
      <c r="E428" s="10" t="str">
        <f>+CONCATENATE(Datos_General[[#This Row],[Eq.Local]], "-", Datos_General[[#This Row],[Eq.Visitante]])</f>
        <v>E.D. Xuventude Oroso-Conxo Santiago B</v>
      </c>
      <c r="F428" s="1" t="s">
        <v>210</v>
      </c>
      <c r="G428" s="1" t="s">
        <v>58</v>
      </c>
      <c r="H428" s="1" t="s">
        <v>43</v>
      </c>
      <c r="I428" s="9">
        <v>2</v>
      </c>
      <c r="J428" s="9">
        <v>0</v>
      </c>
      <c r="K428" s="10" t="str">
        <f>+CONCATENATE(Datos_General[[#This Row],[Goles a Favor_Eq_local]],"-",Datos_General[[#This Row],[Gol a Favor_Eq_Visitante]])</f>
        <v>2-0</v>
      </c>
      <c r="L428" s="1" t="s">
        <v>133</v>
      </c>
      <c r="M428" s="1">
        <v>12</v>
      </c>
      <c r="N428" s="1" t="s">
        <v>198</v>
      </c>
      <c r="O428" s="1">
        <v>1</v>
      </c>
      <c r="P428" s="1" t="s">
        <v>70</v>
      </c>
      <c r="Q428" s="7">
        <f>+IF(Datos_General[[#This Row],[Minutos Jugados]]&gt;0, 1, 0)</f>
        <v>1</v>
      </c>
      <c r="R428" s="23">
        <v>0</v>
      </c>
      <c r="S428" s="8">
        <f>IFERROR(IF(MATCH(N428,$T$417:$T$432,0), INDEX($U$417:$U$432,MATCH(N428,$T$417:$T$432,0))),0)</f>
        <v>44</v>
      </c>
      <c r="U428" s="1">
        <f>90-Datos_General[[#This Row],[Minutos Jugados]]</f>
        <v>46</v>
      </c>
      <c r="V428" s="1">
        <v>0</v>
      </c>
      <c r="W428" s="1">
        <v>0</v>
      </c>
      <c r="X428" s="1">
        <v>2</v>
      </c>
      <c r="Y428" s="10">
        <f>+IF(Datos_General[[#This Row],[Resultado]]="Victoria", "3", IF(Datos_General[[#This Row],[Resultado]]="Empate","1",0))</f>
        <v>0</v>
      </c>
      <c r="Z428" s="11">
        <f>+Datos_General[[#This Row],[Minutos Jugados]]*Datos_General[[#This Row],[Puntos Jug_Campo]]</f>
        <v>0</v>
      </c>
      <c r="AA42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28" s="10" t="str">
        <f>+IF(Datos_General[[#This Row],[Resultado Jug_Campo]] = "Empate", "1",IF(Datos_General[[#This Row],[Resultado Jug_Campo]] = "Victoria", "3","0"))</f>
        <v>0</v>
      </c>
    </row>
    <row r="429" spans="1:28">
      <c r="A429" s="1">
        <v>27</v>
      </c>
      <c r="B429" s="6">
        <v>46137</v>
      </c>
      <c r="C429" s="1" t="s">
        <v>132</v>
      </c>
      <c r="D429" s="1" t="s">
        <v>133</v>
      </c>
      <c r="E429" s="10" t="str">
        <f>+CONCATENATE(Datos_General[[#This Row],[Eq.Local]], "-", Datos_General[[#This Row],[Eq.Visitante]])</f>
        <v>E.D. Xuventude Oroso-Conxo Santiago B</v>
      </c>
      <c r="F429" s="1" t="s">
        <v>210</v>
      </c>
      <c r="G429" s="1" t="s">
        <v>58</v>
      </c>
      <c r="H429" s="1" t="s">
        <v>43</v>
      </c>
      <c r="I429" s="9">
        <v>2</v>
      </c>
      <c r="J429" s="9">
        <v>0</v>
      </c>
      <c r="K429" s="10" t="str">
        <f>+CONCATENATE(Datos_General[[#This Row],[Goles a Favor_Eq_local]],"-",Datos_General[[#This Row],[Gol a Favor_Eq_Visitante]])</f>
        <v>2-0</v>
      </c>
      <c r="L429" s="1" t="s">
        <v>133</v>
      </c>
      <c r="M429" s="1">
        <v>14</v>
      </c>
      <c r="N429" s="1" t="s">
        <v>166</v>
      </c>
      <c r="O429" s="1">
        <v>1</v>
      </c>
      <c r="P429" s="1" t="s">
        <v>70</v>
      </c>
      <c r="Q429" s="7">
        <f>+IF(Datos_General[[#This Row],[Minutos Jugados]]&gt;0, 1, 0)</f>
        <v>1</v>
      </c>
      <c r="R429" s="23">
        <v>0</v>
      </c>
      <c r="S429" s="8">
        <f t="shared" ref="S429:S432" si="18">IFERROR(IF(MATCH(N429,$T$417:$T$432,0), INDEX($U$417:$U$432,MATCH(N429,$T$417:$T$432,0))),0)</f>
        <v>35</v>
      </c>
      <c r="U429" s="1">
        <f>90-Datos_General[[#This Row],[Minutos Jugados]]</f>
        <v>55</v>
      </c>
      <c r="V429" s="1">
        <v>0</v>
      </c>
      <c r="W429" s="1">
        <v>0</v>
      </c>
      <c r="X429" s="1">
        <v>2</v>
      </c>
      <c r="Y429" s="10">
        <f>+IF(Datos_General[[#This Row],[Resultado]]="Victoria", "3", IF(Datos_General[[#This Row],[Resultado]]="Empate","1",0))</f>
        <v>0</v>
      </c>
      <c r="Z429" s="11">
        <f>+Datos_General[[#This Row],[Minutos Jugados]]*Datos_General[[#This Row],[Puntos Jug_Campo]]</f>
        <v>0</v>
      </c>
      <c r="AA42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29" s="10" t="str">
        <f>+IF(Datos_General[[#This Row],[Resultado Jug_Campo]] = "Empate", "1",IF(Datos_General[[#This Row],[Resultado Jug_Campo]] = "Victoria", "3","0"))</f>
        <v>0</v>
      </c>
    </row>
    <row r="430" spans="1:28">
      <c r="A430" s="1">
        <v>27</v>
      </c>
      <c r="B430" s="6">
        <v>46137</v>
      </c>
      <c r="C430" s="1" t="s">
        <v>132</v>
      </c>
      <c r="D430" s="1" t="s">
        <v>133</v>
      </c>
      <c r="E430" s="10" t="str">
        <f>+CONCATENATE(Datos_General[[#This Row],[Eq.Local]], "-", Datos_General[[#This Row],[Eq.Visitante]])</f>
        <v>E.D. Xuventude Oroso-Conxo Santiago B</v>
      </c>
      <c r="F430" s="1" t="s">
        <v>210</v>
      </c>
      <c r="G430" s="1" t="s">
        <v>58</v>
      </c>
      <c r="H430" s="1" t="s">
        <v>43</v>
      </c>
      <c r="I430" s="9">
        <v>2</v>
      </c>
      <c r="J430" s="9">
        <v>0</v>
      </c>
      <c r="K430" s="10" t="str">
        <f>+CONCATENATE(Datos_General[[#This Row],[Goles a Favor_Eq_local]],"-",Datos_General[[#This Row],[Gol a Favor_Eq_Visitante]])</f>
        <v>2-0</v>
      </c>
      <c r="L430" s="1" t="s">
        <v>133</v>
      </c>
      <c r="M430" s="1">
        <v>15</v>
      </c>
      <c r="N430" s="1" t="s">
        <v>152</v>
      </c>
      <c r="O430" s="1">
        <v>1</v>
      </c>
      <c r="P430" s="1" t="s">
        <v>70</v>
      </c>
      <c r="Q430" s="7">
        <f>+IF(Datos_General[[#This Row],[Minutos Jugados]]&gt;0, 1, 0)</f>
        <v>1</v>
      </c>
      <c r="R430" s="23">
        <v>0</v>
      </c>
      <c r="S430" s="8">
        <f t="shared" si="18"/>
        <v>13</v>
      </c>
      <c r="U430" s="1">
        <f>90-Datos_General[[#This Row],[Minutos Jugados]]</f>
        <v>77</v>
      </c>
      <c r="V430" s="1">
        <v>0</v>
      </c>
      <c r="W430" s="1">
        <v>0</v>
      </c>
      <c r="X430" s="1">
        <v>0</v>
      </c>
      <c r="Y430" s="10">
        <f>+IF(Datos_General[[#This Row],[Resultado]]="Victoria", "3", IF(Datos_General[[#This Row],[Resultado]]="Empate","1",0))</f>
        <v>0</v>
      </c>
      <c r="Z430" s="11">
        <f>+Datos_General[[#This Row],[Minutos Jugados]]*Datos_General[[#This Row],[Puntos Jug_Campo]]</f>
        <v>13</v>
      </c>
      <c r="AA43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30" s="10" t="str">
        <f>+IF(Datos_General[[#This Row],[Resultado Jug_Campo]] = "Empate", "1",IF(Datos_General[[#This Row],[Resultado Jug_Campo]] = "Victoria", "3","0"))</f>
        <v>1</v>
      </c>
    </row>
    <row r="431" spans="1:28">
      <c r="A431" s="1">
        <v>27</v>
      </c>
      <c r="B431" s="6">
        <v>46137</v>
      </c>
      <c r="C431" s="1" t="s">
        <v>132</v>
      </c>
      <c r="D431" s="1" t="s">
        <v>133</v>
      </c>
      <c r="E431" s="10" t="str">
        <f>+CONCATENATE(Datos_General[[#This Row],[Eq.Local]], "-", Datos_General[[#This Row],[Eq.Visitante]])</f>
        <v>E.D. Xuventude Oroso-Conxo Santiago B</v>
      </c>
      <c r="F431" s="1" t="s">
        <v>210</v>
      </c>
      <c r="G431" s="1" t="s">
        <v>58</v>
      </c>
      <c r="H431" s="1" t="s">
        <v>43</v>
      </c>
      <c r="I431" s="9">
        <v>2</v>
      </c>
      <c r="J431" s="9">
        <v>0</v>
      </c>
      <c r="K431" s="10" t="str">
        <f>+CONCATENATE(Datos_General[[#This Row],[Goles a Favor_Eq_local]],"-",Datos_General[[#This Row],[Gol a Favor_Eq_Visitante]])</f>
        <v>2-0</v>
      </c>
      <c r="L431" s="1" t="s">
        <v>133</v>
      </c>
      <c r="M431" s="1">
        <v>16</v>
      </c>
      <c r="N431" s="1" t="s">
        <v>156</v>
      </c>
      <c r="O431" s="1">
        <v>1</v>
      </c>
      <c r="P431" s="1" t="s">
        <v>70</v>
      </c>
      <c r="Q431" s="7">
        <f>+IF(Datos_General[[#This Row],[Minutos Jugados]]&gt;0, 1, 0)</f>
        <v>1</v>
      </c>
      <c r="R431" s="23">
        <v>0</v>
      </c>
      <c r="S431" s="8">
        <f t="shared" si="18"/>
        <v>44</v>
      </c>
      <c r="U431" s="1">
        <f>90-Datos_General[[#This Row],[Minutos Jugados]]</f>
        <v>46</v>
      </c>
      <c r="V431" s="1">
        <v>0</v>
      </c>
      <c r="W431" s="1">
        <v>0</v>
      </c>
      <c r="X431" s="1">
        <v>2</v>
      </c>
      <c r="Y431" s="10">
        <f>+IF(Datos_General[[#This Row],[Resultado]]="Victoria", "3", IF(Datos_General[[#This Row],[Resultado]]="Empate","1",0))</f>
        <v>0</v>
      </c>
      <c r="Z431" s="11">
        <f>+Datos_General[[#This Row],[Minutos Jugados]]*Datos_General[[#This Row],[Puntos Jug_Campo]]</f>
        <v>0</v>
      </c>
      <c r="AA43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31" s="10" t="str">
        <f>+IF(Datos_General[[#This Row],[Resultado Jug_Campo]] = "Empate", "1",IF(Datos_General[[#This Row],[Resultado Jug_Campo]] = "Victoria", "3","0"))</f>
        <v>0</v>
      </c>
    </row>
    <row r="432" spans="1:28">
      <c r="A432" s="1">
        <v>27</v>
      </c>
      <c r="B432" s="6">
        <v>46137</v>
      </c>
      <c r="C432" s="1" t="s">
        <v>132</v>
      </c>
      <c r="D432" s="1" t="s">
        <v>133</v>
      </c>
      <c r="E432" s="10" t="str">
        <f>+CONCATENATE(Datos_General[[#This Row],[Eq.Local]], "-", Datos_General[[#This Row],[Eq.Visitante]])</f>
        <v>E.D. Xuventude Oroso-Conxo Santiago B</v>
      </c>
      <c r="F432" s="1" t="s">
        <v>210</v>
      </c>
      <c r="G432" s="1" t="s">
        <v>58</v>
      </c>
      <c r="H432" s="1" t="s">
        <v>43</v>
      </c>
      <c r="I432" s="9">
        <v>2</v>
      </c>
      <c r="J432" s="9">
        <v>0</v>
      </c>
      <c r="K432" s="10" t="str">
        <f>+CONCATENATE(Datos_General[[#This Row],[Goles a Favor_Eq_local]],"-",Datos_General[[#This Row],[Gol a Favor_Eq_Visitante]])</f>
        <v>2-0</v>
      </c>
      <c r="L432" s="1" t="s">
        <v>133</v>
      </c>
      <c r="M432" s="1">
        <v>17</v>
      </c>
      <c r="N432" s="1" t="s">
        <v>159</v>
      </c>
      <c r="O432" s="1">
        <v>1</v>
      </c>
      <c r="P432" s="1" t="s">
        <v>70</v>
      </c>
      <c r="Q432" s="7">
        <f>+IF(Datos_General[[#This Row],[Minutos Jugados]]&gt;0, 1, 0)</f>
        <v>1</v>
      </c>
      <c r="R432" s="23">
        <v>0</v>
      </c>
      <c r="S432" s="8">
        <f t="shared" si="18"/>
        <v>35</v>
      </c>
      <c r="U432" s="1">
        <f>90-Datos_General[[#This Row],[Minutos Jugados]]</f>
        <v>55</v>
      </c>
      <c r="V432" s="1">
        <v>0</v>
      </c>
      <c r="W432" s="1">
        <v>0</v>
      </c>
      <c r="X432" s="1">
        <v>2</v>
      </c>
      <c r="Y432" s="10">
        <f>+IF(Datos_General[[#This Row],[Resultado]]="Victoria", "3", IF(Datos_General[[#This Row],[Resultado]]="Empate","1",0))</f>
        <v>0</v>
      </c>
      <c r="Z432" s="11">
        <f>+Datos_General[[#This Row],[Minutos Jugados]]*Datos_General[[#This Row],[Puntos Jug_Campo]]</f>
        <v>0</v>
      </c>
      <c r="AA43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32" s="10" t="str">
        <f>+IF(Datos_General[[#This Row],[Resultado Jug_Campo]] = "Empate", "1",IF(Datos_General[[#This Row],[Resultado Jug_Campo]] = "Victoria", "3","0"))</f>
        <v>0</v>
      </c>
    </row>
    <row r="433" spans="1:28">
      <c r="A433" s="1">
        <v>28</v>
      </c>
      <c r="B433" s="6">
        <v>46144</v>
      </c>
      <c r="C433" s="1" t="s">
        <v>133</v>
      </c>
      <c r="D433" s="1" t="s">
        <v>125</v>
      </c>
      <c r="E433" s="10" t="str">
        <f>+CONCATENATE(Datos_General[[#This Row],[Eq.Local]], "-", Datos_General[[#This Row],[Eq.Visitante]])</f>
        <v>Conxo Santiago B-Escola de Fútbol DSF</v>
      </c>
      <c r="F433" s="1" t="s">
        <v>157</v>
      </c>
      <c r="G433" s="1" t="s">
        <v>57</v>
      </c>
      <c r="H433" s="1" t="s">
        <v>43</v>
      </c>
      <c r="I433" s="9">
        <v>0</v>
      </c>
      <c r="J433" s="9">
        <v>3</v>
      </c>
      <c r="K433" s="10" t="str">
        <f>+CONCATENATE(Datos_General[[#This Row],[Goles a Favor_Eq_local]],"-",Datos_General[[#This Row],[Gol a Favor_Eq_Visitante]])</f>
        <v>0-3</v>
      </c>
      <c r="L433" s="1" t="s">
        <v>133</v>
      </c>
      <c r="M433" s="1">
        <v>1</v>
      </c>
      <c r="N433" s="1" t="s">
        <v>137</v>
      </c>
      <c r="O433" s="1">
        <v>1</v>
      </c>
      <c r="P433" s="1" t="s">
        <v>2</v>
      </c>
      <c r="Q433" s="22">
        <v>1</v>
      </c>
      <c r="R433" s="9">
        <v>1</v>
      </c>
      <c r="S433" s="1">
        <v>90</v>
      </c>
      <c r="U433" s="1">
        <f>90-Datos_General[[#This Row],[Minutos Jugados]]</f>
        <v>0</v>
      </c>
      <c r="V433" s="1">
        <v>0</v>
      </c>
      <c r="W433" s="1">
        <v>0</v>
      </c>
      <c r="X433" s="1">
        <v>3</v>
      </c>
      <c r="Y433" s="10">
        <f>+IF(Datos_General[[#This Row],[Resultado]]="Victoria", "3", IF(Datos_General[[#This Row],[Resultado]]="Empate","1",0))</f>
        <v>0</v>
      </c>
      <c r="Z433" s="11">
        <f>+Datos_General[[#This Row],[Minutos Jugados]]*Datos_General[[#This Row],[Puntos Jug_Campo]]</f>
        <v>0</v>
      </c>
      <c r="AA43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33" s="10" t="str">
        <f>+IF(Datos_General[[#This Row],[Resultado Jug_Campo]] = "Empate", "1",IF(Datos_General[[#This Row],[Resultado Jug_Campo]] = "Victoria", "3","0"))</f>
        <v>0</v>
      </c>
    </row>
    <row r="434" spans="1:28">
      <c r="A434" s="1">
        <v>28</v>
      </c>
      <c r="B434" s="6">
        <v>46144</v>
      </c>
      <c r="C434" s="1" t="s">
        <v>133</v>
      </c>
      <c r="D434" s="1" t="s">
        <v>125</v>
      </c>
      <c r="E434" s="10" t="str">
        <f>+CONCATENATE(Datos_General[[#This Row],[Eq.Local]], "-", Datos_General[[#This Row],[Eq.Visitante]])</f>
        <v>Conxo Santiago B-Escola de Fútbol DSF</v>
      </c>
      <c r="F434" s="1" t="s">
        <v>157</v>
      </c>
      <c r="G434" s="1" t="s">
        <v>57</v>
      </c>
      <c r="H434" s="1" t="s">
        <v>43</v>
      </c>
      <c r="I434" s="9">
        <v>0</v>
      </c>
      <c r="J434" s="9">
        <v>3</v>
      </c>
      <c r="K434" s="10" t="str">
        <f>+CONCATENATE(Datos_General[[#This Row],[Goles a Favor_Eq_local]],"-",Datos_General[[#This Row],[Gol a Favor_Eq_Visitante]])</f>
        <v>0-3</v>
      </c>
      <c r="L434" s="1" t="s">
        <v>133</v>
      </c>
      <c r="M434" s="1">
        <v>2</v>
      </c>
      <c r="N434" s="1" t="s">
        <v>199</v>
      </c>
      <c r="O434" s="1">
        <v>1</v>
      </c>
      <c r="P434" s="1" t="s">
        <v>2</v>
      </c>
      <c r="Q434" s="22">
        <v>1</v>
      </c>
      <c r="R434" s="9">
        <v>1</v>
      </c>
      <c r="S434" s="1">
        <v>58</v>
      </c>
      <c r="T434" s="1" t="s">
        <v>152</v>
      </c>
      <c r="U434" s="1">
        <f>90-Datos_General[[#This Row],[Minutos Jugados]]</f>
        <v>32</v>
      </c>
      <c r="V434" s="1">
        <v>0</v>
      </c>
      <c r="W434" s="1">
        <v>0</v>
      </c>
      <c r="X434" s="1">
        <v>1</v>
      </c>
      <c r="Y434" s="10">
        <f>+IF(Datos_General[[#This Row],[Resultado]]="Victoria", "3", IF(Datos_General[[#This Row],[Resultado]]="Empate","1",0))</f>
        <v>0</v>
      </c>
      <c r="Z434" s="11">
        <f>+Datos_General[[#This Row],[Minutos Jugados]]*Datos_General[[#This Row],[Puntos Jug_Campo]]</f>
        <v>0</v>
      </c>
      <c r="AA43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34" s="10" t="str">
        <f>+IF(Datos_General[[#This Row],[Resultado Jug_Campo]] = "Empate", "1",IF(Datos_General[[#This Row],[Resultado Jug_Campo]] = "Victoria", "3","0"))</f>
        <v>0</v>
      </c>
    </row>
    <row r="435" spans="1:28">
      <c r="A435" s="1">
        <v>28</v>
      </c>
      <c r="B435" s="6">
        <v>46144</v>
      </c>
      <c r="C435" s="1" t="s">
        <v>133</v>
      </c>
      <c r="D435" s="1" t="s">
        <v>125</v>
      </c>
      <c r="E435" s="10" t="str">
        <f>+CONCATENATE(Datos_General[[#This Row],[Eq.Local]], "-", Datos_General[[#This Row],[Eq.Visitante]])</f>
        <v>Conxo Santiago B-Escola de Fútbol DSF</v>
      </c>
      <c r="F435" s="1" t="s">
        <v>157</v>
      </c>
      <c r="G435" s="1" t="s">
        <v>57</v>
      </c>
      <c r="H435" s="1" t="s">
        <v>43</v>
      </c>
      <c r="I435" s="9">
        <v>0</v>
      </c>
      <c r="J435" s="9">
        <v>3</v>
      </c>
      <c r="K435" s="10" t="str">
        <f>+CONCATENATE(Datos_General[[#This Row],[Goles a Favor_Eq_local]],"-",Datos_General[[#This Row],[Gol a Favor_Eq_Visitante]])</f>
        <v>0-3</v>
      </c>
      <c r="L435" s="1" t="s">
        <v>133</v>
      </c>
      <c r="M435" s="1">
        <v>3</v>
      </c>
      <c r="N435" s="1" t="s">
        <v>144</v>
      </c>
      <c r="O435" s="1">
        <v>1</v>
      </c>
      <c r="P435" s="1" t="s">
        <v>2</v>
      </c>
      <c r="Q435" s="22">
        <v>1</v>
      </c>
      <c r="R435" s="9">
        <v>1</v>
      </c>
      <c r="S435" s="1">
        <v>90</v>
      </c>
      <c r="U435" s="1">
        <f>90-Datos_General[[#This Row],[Minutos Jugados]]</f>
        <v>0</v>
      </c>
      <c r="V435" s="1">
        <v>0</v>
      </c>
      <c r="W435" s="1">
        <v>0</v>
      </c>
      <c r="X435" s="1">
        <v>3</v>
      </c>
      <c r="Y435" s="10">
        <f>+IF(Datos_General[[#This Row],[Resultado]]="Victoria", "3", IF(Datos_General[[#This Row],[Resultado]]="Empate","1",0))</f>
        <v>0</v>
      </c>
      <c r="Z435" s="11">
        <f>+Datos_General[[#This Row],[Minutos Jugados]]*Datos_General[[#This Row],[Puntos Jug_Campo]]</f>
        <v>0</v>
      </c>
      <c r="AA43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35" s="10" t="str">
        <f>+IF(Datos_General[[#This Row],[Resultado Jug_Campo]] = "Empate", "1",IF(Datos_General[[#This Row],[Resultado Jug_Campo]] = "Victoria", "3","0"))</f>
        <v>0</v>
      </c>
    </row>
    <row r="436" spans="1:28">
      <c r="A436" s="1">
        <v>28</v>
      </c>
      <c r="B436" s="6">
        <v>46144</v>
      </c>
      <c r="C436" s="1" t="s">
        <v>133</v>
      </c>
      <c r="D436" s="1" t="s">
        <v>125</v>
      </c>
      <c r="E436" s="10" t="str">
        <f>+CONCATENATE(Datos_General[[#This Row],[Eq.Local]], "-", Datos_General[[#This Row],[Eq.Visitante]])</f>
        <v>Conxo Santiago B-Escola de Fútbol DSF</v>
      </c>
      <c r="F436" s="1" t="s">
        <v>157</v>
      </c>
      <c r="G436" s="1" t="s">
        <v>57</v>
      </c>
      <c r="H436" s="1" t="s">
        <v>43</v>
      </c>
      <c r="I436" s="9">
        <v>0</v>
      </c>
      <c r="J436" s="9">
        <v>3</v>
      </c>
      <c r="K436" s="10" t="str">
        <f>+CONCATENATE(Datos_General[[#This Row],[Goles a Favor_Eq_local]],"-",Datos_General[[#This Row],[Gol a Favor_Eq_Visitante]])</f>
        <v>0-3</v>
      </c>
      <c r="L436" s="1" t="s">
        <v>133</v>
      </c>
      <c r="M436" s="1">
        <v>4</v>
      </c>
      <c r="N436" s="1" t="s">
        <v>140</v>
      </c>
      <c r="O436" s="1">
        <v>1</v>
      </c>
      <c r="P436" s="1" t="s">
        <v>2</v>
      </c>
      <c r="Q436" s="22">
        <v>1</v>
      </c>
      <c r="R436" s="9">
        <v>1</v>
      </c>
      <c r="S436" s="1">
        <v>90</v>
      </c>
      <c r="U436" s="1">
        <f>90-Datos_General[[#This Row],[Minutos Jugados]]</f>
        <v>0</v>
      </c>
      <c r="V436" s="1">
        <v>0</v>
      </c>
      <c r="W436" s="1">
        <v>0</v>
      </c>
      <c r="X436" s="1">
        <v>3</v>
      </c>
      <c r="Y436" s="10">
        <f>+IF(Datos_General[[#This Row],[Resultado]]="Victoria", "3", IF(Datos_General[[#This Row],[Resultado]]="Empate","1",0))</f>
        <v>0</v>
      </c>
      <c r="Z436" s="11">
        <f>+Datos_General[[#This Row],[Minutos Jugados]]*Datos_General[[#This Row],[Puntos Jug_Campo]]</f>
        <v>0</v>
      </c>
      <c r="AA43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36" s="10" t="str">
        <f>+IF(Datos_General[[#This Row],[Resultado Jug_Campo]] = "Empate", "1",IF(Datos_General[[#This Row],[Resultado Jug_Campo]] = "Victoria", "3","0"))</f>
        <v>0</v>
      </c>
    </row>
    <row r="437" spans="1:28">
      <c r="A437" s="1">
        <v>28</v>
      </c>
      <c r="B437" s="6">
        <v>46144</v>
      </c>
      <c r="C437" s="1" t="s">
        <v>133</v>
      </c>
      <c r="D437" s="1" t="s">
        <v>125</v>
      </c>
      <c r="E437" s="10" t="str">
        <f>+CONCATENATE(Datos_General[[#This Row],[Eq.Local]], "-", Datos_General[[#This Row],[Eq.Visitante]])</f>
        <v>Conxo Santiago B-Escola de Fútbol DSF</v>
      </c>
      <c r="F437" s="1" t="s">
        <v>157</v>
      </c>
      <c r="G437" s="1" t="s">
        <v>57</v>
      </c>
      <c r="H437" s="1" t="s">
        <v>43</v>
      </c>
      <c r="I437" s="9">
        <v>0</v>
      </c>
      <c r="J437" s="9">
        <v>3</v>
      </c>
      <c r="K437" s="10" t="str">
        <f>+CONCATENATE(Datos_General[[#This Row],[Goles a Favor_Eq_local]],"-",Datos_General[[#This Row],[Gol a Favor_Eq_Visitante]])</f>
        <v>0-3</v>
      </c>
      <c r="L437" s="1" t="s">
        <v>133</v>
      </c>
      <c r="M437" s="1">
        <v>5</v>
      </c>
      <c r="N437" s="1" t="s">
        <v>162</v>
      </c>
      <c r="O437" s="1">
        <v>1</v>
      </c>
      <c r="P437" s="1" t="s">
        <v>2</v>
      </c>
      <c r="Q437" s="22">
        <v>1</v>
      </c>
      <c r="R437" s="9">
        <v>1</v>
      </c>
      <c r="S437" s="1">
        <v>90</v>
      </c>
      <c r="U437" s="1">
        <f>90-Datos_General[[#This Row],[Minutos Jugados]]</f>
        <v>0</v>
      </c>
      <c r="V437" s="1">
        <v>0</v>
      </c>
      <c r="W437" s="1">
        <v>0</v>
      </c>
      <c r="X437" s="1">
        <v>3</v>
      </c>
      <c r="Y437" s="10">
        <f>+IF(Datos_General[[#This Row],[Resultado]]="Victoria", "3", IF(Datos_General[[#This Row],[Resultado]]="Empate","1",0))</f>
        <v>0</v>
      </c>
      <c r="Z437" s="11">
        <f>+Datos_General[[#This Row],[Minutos Jugados]]*Datos_General[[#This Row],[Puntos Jug_Campo]]</f>
        <v>0</v>
      </c>
      <c r="AA43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37" s="10" t="str">
        <f>+IF(Datos_General[[#This Row],[Resultado Jug_Campo]] = "Empate", "1",IF(Datos_General[[#This Row],[Resultado Jug_Campo]] = "Victoria", "3","0"))</f>
        <v>0</v>
      </c>
    </row>
    <row r="438" spans="1:28">
      <c r="A438" s="1">
        <v>28</v>
      </c>
      <c r="B438" s="6">
        <v>46144</v>
      </c>
      <c r="C438" s="1" t="s">
        <v>133</v>
      </c>
      <c r="D438" s="1" t="s">
        <v>125</v>
      </c>
      <c r="E438" s="10" t="str">
        <f>+CONCATENATE(Datos_General[[#This Row],[Eq.Local]], "-", Datos_General[[#This Row],[Eq.Visitante]])</f>
        <v>Conxo Santiago B-Escola de Fútbol DSF</v>
      </c>
      <c r="F438" s="1" t="s">
        <v>157</v>
      </c>
      <c r="G438" s="1" t="s">
        <v>57</v>
      </c>
      <c r="H438" s="1" t="s">
        <v>43</v>
      </c>
      <c r="I438" s="9">
        <v>0</v>
      </c>
      <c r="J438" s="9">
        <v>3</v>
      </c>
      <c r="K438" s="10" t="str">
        <f>+CONCATENATE(Datos_General[[#This Row],[Goles a Favor_Eq_local]],"-",Datos_General[[#This Row],[Gol a Favor_Eq_Visitante]])</f>
        <v>0-3</v>
      </c>
      <c r="L438" s="1" t="s">
        <v>133</v>
      </c>
      <c r="M438" s="1">
        <v>6</v>
      </c>
      <c r="N438" s="1" t="s">
        <v>146</v>
      </c>
      <c r="O438" s="1">
        <v>1</v>
      </c>
      <c r="P438" s="1" t="s">
        <v>2</v>
      </c>
      <c r="Q438" s="22">
        <v>1</v>
      </c>
      <c r="R438" s="9">
        <v>1</v>
      </c>
      <c r="S438" s="1">
        <v>90</v>
      </c>
      <c r="U438" s="1">
        <f>90-Datos_General[[#This Row],[Minutos Jugados]]</f>
        <v>0</v>
      </c>
      <c r="V438" s="1">
        <v>0</v>
      </c>
      <c r="W438" s="1">
        <v>0</v>
      </c>
      <c r="X438" s="1">
        <v>3</v>
      </c>
      <c r="Y438" s="10">
        <f>+IF(Datos_General[[#This Row],[Resultado]]="Victoria", "3", IF(Datos_General[[#This Row],[Resultado]]="Empate","1",0))</f>
        <v>0</v>
      </c>
      <c r="Z438" s="11">
        <f>+Datos_General[[#This Row],[Minutos Jugados]]*Datos_General[[#This Row],[Puntos Jug_Campo]]</f>
        <v>0</v>
      </c>
      <c r="AA43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38" s="10" t="str">
        <f>+IF(Datos_General[[#This Row],[Resultado Jug_Campo]] = "Empate", "1",IF(Datos_General[[#This Row],[Resultado Jug_Campo]] = "Victoria", "3","0"))</f>
        <v>0</v>
      </c>
    </row>
    <row r="439" spans="1:28">
      <c r="A439" s="1">
        <v>28</v>
      </c>
      <c r="B439" s="6">
        <v>46144</v>
      </c>
      <c r="C439" s="1" t="s">
        <v>133</v>
      </c>
      <c r="D439" s="1" t="s">
        <v>125</v>
      </c>
      <c r="E439" s="10" t="str">
        <f>+CONCATENATE(Datos_General[[#This Row],[Eq.Local]], "-", Datos_General[[#This Row],[Eq.Visitante]])</f>
        <v>Conxo Santiago B-Escola de Fútbol DSF</v>
      </c>
      <c r="F439" s="1" t="s">
        <v>157</v>
      </c>
      <c r="G439" s="1" t="s">
        <v>57</v>
      </c>
      <c r="H439" s="1" t="s">
        <v>43</v>
      </c>
      <c r="I439" s="9">
        <v>0</v>
      </c>
      <c r="J439" s="9">
        <v>3</v>
      </c>
      <c r="K439" s="10" t="str">
        <f>+CONCATENATE(Datos_General[[#This Row],[Goles a Favor_Eq_local]],"-",Datos_General[[#This Row],[Gol a Favor_Eq_Visitante]])</f>
        <v>0-3</v>
      </c>
      <c r="L439" s="1" t="s">
        <v>133</v>
      </c>
      <c r="M439" s="1">
        <v>7</v>
      </c>
      <c r="N439" s="1" t="s">
        <v>138</v>
      </c>
      <c r="O439" s="1">
        <v>1</v>
      </c>
      <c r="P439" s="1" t="s">
        <v>2</v>
      </c>
      <c r="Q439" s="22">
        <v>1</v>
      </c>
      <c r="R439" s="9">
        <v>1</v>
      </c>
      <c r="S439" s="1">
        <v>67</v>
      </c>
      <c r="T439" s="1" t="s">
        <v>151</v>
      </c>
      <c r="U439" s="1">
        <f>90-Datos_General[[#This Row],[Minutos Jugados]]</f>
        <v>23</v>
      </c>
      <c r="V439" s="1">
        <v>0</v>
      </c>
      <c r="W439" s="1">
        <v>0</v>
      </c>
      <c r="X439" s="1">
        <v>1</v>
      </c>
      <c r="Y439" s="10">
        <f>+IF(Datos_General[[#This Row],[Resultado]]="Victoria", "3", IF(Datos_General[[#This Row],[Resultado]]="Empate","1",0))</f>
        <v>0</v>
      </c>
      <c r="Z439" s="11">
        <f>+Datos_General[[#This Row],[Minutos Jugados]]*Datos_General[[#This Row],[Puntos Jug_Campo]]</f>
        <v>0</v>
      </c>
      <c r="AA43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39" s="10" t="str">
        <f>+IF(Datos_General[[#This Row],[Resultado Jug_Campo]] = "Empate", "1",IF(Datos_General[[#This Row],[Resultado Jug_Campo]] = "Victoria", "3","0"))</f>
        <v>0</v>
      </c>
    </row>
    <row r="440" spans="1:28">
      <c r="A440" s="1">
        <v>28</v>
      </c>
      <c r="B440" s="6">
        <v>46144</v>
      </c>
      <c r="C440" s="1" t="s">
        <v>133</v>
      </c>
      <c r="D440" s="1" t="s">
        <v>125</v>
      </c>
      <c r="E440" s="10" t="str">
        <f>+CONCATENATE(Datos_General[[#This Row],[Eq.Local]], "-", Datos_General[[#This Row],[Eq.Visitante]])</f>
        <v>Conxo Santiago B-Escola de Fútbol DSF</v>
      </c>
      <c r="F440" s="1" t="s">
        <v>157</v>
      </c>
      <c r="G440" s="1" t="s">
        <v>57</v>
      </c>
      <c r="H440" s="1" t="s">
        <v>43</v>
      </c>
      <c r="I440" s="9">
        <v>0</v>
      </c>
      <c r="J440" s="9">
        <v>3</v>
      </c>
      <c r="K440" s="10" t="str">
        <f>+CONCATENATE(Datos_General[[#This Row],[Goles a Favor_Eq_local]],"-",Datos_General[[#This Row],[Gol a Favor_Eq_Visitante]])</f>
        <v>0-3</v>
      </c>
      <c r="L440" s="1" t="s">
        <v>133</v>
      </c>
      <c r="M440" s="1">
        <v>8</v>
      </c>
      <c r="N440" s="1" t="s">
        <v>165</v>
      </c>
      <c r="O440" s="1">
        <v>1</v>
      </c>
      <c r="P440" s="1" t="s">
        <v>2</v>
      </c>
      <c r="Q440" s="22">
        <v>1</v>
      </c>
      <c r="R440" s="9">
        <v>1</v>
      </c>
      <c r="S440" s="1">
        <v>90</v>
      </c>
      <c r="U440" s="1">
        <f>90-Datos_General[[#This Row],[Minutos Jugados]]</f>
        <v>0</v>
      </c>
      <c r="V440" s="1">
        <v>0</v>
      </c>
      <c r="W440" s="1">
        <v>0</v>
      </c>
      <c r="X440" s="1">
        <v>3</v>
      </c>
      <c r="Y440" s="10">
        <f>+IF(Datos_General[[#This Row],[Resultado]]="Victoria", "3", IF(Datos_General[[#This Row],[Resultado]]="Empate","1",0))</f>
        <v>0</v>
      </c>
      <c r="Z440" s="11">
        <f>+Datos_General[[#This Row],[Minutos Jugados]]*Datos_General[[#This Row],[Puntos Jug_Campo]]</f>
        <v>0</v>
      </c>
      <c r="AA44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0" s="10" t="str">
        <f>+IF(Datos_General[[#This Row],[Resultado Jug_Campo]] = "Empate", "1",IF(Datos_General[[#This Row],[Resultado Jug_Campo]] = "Victoria", "3","0"))</f>
        <v>0</v>
      </c>
    </row>
    <row r="441" spans="1:28">
      <c r="A441" s="1">
        <v>28</v>
      </c>
      <c r="B441" s="6">
        <v>46144</v>
      </c>
      <c r="C441" s="1" t="s">
        <v>133</v>
      </c>
      <c r="D441" s="1" t="s">
        <v>125</v>
      </c>
      <c r="E441" s="10" t="str">
        <f>+CONCATENATE(Datos_General[[#This Row],[Eq.Local]], "-", Datos_General[[#This Row],[Eq.Visitante]])</f>
        <v>Conxo Santiago B-Escola de Fútbol DSF</v>
      </c>
      <c r="F441" s="1" t="s">
        <v>157</v>
      </c>
      <c r="G441" s="1" t="s">
        <v>57</v>
      </c>
      <c r="H441" s="1" t="s">
        <v>43</v>
      </c>
      <c r="I441" s="9">
        <v>0</v>
      </c>
      <c r="J441" s="9">
        <v>3</v>
      </c>
      <c r="K441" s="10" t="str">
        <f>+CONCATENATE(Datos_General[[#This Row],[Goles a Favor_Eq_local]],"-",Datos_General[[#This Row],[Gol a Favor_Eq_Visitante]])</f>
        <v>0-3</v>
      </c>
      <c r="L441" s="1" t="s">
        <v>133</v>
      </c>
      <c r="M441" s="1">
        <v>9</v>
      </c>
      <c r="N441" s="1" t="s">
        <v>150</v>
      </c>
      <c r="O441" s="1">
        <v>1</v>
      </c>
      <c r="P441" s="1" t="s">
        <v>2</v>
      </c>
      <c r="Q441" s="22">
        <v>1</v>
      </c>
      <c r="R441" s="9">
        <v>1</v>
      </c>
      <c r="S441" s="1">
        <v>57</v>
      </c>
      <c r="T441" s="1" t="s">
        <v>164</v>
      </c>
      <c r="U441" s="1">
        <f>90-Datos_General[[#This Row],[Minutos Jugados]]</f>
        <v>33</v>
      </c>
      <c r="V441" s="1">
        <v>0</v>
      </c>
      <c r="W441" s="1">
        <v>0</v>
      </c>
      <c r="X441" s="1">
        <v>1</v>
      </c>
      <c r="Y441" s="10">
        <f>+IF(Datos_General[[#This Row],[Resultado]]="Victoria", "3", IF(Datos_General[[#This Row],[Resultado]]="Empate","1",0))</f>
        <v>0</v>
      </c>
      <c r="Z441" s="11">
        <f>+Datos_General[[#This Row],[Minutos Jugados]]*Datos_General[[#This Row],[Puntos Jug_Campo]]</f>
        <v>0</v>
      </c>
      <c r="AA44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1" s="10" t="str">
        <f>+IF(Datos_General[[#This Row],[Resultado Jug_Campo]] = "Empate", "1",IF(Datos_General[[#This Row],[Resultado Jug_Campo]] = "Victoria", "3","0"))</f>
        <v>0</v>
      </c>
    </row>
    <row r="442" spans="1:28">
      <c r="A442" s="1">
        <v>28</v>
      </c>
      <c r="B442" s="6">
        <v>46144</v>
      </c>
      <c r="C442" s="1" t="s">
        <v>133</v>
      </c>
      <c r="D442" s="1" t="s">
        <v>125</v>
      </c>
      <c r="E442" s="10" t="str">
        <f>+CONCATENATE(Datos_General[[#This Row],[Eq.Local]], "-", Datos_General[[#This Row],[Eq.Visitante]])</f>
        <v>Conxo Santiago B-Escola de Fútbol DSF</v>
      </c>
      <c r="F442" s="1" t="s">
        <v>157</v>
      </c>
      <c r="G442" s="1" t="s">
        <v>57</v>
      </c>
      <c r="H442" s="1" t="s">
        <v>43</v>
      </c>
      <c r="I442" s="9">
        <v>0</v>
      </c>
      <c r="J442" s="9">
        <v>3</v>
      </c>
      <c r="K442" s="10" t="str">
        <f>+CONCATENATE(Datos_General[[#This Row],[Goles a Favor_Eq_local]],"-",Datos_General[[#This Row],[Gol a Favor_Eq_Visitante]])</f>
        <v>0-3</v>
      </c>
      <c r="L442" s="1" t="s">
        <v>133</v>
      </c>
      <c r="M442" s="1">
        <v>10</v>
      </c>
      <c r="N442" s="1" t="s">
        <v>198</v>
      </c>
      <c r="O442" s="1">
        <v>1</v>
      </c>
      <c r="P442" s="1" t="s">
        <v>2</v>
      </c>
      <c r="Q442" s="22">
        <v>1</v>
      </c>
      <c r="R442" s="9">
        <v>1</v>
      </c>
      <c r="S442" s="1">
        <v>58</v>
      </c>
      <c r="T442" s="1" t="s">
        <v>156</v>
      </c>
      <c r="U442" s="1">
        <f>90-Datos_General[[#This Row],[Minutos Jugados]]</f>
        <v>32</v>
      </c>
      <c r="V442" s="1">
        <v>0</v>
      </c>
      <c r="W442" s="1">
        <v>0</v>
      </c>
      <c r="X442" s="1">
        <v>1</v>
      </c>
      <c r="Y442" s="10">
        <f>+IF(Datos_General[[#This Row],[Resultado]]="Victoria", "3", IF(Datos_General[[#This Row],[Resultado]]="Empate","1",0))</f>
        <v>0</v>
      </c>
      <c r="Z442" s="11">
        <f>+Datos_General[[#This Row],[Minutos Jugados]]*Datos_General[[#This Row],[Puntos Jug_Campo]]</f>
        <v>0</v>
      </c>
      <c r="AA44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2" s="10" t="str">
        <f>+IF(Datos_General[[#This Row],[Resultado Jug_Campo]] = "Empate", "1",IF(Datos_General[[#This Row],[Resultado Jug_Campo]] = "Victoria", "3","0"))</f>
        <v>0</v>
      </c>
    </row>
    <row r="443" spans="1:28">
      <c r="A443" s="1">
        <v>28</v>
      </c>
      <c r="B443" s="6">
        <v>46144</v>
      </c>
      <c r="C443" s="1" t="s">
        <v>133</v>
      </c>
      <c r="D443" s="1" t="s">
        <v>125</v>
      </c>
      <c r="E443" s="10" t="str">
        <f>+CONCATENATE(Datos_General[[#This Row],[Eq.Local]], "-", Datos_General[[#This Row],[Eq.Visitante]])</f>
        <v>Conxo Santiago B-Escola de Fútbol DSF</v>
      </c>
      <c r="F443" s="1" t="s">
        <v>157</v>
      </c>
      <c r="G443" s="1" t="s">
        <v>57</v>
      </c>
      <c r="H443" s="1" t="s">
        <v>43</v>
      </c>
      <c r="I443" s="9">
        <v>0</v>
      </c>
      <c r="J443" s="9">
        <v>3</v>
      </c>
      <c r="K443" s="10" t="str">
        <f>+CONCATENATE(Datos_General[[#This Row],[Goles a Favor_Eq_local]],"-",Datos_General[[#This Row],[Gol a Favor_Eq_Visitante]])</f>
        <v>0-3</v>
      </c>
      <c r="L443" s="1" t="s">
        <v>133</v>
      </c>
      <c r="M443" s="1">
        <v>11</v>
      </c>
      <c r="N443" s="1" t="s">
        <v>163</v>
      </c>
      <c r="O443" s="1">
        <v>1</v>
      </c>
      <c r="P443" s="1" t="s">
        <v>2</v>
      </c>
      <c r="Q443" s="22">
        <v>1</v>
      </c>
      <c r="R443" s="9">
        <v>1</v>
      </c>
      <c r="S443" s="1">
        <v>58</v>
      </c>
      <c r="T443" s="1" t="s">
        <v>159</v>
      </c>
      <c r="U443" s="1">
        <f>90-Datos_General[[#This Row],[Minutos Jugados]]</f>
        <v>32</v>
      </c>
      <c r="V443" s="1">
        <v>0</v>
      </c>
      <c r="W443" s="1">
        <v>0</v>
      </c>
      <c r="X443" s="1">
        <v>1</v>
      </c>
      <c r="Y443" s="10">
        <f>+IF(Datos_General[[#This Row],[Resultado]]="Victoria", "3", IF(Datos_General[[#This Row],[Resultado]]="Empate","1",0))</f>
        <v>0</v>
      </c>
      <c r="Z443" s="11">
        <f>+Datos_General[[#This Row],[Minutos Jugados]]*Datos_General[[#This Row],[Puntos Jug_Campo]]</f>
        <v>0</v>
      </c>
      <c r="AA44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3" s="10" t="str">
        <f>+IF(Datos_General[[#This Row],[Resultado Jug_Campo]] = "Empate", "1",IF(Datos_General[[#This Row],[Resultado Jug_Campo]] = "Victoria", "3","0"))</f>
        <v>0</v>
      </c>
    </row>
    <row r="444" spans="1:28">
      <c r="A444" s="1">
        <v>28</v>
      </c>
      <c r="B444" s="6">
        <v>46144</v>
      </c>
      <c r="C444" s="1" t="s">
        <v>133</v>
      </c>
      <c r="D444" s="1" t="s">
        <v>125</v>
      </c>
      <c r="E444" s="10" t="str">
        <f>+CONCATENATE(Datos_General[[#This Row],[Eq.Local]], "-", Datos_General[[#This Row],[Eq.Visitante]])</f>
        <v>Conxo Santiago B-Escola de Fútbol DSF</v>
      </c>
      <c r="F444" s="1" t="s">
        <v>157</v>
      </c>
      <c r="G444" s="1" t="s">
        <v>57</v>
      </c>
      <c r="H444" s="1" t="s">
        <v>43</v>
      </c>
      <c r="I444" s="9">
        <v>0</v>
      </c>
      <c r="J444" s="9">
        <v>3</v>
      </c>
      <c r="K444" s="10" t="str">
        <f>+CONCATENATE(Datos_General[[#This Row],[Goles a Favor_Eq_local]],"-",Datos_General[[#This Row],[Gol a Favor_Eq_Visitante]])</f>
        <v>0-3</v>
      </c>
      <c r="L444" s="1" t="s">
        <v>133</v>
      </c>
      <c r="M444" s="1">
        <v>12</v>
      </c>
      <c r="N444" s="1" t="s">
        <v>152</v>
      </c>
      <c r="O444" s="1">
        <v>1</v>
      </c>
      <c r="P444" s="1" t="s">
        <v>70</v>
      </c>
      <c r="Q444" s="7">
        <f>+IF(Datos_General[[#This Row],[Minutos Jugados]]&gt;0, 1, 0)</f>
        <v>1</v>
      </c>
      <c r="R444" s="23">
        <v>0</v>
      </c>
      <c r="S444" s="8">
        <f>IFERROR(IF(MATCH(N444,$T$433:$T$448,0), INDEX($U$433:$U$448,MATCH(N444,$T$433:$T$448,0))),0)</f>
        <v>32</v>
      </c>
      <c r="U444" s="1">
        <f>90-Datos_General[[#This Row],[Minutos Jugados]]</f>
        <v>58</v>
      </c>
      <c r="V444" s="1">
        <v>0</v>
      </c>
      <c r="W444" s="1">
        <v>0</v>
      </c>
      <c r="X444" s="1">
        <v>2</v>
      </c>
      <c r="Y444" s="10">
        <f>+IF(Datos_General[[#This Row],[Resultado]]="Victoria", "3", IF(Datos_General[[#This Row],[Resultado]]="Empate","1",0))</f>
        <v>0</v>
      </c>
      <c r="Z444" s="11">
        <f>+Datos_General[[#This Row],[Minutos Jugados]]*Datos_General[[#This Row],[Puntos Jug_Campo]]</f>
        <v>0</v>
      </c>
      <c r="AA44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4" s="10" t="str">
        <f>+IF(Datos_General[[#This Row],[Resultado Jug_Campo]] = "Empate", "1",IF(Datos_General[[#This Row],[Resultado Jug_Campo]] = "Victoria", "3","0"))</f>
        <v>0</v>
      </c>
    </row>
    <row r="445" spans="1:28">
      <c r="A445" s="1">
        <v>28</v>
      </c>
      <c r="B445" s="6">
        <v>46144</v>
      </c>
      <c r="C445" s="1" t="s">
        <v>133</v>
      </c>
      <c r="D445" s="1" t="s">
        <v>125</v>
      </c>
      <c r="E445" s="10" t="str">
        <f>+CONCATENATE(Datos_General[[#This Row],[Eq.Local]], "-", Datos_General[[#This Row],[Eq.Visitante]])</f>
        <v>Conxo Santiago B-Escola de Fútbol DSF</v>
      </c>
      <c r="F445" s="1" t="s">
        <v>157</v>
      </c>
      <c r="G445" s="1" t="s">
        <v>57</v>
      </c>
      <c r="H445" s="1" t="s">
        <v>43</v>
      </c>
      <c r="I445" s="9">
        <v>0</v>
      </c>
      <c r="J445" s="9">
        <v>3</v>
      </c>
      <c r="K445" s="10" t="str">
        <f>+CONCATENATE(Datos_General[[#This Row],[Goles a Favor_Eq_local]],"-",Datos_General[[#This Row],[Gol a Favor_Eq_Visitante]])</f>
        <v>0-3</v>
      </c>
      <c r="L445" s="1" t="s">
        <v>133</v>
      </c>
      <c r="M445" s="1">
        <v>14</v>
      </c>
      <c r="N445" s="1" t="s">
        <v>159</v>
      </c>
      <c r="O445" s="1">
        <v>1</v>
      </c>
      <c r="P445" s="1" t="s">
        <v>70</v>
      </c>
      <c r="Q445" s="7">
        <f>+IF(Datos_General[[#This Row],[Minutos Jugados]]&gt;0, 1, 0)</f>
        <v>1</v>
      </c>
      <c r="R445" s="23">
        <v>0</v>
      </c>
      <c r="S445" s="8">
        <f t="shared" ref="S445:S448" si="19">IFERROR(IF(MATCH(N445,$T$433:$T$448,0), INDEX($U$433:$U$448,MATCH(N445,$T$433:$T$448,0))),0)</f>
        <v>32</v>
      </c>
      <c r="U445" s="1">
        <f>90-Datos_General[[#This Row],[Minutos Jugados]]</f>
        <v>58</v>
      </c>
      <c r="V445" s="1">
        <v>0</v>
      </c>
      <c r="W445" s="1">
        <v>0</v>
      </c>
      <c r="X445" s="1">
        <v>2</v>
      </c>
      <c r="Y445" s="10">
        <f>+IF(Datos_General[[#This Row],[Resultado]]="Victoria", "3", IF(Datos_General[[#This Row],[Resultado]]="Empate","1",0))</f>
        <v>0</v>
      </c>
      <c r="Z445" s="11">
        <f>+Datos_General[[#This Row],[Minutos Jugados]]*Datos_General[[#This Row],[Puntos Jug_Campo]]</f>
        <v>0</v>
      </c>
      <c r="AA44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5" s="10" t="str">
        <f>+IF(Datos_General[[#This Row],[Resultado Jug_Campo]] = "Empate", "1",IF(Datos_General[[#This Row],[Resultado Jug_Campo]] = "Victoria", "3","0"))</f>
        <v>0</v>
      </c>
    </row>
    <row r="446" spans="1:28">
      <c r="A446" s="1">
        <v>28</v>
      </c>
      <c r="B446" s="6">
        <v>46144</v>
      </c>
      <c r="C446" s="1" t="s">
        <v>133</v>
      </c>
      <c r="D446" s="1" t="s">
        <v>125</v>
      </c>
      <c r="E446" s="10" t="str">
        <f>+CONCATENATE(Datos_General[[#This Row],[Eq.Local]], "-", Datos_General[[#This Row],[Eq.Visitante]])</f>
        <v>Conxo Santiago B-Escola de Fútbol DSF</v>
      </c>
      <c r="F446" s="1" t="s">
        <v>157</v>
      </c>
      <c r="G446" s="1" t="s">
        <v>57</v>
      </c>
      <c r="H446" s="1" t="s">
        <v>43</v>
      </c>
      <c r="I446" s="9">
        <v>0</v>
      </c>
      <c r="J446" s="9">
        <v>3</v>
      </c>
      <c r="K446" s="10" t="str">
        <f>+CONCATENATE(Datos_General[[#This Row],[Goles a Favor_Eq_local]],"-",Datos_General[[#This Row],[Gol a Favor_Eq_Visitante]])</f>
        <v>0-3</v>
      </c>
      <c r="L446" s="1" t="s">
        <v>133</v>
      </c>
      <c r="M446" s="1">
        <v>15</v>
      </c>
      <c r="N446" s="1" t="s">
        <v>156</v>
      </c>
      <c r="O446" s="1">
        <v>1</v>
      </c>
      <c r="P446" s="1" t="s">
        <v>70</v>
      </c>
      <c r="Q446" s="7">
        <f>+IF(Datos_General[[#This Row],[Minutos Jugados]]&gt;0, 1, 0)</f>
        <v>1</v>
      </c>
      <c r="R446" s="23">
        <v>0</v>
      </c>
      <c r="S446" s="8">
        <f t="shared" si="19"/>
        <v>32</v>
      </c>
      <c r="U446" s="1">
        <f>90-Datos_General[[#This Row],[Minutos Jugados]]</f>
        <v>58</v>
      </c>
      <c r="V446" s="1">
        <v>0</v>
      </c>
      <c r="W446" s="1">
        <v>0</v>
      </c>
      <c r="X446" s="1">
        <v>2</v>
      </c>
      <c r="Y446" s="10">
        <f>+IF(Datos_General[[#This Row],[Resultado]]="Victoria", "3", IF(Datos_General[[#This Row],[Resultado]]="Empate","1",0))</f>
        <v>0</v>
      </c>
      <c r="Z446" s="11">
        <f>+Datos_General[[#This Row],[Minutos Jugados]]*Datos_General[[#This Row],[Puntos Jug_Campo]]</f>
        <v>0</v>
      </c>
      <c r="AA44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6" s="10" t="str">
        <f>+IF(Datos_General[[#This Row],[Resultado Jug_Campo]] = "Empate", "1",IF(Datos_General[[#This Row],[Resultado Jug_Campo]] = "Victoria", "3","0"))</f>
        <v>0</v>
      </c>
    </row>
    <row r="447" spans="1:28">
      <c r="A447" s="1">
        <v>28</v>
      </c>
      <c r="B447" s="6">
        <v>46144</v>
      </c>
      <c r="C447" s="1" t="s">
        <v>133</v>
      </c>
      <c r="D447" s="1" t="s">
        <v>125</v>
      </c>
      <c r="E447" s="10" t="str">
        <f>+CONCATENATE(Datos_General[[#This Row],[Eq.Local]], "-", Datos_General[[#This Row],[Eq.Visitante]])</f>
        <v>Conxo Santiago B-Escola de Fútbol DSF</v>
      </c>
      <c r="F447" s="1" t="s">
        <v>157</v>
      </c>
      <c r="G447" s="1" t="s">
        <v>57</v>
      </c>
      <c r="H447" s="1" t="s">
        <v>43</v>
      </c>
      <c r="I447" s="9">
        <v>0</v>
      </c>
      <c r="J447" s="9">
        <v>3</v>
      </c>
      <c r="K447" s="10" t="str">
        <f>+CONCATENATE(Datos_General[[#This Row],[Goles a Favor_Eq_local]],"-",Datos_General[[#This Row],[Gol a Favor_Eq_Visitante]])</f>
        <v>0-3</v>
      </c>
      <c r="L447" s="1" t="s">
        <v>133</v>
      </c>
      <c r="M447" s="1">
        <v>16</v>
      </c>
      <c r="N447" s="1" t="s">
        <v>151</v>
      </c>
      <c r="O447" s="1">
        <v>1</v>
      </c>
      <c r="P447" s="1" t="s">
        <v>70</v>
      </c>
      <c r="Q447" s="7">
        <f>+IF(Datos_General[[#This Row],[Minutos Jugados]]&gt;0, 1, 0)</f>
        <v>1</v>
      </c>
      <c r="R447" s="23">
        <v>0</v>
      </c>
      <c r="S447" s="8">
        <f t="shared" si="19"/>
        <v>23</v>
      </c>
      <c r="U447" s="1">
        <f>90-Datos_General[[#This Row],[Minutos Jugados]]</f>
        <v>67</v>
      </c>
      <c r="V447" s="1">
        <v>0</v>
      </c>
      <c r="W447" s="1">
        <v>0</v>
      </c>
      <c r="X447" s="1">
        <v>2</v>
      </c>
      <c r="Y447" s="10">
        <f>+IF(Datos_General[[#This Row],[Resultado]]="Victoria", "3", IF(Datos_General[[#This Row],[Resultado]]="Empate","1",0))</f>
        <v>0</v>
      </c>
      <c r="Z447" s="11">
        <f>+Datos_General[[#This Row],[Minutos Jugados]]*Datos_General[[#This Row],[Puntos Jug_Campo]]</f>
        <v>0</v>
      </c>
      <c r="AA44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7" s="10" t="str">
        <f>+IF(Datos_General[[#This Row],[Resultado Jug_Campo]] = "Empate", "1",IF(Datos_General[[#This Row],[Resultado Jug_Campo]] = "Victoria", "3","0"))</f>
        <v>0</v>
      </c>
    </row>
    <row r="448" spans="1:28">
      <c r="A448" s="1">
        <v>28</v>
      </c>
      <c r="B448" s="6">
        <v>46144</v>
      </c>
      <c r="C448" s="1" t="s">
        <v>133</v>
      </c>
      <c r="D448" s="1" t="s">
        <v>125</v>
      </c>
      <c r="E448" s="10" t="str">
        <f>+CONCATENATE(Datos_General[[#This Row],[Eq.Local]], "-", Datos_General[[#This Row],[Eq.Visitante]])</f>
        <v>Conxo Santiago B-Escola de Fútbol DSF</v>
      </c>
      <c r="F448" s="1" t="s">
        <v>157</v>
      </c>
      <c r="G448" s="1" t="s">
        <v>57</v>
      </c>
      <c r="H448" s="1" t="s">
        <v>43</v>
      </c>
      <c r="I448" s="9">
        <v>0</v>
      </c>
      <c r="J448" s="9">
        <v>3</v>
      </c>
      <c r="K448" s="10" t="str">
        <f>+CONCATENATE(Datos_General[[#This Row],[Goles a Favor_Eq_local]],"-",Datos_General[[#This Row],[Gol a Favor_Eq_Visitante]])</f>
        <v>0-3</v>
      </c>
      <c r="L448" s="1" t="s">
        <v>133</v>
      </c>
      <c r="M448" s="1">
        <v>17</v>
      </c>
      <c r="N448" s="1" t="s">
        <v>164</v>
      </c>
      <c r="O448" s="1">
        <v>1</v>
      </c>
      <c r="P448" s="1" t="s">
        <v>70</v>
      </c>
      <c r="Q448" s="7">
        <f>+IF(Datos_General[[#This Row],[Minutos Jugados]]&gt;0, 1, 0)</f>
        <v>1</v>
      </c>
      <c r="R448" s="23">
        <v>0</v>
      </c>
      <c r="S448" s="8">
        <f t="shared" si="19"/>
        <v>33</v>
      </c>
      <c r="U448" s="1">
        <f>90-Datos_General[[#This Row],[Minutos Jugados]]</f>
        <v>57</v>
      </c>
      <c r="V448" s="1">
        <v>0</v>
      </c>
      <c r="W448" s="1">
        <v>0</v>
      </c>
      <c r="X448" s="1">
        <v>2</v>
      </c>
      <c r="Y448" s="10">
        <f>+IF(Datos_General[[#This Row],[Resultado]]="Victoria", "3", IF(Datos_General[[#This Row],[Resultado]]="Empate","1",0))</f>
        <v>0</v>
      </c>
      <c r="Z448" s="11">
        <f>+Datos_General[[#This Row],[Minutos Jugados]]*Datos_General[[#This Row],[Puntos Jug_Campo]]</f>
        <v>0</v>
      </c>
      <c r="AA44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Derrota</v>
      </c>
      <c r="AB448" s="10" t="str">
        <f>+IF(Datos_General[[#This Row],[Resultado Jug_Campo]] = "Empate", "1",IF(Datos_General[[#This Row],[Resultado Jug_Campo]] = "Victoria", "3","0"))</f>
        <v>0</v>
      </c>
    </row>
    <row r="449" spans="1:28">
      <c r="A449" s="1">
        <v>29</v>
      </c>
      <c r="B449" s="6">
        <v>46151</v>
      </c>
      <c r="C449" s="1" t="s">
        <v>124</v>
      </c>
      <c r="D449" s="1" t="s">
        <v>133</v>
      </c>
      <c r="E449" s="10" t="str">
        <f>+CONCATENATE(Datos_General[[#This Row],[Eq.Local]], "-", Datos_General[[#This Row],[Eq.Visitante]])</f>
        <v>E.D. Arousa S.D.-Conxo Santiago B</v>
      </c>
      <c r="F449" s="1" t="s">
        <v>211</v>
      </c>
      <c r="G449" s="1" t="s">
        <v>58</v>
      </c>
      <c r="H449" s="1" t="s">
        <v>12</v>
      </c>
      <c r="I449" s="9">
        <v>2</v>
      </c>
      <c r="J449" s="9">
        <v>5</v>
      </c>
      <c r="K449" s="10" t="str">
        <f>+CONCATENATE(Datos_General[[#This Row],[Goles a Favor_Eq_local]],"-",Datos_General[[#This Row],[Gol a Favor_Eq_Visitante]])</f>
        <v>2-5</v>
      </c>
      <c r="L449" s="1" t="s">
        <v>133</v>
      </c>
      <c r="M449" s="1">
        <v>1</v>
      </c>
      <c r="N449" s="1" t="s">
        <v>137</v>
      </c>
      <c r="O449" s="1">
        <v>1</v>
      </c>
      <c r="P449" s="1" t="s">
        <v>2</v>
      </c>
      <c r="Q449" s="22">
        <v>1</v>
      </c>
      <c r="R449" s="9">
        <v>1</v>
      </c>
      <c r="S449" s="1">
        <v>90</v>
      </c>
      <c r="U449" s="1">
        <f>90-Datos_General[[#This Row],[Minutos Jugados]]</f>
        <v>0</v>
      </c>
      <c r="V449" s="1">
        <v>0</v>
      </c>
      <c r="W449" s="1">
        <v>5</v>
      </c>
      <c r="X449" s="1">
        <v>2</v>
      </c>
      <c r="Y449" s="10" t="str">
        <f>+IF(Datos_General[[#This Row],[Resultado]]="Victoria", "3", IF(Datos_General[[#This Row],[Resultado]]="Empate","1",0))</f>
        <v>3</v>
      </c>
      <c r="Z449" s="11">
        <f>+Datos_General[[#This Row],[Minutos Jugados]]*Datos_General[[#This Row],[Puntos Jug_Campo]]</f>
        <v>270</v>
      </c>
      <c r="AA44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49" s="10" t="str">
        <f>+IF(Datos_General[[#This Row],[Resultado Jug_Campo]] = "Empate", "1",IF(Datos_General[[#This Row],[Resultado Jug_Campo]] = "Victoria", "3","0"))</f>
        <v>3</v>
      </c>
    </row>
    <row r="450" spans="1:28">
      <c r="A450" s="1">
        <v>29</v>
      </c>
      <c r="B450" s="6">
        <v>46151</v>
      </c>
      <c r="C450" s="1" t="s">
        <v>124</v>
      </c>
      <c r="D450" s="1" t="s">
        <v>133</v>
      </c>
      <c r="E450" s="10" t="str">
        <f>+CONCATENATE(Datos_General[[#This Row],[Eq.Local]], "-", Datos_General[[#This Row],[Eq.Visitante]])</f>
        <v>E.D. Arousa S.D.-Conxo Santiago B</v>
      </c>
      <c r="F450" s="1" t="s">
        <v>211</v>
      </c>
      <c r="G450" s="1" t="s">
        <v>58</v>
      </c>
      <c r="H450" s="1" t="s">
        <v>12</v>
      </c>
      <c r="I450" s="9">
        <v>2</v>
      </c>
      <c r="J450" s="9">
        <v>5</v>
      </c>
      <c r="K450" s="10" t="str">
        <f>+CONCATENATE(Datos_General[[#This Row],[Goles a Favor_Eq_local]],"-",Datos_General[[#This Row],[Gol a Favor_Eq_Visitante]])</f>
        <v>2-5</v>
      </c>
      <c r="L450" s="1" t="s">
        <v>133</v>
      </c>
      <c r="M450" s="1">
        <v>2</v>
      </c>
      <c r="N450" s="1" t="s">
        <v>199</v>
      </c>
      <c r="O450" s="1">
        <v>1</v>
      </c>
      <c r="P450" s="1" t="s">
        <v>2</v>
      </c>
      <c r="Q450" s="22">
        <v>1</v>
      </c>
      <c r="R450" s="9">
        <v>1</v>
      </c>
      <c r="S450" s="1">
        <v>56</v>
      </c>
      <c r="T450" s="1" t="s">
        <v>163</v>
      </c>
      <c r="U450" s="1">
        <f>90-Datos_General[[#This Row],[Minutos Jugados]]</f>
        <v>34</v>
      </c>
      <c r="V450" s="1">
        <v>0</v>
      </c>
      <c r="W450" s="1">
        <v>3</v>
      </c>
      <c r="X450" s="1">
        <v>1</v>
      </c>
      <c r="Y450" s="10" t="str">
        <f>+IF(Datos_General[[#This Row],[Resultado]]="Victoria", "3", IF(Datos_General[[#This Row],[Resultado]]="Empate","1",0))</f>
        <v>3</v>
      </c>
      <c r="Z450" s="11">
        <f>+Datos_General[[#This Row],[Minutos Jugados]]*Datos_General[[#This Row],[Puntos Jug_Campo]]</f>
        <v>168</v>
      </c>
      <c r="AA45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0" s="10" t="str">
        <f>+IF(Datos_General[[#This Row],[Resultado Jug_Campo]] = "Empate", "1",IF(Datos_General[[#This Row],[Resultado Jug_Campo]] = "Victoria", "3","0"))</f>
        <v>3</v>
      </c>
    </row>
    <row r="451" spans="1:28">
      <c r="A451" s="1">
        <v>29</v>
      </c>
      <c r="B451" s="6">
        <v>46151</v>
      </c>
      <c r="C451" s="1" t="s">
        <v>124</v>
      </c>
      <c r="D451" s="1" t="s">
        <v>133</v>
      </c>
      <c r="E451" s="10" t="str">
        <f>+CONCATENATE(Datos_General[[#This Row],[Eq.Local]], "-", Datos_General[[#This Row],[Eq.Visitante]])</f>
        <v>E.D. Arousa S.D.-Conxo Santiago B</v>
      </c>
      <c r="F451" s="1" t="s">
        <v>211</v>
      </c>
      <c r="G451" s="1" t="s">
        <v>58</v>
      </c>
      <c r="H451" s="1" t="s">
        <v>12</v>
      </c>
      <c r="I451" s="9">
        <v>2</v>
      </c>
      <c r="J451" s="9">
        <v>5</v>
      </c>
      <c r="K451" s="10" t="str">
        <f>+CONCATENATE(Datos_General[[#This Row],[Goles a Favor_Eq_local]],"-",Datos_General[[#This Row],[Gol a Favor_Eq_Visitante]])</f>
        <v>2-5</v>
      </c>
      <c r="L451" s="1" t="s">
        <v>133</v>
      </c>
      <c r="M451" s="1">
        <v>3</v>
      </c>
      <c r="N451" s="1" t="s">
        <v>144</v>
      </c>
      <c r="O451" s="1">
        <v>1</v>
      </c>
      <c r="P451" s="1" t="s">
        <v>2</v>
      </c>
      <c r="Q451" s="22">
        <v>1</v>
      </c>
      <c r="R451" s="9">
        <v>1</v>
      </c>
      <c r="S451" s="1">
        <v>90</v>
      </c>
      <c r="U451" s="1">
        <f>90-Datos_General[[#This Row],[Minutos Jugados]]</f>
        <v>0</v>
      </c>
      <c r="V451" s="1">
        <v>1</v>
      </c>
      <c r="W451" s="1">
        <v>5</v>
      </c>
      <c r="X451" s="1">
        <v>2</v>
      </c>
      <c r="Y451" s="10" t="str">
        <f>+IF(Datos_General[[#This Row],[Resultado]]="Victoria", "3", IF(Datos_General[[#This Row],[Resultado]]="Empate","1",0))</f>
        <v>3</v>
      </c>
      <c r="Z451" s="11">
        <f>+Datos_General[[#This Row],[Minutos Jugados]]*Datos_General[[#This Row],[Puntos Jug_Campo]]</f>
        <v>270</v>
      </c>
      <c r="AA45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1" s="10" t="str">
        <f>+IF(Datos_General[[#This Row],[Resultado Jug_Campo]] = "Empate", "1",IF(Datos_General[[#This Row],[Resultado Jug_Campo]] = "Victoria", "3","0"))</f>
        <v>3</v>
      </c>
    </row>
    <row r="452" spans="1:28">
      <c r="A452" s="1">
        <v>29</v>
      </c>
      <c r="B452" s="6">
        <v>46151</v>
      </c>
      <c r="C452" s="1" t="s">
        <v>124</v>
      </c>
      <c r="D452" s="1" t="s">
        <v>133</v>
      </c>
      <c r="E452" s="10" t="str">
        <f>+CONCATENATE(Datos_General[[#This Row],[Eq.Local]], "-", Datos_General[[#This Row],[Eq.Visitante]])</f>
        <v>E.D. Arousa S.D.-Conxo Santiago B</v>
      </c>
      <c r="F452" s="1" t="s">
        <v>211</v>
      </c>
      <c r="G452" s="1" t="s">
        <v>58</v>
      </c>
      <c r="H452" s="1" t="s">
        <v>12</v>
      </c>
      <c r="I452" s="9">
        <v>2</v>
      </c>
      <c r="J452" s="9">
        <v>5</v>
      </c>
      <c r="K452" s="10" t="str">
        <f>+CONCATENATE(Datos_General[[#This Row],[Goles a Favor_Eq_local]],"-",Datos_General[[#This Row],[Gol a Favor_Eq_Visitante]])</f>
        <v>2-5</v>
      </c>
      <c r="L452" s="1" t="s">
        <v>133</v>
      </c>
      <c r="M452" s="1">
        <v>4</v>
      </c>
      <c r="N452" s="1" t="s">
        <v>140</v>
      </c>
      <c r="O452" s="1">
        <v>1</v>
      </c>
      <c r="P452" s="1" t="s">
        <v>2</v>
      </c>
      <c r="Q452" s="22">
        <v>1</v>
      </c>
      <c r="R452" s="9">
        <v>1</v>
      </c>
      <c r="S452" s="1">
        <v>90</v>
      </c>
      <c r="U452" s="1">
        <f>90-Datos_General[[#This Row],[Minutos Jugados]]</f>
        <v>0</v>
      </c>
      <c r="V452" s="1">
        <v>0</v>
      </c>
      <c r="W452" s="1">
        <v>5</v>
      </c>
      <c r="X452" s="1">
        <v>2</v>
      </c>
      <c r="Y452" s="10" t="str">
        <f>+IF(Datos_General[[#This Row],[Resultado]]="Victoria", "3", IF(Datos_General[[#This Row],[Resultado]]="Empate","1",0))</f>
        <v>3</v>
      </c>
      <c r="Z452" s="11">
        <f>+Datos_General[[#This Row],[Minutos Jugados]]*Datos_General[[#This Row],[Puntos Jug_Campo]]</f>
        <v>270</v>
      </c>
      <c r="AA45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2" s="10" t="str">
        <f>+IF(Datos_General[[#This Row],[Resultado Jug_Campo]] = "Empate", "1",IF(Datos_General[[#This Row],[Resultado Jug_Campo]] = "Victoria", "3","0"))</f>
        <v>3</v>
      </c>
    </row>
    <row r="453" spans="1:28">
      <c r="A453" s="1">
        <v>29</v>
      </c>
      <c r="B453" s="6">
        <v>46151</v>
      </c>
      <c r="C453" s="1" t="s">
        <v>124</v>
      </c>
      <c r="D453" s="1" t="s">
        <v>133</v>
      </c>
      <c r="E453" s="10" t="str">
        <f>+CONCATENATE(Datos_General[[#This Row],[Eq.Local]], "-", Datos_General[[#This Row],[Eq.Visitante]])</f>
        <v>E.D. Arousa S.D.-Conxo Santiago B</v>
      </c>
      <c r="F453" s="1" t="s">
        <v>211</v>
      </c>
      <c r="G453" s="1" t="s">
        <v>58</v>
      </c>
      <c r="H453" s="1" t="s">
        <v>12</v>
      </c>
      <c r="I453" s="9">
        <v>2</v>
      </c>
      <c r="J453" s="9">
        <v>5</v>
      </c>
      <c r="K453" s="10" t="str">
        <f>+CONCATENATE(Datos_General[[#This Row],[Goles a Favor_Eq_local]],"-",Datos_General[[#This Row],[Gol a Favor_Eq_Visitante]])</f>
        <v>2-5</v>
      </c>
      <c r="L453" s="1" t="s">
        <v>133</v>
      </c>
      <c r="M453" s="1">
        <v>5</v>
      </c>
      <c r="N453" s="1" t="s">
        <v>162</v>
      </c>
      <c r="O453" s="1">
        <v>1</v>
      </c>
      <c r="P453" s="1" t="s">
        <v>2</v>
      </c>
      <c r="Q453" s="22">
        <v>1</v>
      </c>
      <c r="R453" s="9">
        <v>1</v>
      </c>
      <c r="S453" s="1">
        <v>90</v>
      </c>
      <c r="U453" s="1">
        <f>90-Datos_General[[#This Row],[Minutos Jugados]]</f>
        <v>0</v>
      </c>
      <c r="V453" s="1">
        <v>1</v>
      </c>
      <c r="W453" s="1">
        <v>5</v>
      </c>
      <c r="X453" s="1">
        <v>2</v>
      </c>
      <c r="Y453" s="10" t="str">
        <f>+IF(Datos_General[[#This Row],[Resultado]]="Victoria", "3", IF(Datos_General[[#This Row],[Resultado]]="Empate","1",0))</f>
        <v>3</v>
      </c>
      <c r="Z453" s="11">
        <f>+Datos_General[[#This Row],[Minutos Jugados]]*Datos_General[[#This Row],[Puntos Jug_Campo]]</f>
        <v>270</v>
      </c>
      <c r="AA45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3" s="10" t="str">
        <f>+IF(Datos_General[[#This Row],[Resultado Jug_Campo]] = "Empate", "1",IF(Datos_General[[#This Row],[Resultado Jug_Campo]] = "Victoria", "3","0"))</f>
        <v>3</v>
      </c>
    </row>
    <row r="454" spans="1:28">
      <c r="A454" s="1">
        <v>29</v>
      </c>
      <c r="B454" s="6">
        <v>46151</v>
      </c>
      <c r="C454" s="1" t="s">
        <v>124</v>
      </c>
      <c r="D454" s="1" t="s">
        <v>133</v>
      </c>
      <c r="E454" s="10" t="str">
        <f>+CONCATENATE(Datos_General[[#This Row],[Eq.Local]], "-", Datos_General[[#This Row],[Eq.Visitante]])</f>
        <v>E.D. Arousa S.D.-Conxo Santiago B</v>
      </c>
      <c r="F454" s="1" t="s">
        <v>211</v>
      </c>
      <c r="G454" s="1" t="s">
        <v>58</v>
      </c>
      <c r="H454" s="1" t="s">
        <v>12</v>
      </c>
      <c r="I454" s="9">
        <v>2</v>
      </c>
      <c r="J454" s="9">
        <v>5</v>
      </c>
      <c r="K454" s="10" t="str">
        <f>+CONCATENATE(Datos_General[[#This Row],[Goles a Favor_Eq_local]],"-",Datos_General[[#This Row],[Gol a Favor_Eq_Visitante]])</f>
        <v>2-5</v>
      </c>
      <c r="L454" s="1" t="s">
        <v>133</v>
      </c>
      <c r="M454" s="1">
        <v>6</v>
      </c>
      <c r="N454" s="1" t="s">
        <v>146</v>
      </c>
      <c r="O454" s="1">
        <v>1</v>
      </c>
      <c r="P454" s="1" t="s">
        <v>2</v>
      </c>
      <c r="Q454" s="22">
        <v>1</v>
      </c>
      <c r="R454" s="9">
        <v>1</v>
      </c>
      <c r="S454" s="1">
        <v>90</v>
      </c>
      <c r="U454" s="1">
        <f>90-Datos_General[[#This Row],[Minutos Jugados]]</f>
        <v>0</v>
      </c>
      <c r="V454" s="1">
        <v>1</v>
      </c>
      <c r="W454" s="1">
        <v>5</v>
      </c>
      <c r="X454" s="1">
        <v>2</v>
      </c>
      <c r="Y454" s="10" t="str">
        <f>+IF(Datos_General[[#This Row],[Resultado]]="Victoria", "3", IF(Datos_General[[#This Row],[Resultado]]="Empate","1",0))</f>
        <v>3</v>
      </c>
      <c r="Z454" s="11">
        <f>+Datos_General[[#This Row],[Minutos Jugados]]*Datos_General[[#This Row],[Puntos Jug_Campo]]</f>
        <v>270</v>
      </c>
      <c r="AA45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4" s="10" t="str">
        <f>+IF(Datos_General[[#This Row],[Resultado Jug_Campo]] = "Empate", "1",IF(Datos_General[[#This Row],[Resultado Jug_Campo]] = "Victoria", "3","0"))</f>
        <v>3</v>
      </c>
    </row>
    <row r="455" spans="1:28">
      <c r="A455" s="1">
        <v>29</v>
      </c>
      <c r="B455" s="6">
        <v>46151</v>
      </c>
      <c r="C455" s="1" t="s">
        <v>124</v>
      </c>
      <c r="D455" s="1" t="s">
        <v>133</v>
      </c>
      <c r="E455" s="10" t="str">
        <f>+CONCATENATE(Datos_General[[#This Row],[Eq.Local]], "-", Datos_General[[#This Row],[Eq.Visitante]])</f>
        <v>E.D. Arousa S.D.-Conxo Santiago B</v>
      </c>
      <c r="F455" s="1" t="s">
        <v>211</v>
      </c>
      <c r="G455" s="1" t="s">
        <v>58</v>
      </c>
      <c r="H455" s="1" t="s">
        <v>12</v>
      </c>
      <c r="I455" s="9">
        <v>2</v>
      </c>
      <c r="J455" s="9">
        <v>5</v>
      </c>
      <c r="K455" s="10" t="str">
        <f>+CONCATENATE(Datos_General[[#This Row],[Goles a Favor_Eq_local]],"-",Datos_General[[#This Row],[Gol a Favor_Eq_Visitante]])</f>
        <v>2-5</v>
      </c>
      <c r="L455" s="1" t="s">
        <v>133</v>
      </c>
      <c r="M455" s="1">
        <v>7</v>
      </c>
      <c r="N455" s="1" t="s">
        <v>156</v>
      </c>
      <c r="O455" s="1">
        <v>1</v>
      </c>
      <c r="P455" s="1" t="s">
        <v>2</v>
      </c>
      <c r="Q455" s="22">
        <v>1</v>
      </c>
      <c r="R455" s="9">
        <v>1</v>
      </c>
      <c r="S455" s="1">
        <v>70</v>
      </c>
      <c r="T455" s="1" t="s">
        <v>139</v>
      </c>
      <c r="U455" s="1">
        <f>90-Datos_General[[#This Row],[Minutos Jugados]]</f>
        <v>20</v>
      </c>
      <c r="V455" s="1">
        <v>1</v>
      </c>
      <c r="W455" s="1">
        <v>4</v>
      </c>
      <c r="X455" s="1">
        <v>1</v>
      </c>
      <c r="Y455" s="10" t="str">
        <f>+IF(Datos_General[[#This Row],[Resultado]]="Victoria", "3", IF(Datos_General[[#This Row],[Resultado]]="Empate","1",0))</f>
        <v>3</v>
      </c>
      <c r="Z455" s="11">
        <f>+Datos_General[[#This Row],[Minutos Jugados]]*Datos_General[[#This Row],[Puntos Jug_Campo]]</f>
        <v>210</v>
      </c>
      <c r="AA45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5" s="10" t="str">
        <f>+IF(Datos_General[[#This Row],[Resultado Jug_Campo]] = "Empate", "1",IF(Datos_General[[#This Row],[Resultado Jug_Campo]] = "Victoria", "3","0"))</f>
        <v>3</v>
      </c>
    </row>
    <row r="456" spans="1:28">
      <c r="A456" s="1">
        <v>29</v>
      </c>
      <c r="B456" s="6">
        <v>46151</v>
      </c>
      <c r="C456" s="1" t="s">
        <v>124</v>
      </c>
      <c r="D456" s="1" t="s">
        <v>133</v>
      </c>
      <c r="E456" s="10" t="str">
        <f>+CONCATENATE(Datos_General[[#This Row],[Eq.Local]], "-", Datos_General[[#This Row],[Eq.Visitante]])</f>
        <v>E.D. Arousa S.D.-Conxo Santiago B</v>
      </c>
      <c r="F456" s="1" t="s">
        <v>211</v>
      </c>
      <c r="G456" s="1" t="s">
        <v>58</v>
      </c>
      <c r="H456" s="1" t="s">
        <v>12</v>
      </c>
      <c r="I456" s="9">
        <v>2</v>
      </c>
      <c r="J456" s="9">
        <v>5</v>
      </c>
      <c r="K456" s="10" t="str">
        <f>+CONCATENATE(Datos_General[[#This Row],[Goles a Favor_Eq_local]],"-",Datos_General[[#This Row],[Gol a Favor_Eq_Visitante]])</f>
        <v>2-5</v>
      </c>
      <c r="L456" s="1" t="s">
        <v>133</v>
      </c>
      <c r="M456" s="1">
        <v>8</v>
      </c>
      <c r="N456" s="1" t="s">
        <v>165</v>
      </c>
      <c r="O456" s="1">
        <v>1</v>
      </c>
      <c r="P456" s="1" t="s">
        <v>2</v>
      </c>
      <c r="Q456" s="22">
        <v>1</v>
      </c>
      <c r="R456" s="9">
        <v>1</v>
      </c>
      <c r="S456" s="1">
        <v>90</v>
      </c>
      <c r="U456" s="1">
        <f>90-Datos_General[[#This Row],[Minutos Jugados]]</f>
        <v>0</v>
      </c>
      <c r="V456" s="1">
        <v>0</v>
      </c>
      <c r="W456" s="1">
        <v>5</v>
      </c>
      <c r="X456" s="1">
        <v>2</v>
      </c>
      <c r="Y456" s="10" t="str">
        <f>+IF(Datos_General[[#This Row],[Resultado]]="Victoria", "3", IF(Datos_General[[#This Row],[Resultado]]="Empate","1",0))</f>
        <v>3</v>
      </c>
      <c r="Z456" s="11">
        <f>+Datos_General[[#This Row],[Minutos Jugados]]*Datos_General[[#This Row],[Puntos Jug_Campo]]</f>
        <v>270</v>
      </c>
      <c r="AA45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6" s="10" t="str">
        <f>+IF(Datos_General[[#This Row],[Resultado Jug_Campo]] = "Empate", "1",IF(Datos_General[[#This Row],[Resultado Jug_Campo]] = "Victoria", "3","0"))</f>
        <v>3</v>
      </c>
    </row>
    <row r="457" spans="1:28">
      <c r="A457" s="1">
        <v>29</v>
      </c>
      <c r="B457" s="6">
        <v>46151</v>
      </c>
      <c r="C457" s="1" t="s">
        <v>124</v>
      </c>
      <c r="D457" s="1" t="s">
        <v>133</v>
      </c>
      <c r="E457" s="10" t="str">
        <f>+CONCATENATE(Datos_General[[#This Row],[Eq.Local]], "-", Datos_General[[#This Row],[Eq.Visitante]])</f>
        <v>E.D. Arousa S.D.-Conxo Santiago B</v>
      </c>
      <c r="F457" s="1" t="s">
        <v>211</v>
      </c>
      <c r="G457" s="1" t="s">
        <v>58</v>
      </c>
      <c r="H457" s="1" t="s">
        <v>12</v>
      </c>
      <c r="I457" s="9">
        <v>2</v>
      </c>
      <c r="J457" s="9">
        <v>5</v>
      </c>
      <c r="K457" s="10" t="str">
        <f>+CONCATENATE(Datos_General[[#This Row],[Goles a Favor_Eq_local]],"-",Datos_General[[#This Row],[Gol a Favor_Eq_Visitante]])</f>
        <v>2-5</v>
      </c>
      <c r="L457" s="1" t="s">
        <v>133</v>
      </c>
      <c r="M457" s="1">
        <v>9</v>
      </c>
      <c r="N457" s="1" t="s">
        <v>198</v>
      </c>
      <c r="O457" s="1">
        <v>1</v>
      </c>
      <c r="P457" s="1" t="s">
        <v>2</v>
      </c>
      <c r="Q457" s="22">
        <v>1</v>
      </c>
      <c r="R457" s="9">
        <v>1</v>
      </c>
      <c r="S457" s="1">
        <v>56</v>
      </c>
      <c r="T457" s="1" t="s">
        <v>151</v>
      </c>
      <c r="U457" s="1">
        <f>90-Datos_General[[#This Row],[Minutos Jugados]]</f>
        <v>34</v>
      </c>
      <c r="V457" s="1">
        <v>0</v>
      </c>
      <c r="W457" s="1">
        <v>3</v>
      </c>
      <c r="X457" s="1">
        <v>1</v>
      </c>
      <c r="Y457" s="10" t="str">
        <f>+IF(Datos_General[[#This Row],[Resultado]]="Victoria", "3", IF(Datos_General[[#This Row],[Resultado]]="Empate","1",0))</f>
        <v>3</v>
      </c>
      <c r="Z457" s="11">
        <f>+Datos_General[[#This Row],[Minutos Jugados]]*Datos_General[[#This Row],[Puntos Jug_Campo]]</f>
        <v>168</v>
      </c>
      <c r="AA45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7" s="10" t="str">
        <f>+IF(Datos_General[[#This Row],[Resultado Jug_Campo]] = "Empate", "1",IF(Datos_General[[#This Row],[Resultado Jug_Campo]] = "Victoria", "3","0"))</f>
        <v>3</v>
      </c>
    </row>
    <row r="458" spans="1:28">
      <c r="A458" s="1">
        <v>29</v>
      </c>
      <c r="B458" s="6">
        <v>46151</v>
      </c>
      <c r="C458" s="1" t="s">
        <v>124</v>
      </c>
      <c r="D458" s="1" t="s">
        <v>133</v>
      </c>
      <c r="E458" s="10" t="str">
        <f>+CONCATENATE(Datos_General[[#This Row],[Eq.Local]], "-", Datos_General[[#This Row],[Eq.Visitante]])</f>
        <v>E.D. Arousa S.D.-Conxo Santiago B</v>
      </c>
      <c r="F458" s="1" t="s">
        <v>211</v>
      </c>
      <c r="G458" s="1" t="s">
        <v>58</v>
      </c>
      <c r="H458" s="1" t="s">
        <v>12</v>
      </c>
      <c r="I458" s="9">
        <v>2</v>
      </c>
      <c r="J458" s="9">
        <v>5</v>
      </c>
      <c r="K458" s="10" t="str">
        <f>+CONCATENATE(Datos_General[[#This Row],[Goles a Favor_Eq_local]],"-",Datos_General[[#This Row],[Gol a Favor_Eq_Visitante]])</f>
        <v>2-5</v>
      </c>
      <c r="L458" s="1" t="s">
        <v>133</v>
      </c>
      <c r="M458" s="1">
        <v>10</v>
      </c>
      <c r="N458" s="1" t="s">
        <v>166</v>
      </c>
      <c r="O458" s="1">
        <v>1</v>
      </c>
      <c r="P458" s="1" t="s">
        <v>2</v>
      </c>
      <c r="Q458" s="22">
        <v>1</v>
      </c>
      <c r="R458" s="9">
        <v>1</v>
      </c>
      <c r="S458" s="1">
        <v>90</v>
      </c>
      <c r="U458" s="1">
        <f>90-Datos_General[[#This Row],[Minutos Jugados]]</f>
        <v>0</v>
      </c>
      <c r="V458" s="1">
        <v>0</v>
      </c>
      <c r="W458" s="1">
        <v>5</v>
      </c>
      <c r="X458" s="1">
        <v>2</v>
      </c>
      <c r="Y458" s="10" t="str">
        <f>+IF(Datos_General[[#This Row],[Resultado]]="Victoria", "3", IF(Datos_General[[#This Row],[Resultado]]="Empate","1",0))</f>
        <v>3</v>
      </c>
      <c r="Z458" s="11">
        <f>+Datos_General[[#This Row],[Minutos Jugados]]*Datos_General[[#This Row],[Puntos Jug_Campo]]</f>
        <v>270</v>
      </c>
      <c r="AA45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8" s="10" t="str">
        <f>+IF(Datos_General[[#This Row],[Resultado Jug_Campo]] = "Empate", "1",IF(Datos_General[[#This Row],[Resultado Jug_Campo]] = "Victoria", "3","0"))</f>
        <v>3</v>
      </c>
    </row>
    <row r="459" spans="1:28">
      <c r="A459" s="1">
        <v>29</v>
      </c>
      <c r="B459" s="6">
        <v>46151</v>
      </c>
      <c r="C459" s="1" t="s">
        <v>124</v>
      </c>
      <c r="D459" s="1" t="s">
        <v>133</v>
      </c>
      <c r="E459" s="10" t="str">
        <f>+CONCATENATE(Datos_General[[#This Row],[Eq.Local]], "-", Datos_General[[#This Row],[Eq.Visitante]])</f>
        <v>E.D. Arousa S.D.-Conxo Santiago B</v>
      </c>
      <c r="F459" s="1" t="s">
        <v>211</v>
      </c>
      <c r="G459" s="1" t="s">
        <v>58</v>
      </c>
      <c r="H459" s="1" t="s">
        <v>12</v>
      </c>
      <c r="I459" s="9">
        <v>2</v>
      </c>
      <c r="J459" s="9">
        <v>5</v>
      </c>
      <c r="K459" s="10" t="str">
        <f>+CONCATENATE(Datos_General[[#This Row],[Goles a Favor_Eq_local]],"-",Datos_General[[#This Row],[Gol a Favor_Eq_Visitante]])</f>
        <v>2-5</v>
      </c>
      <c r="L459" s="1" t="s">
        <v>133</v>
      </c>
      <c r="M459" s="1">
        <v>11</v>
      </c>
      <c r="N459" s="1" t="s">
        <v>159</v>
      </c>
      <c r="O459" s="1">
        <v>1</v>
      </c>
      <c r="P459" s="1" t="s">
        <v>2</v>
      </c>
      <c r="Q459" s="22">
        <v>1</v>
      </c>
      <c r="R459" s="9">
        <v>1</v>
      </c>
      <c r="S459" s="1">
        <v>63</v>
      </c>
      <c r="T459" s="1" t="s">
        <v>150</v>
      </c>
      <c r="U459" s="1">
        <f>90-Datos_General[[#This Row],[Minutos Jugados]]</f>
        <v>27</v>
      </c>
      <c r="V459" s="1">
        <v>0</v>
      </c>
      <c r="W459" s="1">
        <v>4</v>
      </c>
      <c r="X459" s="1">
        <v>1</v>
      </c>
      <c r="Y459" s="10" t="str">
        <f>+IF(Datos_General[[#This Row],[Resultado]]="Victoria", "3", IF(Datos_General[[#This Row],[Resultado]]="Empate","1",0))</f>
        <v>3</v>
      </c>
      <c r="Z459" s="11">
        <f>+Datos_General[[#This Row],[Minutos Jugados]]*Datos_General[[#This Row],[Puntos Jug_Campo]]</f>
        <v>189</v>
      </c>
      <c r="AA45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59" s="10" t="str">
        <f>+IF(Datos_General[[#This Row],[Resultado Jug_Campo]] = "Empate", "1",IF(Datos_General[[#This Row],[Resultado Jug_Campo]] = "Victoria", "3","0"))</f>
        <v>3</v>
      </c>
    </row>
    <row r="460" spans="1:28">
      <c r="A460" s="1">
        <v>29</v>
      </c>
      <c r="B460" s="6">
        <v>46151</v>
      </c>
      <c r="C460" s="1" t="s">
        <v>124</v>
      </c>
      <c r="D460" s="1" t="s">
        <v>133</v>
      </c>
      <c r="E460" s="10" t="str">
        <f>+CONCATENATE(Datos_General[[#This Row],[Eq.Local]], "-", Datos_General[[#This Row],[Eq.Visitante]])</f>
        <v>E.D. Arousa S.D.-Conxo Santiago B</v>
      </c>
      <c r="F460" s="1" t="s">
        <v>211</v>
      </c>
      <c r="G460" s="1" t="s">
        <v>58</v>
      </c>
      <c r="H460" s="1" t="s">
        <v>12</v>
      </c>
      <c r="I460" s="9">
        <v>2</v>
      </c>
      <c r="J460" s="9">
        <v>5</v>
      </c>
      <c r="K460" s="10" t="str">
        <f>+CONCATENATE(Datos_General[[#This Row],[Goles a Favor_Eq_local]],"-",Datos_General[[#This Row],[Gol a Favor_Eq_Visitante]])</f>
        <v>2-5</v>
      </c>
      <c r="L460" s="1" t="s">
        <v>133</v>
      </c>
      <c r="M460" s="1">
        <v>12</v>
      </c>
      <c r="N460" s="1" t="s">
        <v>150</v>
      </c>
      <c r="O460" s="1">
        <v>1</v>
      </c>
      <c r="P460" s="1" t="s">
        <v>70</v>
      </c>
      <c r="Q460" s="7">
        <f>+IF(Datos_General[[#This Row],[Minutos Jugados]]&gt;0, 1, 0)</f>
        <v>1</v>
      </c>
      <c r="R460" s="23">
        <v>0</v>
      </c>
      <c r="S460" s="8">
        <f>IFERROR(IF(MATCH(N460,$T$449:$T$463,0), INDEX($U$449:$U$463,MATCH(N460,$T$449:$T$463,0))),0)</f>
        <v>27</v>
      </c>
      <c r="U460" s="1">
        <f>90-Datos_General[[#This Row],[Minutos Jugados]]</f>
        <v>63</v>
      </c>
      <c r="V460" s="1">
        <v>0</v>
      </c>
      <c r="W460" s="1">
        <v>1</v>
      </c>
      <c r="X460" s="1">
        <v>1</v>
      </c>
      <c r="Y460" s="10" t="str">
        <f>+IF(Datos_General[[#This Row],[Resultado]]="Victoria", "3", IF(Datos_General[[#This Row],[Resultado]]="Empate","1",0))</f>
        <v>3</v>
      </c>
      <c r="Z460" s="11">
        <f>+Datos_General[[#This Row],[Minutos Jugados]]*Datos_General[[#This Row],[Puntos Jug_Campo]]</f>
        <v>27</v>
      </c>
      <c r="AA46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60" s="10" t="str">
        <f>+IF(Datos_General[[#This Row],[Resultado Jug_Campo]] = "Empate", "1",IF(Datos_General[[#This Row],[Resultado Jug_Campo]] = "Victoria", "3","0"))</f>
        <v>1</v>
      </c>
    </row>
    <row r="461" spans="1:28">
      <c r="A461" s="1">
        <v>29</v>
      </c>
      <c r="B461" s="6">
        <v>46151</v>
      </c>
      <c r="C461" s="1" t="s">
        <v>124</v>
      </c>
      <c r="D461" s="1" t="s">
        <v>133</v>
      </c>
      <c r="E461" s="10" t="str">
        <f>+CONCATENATE(Datos_General[[#This Row],[Eq.Local]], "-", Datos_General[[#This Row],[Eq.Visitante]])</f>
        <v>E.D. Arousa S.D.-Conxo Santiago B</v>
      </c>
      <c r="F461" s="1" t="s">
        <v>211</v>
      </c>
      <c r="G461" s="1" t="s">
        <v>58</v>
      </c>
      <c r="H461" s="1" t="s">
        <v>12</v>
      </c>
      <c r="I461" s="9">
        <v>2</v>
      </c>
      <c r="J461" s="9">
        <v>5</v>
      </c>
      <c r="K461" s="10" t="str">
        <f>+CONCATENATE(Datos_General[[#This Row],[Goles a Favor_Eq_local]],"-",Datos_General[[#This Row],[Gol a Favor_Eq_Visitante]])</f>
        <v>2-5</v>
      </c>
      <c r="L461" s="1" t="s">
        <v>133</v>
      </c>
      <c r="M461" s="1">
        <v>14</v>
      </c>
      <c r="N461" s="1" t="s">
        <v>151</v>
      </c>
      <c r="O461" s="1">
        <v>1</v>
      </c>
      <c r="P461" s="1" t="s">
        <v>70</v>
      </c>
      <c r="Q461" s="7">
        <f>+IF(Datos_General[[#This Row],[Minutos Jugados]]&gt;0, 1, 0)</f>
        <v>1</v>
      </c>
      <c r="R461" s="23">
        <v>0</v>
      </c>
      <c r="S461" s="8">
        <f>IFERROR(IF(MATCH(N461,$T$449:$T$463,0), INDEX($U$449:$U$463,MATCH(N461,$T$449:$T$463,0))),0)</f>
        <v>34</v>
      </c>
      <c r="U461" s="1">
        <f>90-Datos_General[[#This Row],[Minutos Jugados]]</f>
        <v>56</v>
      </c>
      <c r="V461" s="1">
        <v>1</v>
      </c>
      <c r="W461" s="1">
        <v>2</v>
      </c>
      <c r="X461" s="1">
        <v>1</v>
      </c>
      <c r="Y461" s="10" t="str">
        <f>+IF(Datos_General[[#This Row],[Resultado]]="Victoria", "3", IF(Datos_General[[#This Row],[Resultado]]="Empate","1",0))</f>
        <v>3</v>
      </c>
      <c r="Z461" s="11">
        <f>+Datos_General[[#This Row],[Minutos Jugados]]*Datos_General[[#This Row],[Puntos Jug_Campo]]</f>
        <v>102</v>
      </c>
      <c r="AA46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61" s="10" t="str">
        <f>+IF(Datos_General[[#This Row],[Resultado Jug_Campo]] = "Empate", "1",IF(Datos_General[[#This Row],[Resultado Jug_Campo]] = "Victoria", "3","0"))</f>
        <v>3</v>
      </c>
    </row>
    <row r="462" spans="1:28">
      <c r="A462" s="1">
        <v>29</v>
      </c>
      <c r="B462" s="6">
        <v>46151</v>
      </c>
      <c r="C462" s="1" t="s">
        <v>124</v>
      </c>
      <c r="D462" s="1" t="s">
        <v>133</v>
      </c>
      <c r="E462" s="10" t="str">
        <f>+CONCATENATE(Datos_General[[#This Row],[Eq.Local]], "-", Datos_General[[#This Row],[Eq.Visitante]])</f>
        <v>E.D. Arousa S.D.-Conxo Santiago B</v>
      </c>
      <c r="F462" s="1" t="s">
        <v>211</v>
      </c>
      <c r="G462" s="1" t="s">
        <v>58</v>
      </c>
      <c r="H462" s="1" t="s">
        <v>12</v>
      </c>
      <c r="I462" s="9">
        <v>2</v>
      </c>
      <c r="J462" s="9">
        <v>5</v>
      </c>
      <c r="K462" s="10" t="str">
        <f>+CONCATENATE(Datos_General[[#This Row],[Goles a Favor_Eq_local]],"-",Datos_General[[#This Row],[Gol a Favor_Eq_Visitante]])</f>
        <v>2-5</v>
      </c>
      <c r="L462" s="1" t="s">
        <v>133</v>
      </c>
      <c r="M462" s="1">
        <v>15</v>
      </c>
      <c r="N462" s="1" t="s">
        <v>163</v>
      </c>
      <c r="O462" s="1">
        <v>1</v>
      </c>
      <c r="P462" s="1" t="s">
        <v>70</v>
      </c>
      <c r="Q462" s="7">
        <f>+IF(Datos_General[[#This Row],[Minutos Jugados]]&gt;0, 1, 0)</f>
        <v>1</v>
      </c>
      <c r="R462" s="23">
        <v>0</v>
      </c>
      <c r="S462" s="8">
        <f>IFERROR(IF(MATCH(N462,$T$449:$T$463,0), INDEX($U$449:$U$463,MATCH(N462,$T$449:$T$463,0))),0)</f>
        <v>34</v>
      </c>
      <c r="U462" s="1">
        <f>90-Datos_General[[#This Row],[Minutos Jugados]]</f>
        <v>56</v>
      </c>
      <c r="V462" s="1">
        <v>0</v>
      </c>
      <c r="W462" s="1">
        <v>2</v>
      </c>
      <c r="X462" s="1">
        <v>1</v>
      </c>
      <c r="Y462" s="10" t="str">
        <f>+IF(Datos_General[[#This Row],[Resultado]]="Victoria", "3", IF(Datos_General[[#This Row],[Resultado]]="Empate","1",0))</f>
        <v>3</v>
      </c>
      <c r="Z462" s="11">
        <f>+Datos_General[[#This Row],[Minutos Jugados]]*Datos_General[[#This Row],[Puntos Jug_Campo]]</f>
        <v>102</v>
      </c>
      <c r="AA46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62" s="10" t="str">
        <f>+IF(Datos_General[[#This Row],[Resultado Jug_Campo]] = "Empate", "1",IF(Datos_General[[#This Row],[Resultado Jug_Campo]] = "Victoria", "3","0"))</f>
        <v>3</v>
      </c>
    </row>
    <row r="463" spans="1:28">
      <c r="A463" s="1">
        <v>29</v>
      </c>
      <c r="B463" s="6">
        <v>46151</v>
      </c>
      <c r="C463" s="1" t="s">
        <v>124</v>
      </c>
      <c r="D463" s="1" t="s">
        <v>133</v>
      </c>
      <c r="E463" s="10" t="str">
        <f>+CONCATENATE(Datos_General[[#This Row],[Eq.Local]], "-", Datos_General[[#This Row],[Eq.Visitante]])</f>
        <v>E.D. Arousa S.D.-Conxo Santiago B</v>
      </c>
      <c r="F463" s="1" t="s">
        <v>211</v>
      </c>
      <c r="G463" s="1" t="s">
        <v>58</v>
      </c>
      <c r="H463" s="1" t="s">
        <v>12</v>
      </c>
      <c r="I463" s="9">
        <v>2</v>
      </c>
      <c r="J463" s="9">
        <v>5</v>
      </c>
      <c r="K463" s="10" t="str">
        <f>+CONCATENATE(Datos_General[[#This Row],[Goles a Favor_Eq_local]],"-",Datos_General[[#This Row],[Gol a Favor_Eq_Visitante]])</f>
        <v>2-5</v>
      </c>
      <c r="L463" s="1" t="s">
        <v>133</v>
      </c>
      <c r="M463" s="1">
        <v>16</v>
      </c>
      <c r="N463" s="1" t="s">
        <v>139</v>
      </c>
      <c r="O463" s="1">
        <v>1</v>
      </c>
      <c r="P463" s="1" t="s">
        <v>70</v>
      </c>
      <c r="Q463" s="7">
        <f>+IF(Datos_General[[#This Row],[Minutos Jugados]]&gt;0, 1, 0)</f>
        <v>1</v>
      </c>
      <c r="R463" s="23">
        <v>0</v>
      </c>
      <c r="S463" s="8">
        <f>IFERROR(IF(MATCH(N463,$T$449:$T$463,0), INDEX($U$449:$U$463,MATCH(N463,$T$449:$T$463,0))),0)</f>
        <v>20</v>
      </c>
      <c r="U463" s="1">
        <f>90-Datos_General[[#This Row],[Minutos Jugados]]</f>
        <v>70</v>
      </c>
      <c r="V463" s="1">
        <v>0</v>
      </c>
      <c r="W463" s="1">
        <v>1</v>
      </c>
      <c r="X463" s="1">
        <v>1</v>
      </c>
      <c r="Y463" s="10" t="str">
        <f>+IF(Datos_General[[#This Row],[Resultado]]="Victoria", "3", IF(Datos_General[[#This Row],[Resultado]]="Empate","1",0))</f>
        <v>3</v>
      </c>
      <c r="Z463" s="11">
        <f>+Datos_General[[#This Row],[Minutos Jugados]]*Datos_General[[#This Row],[Puntos Jug_Campo]]</f>
        <v>20</v>
      </c>
      <c r="AA46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Empate</v>
      </c>
      <c r="AB463" s="10" t="str">
        <f>+IF(Datos_General[[#This Row],[Resultado Jug_Campo]] = "Empate", "1",IF(Datos_General[[#This Row],[Resultado Jug_Campo]] = "Victoria", "3","0"))</f>
        <v>1</v>
      </c>
    </row>
    <row r="464" spans="1:28">
      <c r="A464" s="1">
        <v>30</v>
      </c>
      <c r="B464" s="6">
        <v>46158</v>
      </c>
      <c r="C464" s="1" t="s">
        <v>133</v>
      </c>
      <c r="D464" s="1" t="s">
        <v>136</v>
      </c>
      <c r="E464" s="10" t="str">
        <f>+CONCATENATE(Datos_General[[#This Row],[Eq.Local]], "-", Datos_General[[#This Row],[Eq.Visitante]])</f>
        <v>Conxo Santiago B-S.D. Monteporreiro</v>
      </c>
      <c r="F464" s="1" t="s">
        <v>157</v>
      </c>
      <c r="G464" s="1" t="s">
        <v>57</v>
      </c>
      <c r="H464" s="1" t="s">
        <v>12</v>
      </c>
      <c r="I464" s="9">
        <v>7</v>
      </c>
      <c r="J464" s="9">
        <v>2</v>
      </c>
      <c r="K464" s="10" t="str">
        <f>+CONCATENATE(Datos_General[[#This Row],[Goles a Favor_Eq_local]],"-",Datos_General[[#This Row],[Gol a Favor_Eq_Visitante]])</f>
        <v>7-2</v>
      </c>
      <c r="L464" s="1" t="s">
        <v>133</v>
      </c>
      <c r="M464" s="1">
        <v>1</v>
      </c>
      <c r="N464" s="1" t="s">
        <v>137</v>
      </c>
      <c r="O464" s="1">
        <v>1</v>
      </c>
      <c r="P464" s="1" t="s">
        <v>2</v>
      </c>
      <c r="Q464" s="22">
        <v>1</v>
      </c>
      <c r="R464" s="9">
        <v>1</v>
      </c>
      <c r="S464" s="1">
        <v>90</v>
      </c>
      <c r="U464" s="1">
        <f>90-Datos_General[[#This Row],[Minutos Jugados]]</f>
        <v>0</v>
      </c>
      <c r="V464" s="1">
        <v>0</v>
      </c>
      <c r="W464" s="1">
        <v>7</v>
      </c>
      <c r="X464" s="1">
        <v>2</v>
      </c>
      <c r="Y464" s="10" t="str">
        <f>+IF(Datos_General[[#This Row],[Resultado]]="Victoria", "3", IF(Datos_General[[#This Row],[Resultado]]="Empate","1",0))</f>
        <v>3</v>
      </c>
      <c r="Z464" s="11">
        <f>+Datos_General[[#This Row],[Minutos Jugados]]*Datos_General[[#This Row],[Puntos Jug_Campo]]</f>
        <v>270</v>
      </c>
      <c r="AA46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64" s="10" t="str">
        <f>+IF(Datos_General[[#This Row],[Resultado Jug_Campo]] = "Empate", "1",IF(Datos_General[[#This Row],[Resultado Jug_Campo]] = "Victoria", "3","0"))</f>
        <v>3</v>
      </c>
    </row>
    <row r="465" spans="1:28">
      <c r="A465" s="1">
        <v>30</v>
      </c>
      <c r="B465" s="6">
        <v>46158</v>
      </c>
      <c r="C465" s="1" t="s">
        <v>133</v>
      </c>
      <c r="D465" s="1" t="s">
        <v>136</v>
      </c>
      <c r="E465" s="10" t="str">
        <f>+CONCATENATE(Datos_General[[#This Row],[Eq.Local]], "-", Datos_General[[#This Row],[Eq.Visitante]])</f>
        <v>Conxo Santiago B-S.D. Monteporreiro</v>
      </c>
      <c r="F465" s="1" t="s">
        <v>157</v>
      </c>
      <c r="G465" s="1" t="s">
        <v>57</v>
      </c>
      <c r="H465" s="1" t="s">
        <v>12</v>
      </c>
      <c r="I465" s="9">
        <v>7</v>
      </c>
      <c r="J465" s="9">
        <v>2</v>
      </c>
      <c r="K465" s="10" t="str">
        <f>+CONCATENATE(Datos_General[[#This Row],[Goles a Favor_Eq_local]],"-",Datos_General[[#This Row],[Gol a Favor_Eq_Visitante]])</f>
        <v>7-2</v>
      </c>
      <c r="L465" s="1" t="s">
        <v>133</v>
      </c>
      <c r="M465" s="1">
        <v>2</v>
      </c>
      <c r="N465" s="1" t="s">
        <v>144</v>
      </c>
      <c r="O465" s="1">
        <v>1</v>
      </c>
      <c r="P465" s="1" t="s">
        <v>2</v>
      </c>
      <c r="Q465" s="22">
        <v>1</v>
      </c>
      <c r="R465" s="9">
        <v>1</v>
      </c>
      <c r="S465" s="1">
        <v>90</v>
      </c>
      <c r="U465" s="1">
        <f>90-Datos_General[[#This Row],[Minutos Jugados]]</f>
        <v>0</v>
      </c>
      <c r="V465" s="1">
        <v>1</v>
      </c>
      <c r="W465" s="1">
        <v>7</v>
      </c>
      <c r="X465" s="1">
        <v>2</v>
      </c>
      <c r="Y465" s="10" t="str">
        <f>+IF(Datos_General[[#This Row],[Resultado]]="Victoria", "3", IF(Datos_General[[#This Row],[Resultado]]="Empate","1",0))</f>
        <v>3</v>
      </c>
      <c r="Z465" s="11">
        <f>+Datos_General[[#This Row],[Minutos Jugados]]*Datos_General[[#This Row],[Puntos Jug_Campo]]</f>
        <v>270</v>
      </c>
      <c r="AA46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65" s="10" t="str">
        <f>+IF(Datos_General[[#This Row],[Resultado Jug_Campo]] = "Empate", "1",IF(Datos_General[[#This Row],[Resultado Jug_Campo]] = "Victoria", "3","0"))</f>
        <v>3</v>
      </c>
    </row>
    <row r="466" spans="1:28">
      <c r="A466" s="1">
        <v>30</v>
      </c>
      <c r="B466" s="6">
        <v>46158</v>
      </c>
      <c r="C466" s="1" t="s">
        <v>133</v>
      </c>
      <c r="D466" s="1" t="s">
        <v>136</v>
      </c>
      <c r="E466" s="10" t="str">
        <f>+CONCATENATE(Datos_General[[#This Row],[Eq.Local]], "-", Datos_General[[#This Row],[Eq.Visitante]])</f>
        <v>Conxo Santiago B-S.D. Monteporreiro</v>
      </c>
      <c r="F466" s="1" t="s">
        <v>157</v>
      </c>
      <c r="G466" s="1" t="s">
        <v>57</v>
      </c>
      <c r="H466" s="1" t="s">
        <v>12</v>
      </c>
      <c r="I466" s="9">
        <v>7</v>
      </c>
      <c r="J466" s="9">
        <v>2</v>
      </c>
      <c r="K466" s="10" t="str">
        <f>+CONCATENATE(Datos_General[[#This Row],[Goles a Favor_Eq_local]],"-",Datos_General[[#This Row],[Gol a Favor_Eq_Visitante]])</f>
        <v>7-2</v>
      </c>
      <c r="L466" s="1" t="s">
        <v>133</v>
      </c>
      <c r="M466" s="1">
        <v>3</v>
      </c>
      <c r="N466" s="1" t="s">
        <v>163</v>
      </c>
      <c r="O466" s="1">
        <v>1</v>
      </c>
      <c r="P466" s="1" t="s">
        <v>2</v>
      </c>
      <c r="Q466" s="22">
        <v>1</v>
      </c>
      <c r="R466" s="9">
        <v>1</v>
      </c>
      <c r="S466" s="1">
        <v>56</v>
      </c>
      <c r="T466" s="24" t="s">
        <v>150</v>
      </c>
      <c r="U466" s="1">
        <f>90-Datos_General[[#This Row],[Minutos Jugados]]</f>
        <v>34</v>
      </c>
      <c r="V466" s="1">
        <v>0</v>
      </c>
      <c r="W466" s="1">
        <v>3</v>
      </c>
      <c r="X466" s="1">
        <v>2</v>
      </c>
      <c r="Y466" s="10" t="str">
        <f>+IF(Datos_General[[#This Row],[Resultado]]="Victoria", "3", IF(Datos_General[[#This Row],[Resultado]]="Empate","1",0))</f>
        <v>3</v>
      </c>
      <c r="Z466" s="11">
        <f>+Datos_General[[#This Row],[Minutos Jugados]]*Datos_General[[#This Row],[Puntos Jug_Campo]]</f>
        <v>168</v>
      </c>
      <c r="AA46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66" s="10" t="str">
        <f>+IF(Datos_General[[#This Row],[Resultado Jug_Campo]] = "Empate", "1",IF(Datos_General[[#This Row],[Resultado Jug_Campo]] = "Victoria", "3","0"))</f>
        <v>3</v>
      </c>
    </row>
    <row r="467" spans="1:28">
      <c r="A467" s="1">
        <v>30</v>
      </c>
      <c r="B467" s="6">
        <v>46158</v>
      </c>
      <c r="C467" s="1" t="s">
        <v>133</v>
      </c>
      <c r="D467" s="1" t="s">
        <v>136</v>
      </c>
      <c r="E467" s="10" t="str">
        <f>+CONCATENATE(Datos_General[[#This Row],[Eq.Local]], "-", Datos_General[[#This Row],[Eq.Visitante]])</f>
        <v>Conxo Santiago B-S.D. Monteporreiro</v>
      </c>
      <c r="F467" s="1" t="s">
        <v>157</v>
      </c>
      <c r="G467" s="1" t="s">
        <v>57</v>
      </c>
      <c r="H467" s="1" t="s">
        <v>12</v>
      </c>
      <c r="I467" s="9">
        <v>7</v>
      </c>
      <c r="J467" s="9">
        <v>2</v>
      </c>
      <c r="K467" s="10" t="str">
        <f>+CONCATENATE(Datos_General[[#This Row],[Goles a Favor_Eq_local]],"-",Datos_General[[#This Row],[Gol a Favor_Eq_Visitante]])</f>
        <v>7-2</v>
      </c>
      <c r="L467" s="1" t="s">
        <v>133</v>
      </c>
      <c r="M467" s="1">
        <v>4</v>
      </c>
      <c r="N467" s="1" t="s">
        <v>140</v>
      </c>
      <c r="O467" s="1">
        <v>1</v>
      </c>
      <c r="P467" s="1" t="s">
        <v>2</v>
      </c>
      <c r="Q467" s="22">
        <v>1</v>
      </c>
      <c r="R467" s="9">
        <v>1</v>
      </c>
      <c r="S467" s="1">
        <v>90</v>
      </c>
      <c r="U467" s="1">
        <f>90-Datos_General[[#This Row],[Minutos Jugados]]</f>
        <v>0</v>
      </c>
      <c r="V467" s="1">
        <v>0</v>
      </c>
      <c r="W467" s="1">
        <v>7</v>
      </c>
      <c r="X467" s="1">
        <v>2</v>
      </c>
      <c r="Y467" s="10" t="str">
        <f>+IF(Datos_General[[#This Row],[Resultado]]="Victoria", "3", IF(Datos_General[[#This Row],[Resultado]]="Empate","1",0))</f>
        <v>3</v>
      </c>
      <c r="Z467" s="11">
        <f>+Datos_General[[#This Row],[Minutos Jugados]]*Datos_General[[#This Row],[Puntos Jug_Campo]]</f>
        <v>270</v>
      </c>
      <c r="AA46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67" s="10" t="str">
        <f>+IF(Datos_General[[#This Row],[Resultado Jug_Campo]] = "Empate", "1",IF(Datos_General[[#This Row],[Resultado Jug_Campo]] = "Victoria", "3","0"))</f>
        <v>3</v>
      </c>
    </row>
    <row r="468" spans="1:28">
      <c r="A468" s="1">
        <v>30</v>
      </c>
      <c r="B468" s="6">
        <v>46158</v>
      </c>
      <c r="C468" s="1" t="s">
        <v>133</v>
      </c>
      <c r="D468" s="1" t="s">
        <v>136</v>
      </c>
      <c r="E468" s="10" t="str">
        <f>+CONCATENATE(Datos_General[[#This Row],[Eq.Local]], "-", Datos_General[[#This Row],[Eq.Visitante]])</f>
        <v>Conxo Santiago B-S.D. Monteporreiro</v>
      </c>
      <c r="F468" s="1" t="s">
        <v>157</v>
      </c>
      <c r="G468" s="1" t="s">
        <v>57</v>
      </c>
      <c r="H468" s="1" t="s">
        <v>12</v>
      </c>
      <c r="I468" s="9">
        <v>7</v>
      </c>
      <c r="J468" s="9">
        <v>2</v>
      </c>
      <c r="K468" s="10" t="str">
        <f>+CONCATENATE(Datos_General[[#This Row],[Goles a Favor_Eq_local]],"-",Datos_General[[#This Row],[Gol a Favor_Eq_Visitante]])</f>
        <v>7-2</v>
      </c>
      <c r="L468" s="1" t="s">
        <v>133</v>
      </c>
      <c r="M468" s="1">
        <v>5</v>
      </c>
      <c r="N468" s="1" t="s">
        <v>162</v>
      </c>
      <c r="O468" s="1">
        <v>1</v>
      </c>
      <c r="P468" s="1" t="s">
        <v>2</v>
      </c>
      <c r="Q468" s="22">
        <v>1</v>
      </c>
      <c r="R468" s="9">
        <v>1</v>
      </c>
      <c r="S468" s="1">
        <v>90</v>
      </c>
      <c r="U468" s="1">
        <f>90-Datos_General[[#This Row],[Minutos Jugados]]</f>
        <v>0</v>
      </c>
      <c r="V468" s="1">
        <v>1</v>
      </c>
      <c r="W468" s="1">
        <v>7</v>
      </c>
      <c r="X468" s="1">
        <v>2</v>
      </c>
      <c r="Y468" s="10" t="str">
        <f>+IF(Datos_General[[#This Row],[Resultado]]="Victoria", "3", IF(Datos_General[[#This Row],[Resultado]]="Empate","1",0))</f>
        <v>3</v>
      </c>
      <c r="Z468" s="11">
        <f>+Datos_General[[#This Row],[Minutos Jugados]]*Datos_General[[#This Row],[Puntos Jug_Campo]]</f>
        <v>270</v>
      </c>
      <c r="AA46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68" s="10" t="str">
        <f>+IF(Datos_General[[#This Row],[Resultado Jug_Campo]] = "Empate", "1",IF(Datos_General[[#This Row],[Resultado Jug_Campo]] = "Victoria", "3","0"))</f>
        <v>3</v>
      </c>
    </row>
    <row r="469" spans="1:28">
      <c r="A469" s="1">
        <v>30</v>
      </c>
      <c r="B469" s="6">
        <v>46158</v>
      </c>
      <c r="C469" s="1" t="s">
        <v>133</v>
      </c>
      <c r="D469" s="1" t="s">
        <v>136</v>
      </c>
      <c r="E469" s="10" t="str">
        <f>+CONCATENATE(Datos_General[[#This Row],[Eq.Local]], "-", Datos_General[[#This Row],[Eq.Visitante]])</f>
        <v>Conxo Santiago B-S.D. Monteporreiro</v>
      </c>
      <c r="F469" s="1" t="s">
        <v>157</v>
      </c>
      <c r="G469" s="1" t="s">
        <v>57</v>
      </c>
      <c r="H469" s="1" t="s">
        <v>12</v>
      </c>
      <c r="I469" s="9">
        <v>7</v>
      </c>
      <c r="J469" s="9">
        <v>2</v>
      </c>
      <c r="K469" s="10" t="str">
        <f>+CONCATENATE(Datos_General[[#This Row],[Goles a Favor_Eq_local]],"-",Datos_General[[#This Row],[Gol a Favor_Eq_Visitante]])</f>
        <v>7-2</v>
      </c>
      <c r="L469" s="1" t="s">
        <v>133</v>
      </c>
      <c r="M469" s="1">
        <v>6</v>
      </c>
      <c r="N469" s="1" t="s">
        <v>146</v>
      </c>
      <c r="O469" s="1">
        <v>1</v>
      </c>
      <c r="P469" s="1" t="s">
        <v>2</v>
      </c>
      <c r="Q469" s="22">
        <v>1</v>
      </c>
      <c r="R469" s="9">
        <v>1</v>
      </c>
      <c r="S469" s="1">
        <v>90</v>
      </c>
      <c r="U469" s="1">
        <f>90-Datos_General[[#This Row],[Minutos Jugados]]</f>
        <v>0</v>
      </c>
      <c r="V469" s="1">
        <v>1</v>
      </c>
      <c r="W469" s="1">
        <v>7</v>
      </c>
      <c r="X469" s="1">
        <v>2</v>
      </c>
      <c r="Y469" s="10" t="str">
        <f>+IF(Datos_General[[#This Row],[Resultado]]="Victoria", "3", IF(Datos_General[[#This Row],[Resultado]]="Empate","1",0))</f>
        <v>3</v>
      </c>
      <c r="Z469" s="11">
        <f>+Datos_General[[#This Row],[Minutos Jugados]]*Datos_General[[#This Row],[Puntos Jug_Campo]]</f>
        <v>270</v>
      </c>
      <c r="AA46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69" s="10" t="str">
        <f>+IF(Datos_General[[#This Row],[Resultado Jug_Campo]] = "Empate", "1",IF(Datos_General[[#This Row],[Resultado Jug_Campo]] = "Victoria", "3","0"))</f>
        <v>3</v>
      </c>
    </row>
    <row r="470" spans="1:28">
      <c r="A470" s="1">
        <v>30</v>
      </c>
      <c r="B470" s="6">
        <v>46158</v>
      </c>
      <c r="C470" s="1" t="s">
        <v>133</v>
      </c>
      <c r="D470" s="1" t="s">
        <v>136</v>
      </c>
      <c r="E470" s="10" t="str">
        <f>+CONCATENATE(Datos_General[[#This Row],[Eq.Local]], "-", Datos_General[[#This Row],[Eq.Visitante]])</f>
        <v>Conxo Santiago B-S.D. Monteporreiro</v>
      </c>
      <c r="F470" s="1" t="s">
        <v>157</v>
      </c>
      <c r="G470" s="1" t="s">
        <v>57</v>
      </c>
      <c r="H470" s="1" t="s">
        <v>12</v>
      </c>
      <c r="I470" s="9">
        <v>7</v>
      </c>
      <c r="J470" s="9">
        <v>2</v>
      </c>
      <c r="K470" s="10" t="str">
        <f>+CONCATENATE(Datos_General[[#This Row],[Goles a Favor_Eq_local]],"-",Datos_General[[#This Row],[Gol a Favor_Eq_Visitante]])</f>
        <v>7-2</v>
      </c>
      <c r="L470" s="1" t="s">
        <v>133</v>
      </c>
      <c r="M470" s="1">
        <v>7</v>
      </c>
      <c r="N470" s="1" t="s">
        <v>156</v>
      </c>
      <c r="O470" s="1">
        <v>1</v>
      </c>
      <c r="P470" s="1" t="s">
        <v>2</v>
      </c>
      <c r="Q470" s="22">
        <v>1</v>
      </c>
      <c r="R470" s="9">
        <v>1</v>
      </c>
      <c r="S470" s="1">
        <v>56</v>
      </c>
      <c r="T470" s="1" t="s">
        <v>198</v>
      </c>
      <c r="U470" s="1">
        <f>90-Datos_General[[#This Row],[Minutos Jugados]]</f>
        <v>34</v>
      </c>
      <c r="V470" s="1">
        <v>0</v>
      </c>
      <c r="W470" s="1">
        <v>3</v>
      </c>
      <c r="X470" s="1">
        <v>2</v>
      </c>
      <c r="Y470" s="10" t="str">
        <f>+IF(Datos_General[[#This Row],[Resultado]]="Victoria", "3", IF(Datos_General[[#This Row],[Resultado]]="Empate","1",0))</f>
        <v>3</v>
      </c>
      <c r="Z470" s="11">
        <f>+Datos_General[[#This Row],[Minutos Jugados]]*Datos_General[[#This Row],[Puntos Jug_Campo]]</f>
        <v>168</v>
      </c>
      <c r="AA470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0" s="10" t="str">
        <f>+IF(Datos_General[[#This Row],[Resultado Jug_Campo]] = "Empate", "1",IF(Datos_General[[#This Row],[Resultado Jug_Campo]] = "Victoria", "3","0"))</f>
        <v>3</v>
      </c>
    </row>
    <row r="471" spans="1:28">
      <c r="A471" s="1">
        <v>30</v>
      </c>
      <c r="B471" s="6">
        <v>46158</v>
      </c>
      <c r="C471" s="1" t="s">
        <v>133</v>
      </c>
      <c r="D471" s="1" t="s">
        <v>136</v>
      </c>
      <c r="E471" s="10" t="str">
        <f>+CONCATENATE(Datos_General[[#This Row],[Eq.Local]], "-", Datos_General[[#This Row],[Eq.Visitante]])</f>
        <v>Conxo Santiago B-S.D. Monteporreiro</v>
      </c>
      <c r="F471" s="1" t="s">
        <v>157</v>
      </c>
      <c r="G471" s="1" t="s">
        <v>57</v>
      </c>
      <c r="H471" s="1" t="s">
        <v>12</v>
      </c>
      <c r="I471" s="9">
        <v>7</v>
      </c>
      <c r="J471" s="9">
        <v>2</v>
      </c>
      <c r="K471" s="10" t="str">
        <f>+CONCATENATE(Datos_General[[#This Row],[Goles a Favor_Eq_local]],"-",Datos_General[[#This Row],[Gol a Favor_Eq_Visitante]])</f>
        <v>7-2</v>
      </c>
      <c r="L471" s="1" t="s">
        <v>133</v>
      </c>
      <c r="M471" s="1">
        <v>8</v>
      </c>
      <c r="N471" s="1" t="s">
        <v>165</v>
      </c>
      <c r="O471" s="1">
        <v>1</v>
      </c>
      <c r="P471" s="1" t="s">
        <v>2</v>
      </c>
      <c r="Q471" s="22">
        <v>1</v>
      </c>
      <c r="R471" s="9">
        <v>1</v>
      </c>
      <c r="S471" s="1">
        <v>90</v>
      </c>
      <c r="U471" s="1">
        <f>90-Datos_General[[#This Row],[Minutos Jugados]]</f>
        <v>0</v>
      </c>
      <c r="V471" s="1">
        <v>2</v>
      </c>
      <c r="W471" s="1">
        <v>7</v>
      </c>
      <c r="X471" s="1">
        <v>2</v>
      </c>
      <c r="Y471" s="10" t="str">
        <f>+IF(Datos_General[[#This Row],[Resultado]]="Victoria", "3", IF(Datos_General[[#This Row],[Resultado]]="Empate","1",0))</f>
        <v>3</v>
      </c>
      <c r="Z471" s="11">
        <f>+Datos_General[[#This Row],[Minutos Jugados]]*Datos_General[[#This Row],[Puntos Jug_Campo]]</f>
        <v>270</v>
      </c>
      <c r="AA471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1" s="10" t="str">
        <f>+IF(Datos_General[[#This Row],[Resultado Jug_Campo]] = "Empate", "1",IF(Datos_General[[#This Row],[Resultado Jug_Campo]] = "Victoria", "3","0"))</f>
        <v>3</v>
      </c>
    </row>
    <row r="472" spans="1:28">
      <c r="A472" s="1">
        <v>30</v>
      </c>
      <c r="B472" s="6">
        <v>46158</v>
      </c>
      <c r="C472" s="1" t="s">
        <v>133</v>
      </c>
      <c r="D472" s="1" t="s">
        <v>136</v>
      </c>
      <c r="E472" s="10" t="str">
        <f>+CONCATENATE(Datos_General[[#This Row],[Eq.Local]], "-", Datos_General[[#This Row],[Eq.Visitante]])</f>
        <v>Conxo Santiago B-S.D. Monteporreiro</v>
      </c>
      <c r="F472" s="1" t="s">
        <v>157</v>
      </c>
      <c r="G472" s="1" t="s">
        <v>57</v>
      </c>
      <c r="H472" s="1" t="s">
        <v>12</v>
      </c>
      <c r="I472" s="9">
        <v>7</v>
      </c>
      <c r="J472" s="9">
        <v>2</v>
      </c>
      <c r="K472" s="10" t="str">
        <f>+CONCATENATE(Datos_General[[#This Row],[Goles a Favor_Eq_local]],"-",Datos_General[[#This Row],[Gol a Favor_Eq_Visitante]])</f>
        <v>7-2</v>
      </c>
      <c r="L472" s="1" t="s">
        <v>133</v>
      </c>
      <c r="M472" s="1">
        <v>9</v>
      </c>
      <c r="N472" s="1" t="s">
        <v>152</v>
      </c>
      <c r="O472" s="1">
        <v>1</v>
      </c>
      <c r="P472" s="1" t="s">
        <v>2</v>
      </c>
      <c r="Q472" s="22">
        <v>1</v>
      </c>
      <c r="R472" s="9">
        <v>1</v>
      </c>
      <c r="S472" s="1">
        <v>61</v>
      </c>
      <c r="T472" s="1" t="s">
        <v>159</v>
      </c>
      <c r="U472" s="1">
        <f>90-Datos_General[[#This Row],[Minutos Jugados]]</f>
        <v>29</v>
      </c>
      <c r="V472" s="1">
        <v>1</v>
      </c>
      <c r="W472" s="1">
        <v>3</v>
      </c>
      <c r="X472" s="1">
        <v>2</v>
      </c>
      <c r="Y472" s="10" t="str">
        <f>+IF(Datos_General[[#This Row],[Resultado]]="Victoria", "3", IF(Datos_General[[#This Row],[Resultado]]="Empate","1",0))</f>
        <v>3</v>
      </c>
      <c r="Z472" s="11">
        <f>+Datos_General[[#This Row],[Minutos Jugados]]*Datos_General[[#This Row],[Puntos Jug_Campo]]</f>
        <v>183</v>
      </c>
      <c r="AA472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2" s="10" t="str">
        <f>+IF(Datos_General[[#This Row],[Resultado Jug_Campo]] = "Empate", "1",IF(Datos_General[[#This Row],[Resultado Jug_Campo]] = "Victoria", "3","0"))</f>
        <v>3</v>
      </c>
    </row>
    <row r="473" spans="1:28">
      <c r="A473" s="1">
        <v>30</v>
      </c>
      <c r="B473" s="6">
        <v>46158</v>
      </c>
      <c r="C473" s="1" t="s">
        <v>133</v>
      </c>
      <c r="D473" s="1" t="s">
        <v>136</v>
      </c>
      <c r="E473" s="10" t="str">
        <f>+CONCATENATE(Datos_General[[#This Row],[Eq.Local]], "-", Datos_General[[#This Row],[Eq.Visitante]])</f>
        <v>Conxo Santiago B-S.D. Monteporreiro</v>
      </c>
      <c r="F473" s="1" t="s">
        <v>157</v>
      </c>
      <c r="G473" s="1" t="s">
        <v>57</v>
      </c>
      <c r="H473" s="1" t="s">
        <v>12</v>
      </c>
      <c r="I473" s="9">
        <v>7</v>
      </c>
      <c r="J473" s="9">
        <v>2</v>
      </c>
      <c r="K473" s="10" t="str">
        <f>+CONCATENATE(Datos_General[[#This Row],[Goles a Favor_Eq_local]],"-",Datos_General[[#This Row],[Gol a Favor_Eq_Visitante]])</f>
        <v>7-2</v>
      </c>
      <c r="L473" s="1" t="s">
        <v>133</v>
      </c>
      <c r="M473" s="1">
        <v>10</v>
      </c>
      <c r="N473" s="1" t="s">
        <v>166</v>
      </c>
      <c r="O473" s="1">
        <v>1</v>
      </c>
      <c r="P473" s="1" t="s">
        <v>2</v>
      </c>
      <c r="Q473" s="22">
        <v>1</v>
      </c>
      <c r="R473" s="9">
        <v>1</v>
      </c>
      <c r="S473" s="1">
        <v>65</v>
      </c>
      <c r="T473" s="1" t="s">
        <v>199</v>
      </c>
      <c r="U473" s="1">
        <f>90-Datos_General[[#This Row],[Minutos Jugados]]</f>
        <v>25</v>
      </c>
      <c r="V473" s="1">
        <v>0</v>
      </c>
      <c r="W473" s="1">
        <v>3</v>
      </c>
      <c r="X473" s="1">
        <v>2</v>
      </c>
      <c r="Y473" s="10" t="str">
        <f>+IF(Datos_General[[#This Row],[Resultado]]="Victoria", "3", IF(Datos_General[[#This Row],[Resultado]]="Empate","1",0))</f>
        <v>3</v>
      </c>
      <c r="Z473" s="11">
        <f>+Datos_General[[#This Row],[Minutos Jugados]]*Datos_General[[#This Row],[Puntos Jug_Campo]]</f>
        <v>195</v>
      </c>
      <c r="AA473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3" s="10" t="str">
        <f>+IF(Datos_General[[#This Row],[Resultado Jug_Campo]] = "Empate", "1",IF(Datos_General[[#This Row],[Resultado Jug_Campo]] = "Victoria", "3","0"))</f>
        <v>3</v>
      </c>
    </row>
    <row r="474" spans="1:28">
      <c r="A474" s="1">
        <v>30</v>
      </c>
      <c r="B474" s="6">
        <v>46158</v>
      </c>
      <c r="C474" s="1" t="s">
        <v>133</v>
      </c>
      <c r="D474" s="1" t="s">
        <v>136</v>
      </c>
      <c r="E474" s="10" t="str">
        <f>+CONCATENATE(Datos_General[[#This Row],[Eq.Local]], "-", Datos_General[[#This Row],[Eq.Visitante]])</f>
        <v>Conxo Santiago B-S.D. Monteporreiro</v>
      </c>
      <c r="F474" s="1" t="s">
        <v>157</v>
      </c>
      <c r="G474" s="1" t="s">
        <v>57</v>
      </c>
      <c r="H474" s="1" t="s">
        <v>12</v>
      </c>
      <c r="I474" s="9">
        <v>7</v>
      </c>
      <c r="J474" s="9">
        <v>2</v>
      </c>
      <c r="K474" s="10" t="str">
        <f>+CONCATENATE(Datos_General[[#This Row],[Goles a Favor_Eq_local]],"-",Datos_General[[#This Row],[Gol a Favor_Eq_Visitante]])</f>
        <v>7-2</v>
      </c>
      <c r="L474" s="1" t="s">
        <v>133</v>
      </c>
      <c r="M474" s="1">
        <v>11</v>
      </c>
      <c r="N474" s="1" t="s">
        <v>151</v>
      </c>
      <c r="O474" s="1">
        <v>1</v>
      </c>
      <c r="P474" s="1" t="s">
        <v>2</v>
      </c>
      <c r="Q474" s="22">
        <v>1</v>
      </c>
      <c r="R474" s="9">
        <v>1</v>
      </c>
      <c r="S474" s="1">
        <v>65</v>
      </c>
      <c r="T474" s="1" t="s">
        <v>139</v>
      </c>
      <c r="U474" s="1">
        <f>90-Datos_General[[#This Row],[Minutos Jugados]]</f>
        <v>25</v>
      </c>
      <c r="V474" s="1">
        <v>1</v>
      </c>
      <c r="W474" s="1">
        <v>3</v>
      </c>
      <c r="X474" s="1">
        <v>2</v>
      </c>
      <c r="Y474" s="10" t="str">
        <f>+IF(Datos_General[[#This Row],[Resultado]]="Victoria", "3", IF(Datos_General[[#This Row],[Resultado]]="Empate","1",0))</f>
        <v>3</v>
      </c>
      <c r="Z474" s="11">
        <f>+Datos_General[[#This Row],[Minutos Jugados]]*Datos_General[[#This Row],[Puntos Jug_Campo]]</f>
        <v>195</v>
      </c>
      <c r="AA474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4" s="10" t="str">
        <f>+IF(Datos_General[[#This Row],[Resultado Jug_Campo]] = "Empate", "1",IF(Datos_General[[#This Row],[Resultado Jug_Campo]] = "Victoria", "3","0"))</f>
        <v>3</v>
      </c>
    </row>
    <row r="475" spans="1:28">
      <c r="A475" s="1">
        <v>30</v>
      </c>
      <c r="B475" s="6">
        <v>46158</v>
      </c>
      <c r="C475" s="1" t="s">
        <v>133</v>
      </c>
      <c r="D475" s="1" t="s">
        <v>136</v>
      </c>
      <c r="E475" s="10" t="str">
        <f>+CONCATENATE(Datos_General[[#This Row],[Eq.Local]], "-", Datos_General[[#This Row],[Eq.Visitante]])</f>
        <v>Conxo Santiago B-S.D. Monteporreiro</v>
      </c>
      <c r="F475" s="1" t="s">
        <v>157</v>
      </c>
      <c r="G475" s="1" t="s">
        <v>57</v>
      </c>
      <c r="H475" s="1" t="s">
        <v>12</v>
      </c>
      <c r="I475" s="9">
        <v>7</v>
      </c>
      <c r="J475" s="9">
        <v>2</v>
      </c>
      <c r="K475" s="10" t="str">
        <f>+CONCATENATE(Datos_General[[#This Row],[Goles a Favor_Eq_local]],"-",Datos_General[[#This Row],[Gol a Favor_Eq_Visitante]])</f>
        <v>7-2</v>
      </c>
      <c r="L475" s="1" t="s">
        <v>133</v>
      </c>
      <c r="M475" s="1">
        <v>12</v>
      </c>
      <c r="N475" s="1" t="s">
        <v>198</v>
      </c>
      <c r="O475" s="1">
        <v>1</v>
      </c>
      <c r="P475" s="1" t="s">
        <v>70</v>
      </c>
      <c r="Q475" s="7">
        <f>+IF(Datos_General[[#This Row],[Minutos Jugados]]&gt;0, 1, 0)</f>
        <v>1</v>
      </c>
      <c r="R475" s="23">
        <v>0</v>
      </c>
      <c r="S475" s="8">
        <f>IFERROR(IF(MATCH(N475,$T$464:$T$479,0), INDEX($U$464:$U$479,MATCH(N475,$T$464:$T$479,0))),0)</f>
        <v>34</v>
      </c>
      <c r="U475" s="1">
        <f>90-Datos_General[[#This Row],[Minutos Jugados]]</f>
        <v>56</v>
      </c>
      <c r="V475" s="1">
        <v>0</v>
      </c>
      <c r="W475" s="1">
        <v>4</v>
      </c>
      <c r="X475" s="1">
        <v>0</v>
      </c>
      <c r="Y475" s="10" t="str">
        <f>+IF(Datos_General[[#This Row],[Resultado]]="Victoria", "3", IF(Datos_General[[#This Row],[Resultado]]="Empate","1",0))</f>
        <v>3</v>
      </c>
      <c r="Z475" s="11">
        <f>+Datos_General[[#This Row],[Minutos Jugados]]*Datos_General[[#This Row],[Puntos Jug_Campo]]</f>
        <v>102</v>
      </c>
      <c r="AA475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5" s="10" t="str">
        <f>+IF(Datos_General[[#This Row],[Resultado Jug_Campo]] = "Empate", "1",IF(Datos_General[[#This Row],[Resultado Jug_Campo]] = "Victoria", "3","0"))</f>
        <v>3</v>
      </c>
    </row>
    <row r="476" spans="1:28">
      <c r="A476" s="1">
        <v>30</v>
      </c>
      <c r="B476" s="6">
        <v>46158</v>
      </c>
      <c r="C476" s="1" t="s">
        <v>133</v>
      </c>
      <c r="D476" s="1" t="s">
        <v>136</v>
      </c>
      <c r="E476" s="10" t="str">
        <f>+CONCATENATE(Datos_General[[#This Row],[Eq.Local]], "-", Datos_General[[#This Row],[Eq.Visitante]])</f>
        <v>Conxo Santiago B-S.D. Monteporreiro</v>
      </c>
      <c r="F476" s="1" t="s">
        <v>157</v>
      </c>
      <c r="G476" s="1" t="s">
        <v>57</v>
      </c>
      <c r="H476" s="1" t="s">
        <v>12</v>
      </c>
      <c r="I476" s="9">
        <v>7</v>
      </c>
      <c r="J476" s="9">
        <v>2</v>
      </c>
      <c r="K476" s="10" t="str">
        <f>+CONCATENATE(Datos_General[[#This Row],[Goles a Favor_Eq_local]],"-",Datos_General[[#This Row],[Gol a Favor_Eq_Visitante]])</f>
        <v>7-2</v>
      </c>
      <c r="L476" s="1" t="s">
        <v>133</v>
      </c>
      <c r="M476" s="1">
        <v>14</v>
      </c>
      <c r="N476" s="1" t="s">
        <v>150</v>
      </c>
      <c r="O476" s="1">
        <v>1</v>
      </c>
      <c r="P476" s="1" t="s">
        <v>70</v>
      </c>
      <c r="Q476" s="7">
        <f>+IF(Datos_General[[#This Row],[Minutos Jugados]]&gt;0, 1, 0)</f>
        <v>1</v>
      </c>
      <c r="R476" s="23">
        <v>0</v>
      </c>
      <c r="S476" s="8">
        <f t="shared" ref="S476:S479" si="20">IFERROR(IF(MATCH(N476,$T$464:$T$479,0), INDEX($U$464:$U$479,MATCH(N476,$T$464:$T$479,0))),0)</f>
        <v>34</v>
      </c>
      <c r="U476" s="1">
        <f>90-Datos_General[[#This Row],[Minutos Jugados]]</f>
        <v>56</v>
      </c>
      <c r="V476" s="1">
        <v>0</v>
      </c>
      <c r="W476" s="1">
        <v>4</v>
      </c>
      <c r="X476" s="1">
        <v>0</v>
      </c>
      <c r="Y476" s="10" t="str">
        <f>+IF(Datos_General[[#This Row],[Resultado]]="Victoria", "3", IF(Datos_General[[#This Row],[Resultado]]="Empate","1",0))</f>
        <v>3</v>
      </c>
      <c r="Z476" s="11">
        <f>+Datos_General[[#This Row],[Minutos Jugados]]*Datos_General[[#This Row],[Puntos Jug_Campo]]</f>
        <v>102</v>
      </c>
      <c r="AA476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6" s="10" t="str">
        <f>+IF(Datos_General[[#This Row],[Resultado Jug_Campo]] = "Empate", "1",IF(Datos_General[[#This Row],[Resultado Jug_Campo]] = "Victoria", "3","0"))</f>
        <v>3</v>
      </c>
    </row>
    <row r="477" spans="1:28">
      <c r="A477" s="1">
        <v>30</v>
      </c>
      <c r="B477" s="6">
        <v>46158</v>
      </c>
      <c r="C477" s="1" t="s">
        <v>133</v>
      </c>
      <c r="D477" s="1" t="s">
        <v>136</v>
      </c>
      <c r="E477" s="10" t="str">
        <f>+CONCATENATE(Datos_General[[#This Row],[Eq.Local]], "-", Datos_General[[#This Row],[Eq.Visitante]])</f>
        <v>Conxo Santiago B-S.D. Monteporreiro</v>
      </c>
      <c r="F477" s="1" t="s">
        <v>157</v>
      </c>
      <c r="G477" s="1" t="s">
        <v>57</v>
      </c>
      <c r="H477" s="1" t="s">
        <v>12</v>
      </c>
      <c r="I477" s="9">
        <v>7</v>
      </c>
      <c r="J477" s="9">
        <v>2</v>
      </c>
      <c r="K477" s="10" t="str">
        <f>+CONCATENATE(Datos_General[[#This Row],[Goles a Favor_Eq_local]],"-",Datos_General[[#This Row],[Gol a Favor_Eq_Visitante]])</f>
        <v>7-2</v>
      </c>
      <c r="L477" s="1" t="s">
        <v>133</v>
      </c>
      <c r="M477" s="1">
        <v>15</v>
      </c>
      <c r="N477" s="1" t="s">
        <v>159</v>
      </c>
      <c r="O477" s="1">
        <v>1</v>
      </c>
      <c r="P477" s="1" t="s">
        <v>70</v>
      </c>
      <c r="Q477" s="7">
        <f>+IF(Datos_General[[#This Row],[Minutos Jugados]]&gt;0, 1, 0)</f>
        <v>1</v>
      </c>
      <c r="R477" s="23">
        <v>0</v>
      </c>
      <c r="S477" s="8">
        <f t="shared" si="20"/>
        <v>29</v>
      </c>
      <c r="U477" s="1">
        <f>90-Datos_General[[#This Row],[Minutos Jugados]]</f>
        <v>61</v>
      </c>
      <c r="V477" s="1">
        <v>0</v>
      </c>
      <c r="W477" s="1">
        <v>4</v>
      </c>
      <c r="X477" s="1">
        <v>0</v>
      </c>
      <c r="Y477" s="10" t="str">
        <f>+IF(Datos_General[[#This Row],[Resultado]]="Victoria", "3", IF(Datos_General[[#This Row],[Resultado]]="Empate","1",0))</f>
        <v>3</v>
      </c>
      <c r="Z477" s="11">
        <f>+Datos_General[[#This Row],[Minutos Jugados]]*Datos_General[[#This Row],[Puntos Jug_Campo]]</f>
        <v>87</v>
      </c>
      <c r="AA477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7" s="10" t="str">
        <f>+IF(Datos_General[[#This Row],[Resultado Jug_Campo]] = "Empate", "1",IF(Datos_General[[#This Row],[Resultado Jug_Campo]] = "Victoria", "3","0"))</f>
        <v>3</v>
      </c>
    </row>
    <row r="478" spans="1:28">
      <c r="A478" s="1">
        <v>30</v>
      </c>
      <c r="B478" s="6">
        <v>46158</v>
      </c>
      <c r="C478" s="1" t="s">
        <v>133</v>
      </c>
      <c r="D478" s="1" t="s">
        <v>136</v>
      </c>
      <c r="E478" s="10" t="str">
        <f>+CONCATENATE(Datos_General[[#This Row],[Eq.Local]], "-", Datos_General[[#This Row],[Eq.Visitante]])</f>
        <v>Conxo Santiago B-S.D. Monteporreiro</v>
      </c>
      <c r="F478" s="1" t="s">
        <v>157</v>
      </c>
      <c r="G478" s="1" t="s">
        <v>57</v>
      </c>
      <c r="H478" s="1" t="s">
        <v>12</v>
      </c>
      <c r="I478" s="9">
        <v>7</v>
      </c>
      <c r="J478" s="9">
        <v>2</v>
      </c>
      <c r="K478" s="10" t="str">
        <f>+CONCATENATE(Datos_General[[#This Row],[Goles a Favor_Eq_local]],"-",Datos_General[[#This Row],[Gol a Favor_Eq_Visitante]])</f>
        <v>7-2</v>
      </c>
      <c r="L478" s="1" t="s">
        <v>133</v>
      </c>
      <c r="M478" s="1">
        <v>16</v>
      </c>
      <c r="N478" s="1" t="s">
        <v>199</v>
      </c>
      <c r="O478" s="1">
        <v>1</v>
      </c>
      <c r="P478" s="1" t="s">
        <v>70</v>
      </c>
      <c r="Q478" s="7">
        <f>+IF(Datos_General[[#This Row],[Minutos Jugados]]&gt;0, 1, 0)</f>
        <v>1</v>
      </c>
      <c r="R478" s="23">
        <v>0</v>
      </c>
      <c r="S478" s="8">
        <f t="shared" si="20"/>
        <v>25</v>
      </c>
      <c r="U478" s="1">
        <f>90-Datos_General[[#This Row],[Minutos Jugados]]</f>
        <v>65</v>
      </c>
      <c r="V478" s="1">
        <v>0</v>
      </c>
      <c r="W478" s="1">
        <v>4</v>
      </c>
      <c r="X478" s="1">
        <v>0</v>
      </c>
      <c r="Y478" s="10" t="str">
        <f>+IF(Datos_General[[#This Row],[Resultado]]="Victoria", "3", IF(Datos_General[[#This Row],[Resultado]]="Empate","1",0))</f>
        <v>3</v>
      </c>
      <c r="Z478" s="11">
        <f>+Datos_General[[#This Row],[Minutos Jugados]]*Datos_General[[#This Row],[Puntos Jug_Campo]]</f>
        <v>75</v>
      </c>
      <c r="AA478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8" s="10" t="str">
        <f>+IF(Datos_General[[#This Row],[Resultado Jug_Campo]] = "Empate", "1",IF(Datos_General[[#This Row],[Resultado Jug_Campo]] = "Victoria", "3","0"))</f>
        <v>3</v>
      </c>
    </row>
    <row r="479" spans="1:28">
      <c r="A479" s="1">
        <v>30</v>
      </c>
      <c r="B479" s="6">
        <v>46158</v>
      </c>
      <c r="C479" s="1" t="s">
        <v>133</v>
      </c>
      <c r="D479" s="1" t="s">
        <v>136</v>
      </c>
      <c r="E479" s="10" t="str">
        <f>+CONCATENATE(Datos_General[[#This Row],[Eq.Local]], "-", Datos_General[[#This Row],[Eq.Visitante]])</f>
        <v>Conxo Santiago B-S.D. Monteporreiro</v>
      </c>
      <c r="F479" s="1" t="s">
        <v>157</v>
      </c>
      <c r="G479" s="1" t="s">
        <v>57</v>
      </c>
      <c r="H479" s="1" t="s">
        <v>12</v>
      </c>
      <c r="I479" s="9">
        <v>7</v>
      </c>
      <c r="J479" s="9">
        <v>2</v>
      </c>
      <c r="K479" s="10" t="str">
        <f>+CONCATENATE(Datos_General[[#This Row],[Goles a Favor_Eq_local]],"-",Datos_General[[#This Row],[Gol a Favor_Eq_Visitante]])</f>
        <v>7-2</v>
      </c>
      <c r="L479" s="1" t="s">
        <v>133</v>
      </c>
      <c r="M479" s="1">
        <v>17</v>
      </c>
      <c r="N479" s="1" t="s">
        <v>139</v>
      </c>
      <c r="O479" s="1">
        <v>1</v>
      </c>
      <c r="P479" s="1" t="s">
        <v>70</v>
      </c>
      <c r="Q479" s="7">
        <f>+IF(Datos_General[[#This Row],[Minutos Jugados]]&gt;0, 1, 0)</f>
        <v>1</v>
      </c>
      <c r="R479" s="23">
        <v>0</v>
      </c>
      <c r="S479" s="8">
        <f t="shared" si="20"/>
        <v>25</v>
      </c>
      <c r="U479" s="1">
        <f>90-Datos_General[[#This Row],[Minutos Jugados]]</f>
        <v>65</v>
      </c>
      <c r="V479" s="1">
        <v>0</v>
      </c>
      <c r="W479" s="1">
        <v>4</v>
      </c>
      <c r="X479" s="1">
        <v>0</v>
      </c>
      <c r="Y479" s="10" t="str">
        <f>+IF(Datos_General[[#This Row],[Resultado]]="Victoria", "3", IF(Datos_General[[#This Row],[Resultado]]="Empate","1",0))</f>
        <v>3</v>
      </c>
      <c r="Z479" s="11">
        <f>+Datos_General[[#This Row],[Minutos Jugados]]*Datos_General[[#This Row],[Puntos Jug_Campo]]</f>
        <v>75</v>
      </c>
      <c r="AA479" s="10" t="str">
        <f>+IF(Datos_General[[#This Row],[Minutos Jugados]]&gt;0, IF(Datos_General[[#This Row],[Goles a Favor_Jug]]=Datos_General[[#This Row],[Goles en Contra_Jug]], "Empate", IF(Datos_General[[#This Row],[Goles a Favor_Jug]]&gt;Datos_General[[#This Row],[Goles en Contra_Jug]],"Victoria","Derrota")), " No Jugó")</f>
        <v>Victoria</v>
      </c>
      <c r="AB479" s="10" t="str">
        <f>+IF(Datos_General[[#This Row],[Resultado Jug_Campo]] = "Empate", "1",IF(Datos_General[[#This Row],[Resultado Jug_Campo]] = "Victoria", "3","0"))</f>
        <v>3</v>
      </c>
    </row>
    <row r="480" spans="1:28">
      <c r="B480" s="6"/>
      <c r="I480" s="9"/>
      <c r="J480" s="9"/>
      <c r="Y480" s="10"/>
      <c r="Z480" s="11"/>
      <c r="AA480" s="10"/>
      <c r="AB480" s="10"/>
    </row>
    <row r="481" spans="2:28">
      <c r="B481" s="6"/>
      <c r="I481" s="9"/>
      <c r="J481" s="9"/>
      <c r="Y481" s="10"/>
      <c r="Z481" s="11"/>
      <c r="AA481" s="10"/>
      <c r="AB481" s="10"/>
    </row>
    <row r="482" spans="2:28">
      <c r="B482" s="6"/>
      <c r="I482" s="9"/>
      <c r="J482" s="9"/>
      <c r="Y482" s="10"/>
      <c r="Z482" s="11"/>
      <c r="AA482" s="10"/>
      <c r="AB482" s="10"/>
    </row>
    <row r="483" spans="2:28">
      <c r="B483" s="6"/>
      <c r="I483" s="9"/>
      <c r="J483" s="9"/>
      <c r="Y483" s="10"/>
      <c r="Z483" s="11"/>
      <c r="AA483" s="10"/>
      <c r="AB483" s="10"/>
    </row>
    <row r="484" spans="2:28">
      <c r="B484" s="6"/>
      <c r="I484" s="9"/>
      <c r="J484" s="9"/>
      <c r="Y484" s="10"/>
      <c r="Z484" s="11"/>
      <c r="AA484" s="10"/>
      <c r="AB484" s="10"/>
    </row>
    <row r="485" spans="2:28">
      <c r="B485" s="6"/>
      <c r="I485" s="9"/>
      <c r="J485" s="9"/>
      <c r="Y485" s="10"/>
      <c r="Z485" s="11"/>
      <c r="AA485" s="10"/>
      <c r="AB485" s="10"/>
    </row>
    <row r="486" spans="2:28">
      <c r="B486" s="6"/>
      <c r="I486" s="9"/>
      <c r="J486" s="9"/>
      <c r="Y486" s="10"/>
      <c r="Z486" s="11"/>
      <c r="AA486" s="10"/>
      <c r="AB486" s="10"/>
    </row>
    <row r="487" spans="2:28">
      <c r="B487" s="6"/>
      <c r="I487" s="9"/>
      <c r="J487" s="9"/>
      <c r="Y487" s="10"/>
      <c r="Z487" s="11"/>
      <c r="AA487" s="10"/>
      <c r="AB487" s="10"/>
    </row>
    <row r="488" spans="2:28">
      <c r="B488" s="6"/>
      <c r="I488" s="9"/>
      <c r="J488" s="9"/>
      <c r="Y488" s="10"/>
      <c r="Z488" s="11"/>
      <c r="AA488" s="10"/>
      <c r="AB488" s="10"/>
    </row>
    <row r="489" spans="2:28">
      <c r="B489" s="6"/>
      <c r="I489" s="9"/>
      <c r="J489" s="9"/>
      <c r="Y489" s="10"/>
      <c r="Z489" s="11"/>
      <c r="AA489" s="10"/>
      <c r="AB489" s="10"/>
    </row>
    <row r="490" spans="2:28">
      <c r="B490" s="6"/>
      <c r="I490" s="9"/>
      <c r="J490" s="9"/>
      <c r="Y490" s="10"/>
      <c r="Z490" s="11"/>
      <c r="AA490" s="10"/>
      <c r="AB490" s="10"/>
    </row>
    <row r="491" spans="2:28">
      <c r="B491" s="6"/>
      <c r="I491" s="9"/>
      <c r="J491" s="9"/>
      <c r="Y491" s="10"/>
      <c r="Z491" s="11"/>
      <c r="AA491" s="10"/>
      <c r="AB491" s="10"/>
    </row>
    <row r="492" spans="2:28">
      <c r="B492" s="6"/>
      <c r="I492" s="9"/>
      <c r="J492" s="9"/>
      <c r="Y492" s="10"/>
      <c r="Z492" s="11"/>
      <c r="AA492" s="10"/>
      <c r="AB492" s="10"/>
    </row>
    <row r="493" spans="2:28">
      <c r="B493" s="6"/>
      <c r="I493" s="9"/>
      <c r="J493" s="9"/>
      <c r="Y493" s="10"/>
      <c r="Z493" s="11"/>
      <c r="AA493" s="10"/>
      <c r="AB493" s="10"/>
    </row>
    <row r="494" spans="2:28">
      <c r="B494" s="6"/>
      <c r="I494" s="9"/>
      <c r="J494" s="9"/>
      <c r="Y494" s="10"/>
      <c r="Z494" s="11"/>
      <c r="AA494" s="10"/>
      <c r="AB494" s="10"/>
    </row>
    <row r="495" spans="2:28">
      <c r="B495" s="6"/>
      <c r="I495" s="9"/>
      <c r="J495" s="9"/>
      <c r="Y495" s="10"/>
      <c r="Z495" s="11"/>
      <c r="AA495" s="10"/>
      <c r="AB495" s="10"/>
    </row>
    <row r="496" spans="2:28">
      <c r="B496" s="6"/>
      <c r="I496" s="9"/>
      <c r="J496" s="9"/>
      <c r="Y496" s="10"/>
      <c r="Z496" s="11"/>
      <c r="AA496" s="10"/>
      <c r="AB496" s="10"/>
    </row>
    <row r="497" spans="2:28">
      <c r="B497" s="6"/>
      <c r="I497" s="9"/>
      <c r="J497" s="9"/>
      <c r="Y497" s="10"/>
      <c r="Z497" s="11"/>
      <c r="AA497" s="10"/>
      <c r="AB497" s="10"/>
    </row>
    <row r="498" spans="2:28">
      <c r="B498" s="6"/>
      <c r="I498" s="9"/>
      <c r="J498" s="9"/>
      <c r="Y498" s="10"/>
      <c r="Z498" s="11"/>
      <c r="AA498" s="10"/>
      <c r="AB498" s="10"/>
    </row>
    <row r="499" spans="2:28">
      <c r="B499" s="6"/>
      <c r="I499" s="9"/>
      <c r="J499" s="9"/>
      <c r="Y499" s="10"/>
      <c r="Z499" s="11"/>
      <c r="AA499" s="10"/>
      <c r="AB499" s="10"/>
    </row>
    <row r="500" spans="2:28">
      <c r="B500" s="6"/>
      <c r="I500" s="9"/>
      <c r="J500" s="9"/>
      <c r="Y500" s="10"/>
      <c r="Z500" s="11"/>
      <c r="AA500" s="10"/>
      <c r="AB500" s="10"/>
    </row>
    <row r="501" spans="2:28">
      <c r="B501" s="6"/>
      <c r="I501" s="9"/>
      <c r="J501" s="9"/>
      <c r="Y501" s="10"/>
      <c r="Z501" s="11"/>
      <c r="AA501" s="10"/>
      <c r="AB501" s="10"/>
    </row>
    <row r="502" spans="2:28">
      <c r="B502" s="6"/>
      <c r="I502" s="9"/>
      <c r="J502" s="9"/>
      <c r="Y502" s="10"/>
      <c r="Z502" s="11"/>
      <c r="AA502" s="10"/>
      <c r="AB502" s="10"/>
    </row>
    <row r="503" spans="2:28">
      <c r="B503" s="6"/>
      <c r="I503" s="9"/>
      <c r="J503" s="9"/>
      <c r="Y503" s="10"/>
      <c r="Z503" s="11"/>
      <c r="AA503" s="10"/>
      <c r="AB503" s="10"/>
    </row>
    <row r="504" spans="2:28">
      <c r="B504" s="6"/>
      <c r="I504" s="9"/>
      <c r="J504" s="9"/>
      <c r="Y504" s="10"/>
      <c r="Z504" s="11"/>
      <c r="AA504" s="10"/>
      <c r="AB504" s="10"/>
    </row>
    <row r="505" spans="2:28">
      <c r="B505" s="6"/>
      <c r="I505" s="9"/>
      <c r="J505" s="9"/>
      <c r="Y505" s="10"/>
      <c r="Z505" s="11"/>
      <c r="AA505" s="10"/>
      <c r="AB505" s="10"/>
    </row>
    <row r="506" spans="2:28">
      <c r="B506" s="6"/>
      <c r="I506" s="9"/>
      <c r="J506" s="9"/>
      <c r="Y506" s="10"/>
      <c r="Z506" s="11"/>
      <c r="AA506" s="10"/>
      <c r="AB506" s="10"/>
    </row>
    <row r="507" spans="2:28">
      <c r="B507" s="6"/>
      <c r="I507" s="9"/>
      <c r="J507" s="9"/>
      <c r="Y507" s="10"/>
      <c r="Z507" s="11"/>
      <c r="AA507" s="10"/>
      <c r="AB507" s="10"/>
    </row>
    <row r="508" spans="2:28">
      <c r="B508" s="6"/>
      <c r="I508" s="9"/>
      <c r="J508" s="9"/>
      <c r="Y508" s="10"/>
      <c r="Z508" s="11"/>
      <c r="AA508" s="10"/>
      <c r="AB508" s="10"/>
    </row>
    <row r="509" spans="2:28">
      <c r="B509" s="6"/>
      <c r="I509" s="9"/>
      <c r="J509" s="9"/>
      <c r="Y509" s="10"/>
      <c r="Z509" s="11"/>
      <c r="AA509" s="10"/>
      <c r="AB509" s="10"/>
    </row>
    <row r="510" spans="2:28">
      <c r="B510" s="6"/>
      <c r="I510" s="9"/>
      <c r="J510" s="9"/>
      <c r="Y510" s="10"/>
      <c r="Z510" s="11"/>
      <c r="AA510" s="10"/>
      <c r="AB510" s="10"/>
    </row>
    <row r="511" spans="2:28">
      <c r="B511" s="6"/>
      <c r="I511" s="9"/>
      <c r="J511" s="9"/>
      <c r="Y511" s="10"/>
      <c r="Z511" s="11"/>
      <c r="AA511" s="10"/>
      <c r="AB511" s="10"/>
    </row>
    <row r="512" spans="2:28">
      <c r="B512" s="6"/>
      <c r="I512" s="9"/>
      <c r="J512" s="9"/>
      <c r="Y512" s="10"/>
      <c r="Z512" s="11"/>
      <c r="AA512" s="10"/>
      <c r="AB512" s="10"/>
    </row>
    <row r="513" spans="2:28">
      <c r="B513" s="6"/>
      <c r="I513" s="9"/>
      <c r="J513" s="9"/>
      <c r="Y513" s="10"/>
      <c r="Z513" s="11"/>
      <c r="AA513" s="10"/>
      <c r="AB513" s="10"/>
    </row>
    <row r="514" spans="2:28">
      <c r="B514" s="6"/>
      <c r="I514" s="9"/>
      <c r="J514" s="9"/>
      <c r="Y514" s="10"/>
      <c r="Z514" s="11"/>
      <c r="AA514" s="10"/>
      <c r="AB514" s="10"/>
    </row>
    <row r="515" spans="2:28">
      <c r="B515" s="6"/>
      <c r="I515" s="9"/>
      <c r="J515" s="9"/>
      <c r="Y515" s="10"/>
      <c r="Z515" s="11"/>
      <c r="AA515" s="10"/>
      <c r="AB515" s="10"/>
    </row>
    <row r="516" spans="2:28">
      <c r="B516" s="6"/>
      <c r="I516" s="9"/>
      <c r="J516" s="9"/>
      <c r="Y516" s="10"/>
      <c r="Z516" s="11"/>
      <c r="AA516" s="10"/>
      <c r="AB516" s="10"/>
    </row>
    <row r="517" spans="2:28">
      <c r="B517" s="6"/>
      <c r="I517" s="9"/>
      <c r="J517" s="9"/>
      <c r="Y517" s="10"/>
      <c r="Z517" s="11"/>
      <c r="AA517" s="10"/>
      <c r="AB517" s="10"/>
    </row>
    <row r="518" spans="2:28">
      <c r="B518" s="6"/>
      <c r="I518" s="9"/>
      <c r="J518" s="9"/>
      <c r="Y518" s="10"/>
      <c r="Z518" s="11"/>
      <c r="AA518" s="10"/>
      <c r="AB518" s="10"/>
    </row>
    <row r="519" spans="2:28">
      <c r="B519" s="6"/>
      <c r="I519" s="9"/>
      <c r="J519" s="9"/>
      <c r="Y519" s="10"/>
      <c r="Z519" s="11"/>
      <c r="AA519" s="10"/>
      <c r="AB519" s="10"/>
    </row>
    <row r="520" spans="2:28">
      <c r="B520" s="6"/>
      <c r="I520" s="9"/>
      <c r="J520" s="9"/>
      <c r="Y520" s="10"/>
      <c r="Z520" s="11"/>
      <c r="AA520" s="10"/>
      <c r="AB520" s="10"/>
    </row>
    <row r="521" spans="2:28">
      <c r="B521" s="6"/>
      <c r="I521" s="9"/>
      <c r="J521" s="9"/>
      <c r="Y521" s="10"/>
      <c r="Z521" s="11"/>
      <c r="AA521" s="10"/>
      <c r="AB521" s="10"/>
    </row>
    <row r="522" spans="2:28">
      <c r="B522" s="6"/>
      <c r="I522" s="9"/>
      <c r="J522" s="9"/>
      <c r="Y522" s="10"/>
      <c r="Z522" s="11"/>
      <c r="AA522" s="10"/>
      <c r="AB522" s="10"/>
    </row>
    <row r="523" spans="2:28">
      <c r="B523" s="6"/>
      <c r="I523" s="9"/>
      <c r="J523" s="9"/>
      <c r="Y523" s="10"/>
      <c r="Z523" s="11"/>
      <c r="AA523" s="10"/>
      <c r="AB523" s="10"/>
    </row>
    <row r="524" spans="2:28">
      <c r="B524" s="6"/>
      <c r="I524" s="9"/>
      <c r="J524" s="9"/>
      <c r="Y524" s="10"/>
      <c r="Z524" s="11"/>
      <c r="AA524" s="10"/>
      <c r="AB524" s="10"/>
    </row>
    <row r="525" spans="2:28">
      <c r="B525" s="6"/>
      <c r="I525" s="9"/>
      <c r="J525" s="9"/>
      <c r="Y525" s="10"/>
      <c r="Z525" s="11"/>
      <c r="AA525" s="10"/>
      <c r="AB525" s="10"/>
    </row>
    <row r="526" spans="2:28">
      <c r="B526" s="6"/>
      <c r="I526" s="9"/>
      <c r="J526" s="9"/>
      <c r="Y526" s="10"/>
      <c r="Z526" s="11"/>
      <c r="AA526" s="10"/>
      <c r="AB526" s="10"/>
    </row>
    <row r="527" spans="2:28">
      <c r="B527" s="6"/>
      <c r="I527" s="9"/>
      <c r="J527" s="9"/>
      <c r="Y527" s="10"/>
      <c r="Z527" s="11"/>
      <c r="AA527" s="10"/>
      <c r="AB527" s="10"/>
    </row>
    <row r="528" spans="2:28">
      <c r="B528" s="6"/>
      <c r="I528" s="9"/>
      <c r="J528" s="9"/>
      <c r="Y528" s="10"/>
      <c r="Z528" s="11"/>
      <c r="AA528" s="10"/>
      <c r="AB528" s="10"/>
    </row>
    <row r="529" spans="2:28">
      <c r="B529" s="6"/>
      <c r="I529" s="9"/>
      <c r="J529" s="9"/>
      <c r="Y529" s="10"/>
      <c r="Z529" s="11"/>
      <c r="AA529" s="10"/>
      <c r="AB529" s="10"/>
    </row>
    <row r="530" spans="2:28">
      <c r="B530" s="6"/>
      <c r="I530" s="9"/>
      <c r="J530" s="9"/>
      <c r="Y530" s="10"/>
      <c r="Z530" s="11"/>
      <c r="AA530" s="10"/>
      <c r="AB530" s="10"/>
    </row>
    <row r="531" spans="2:28">
      <c r="B531" s="6"/>
      <c r="I531" s="9"/>
      <c r="J531" s="9"/>
      <c r="Y531" s="10"/>
      <c r="Z531" s="11"/>
      <c r="AA531" s="10"/>
      <c r="AB531" s="10"/>
    </row>
    <row r="532" spans="2:28">
      <c r="B532" s="6"/>
      <c r="I532" s="9"/>
      <c r="J532" s="9"/>
      <c r="Y532" s="10"/>
      <c r="Z532" s="11"/>
      <c r="AA532" s="10"/>
      <c r="AB532" s="10"/>
    </row>
    <row r="533" spans="2:28">
      <c r="B533" s="6"/>
      <c r="I533" s="9"/>
      <c r="J533" s="9"/>
      <c r="Y533" s="10"/>
      <c r="Z533" s="11"/>
      <c r="AA533" s="10"/>
      <c r="AB533" s="10"/>
    </row>
    <row r="534" spans="2:28">
      <c r="B534" s="6"/>
      <c r="I534" s="9"/>
      <c r="J534" s="9"/>
      <c r="Y534" s="10"/>
      <c r="Z534" s="11"/>
      <c r="AA534" s="10"/>
      <c r="AB534" s="10"/>
    </row>
    <row r="535" spans="2:28">
      <c r="B535" s="6"/>
      <c r="I535" s="9"/>
      <c r="J535" s="9"/>
      <c r="Y535" s="10"/>
      <c r="Z535" s="11"/>
      <c r="AA535" s="10"/>
      <c r="AB535" s="10"/>
    </row>
    <row r="536" spans="2:28">
      <c r="B536" s="6"/>
      <c r="I536" s="9"/>
      <c r="J536" s="9"/>
      <c r="Y536" s="10"/>
      <c r="Z536" s="11"/>
      <c r="AA536" s="10"/>
      <c r="AB536" s="10"/>
    </row>
    <row r="537" spans="2:28">
      <c r="B537" s="6"/>
      <c r="I537" s="9"/>
      <c r="J537" s="9"/>
      <c r="Y537" s="10"/>
      <c r="Z537" s="11"/>
      <c r="AA537" s="10"/>
      <c r="AB537" s="10"/>
    </row>
    <row r="538" spans="2:28">
      <c r="B538" s="6"/>
      <c r="I538" s="9"/>
      <c r="J538" s="9"/>
      <c r="Y538" s="10"/>
      <c r="Z538" s="11"/>
      <c r="AA538" s="10"/>
      <c r="AB538" s="10"/>
    </row>
    <row r="539" spans="2:28">
      <c r="B539" s="6"/>
      <c r="I539" s="9"/>
      <c r="J539" s="9"/>
      <c r="Y539" s="10"/>
      <c r="Z539" s="11"/>
      <c r="AA539" s="10"/>
      <c r="AB539" s="10"/>
    </row>
    <row r="540" spans="2:28">
      <c r="B540" s="6"/>
      <c r="I540" s="9"/>
      <c r="J540" s="9"/>
      <c r="Y540" s="10"/>
      <c r="Z540" s="11"/>
      <c r="AA540" s="10"/>
      <c r="AB540" s="10"/>
    </row>
    <row r="541" spans="2:28">
      <c r="B541" s="6"/>
      <c r="I541" s="9"/>
      <c r="J541" s="9"/>
      <c r="Y541" s="10"/>
      <c r="Z541" s="11"/>
      <c r="AA541" s="10"/>
      <c r="AB541" s="10"/>
    </row>
    <row r="542" spans="2:28">
      <c r="B542" s="6"/>
      <c r="I542" s="9"/>
      <c r="J542" s="9"/>
      <c r="Y542" s="10"/>
      <c r="Z542" s="11"/>
      <c r="AA542" s="10"/>
      <c r="AB542" s="10"/>
    </row>
    <row r="543" spans="2:28">
      <c r="B543" s="6"/>
      <c r="I543" s="9"/>
      <c r="J543" s="9"/>
      <c r="Y543" s="10"/>
      <c r="Z543" s="11"/>
      <c r="AA543" s="10"/>
      <c r="AB543" s="10"/>
    </row>
    <row r="544" spans="2:28">
      <c r="B544" s="6"/>
      <c r="I544" s="9"/>
      <c r="J544" s="9"/>
      <c r="Y544" s="10"/>
      <c r="Z544" s="11"/>
      <c r="AA544" s="10"/>
      <c r="AB544" s="10"/>
    </row>
    <row r="545" spans="2:28">
      <c r="B545" s="6"/>
      <c r="I545" s="9"/>
      <c r="J545" s="9"/>
      <c r="Y545" s="10"/>
      <c r="Z545" s="11"/>
      <c r="AA545" s="10"/>
      <c r="AB545" s="10"/>
    </row>
    <row r="546" spans="2:28">
      <c r="B546" s="6"/>
      <c r="I546" s="9"/>
      <c r="J546" s="9"/>
      <c r="Y546" s="10"/>
      <c r="Z546" s="11"/>
      <c r="AA546" s="10"/>
      <c r="AB546" s="10"/>
    </row>
    <row r="547" spans="2:28">
      <c r="B547" s="6"/>
      <c r="I547" s="9"/>
      <c r="J547" s="9"/>
      <c r="Y547" s="10"/>
      <c r="Z547" s="11"/>
      <c r="AA547" s="10"/>
      <c r="AB547" s="10"/>
    </row>
    <row r="548" spans="2:28">
      <c r="B548" s="6"/>
      <c r="I548" s="9"/>
      <c r="J548" s="9"/>
      <c r="Y548" s="10"/>
      <c r="Z548" s="11"/>
      <c r="AA548" s="10"/>
      <c r="AB548" s="10"/>
    </row>
    <row r="549" spans="2:28">
      <c r="B549" s="6"/>
      <c r="I549" s="9"/>
      <c r="J549" s="9"/>
      <c r="Y549" s="10"/>
      <c r="Z549" s="11"/>
      <c r="AA549" s="10"/>
      <c r="AB549" s="10"/>
    </row>
    <row r="550" spans="2:28">
      <c r="B550" s="6"/>
      <c r="I550" s="9"/>
      <c r="J550" s="9"/>
      <c r="Y550" s="10"/>
      <c r="Z550" s="11"/>
      <c r="AA550" s="10"/>
      <c r="AB550" s="10"/>
    </row>
    <row r="551" spans="2:28">
      <c r="B551" s="6"/>
      <c r="I551" s="9"/>
      <c r="J551" s="9"/>
      <c r="Y551" s="10"/>
      <c r="Z551" s="11"/>
      <c r="AA551" s="10"/>
      <c r="AB551" s="10"/>
    </row>
    <row r="552" spans="2:28">
      <c r="B552" s="6"/>
      <c r="I552" s="9"/>
      <c r="J552" s="9"/>
      <c r="Y552" s="10"/>
      <c r="Z552" s="11"/>
      <c r="AA552" s="10"/>
      <c r="AB552" s="10"/>
    </row>
    <row r="553" spans="2:28">
      <c r="B553" s="6"/>
      <c r="I553" s="9"/>
      <c r="J553" s="9"/>
      <c r="Y553" s="10"/>
      <c r="Z553" s="11"/>
      <c r="AA553" s="10"/>
      <c r="AB553" s="10"/>
    </row>
    <row r="554" spans="2:28">
      <c r="B554" s="6"/>
      <c r="I554" s="9"/>
      <c r="J554" s="9"/>
      <c r="Y554" s="10"/>
      <c r="Z554" s="11"/>
      <c r="AA554" s="10"/>
      <c r="AB554" s="10"/>
    </row>
    <row r="555" spans="2:28">
      <c r="B555" s="6"/>
      <c r="I555" s="9"/>
      <c r="J555" s="9"/>
      <c r="Y555" s="10"/>
      <c r="Z555" s="11"/>
      <c r="AA555" s="10"/>
      <c r="AB555" s="10"/>
    </row>
    <row r="556" spans="2:28">
      <c r="B556" s="6"/>
      <c r="I556" s="9"/>
      <c r="J556" s="9"/>
      <c r="Y556" s="10"/>
      <c r="Z556" s="11"/>
      <c r="AA556" s="10"/>
      <c r="AB556" s="10"/>
    </row>
    <row r="557" spans="2:28">
      <c r="B557" s="6"/>
      <c r="I557" s="9"/>
      <c r="J557" s="9"/>
      <c r="Y557" s="10"/>
      <c r="Z557" s="11"/>
      <c r="AA557" s="10"/>
      <c r="AB557" s="10"/>
    </row>
    <row r="558" spans="2:28">
      <c r="B558" s="6"/>
      <c r="I558" s="9"/>
      <c r="J558" s="9"/>
      <c r="Y558" s="10"/>
      <c r="Z558" s="11"/>
      <c r="AA558" s="10"/>
      <c r="AB558" s="10"/>
    </row>
    <row r="559" spans="2:28">
      <c r="B559" s="6"/>
      <c r="I559" s="9"/>
      <c r="J559" s="9"/>
      <c r="Y559" s="10"/>
      <c r="Z559" s="11"/>
      <c r="AA559" s="10"/>
      <c r="AB559" s="10"/>
    </row>
    <row r="560" spans="2:28">
      <c r="B560" s="6"/>
      <c r="I560" s="9"/>
      <c r="J560" s="9"/>
      <c r="Y560" s="10"/>
      <c r="Z560" s="11"/>
      <c r="AA560" s="10"/>
      <c r="AB560" s="10"/>
    </row>
    <row r="561" spans="2:28">
      <c r="B561" s="6"/>
      <c r="I561" s="9"/>
      <c r="J561" s="9"/>
      <c r="Y561" s="10"/>
      <c r="Z561" s="11"/>
      <c r="AA561" s="10"/>
      <c r="AB561" s="10"/>
    </row>
    <row r="562" spans="2:28">
      <c r="B562" s="6"/>
      <c r="I562" s="9"/>
      <c r="J562" s="9"/>
      <c r="Y562" s="10"/>
      <c r="Z562" s="11"/>
      <c r="AA562" s="10"/>
      <c r="AB562" s="10"/>
    </row>
    <row r="563" spans="2:28">
      <c r="B563" s="6"/>
      <c r="I563" s="9"/>
      <c r="J563" s="9"/>
      <c r="Y563" s="10"/>
      <c r="Z563" s="11"/>
      <c r="AA563" s="10"/>
      <c r="AB563" s="10"/>
    </row>
    <row r="564" spans="2:28">
      <c r="B564" s="6"/>
      <c r="I564" s="9"/>
      <c r="J564" s="9"/>
      <c r="Y564" s="10"/>
      <c r="Z564" s="11"/>
      <c r="AA564" s="10"/>
      <c r="AB564" s="10"/>
    </row>
    <row r="565" spans="2:28">
      <c r="B565" s="6"/>
      <c r="I565" s="9"/>
      <c r="J565" s="9"/>
      <c r="Y565" s="10"/>
      <c r="Z565" s="11"/>
      <c r="AA565" s="10"/>
      <c r="AB565" s="10"/>
    </row>
    <row r="566" spans="2:28">
      <c r="B566" s="6"/>
      <c r="I566" s="9"/>
      <c r="J566" s="9"/>
      <c r="Y566" s="10"/>
      <c r="Z566" s="11"/>
      <c r="AA566" s="10"/>
      <c r="AB566" s="10"/>
    </row>
    <row r="567" spans="2:28">
      <c r="B567" s="6"/>
      <c r="I567" s="9"/>
      <c r="J567" s="9"/>
      <c r="Y567" s="10"/>
      <c r="Z567" s="11"/>
      <c r="AA567" s="10"/>
      <c r="AB567" s="10"/>
    </row>
    <row r="568" spans="2:28">
      <c r="B568" s="6"/>
      <c r="I568" s="9"/>
      <c r="J568" s="9"/>
      <c r="Y568" s="10"/>
      <c r="Z568" s="11"/>
      <c r="AA568" s="10"/>
      <c r="AB568" s="10"/>
    </row>
    <row r="569" spans="2:28">
      <c r="B569" s="6"/>
      <c r="I569" s="9"/>
      <c r="J569" s="9"/>
      <c r="Y569" s="10"/>
      <c r="Z569" s="11"/>
      <c r="AA569" s="10"/>
      <c r="AB569" s="10"/>
    </row>
    <row r="570" spans="2:28">
      <c r="B570" s="6"/>
      <c r="I570" s="9"/>
      <c r="J570" s="9"/>
      <c r="Y570" s="10"/>
      <c r="Z570" s="11"/>
      <c r="AA570" s="10"/>
      <c r="AB570" s="10"/>
    </row>
    <row r="571" spans="2:28">
      <c r="B571" s="6"/>
      <c r="I571" s="9"/>
      <c r="J571" s="9"/>
      <c r="Y571" s="10"/>
      <c r="Z571" s="11"/>
      <c r="AA571" s="10"/>
      <c r="AB571" s="10"/>
    </row>
    <row r="572" spans="2:28">
      <c r="B572" s="6"/>
      <c r="I572" s="9"/>
      <c r="J572" s="9"/>
      <c r="Y572" s="10"/>
      <c r="Z572" s="11"/>
      <c r="AA572" s="10"/>
      <c r="AB572" s="10"/>
    </row>
    <row r="573" spans="2:28">
      <c r="B573" s="6"/>
      <c r="I573" s="9"/>
      <c r="J573" s="9"/>
      <c r="Y573" s="10"/>
      <c r="Z573" s="11"/>
      <c r="AA573" s="10"/>
      <c r="AB573" s="10"/>
    </row>
    <row r="574" spans="2:28">
      <c r="B574" s="6"/>
      <c r="I574" s="9"/>
      <c r="J574" s="9"/>
      <c r="Y574" s="10"/>
      <c r="Z574" s="11"/>
      <c r="AA574" s="10"/>
      <c r="AB574" s="10"/>
    </row>
    <row r="575" spans="2:28">
      <c r="B575" s="6"/>
      <c r="I575" s="9"/>
      <c r="J575" s="9"/>
      <c r="Y575" s="10"/>
      <c r="Z575" s="11"/>
      <c r="AA575" s="10"/>
      <c r="AB575" s="10"/>
    </row>
    <row r="576" spans="2:28">
      <c r="B576" s="6"/>
      <c r="I576" s="9"/>
      <c r="J576" s="9"/>
      <c r="Y576" s="10"/>
      <c r="Z576" s="11"/>
      <c r="AA576" s="10"/>
      <c r="AB576" s="10"/>
    </row>
    <row r="577" spans="2:28">
      <c r="B577" s="6"/>
      <c r="I577" s="9"/>
      <c r="J577" s="9"/>
      <c r="Y577" s="10"/>
      <c r="Z577" s="11"/>
      <c r="AA577" s="10"/>
      <c r="AB577" s="10"/>
    </row>
    <row r="578" spans="2:28">
      <c r="B578" s="6"/>
      <c r="I578" s="9"/>
      <c r="J578" s="9"/>
      <c r="Y578" s="10"/>
      <c r="Z578" s="11"/>
      <c r="AA578" s="10"/>
      <c r="AB578" s="10"/>
    </row>
    <row r="579" spans="2:28">
      <c r="B579" s="6"/>
      <c r="I579" s="9"/>
      <c r="J579" s="9"/>
      <c r="Y579" s="10"/>
      <c r="Z579" s="11"/>
      <c r="AA579" s="10"/>
      <c r="AB579" s="10"/>
    </row>
    <row r="580" spans="2:28">
      <c r="B580" s="6"/>
      <c r="I580" s="9"/>
      <c r="J580" s="9"/>
      <c r="Y580" s="10"/>
      <c r="Z580" s="11"/>
      <c r="AA580" s="10"/>
      <c r="AB580" s="10"/>
    </row>
    <row r="581" spans="2:28">
      <c r="B581" s="6"/>
      <c r="I581" s="9"/>
      <c r="J581" s="9"/>
      <c r="Y581" s="10"/>
      <c r="Z581" s="11"/>
      <c r="AA581" s="10"/>
      <c r="AB581" s="10"/>
    </row>
    <row r="582" spans="2:28">
      <c r="B582" s="6"/>
      <c r="I582" s="9"/>
      <c r="J582" s="9"/>
      <c r="Y582" s="10"/>
      <c r="Z582" s="11"/>
      <c r="AA582" s="10"/>
      <c r="AB582" s="10"/>
    </row>
    <row r="583" spans="2:28">
      <c r="B583" s="6"/>
      <c r="I583" s="9"/>
      <c r="J583" s="9"/>
      <c r="Y583" s="10"/>
      <c r="Z583" s="11"/>
      <c r="AA583" s="10"/>
      <c r="AB583" s="10"/>
    </row>
    <row r="584" spans="2:28">
      <c r="B584" s="6"/>
      <c r="I584" s="9"/>
      <c r="J584" s="9"/>
      <c r="Y584" s="10"/>
      <c r="Z584" s="11"/>
      <c r="AA584" s="10"/>
      <c r="AB584" s="10"/>
    </row>
    <row r="585" spans="2:28">
      <c r="B585" s="6"/>
      <c r="I585" s="9"/>
      <c r="J585" s="9"/>
      <c r="Y585" s="10"/>
      <c r="Z585" s="11"/>
      <c r="AA585" s="10"/>
      <c r="AB585" s="10"/>
    </row>
    <row r="586" spans="2:28">
      <c r="B586" s="6"/>
      <c r="I586" s="9"/>
      <c r="J586" s="9"/>
      <c r="Y586" s="10"/>
      <c r="Z586" s="11"/>
      <c r="AA586" s="10"/>
      <c r="AB586" s="10"/>
    </row>
    <row r="587" spans="2:28">
      <c r="B587" s="6"/>
      <c r="I587" s="9"/>
      <c r="J587" s="9"/>
      <c r="Y587" s="10"/>
      <c r="Z587" s="11"/>
      <c r="AA587" s="10"/>
      <c r="AB587" s="10"/>
    </row>
    <row r="588" spans="2:28">
      <c r="B588" s="6"/>
      <c r="I588" s="9"/>
      <c r="J588" s="9"/>
      <c r="Y588" s="10"/>
      <c r="Z588" s="11"/>
      <c r="AA588" s="10"/>
      <c r="AB588" s="10"/>
    </row>
    <row r="589" spans="2:28">
      <c r="B589" s="6"/>
      <c r="I589" s="9"/>
      <c r="J589" s="9"/>
      <c r="Y589" s="10"/>
      <c r="Z589" s="11"/>
      <c r="AA589" s="10"/>
      <c r="AB589" s="10"/>
    </row>
    <row r="590" spans="2:28">
      <c r="B590" s="6"/>
      <c r="I590" s="9"/>
      <c r="J590" s="9"/>
      <c r="Y590" s="10"/>
      <c r="Z590" s="11"/>
      <c r="AA590" s="10"/>
      <c r="AB590" s="10"/>
    </row>
    <row r="591" spans="2:28">
      <c r="B591" s="6"/>
      <c r="I591" s="9"/>
      <c r="J591" s="9"/>
      <c r="Y591" s="10"/>
      <c r="Z591" s="11"/>
      <c r="AA591" s="10"/>
      <c r="AB591" s="10"/>
    </row>
    <row r="592" spans="2:28">
      <c r="B592" s="6"/>
      <c r="I592" s="9"/>
      <c r="J592" s="9"/>
      <c r="Y592" s="10"/>
      <c r="Z592" s="11"/>
      <c r="AA592" s="10"/>
      <c r="AB592" s="10"/>
    </row>
    <row r="593" spans="2:28">
      <c r="B593" s="6"/>
      <c r="I593" s="9"/>
      <c r="J593" s="9"/>
      <c r="Y593" s="10"/>
      <c r="Z593" s="11"/>
      <c r="AA593" s="10"/>
      <c r="AB593" s="10"/>
    </row>
    <row r="594" spans="2:28">
      <c r="B594" s="6"/>
      <c r="I594" s="9"/>
      <c r="J594" s="9"/>
      <c r="Y594" s="10"/>
      <c r="Z594" s="11"/>
      <c r="AA594" s="10"/>
      <c r="AB594" s="10"/>
    </row>
    <row r="595" spans="2:28">
      <c r="B595" s="6"/>
      <c r="I595" s="9"/>
      <c r="J595" s="9"/>
      <c r="Y595" s="10"/>
      <c r="Z595" s="11"/>
      <c r="AA595" s="10"/>
      <c r="AB595" s="10"/>
    </row>
    <row r="596" spans="2:28">
      <c r="B596" s="6"/>
      <c r="I596" s="9"/>
      <c r="J596" s="9"/>
      <c r="Y596" s="10"/>
      <c r="Z596" s="11"/>
      <c r="AA596" s="10"/>
      <c r="AB596" s="10"/>
    </row>
    <row r="597" spans="2:28">
      <c r="B597" s="6"/>
      <c r="I597" s="9"/>
      <c r="J597" s="9"/>
      <c r="Y597" s="10"/>
      <c r="Z597" s="11"/>
      <c r="AA597" s="10"/>
      <c r="AB597" s="10"/>
    </row>
    <row r="598" spans="2:28">
      <c r="B598" s="6"/>
      <c r="I598" s="9"/>
      <c r="J598" s="9"/>
      <c r="Y598" s="10"/>
      <c r="Z598" s="11"/>
      <c r="AA598" s="10"/>
      <c r="AB598" s="10"/>
    </row>
    <row r="599" spans="2:28">
      <c r="B599" s="6"/>
      <c r="I599" s="9"/>
      <c r="J599" s="9"/>
      <c r="Y599" s="10"/>
      <c r="Z599" s="11"/>
      <c r="AA599" s="10"/>
      <c r="AB599" s="10"/>
    </row>
    <row r="600" spans="2:28">
      <c r="B600" s="6"/>
      <c r="I600" s="9"/>
      <c r="J600" s="9"/>
      <c r="Y600" s="10"/>
      <c r="Z600" s="11"/>
      <c r="AA600" s="10"/>
      <c r="AB600" s="10"/>
    </row>
    <row r="601" spans="2:28">
      <c r="B601" s="6"/>
      <c r="I601" s="9"/>
      <c r="J601" s="9"/>
      <c r="Y601" s="10"/>
      <c r="Z601" s="11"/>
      <c r="AA601" s="10"/>
      <c r="AB601" s="10"/>
    </row>
    <row r="602" spans="2:28">
      <c r="B602" s="6"/>
      <c r="I602" s="9"/>
      <c r="J602" s="9"/>
      <c r="Y602" s="10"/>
      <c r="Z602" s="11"/>
      <c r="AA602" s="10"/>
      <c r="AB602" s="10"/>
    </row>
    <row r="603" spans="2:28">
      <c r="B603" s="6"/>
      <c r="I603" s="9"/>
      <c r="J603" s="9"/>
      <c r="Y603" s="10"/>
      <c r="Z603" s="11"/>
      <c r="AA603" s="10"/>
      <c r="AB603" s="10"/>
    </row>
    <row r="604" spans="2:28">
      <c r="B604" s="6"/>
      <c r="I604" s="9"/>
      <c r="J604" s="9"/>
      <c r="Y604" s="10"/>
      <c r="Z604" s="11"/>
      <c r="AA604" s="10"/>
      <c r="AB604" s="10"/>
    </row>
    <row r="605" spans="2:28">
      <c r="B605" s="6"/>
      <c r="I605" s="9"/>
      <c r="J605" s="9"/>
      <c r="Y605" s="10"/>
      <c r="Z605" s="11"/>
      <c r="AA605" s="10"/>
      <c r="AB605" s="10"/>
    </row>
    <row r="606" spans="2:28">
      <c r="B606" s="6"/>
      <c r="I606" s="9"/>
      <c r="J606" s="9"/>
      <c r="Y606" s="10"/>
      <c r="Z606" s="11"/>
      <c r="AA606" s="10"/>
      <c r="AB606" s="10"/>
    </row>
    <row r="607" spans="2:28">
      <c r="B607" s="6"/>
      <c r="I607" s="9"/>
      <c r="J607" s="9"/>
      <c r="Y607" s="10"/>
      <c r="Z607" s="11"/>
      <c r="AA607" s="10"/>
      <c r="AB607" s="10"/>
    </row>
    <row r="608" spans="2:28">
      <c r="B608" s="6"/>
      <c r="I608" s="9"/>
      <c r="J608" s="9"/>
      <c r="Y608" s="10"/>
      <c r="Z608" s="11"/>
      <c r="AA608" s="10"/>
      <c r="AB608" s="10"/>
    </row>
    <row r="609" spans="2:28">
      <c r="B609" s="6"/>
      <c r="I609" s="9"/>
      <c r="J609" s="9"/>
      <c r="Y609" s="10"/>
      <c r="Z609" s="11"/>
      <c r="AA609" s="10"/>
      <c r="AB609" s="10"/>
    </row>
    <row r="610" spans="2:28">
      <c r="B610" s="6"/>
      <c r="I610" s="9"/>
      <c r="J610" s="9"/>
      <c r="Y610" s="10"/>
      <c r="Z610" s="11"/>
      <c r="AA610" s="10"/>
      <c r="AB610" s="10"/>
    </row>
    <row r="611" spans="2:28">
      <c r="B611" s="6"/>
      <c r="I611" s="9"/>
      <c r="J611" s="9"/>
      <c r="Y611" s="10"/>
      <c r="Z611" s="11"/>
      <c r="AA611" s="10"/>
      <c r="AB611" s="10"/>
    </row>
    <row r="612" spans="2:28">
      <c r="B612" s="6"/>
      <c r="I612" s="9"/>
      <c r="J612" s="9"/>
      <c r="Y612" s="10"/>
      <c r="Z612" s="11"/>
      <c r="AA612" s="10"/>
      <c r="AB612" s="10"/>
    </row>
    <row r="613" spans="2:28">
      <c r="B613" s="6"/>
      <c r="I613" s="9"/>
      <c r="J613" s="9"/>
      <c r="Y613" s="10"/>
      <c r="Z613" s="11"/>
      <c r="AA613" s="10"/>
      <c r="AB613" s="10"/>
    </row>
    <row r="614" spans="2:28">
      <c r="B614" s="6"/>
      <c r="I614" s="9"/>
      <c r="J614" s="9"/>
      <c r="Y614" s="10"/>
      <c r="Z614" s="11"/>
      <c r="AA614" s="10"/>
      <c r="AB614" s="10"/>
    </row>
    <row r="615" spans="2:28">
      <c r="B615" s="6"/>
      <c r="I615" s="9"/>
      <c r="J615" s="9"/>
      <c r="Y615" s="10"/>
      <c r="Z615" s="11"/>
      <c r="AA615" s="10"/>
      <c r="AB615" s="10"/>
    </row>
    <row r="616" spans="2:28">
      <c r="B616" s="6"/>
      <c r="I616" s="9"/>
      <c r="J616" s="9"/>
      <c r="Y616" s="10"/>
      <c r="Z616" s="11"/>
      <c r="AA616" s="10"/>
      <c r="AB616" s="10"/>
    </row>
    <row r="617" spans="2:28">
      <c r="B617" s="6"/>
      <c r="I617" s="9"/>
      <c r="J617" s="9"/>
      <c r="Y617" s="10"/>
      <c r="Z617" s="11"/>
      <c r="AA617" s="10"/>
      <c r="AB617" s="10"/>
    </row>
    <row r="618" spans="2:28">
      <c r="B618" s="6"/>
      <c r="I618" s="9"/>
      <c r="J618" s="9"/>
      <c r="Y618" s="10"/>
      <c r="Z618" s="11"/>
      <c r="AA618" s="10"/>
      <c r="AB618" s="10"/>
    </row>
    <row r="619" spans="2:28">
      <c r="B619" s="6"/>
      <c r="I619" s="9"/>
      <c r="J619" s="9"/>
      <c r="Y619" s="10"/>
      <c r="Z619" s="11"/>
      <c r="AA619" s="10"/>
      <c r="AB619" s="10"/>
    </row>
    <row r="620" spans="2:28">
      <c r="B620" s="6"/>
      <c r="I620" s="9"/>
      <c r="J620" s="9"/>
      <c r="Y620" s="10"/>
      <c r="Z620" s="11"/>
      <c r="AA620" s="10"/>
      <c r="AB620" s="10"/>
    </row>
    <row r="621" spans="2:28">
      <c r="B621" s="6"/>
      <c r="I621" s="9"/>
      <c r="J621" s="9"/>
      <c r="Y621" s="10"/>
      <c r="Z621" s="11"/>
      <c r="AA621" s="10"/>
      <c r="AB621" s="10"/>
    </row>
    <row r="622" spans="2:28">
      <c r="B622" s="6"/>
      <c r="I622" s="9"/>
      <c r="J622" s="9"/>
      <c r="Y622" s="10"/>
      <c r="Z622" s="11"/>
      <c r="AA622" s="10"/>
      <c r="AB622" s="10"/>
    </row>
    <row r="623" spans="2:28">
      <c r="B623" s="6"/>
      <c r="I623" s="9"/>
      <c r="J623" s="9"/>
      <c r="Y623" s="10"/>
      <c r="Z623" s="11"/>
      <c r="AA623" s="10"/>
      <c r="AB623" s="10"/>
    </row>
    <row r="624" spans="2:28">
      <c r="B624" s="6"/>
      <c r="I624" s="9"/>
      <c r="J624" s="9"/>
      <c r="Y624" s="10"/>
      <c r="Z624" s="11"/>
      <c r="AA624" s="10"/>
      <c r="AB624" s="10"/>
    </row>
    <row r="625" spans="2:28">
      <c r="B625" s="6"/>
      <c r="I625" s="9"/>
      <c r="J625" s="9"/>
      <c r="Y625" s="10"/>
      <c r="Z625" s="11"/>
      <c r="AA625" s="10"/>
      <c r="AB625" s="10"/>
    </row>
    <row r="626" spans="2:28">
      <c r="B626" s="6"/>
      <c r="I626" s="9"/>
      <c r="J626" s="9"/>
      <c r="Y626" s="10"/>
      <c r="Z626" s="11"/>
      <c r="AA626" s="10"/>
      <c r="AB626" s="10"/>
    </row>
    <row r="627" spans="2:28">
      <c r="B627" s="6"/>
      <c r="I627" s="9"/>
      <c r="J627" s="9"/>
      <c r="Y627" s="10"/>
      <c r="Z627" s="11"/>
      <c r="AA627" s="10"/>
      <c r="AB627" s="10"/>
    </row>
    <row r="628" spans="2:28">
      <c r="B628" s="6"/>
      <c r="I628" s="9"/>
      <c r="J628" s="9"/>
      <c r="Y628" s="10"/>
      <c r="Z628" s="11"/>
      <c r="AA628" s="10"/>
      <c r="AB628" s="10"/>
    </row>
    <row r="629" spans="2:28">
      <c r="B629" s="6"/>
      <c r="I629" s="9"/>
      <c r="J629" s="9"/>
      <c r="Y629" s="10"/>
      <c r="Z629" s="11"/>
      <c r="AA629" s="10"/>
      <c r="AB629" s="10"/>
    </row>
    <row r="630" spans="2:28">
      <c r="B630" s="6"/>
      <c r="I630" s="9"/>
      <c r="J630" s="9"/>
      <c r="Y630" s="10"/>
      <c r="Z630" s="11"/>
      <c r="AA630" s="10"/>
      <c r="AB630" s="10"/>
    </row>
    <row r="631" spans="2:28">
      <c r="B631" s="6"/>
      <c r="I631" s="9"/>
      <c r="J631" s="9"/>
      <c r="Y631" s="10"/>
      <c r="Z631" s="11"/>
      <c r="AA631" s="10"/>
      <c r="AB631" s="10"/>
    </row>
    <row r="632" spans="2:28">
      <c r="B632" s="6"/>
      <c r="I632" s="9"/>
      <c r="J632" s="9"/>
      <c r="Y632" s="10"/>
      <c r="Z632" s="11"/>
      <c r="AA632" s="10"/>
      <c r="AB632" s="10"/>
    </row>
    <row r="633" spans="2:28">
      <c r="B633" s="6"/>
      <c r="I633" s="9"/>
      <c r="J633" s="9"/>
      <c r="Y633" s="10"/>
      <c r="Z633" s="11"/>
      <c r="AA633" s="10"/>
      <c r="AB633" s="10"/>
    </row>
    <row r="634" spans="2:28">
      <c r="B634" s="6"/>
      <c r="I634" s="9"/>
      <c r="J634" s="9"/>
      <c r="Y634" s="10"/>
      <c r="Z634" s="11"/>
      <c r="AA634" s="10"/>
      <c r="AB634" s="10"/>
    </row>
    <row r="635" spans="2:28">
      <c r="B635" s="6"/>
      <c r="I635" s="9"/>
      <c r="J635" s="9"/>
      <c r="Y635" s="10"/>
      <c r="Z635" s="11"/>
      <c r="AA635" s="10"/>
      <c r="AB635" s="10"/>
    </row>
    <row r="636" spans="2:28">
      <c r="B636" s="6"/>
      <c r="I636" s="9"/>
      <c r="J636" s="9"/>
      <c r="Y636" s="10"/>
      <c r="Z636" s="11"/>
      <c r="AA636" s="10"/>
      <c r="AB636" s="10"/>
    </row>
    <row r="637" spans="2:28">
      <c r="B637" s="6"/>
      <c r="I637" s="9"/>
      <c r="J637" s="9"/>
      <c r="Y637" s="10"/>
      <c r="Z637" s="11"/>
      <c r="AA637" s="10"/>
      <c r="AB637" s="10"/>
    </row>
    <row r="638" spans="2:28">
      <c r="B638" s="6"/>
      <c r="I638" s="9"/>
      <c r="J638" s="9"/>
      <c r="Y638" s="10"/>
      <c r="Z638" s="11"/>
      <c r="AA638" s="10"/>
      <c r="AB638" s="10"/>
    </row>
    <row r="639" spans="2:28">
      <c r="B639" s="6"/>
      <c r="I639" s="9"/>
      <c r="J639" s="9"/>
      <c r="Y639" s="10"/>
      <c r="Z639" s="11"/>
      <c r="AA639" s="10"/>
      <c r="AB639" s="10"/>
    </row>
    <row r="640" spans="2:28">
      <c r="B640" s="6"/>
      <c r="I640" s="9"/>
      <c r="J640" s="9"/>
      <c r="Y640" s="10"/>
      <c r="Z640" s="11"/>
      <c r="AA640" s="10"/>
      <c r="AB640" s="10"/>
    </row>
    <row r="641" spans="2:28">
      <c r="B641" s="6"/>
      <c r="I641" s="9"/>
      <c r="J641" s="9"/>
      <c r="Y641" s="10"/>
      <c r="Z641" s="11"/>
      <c r="AA641" s="10"/>
      <c r="AB641" s="10"/>
    </row>
    <row r="642" spans="2:28">
      <c r="B642" s="6"/>
      <c r="I642" s="9"/>
      <c r="J642" s="9"/>
      <c r="Y642" s="10"/>
      <c r="Z642" s="11"/>
      <c r="AA642" s="10"/>
      <c r="AB642" s="10"/>
    </row>
    <row r="643" spans="2:28">
      <c r="B643" s="6"/>
      <c r="I643" s="9"/>
      <c r="J643" s="9"/>
      <c r="Y643" s="10"/>
      <c r="Z643" s="11"/>
      <c r="AA643" s="10"/>
      <c r="AB643" s="10"/>
    </row>
    <row r="644" spans="2:28">
      <c r="B644" s="6"/>
      <c r="I644" s="9"/>
      <c r="J644" s="9"/>
      <c r="Y644" s="10"/>
      <c r="Z644" s="11"/>
      <c r="AA644" s="10"/>
      <c r="AB644" s="10"/>
    </row>
    <row r="645" spans="2:28">
      <c r="B645" s="6"/>
      <c r="I645" s="9"/>
      <c r="J645" s="9"/>
      <c r="Y645" s="10"/>
      <c r="Z645" s="11"/>
      <c r="AA645" s="10"/>
      <c r="AB645" s="10"/>
    </row>
    <row r="646" spans="2:28">
      <c r="B646" s="6"/>
      <c r="I646" s="9"/>
      <c r="J646" s="9"/>
      <c r="Y646" s="10"/>
      <c r="Z646" s="11"/>
      <c r="AA646" s="10"/>
      <c r="AB646" s="10"/>
    </row>
    <row r="647" spans="2:28">
      <c r="B647" s="6"/>
      <c r="I647" s="9"/>
      <c r="J647" s="9"/>
      <c r="Y647" s="10"/>
      <c r="Z647" s="11"/>
      <c r="AA647" s="10"/>
      <c r="AB647" s="10"/>
    </row>
    <row r="648" spans="2:28">
      <c r="B648" s="6"/>
      <c r="I648" s="9"/>
      <c r="J648" s="9"/>
      <c r="Y648" s="10"/>
      <c r="Z648" s="11"/>
      <c r="AA648" s="10"/>
      <c r="AB648" s="10"/>
    </row>
    <row r="649" spans="2:28">
      <c r="B649" s="6"/>
      <c r="I649" s="9"/>
      <c r="J649" s="9"/>
      <c r="Y649" s="10"/>
      <c r="Z649" s="11"/>
      <c r="AA649" s="10"/>
      <c r="AB649" s="10"/>
    </row>
    <row r="650" spans="2:28">
      <c r="B650" s="6"/>
      <c r="I650" s="9"/>
      <c r="J650" s="9"/>
      <c r="Y650" s="10"/>
      <c r="Z650" s="11"/>
      <c r="AA650" s="10"/>
      <c r="AB650" s="10"/>
    </row>
    <row r="651" spans="2:28">
      <c r="B651" s="6"/>
      <c r="I651" s="9"/>
      <c r="J651" s="9"/>
      <c r="Y651" s="10"/>
      <c r="Z651" s="11"/>
      <c r="AA651" s="10"/>
      <c r="AB651" s="10"/>
    </row>
    <row r="652" spans="2:28">
      <c r="B652" s="6"/>
      <c r="I652" s="9"/>
      <c r="J652" s="9"/>
      <c r="Y652" s="10"/>
      <c r="Z652" s="11"/>
      <c r="AA652" s="10"/>
      <c r="AB652" s="10"/>
    </row>
    <row r="653" spans="2:28">
      <c r="B653" s="6"/>
      <c r="I653" s="9"/>
      <c r="J653" s="9"/>
      <c r="Y653" s="10"/>
      <c r="Z653" s="11"/>
      <c r="AA653" s="10"/>
      <c r="AB653" s="10"/>
    </row>
    <row r="654" spans="2:28">
      <c r="B654" s="6"/>
      <c r="I654" s="9"/>
      <c r="J654" s="9"/>
      <c r="Y654" s="10"/>
      <c r="Z654" s="11"/>
      <c r="AA654" s="10"/>
      <c r="AB654" s="10"/>
    </row>
    <row r="655" spans="2:28">
      <c r="B655" s="6"/>
      <c r="I655" s="9"/>
      <c r="J655" s="9"/>
      <c r="Y655" s="10"/>
      <c r="Z655" s="11"/>
      <c r="AA655" s="10"/>
      <c r="AB655" s="10"/>
    </row>
    <row r="656" spans="2:28">
      <c r="B656" s="6"/>
      <c r="I656" s="9"/>
      <c r="J656" s="9"/>
      <c r="Y656" s="10"/>
      <c r="Z656" s="11"/>
      <c r="AA656" s="10"/>
      <c r="AB656" s="10"/>
    </row>
    <row r="657" spans="2:28">
      <c r="B657" s="6"/>
      <c r="I657" s="9"/>
      <c r="J657" s="9"/>
      <c r="Y657" s="10"/>
      <c r="Z657" s="11"/>
      <c r="AA657" s="10"/>
      <c r="AB657" s="10"/>
    </row>
    <row r="658" spans="2:28">
      <c r="B658" s="6"/>
      <c r="I658" s="9"/>
      <c r="J658" s="9"/>
      <c r="Y658" s="10"/>
      <c r="Z658" s="11"/>
      <c r="AA658" s="10"/>
      <c r="AB658" s="10"/>
    </row>
    <row r="659" spans="2:28">
      <c r="B659" s="6"/>
      <c r="I659" s="9"/>
      <c r="J659" s="9"/>
      <c r="Y659" s="10"/>
      <c r="Z659" s="11"/>
      <c r="AA659" s="10"/>
      <c r="AB659" s="10"/>
    </row>
    <row r="660" spans="2:28">
      <c r="B660" s="6"/>
      <c r="I660" s="9"/>
      <c r="J660" s="9"/>
      <c r="Y660" s="10"/>
      <c r="Z660" s="11"/>
      <c r="AA660" s="10"/>
      <c r="AB660" s="10"/>
    </row>
    <row r="661" spans="2:28">
      <c r="B661" s="6"/>
      <c r="I661" s="9"/>
      <c r="J661" s="9"/>
      <c r="Y661" s="10"/>
      <c r="Z661" s="11"/>
      <c r="AA661" s="10"/>
      <c r="AB661" s="10"/>
    </row>
    <row r="662" spans="2:28">
      <c r="B662" s="6"/>
      <c r="I662" s="9"/>
      <c r="J662" s="9"/>
      <c r="Y662" s="10"/>
      <c r="Z662" s="11"/>
      <c r="AA662" s="10"/>
      <c r="AB662" s="10"/>
    </row>
    <row r="663" spans="2:28">
      <c r="B663" s="6"/>
      <c r="I663" s="9"/>
      <c r="J663" s="9"/>
      <c r="Y663" s="10"/>
      <c r="Z663" s="11"/>
      <c r="AA663" s="10"/>
      <c r="AB663" s="10"/>
    </row>
    <row r="664" spans="2:28">
      <c r="B664" s="6"/>
      <c r="I664" s="9"/>
      <c r="J664" s="9"/>
      <c r="Y664" s="10"/>
      <c r="Z664" s="11"/>
      <c r="AA664" s="10"/>
      <c r="AB664" s="10"/>
    </row>
    <row r="665" spans="2:28">
      <c r="B665" s="6"/>
      <c r="I665" s="9"/>
      <c r="J665" s="9"/>
      <c r="Y665" s="10"/>
      <c r="Z665" s="11"/>
      <c r="AA665" s="10"/>
      <c r="AB665" s="10"/>
    </row>
    <row r="666" spans="2:28">
      <c r="B666" s="6"/>
      <c r="I666" s="9"/>
      <c r="J666" s="9"/>
      <c r="Y666" s="10"/>
      <c r="Z666" s="11"/>
      <c r="AA666" s="10"/>
      <c r="AB666" s="10"/>
    </row>
    <row r="667" spans="2:28">
      <c r="B667" s="6"/>
      <c r="I667" s="9"/>
      <c r="J667" s="9"/>
      <c r="Y667" s="10"/>
      <c r="Z667" s="11"/>
      <c r="AA667" s="10"/>
      <c r="AB667" s="10"/>
    </row>
    <row r="668" spans="2:28">
      <c r="B668" s="6"/>
      <c r="I668" s="9"/>
      <c r="J668" s="9"/>
      <c r="Y668" s="10"/>
      <c r="Z668" s="11"/>
      <c r="AA668" s="10"/>
      <c r="AB668" s="10"/>
    </row>
    <row r="669" spans="2:28">
      <c r="B669" s="6"/>
      <c r="I669" s="9"/>
      <c r="J669" s="9"/>
      <c r="Y669" s="10"/>
      <c r="Z669" s="11"/>
      <c r="AA669" s="10"/>
      <c r="AB669" s="10"/>
    </row>
    <row r="670" spans="2:28">
      <c r="B670" s="6"/>
      <c r="I670" s="9"/>
      <c r="J670" s="9"/>
      <c r="Y670" s="10"/>
      <c r="Z670" s="11"/>
      <c r="AA670" s="10"/>
      <c r="AB670" s="10"/>
    </row>
    <row r="671" spans="2:28">
      <c r="B671" s="6"/>
      <c r="I671" s="9"/>
      <c r="J671" s="9"/>
      <c r="Y671" s="10"/>
      <c r="Z671" s="11"/>
      <c r="AA671" s="10"/>
      <c r="AB671" s="10"/>
    </row>
    <row r="672" spans="2:28">
      <c r="B672" s="6"/>
      <c r="I672" s="9"/>
      <c r="J672" s="9"/>
      <c r="Y672" s="10"/>
      <c r="Z672" s="11"/>
      <c r="AA672" s="10"/>
      <c r="AB672" s="10"/>
    </row>
    <row r="673" spans="2:28">
      <c r="B673" s="6"/>
      <c r="I673" s="9"/>
      <c r="J673" s="9"/>
      <c r="Y673" s="10"/>
      <c r="Z673" s="11"/>
      <c r="AA673" s="10"/>
      <c r="AB673" s="10"/>
    </row>
    <row r="674" spans="2:28">
      <c r="B674" s="6"/>
      <c r="I674" s="9"/>
      <c r="J674" s="9"/>
      <c r="Y674" s="10"/>
      <c r="Z674" s="11"/>
      <c r="AA674" s="10"/>
      <c r="AB674" s="10"/>
    </row>
    <row r="675" spans="2:28">
      <c r="B675" s="6"/>
      <c r="I675" s="9"/>
      <c r="J675" s="9"/>
      <c r="Y675" s="10"/>
      <c r="Z675" s="11"/>
      <c r="AA675" s="10"/>
      <c r="AB675" s="10"/>
    </row>
    <row r="676" spans="2:28">
      <c r="B676" s="6"/>
      <c r="I676" s="9"/>
      <c r="J676" s="9"/>
      <c r="Y676" s="10"/>
      <c r="Z676" s="11"/>
      <c r="AA676" s="10"/>
      <c r="AB676" s="10"/>
    </row>
    <row r="677" spans="2:28">
      <c r="B677" s="6"/>
      <c r="I677" s="9"/>
      <c r="J677" s="9"/>
      <c r="Y677" s="10"/>
      <c r="Z677" s="11"/>
      <c r="AA677" s="10"/>
      <c r="AB677" s="10"/>
    </row>
    <row r="678" spans="2:28">
      <c r="B678" s="6"/>
      <c r="I678" s="9"/>
      <c r="J678" s="9"/>
      <c r="Y678" s="10"/>
      <c r="Z678" s="11"/>
      <c r="AA678" s="10"/>
      <c r="AB678" s="10"/>
    </row>
    <row r="679" spans="2:28">
      <c r="B679" s="6"/>
      <c r="I679" s="9"/>
      <c r="J679" s="9"/>
      <c r="Y679" s="10"/>
      <c r="Z679" s="11"/>
      <c r="AA679" s="10"/>
      <c r="AB679" s="10"/>
    </row>
    <row r="680" spans="2:28">
      <c r="B680" s="6"/>
      <c r="I680" s="9"/>
      <c r="J680" s="9"/>
      <c r="Y680" s="10"/>
      <c r="Z680" s="11"/>
      <c r="AA680" s="10"/>
      <c r="AB680" s="10"/>
    </row>
    <row r="681" spans="2:28">
      <c r="B681" s="6"/>
      <c r="I681" s="9"/>
      <c r="J681" s="9"/>
      <c r="Y681" s="10"/>
      <c r="Z681" s="11"/>
      <c r="AA681" s="10"/>
      <c r="AB681" s="10"/>
    </row>
    <row r="682" spans="2:28">
      <c r="B682" s="6"/>
      <c r="I682" s="9"/>
      <c r="J682" s="9"/>
      <c r="Y682" s="10"/>
      <c r="Z682" s="11"/>
      <c r="AA682" s="10"/>
      <c r="AB682" s="10"/>
    </row>
    <row r="683" spans="2:28">
      <c r="B683" s="6"/>
      <c r="I683" s="9"/>
      <c r="J683" s="9"/>
      <c r="Y683" s="10"/>
      <c r="Z683" s="11"/>
      <c r="AA683" s="10"/>
      <c r="AB683" s="10"/>
    </row>
    <row r="684" spans="2:28">
      <c r="B684" s="6"/>
      <c r="I684" s="9"/>
      <c r="J684" s="9"/>
      <c r="Y684" s="10"/>
      <c r="Z684" s="11"/>
      <c r="AA684" s="10"/>
      <c r="AB684" s="10"/>
    </row>
    <row r="685" spans="2:28">
      <c r="B685" s="6"/>
      <c r="I685" s="9"/>
      <c r="J685" s="9"/>
      <c r="Y685" s="10"/>
      <c r="Z685" s="11"/>
      <c r="AA685" s="10"/>
      <c r="AB685" s="10"/>
    </row>
    <row r="686" spans="2:28">
      <c r="B686" s="6"/>
      <c r="I686" s="9"/>
      <c r="J686" s="9"/>
      <c r="Y686" s="10"/>
      <c r="Z686" s="11"/>
      <c r="AA686" s="10"/>
      <c r="AB686" s="10"/>
    </row>
    <row r="687" spans="2:28">
      <c r="B687" s="6"/>
      <c r="I687" s="9"/>
      <c r="J687" s="9"/>
      <c r="Y687" s="10"/>
      <c r="Z687" s="11"/>
      <c r="AA687" s="10"/>
      <c r="AB687" s="10"/>
    </row>
    <row r="688" spans="2:28">
      <c r="B688" s="6"/>
      <c r="I688" s="9"/>
      <c r="J688" s="9"/>
      <c r="Y688" s="10"/>
      <c r="Z688" s="11"/>
      <c r="AA688" s="10"/>
      <c r="AB688" s="10"/>
    </row>
    <row r="689" spans="2:28">
      <c r="B689" s="6"/>
      <c r="I689" s="9"/>
      <c r="J689" s="9"/>
      <c r="Y689" s="10"/>
      <c r="Z689" s="11"/>
      <c r="AA689" s="10"/>
      <c r="AB689" s="10"/>
    </row>
    <row r="690" spans="2:28">
      <c r="B690" s="6"/>
      <c r="I690" s="9"/>
      <c r="J690" s="9"/>
      <c r="Y690" s="10"/>
      <c r="Z690" s="11"/>
      <c r="AA690" s="10"/>
      <c r="AB690" s="10"/>
    </row>
    <row r="691" spans="2:28">
      <c r="B691" s="6"/>
      <c r="I691" s="9"/>
      <c r="J691" s="9"/>
      <c r="Y691" s="10"/>
      <c r="Z691" s="11"/>
      <c r="AA691" s="10"/>
      <c r="AB691" s="10"/>
    </row>
    <row r="692" spans="2:28">
      <c r="B692" s="6"/>
      <c r="I692" s="9"/>
      <c r="J692" s="9"/>
      <c r="Y692" s="10"/>
      <c r="Z692" s="11"/>
      <c r="AA692" s="10"/>
      <c r="AB692" s="10"/>
    </row>
    <row r="693" spans="2:28">
      <c r="B693" s="6"/>
      <c r="I693" s="9"/>
      <c r="J693" s="9"/>
      <c r="Y693" s="10"/>
      <c r="Z693" s="11"/>
      <c r="AA693" s="10"/>
      <c r="AB693" s="10"/>
    </row>
    <row r="694" spans="2:28">
      <c r="B694" s="6"/>
      <c r="I694" s="9"/>
      <c r="J694" s="9"/>
      <c r="Y694" s="10"/>
      <c r="Z694" s="11"/>
      <c r="AA694" s="10"/>
      <c r="AB694" s="10"/>
    </row>
    <row r="695" spans="2:28">
      <c r="B695" s="6"/>
      <c r="I695" s="9"/>
      <c r="J695" s="9"/>
      <c r="Y695" s="10"/>
      <c r="Z695" s="11"/>
      <c r="AA695" s="10"/>
      <c r="AB695" s="10"/>
    </row>
    <row r="696" spans="2:28">
      <c r="B696" s="6"/>
      <c r="I696" s="9"/>
      <c r="J696" s="9"/>
      <c r="Y696" s="10"/>
      <c r="Z696" s="11"/>
      <c r="AA696" s="10"/>
      <c r="AB696" s="10"/>
    </row>
    <row r="697" spans="2:28">
      <c r="B697" s="6"/>
      <c r="I697" s="9"/>
      <c r="J697" s="9"/>
      <c r="Y697" s="10"/>
      <c r="Z697" s="11"/>
      <c r="AA697" s="10"/>
      <c r="AB697" s="10"/>
    </row>
    <row r="698" spans="2:28">
      <c r="B698" s="6"/>
      <c r="I698" s="9"/>
      <c r="J698" s="9"/>
      <c r="Y698" s="10"/>
      <c r="Z698" s="11"/>
      <c r="AA698" s="10"/>
      <c r="AB698" s="10"/>
    </row>
    <row r="699" spans="2:28">
      <c r="B699" s="6"/>
      <c r="I699" s="9"/>
      <c r="J699" s="9"/>
      <c r="Y699" s="10"/>
      <c r="Z699" s="11"/>
      <c r="AA699" s="10"/>
      <c r="AB699" s="10"/>
    </row>
    <row r="700" spans="2:28">
      <c r="B700" s="6"/>
      <c r="I700" s="9"/>
      <c r="J700" s="9"/>
      <c r="Y700" s="10"/>
      <c r="Z700" s="11"/>
      <c r="AA700" s="10"/>
      <c r="AB700" s="10"/>
    </row>
    <row r="701" spans="2:28">
      <c r="B701" s="6"/>
      <c r="I701" s="9"/>
      <c r="J701" s="9"/>
      <c r="Y701" s="10"/>
      <c r="Z701" s="11"/>
      <c r="AA701" s="10"/>
      <c r="AB701" s="10"/>
    </row>
    <row r="702" spans="2:28">
      <c r="B702" s="6"/>
      <c r="I702" s="9"/>
      <c r="J702" s="9"/>
      <c r="Y702" s="10"/>
      <c r="Z702" s="11"/>
      <c r="AA702" s="10"/>
      <c r="AB702" s="10"/>
    </row>
    <row r="703" spans="2:28">
      <c r="B703" s="6"/>
      <c r="I703" s="9"/>
      <c r="J703" s="9"/>
      <c r="Y703" s="10"/>
      <c r="Z703" s="11"/>
      <c r="AA703" s="10"/>
      <c r="AB703" s="10"/>
    </row>
    <row r="704" spans="2:28">
      <c r="B704" s="6"/>
      <c r="I704" s="9"/>
      <c r="J704" s="9"/>
      <c r="Y704" s="10"/>
      <c r="Z704" s="11"/>
      <c r="AA704" s="10"/>
      <c r="AB704" s="10"/>
    </row>
    <row r="705" spans="2:28">
      <c r="B705" s="6"/>
      <c r="I705" s="9"/>
      <c r="J705" s="9"/>
      <c r="Y705" s="10"/>
      <c r="Z705" s="11"/>
      <c r="AA705" s="10"/>
      <c r="AB705" s="10"/>
    </row>
    <row r="706" spans="2:28">
      <c r="B706" s="6"/>
      <c r="I706" s="9"/>
      <c r="J706" s="9"/>
      <c r="Y706" s="10"/>
      <c r="Z706" s="11"/>
      <c r="AA706" s="10"/>
      <c r="AB706" s="10"/>
    </row>
    <row r="707" spans="2:28">
      <c r="B707" s="6"/>
      <c r="I707" s="9"/>
      <c r="J707" s="9"/>
      <c r="Y707" s="10"/>
      <c r="Z707" s="11"/>
      <c r="AA707" s="10"/>
      <c r="AB707" s="10"/>
    </row>
    <row r="708" spans="2:28">
      <c r="B708" s="6"/>
      <c r="I708" s="9"/>
      <c r="J708" s="9"/>
      <c r="Y708" s="10"/>
      <c r="Z708" s="11"/>
      <c r="AA708" s="10"/>
      <c r="AB708" s="10"/>
    </row>
    <row r="709" spans="2:28">
      <c r="B709" s="6"/>
      <c r="I709" s="9"/>
      <c r="J709" s="9"/>
      <c r="Y709" s="10"/>
      <c r="Z709" s="11"/>
      <c r="AA709" s="10"/>
      <c r="AB709" s="10"/>
    </row>
    <row r="710" spans="2:28">
      <c r="B710" s="6"/>
      <c r="I710" s="9"/>
      <c r="J710" s="9"/>
      <c r="Y710" s="10"/>
      <c r="Z710" s="11"/>
      <c r="AA710" s="10"/>
      <c r="AB710" s="10"/>
    </row>
    <row r="711" spans="2:28">
      <c r="B711" s="6"/>
      <c r="I711" s="9"/>
      <c r="J711" s="9"/>
      <c r="Y711" s="10"/>
      <c r="Z711" s="11"/>
      <c r="AA711" s="10"/>
      <c r="AB711" s="10"/>
    </row>
    <row r="712" spans="2:28">
      <c r="B712" s="6"/>
      <c r="I712" s="9"/>
      <c r="J712" s="9"/>
      <c r="Y712" s="10"/>
      <c r="Z712" s="11"/>
      <c r="AA712" s="10"/>
      <c r="AB712" s="10"/>
    </row>
    <row r="713" spans="2:28">
      <c r="B713" s="6"/>
      <c r="I713" s="9"/>
      <c r="J713" s="9"/>
      <c r="Y713" s="10"/>
      <c r="Z713" s="11"/>
      <c r="AA713" s="10"/>
      <c r="AB713" s="10"/>
    </row>
    <row r="714" spans="2:28">
      <c r="B714" s="6"/>
      <c r="I714" s="9"/>
      <c r="J714" s="9"/>
      <c r="Y714" s="10"/>
      <c r="Z714" s="11"/>
      <c r="AA714" s="10"/>
      <c r="AB714" s="10"/>
    </row>
    <row r="715" spans="2:28">
      <c r="B715" s="6"/>
      <c r="I715" s="9"/>
      <c r="J715" s="9"/>
      <c r="Y715" s="10"/>
      <c r="Z715" s="11"/>
      <c r="AA715" s="10"/>
      <c r="AB715" s="10"/>
    </row>
    <row r="716" spans="2:28">
      <c r="B716" s="6"/>
      <c r="I716" s="9"/>
      <c r="J716" s="9"/>
      <c r="Y716" s="10"/>
      <c r="Z716" s="11"/>
      <c r="AA716" s="10"/>
      <c r="AB716" s="10"/>
    </row>
    <row r="717" spans="2:28">
      <c r="B717" s="6"/>
      <c r="I717" s="9"/>
      <c r="J717" s="9"/>
      <c r="Y717" s="10"/>
      <c r="Z717" s="11"/>
      <c r="AA717" s="10"/>
      <c r="AB717" s="10"/>
    </row>
    <row r="718" spans="2:28">
      <c r="B718" s="6"/>
      <c r="I718" s="9"/>
      <c r="J718" s="9"/>
      <c r="Y718" s="10"/>
      <c r="Z718" s="11"/>
      <c r="AA718" s="10"/>
      <c r="AB718" s="10"/>
    </row>
    <row r="719" spans="2:28">
      <c r="B719" s="6"/>
      <c r="I719" s="9"/>
      <c r="J719" s="9"/>
      <c r="Y719" s="10"/>
      <c r="Z719" s="11"/>
      <c r="AA719" s="10"/>
      <c r="AB719" s="10"/>
    </row>
    <row r="720" spans="2:28">
      <c r="B720" s="6"/>
      <c r="I720" s="9"/>
      <c r="J720" s="9"/>
      <c r="Y720" s="10"/>
      <c r="Z720" s="11"/>
      <c r="AA720" s="10"/>
      <c r="AB720" s="10"/>
    </row>
    <row r="721" spans="2:28">
      <c r="B721" s="6"/>
      <c r="I721" s="9"/>
      <c r="J721" s="9"/>
      <c r="Y721" s="10"/>
      <c r="Z721" s="11"/>
      <c r="AA721" s="10"/>
      <c r="AB721" s="10"/>
    </row>
    <row r="722" spans="2:28">
      <c r="B722" s="6"/>
      <c r="I722" s="9"/>
      <c r="J722" s="9"/>
      <c r="Y722" s="10"/>
      <c r="Z722" s="11"/>
      <c r="AA722" s="10"/>
      <c r="AB722" s="10"/>
    </row>
    <row r="723" spans="2:28">
      <c r="B723" s="6"/>
      <c r="I723" s="9"/>
      <c r="J723" s="9"/>
      <c r="Y723" s="10"/>
      <c r="Z723" s="11"/>
      <c r="AA723" s="10"/>
      <c r="AB723" s="10"/>
    </row>
    <row r="724" spans="2:28">
      <c r="B724" s="6"/>
      <c r="I724" s="9"/>
      <c r="J724" s="9"/>
      <c r="Y724" s="10"/>
      <c r="Z724" s="11"/>
      <c r="AA724" s="10"/>
      <c r="AB724" s="10"/>
    </row>
    <row r="725" spans="2:28">
      <c r="B725" s="6"/>
      <c r="I725" s="9"/>
      <c r="J725" s="9"/>
      <c r="Y725" s="10"/>
      <c r="Z725" s="11"/>
      <c r="AA725" s="10"/>
      <c r="AB725" s="10"/>
    </row>
    <row r="726" spans="2:28">
      <c r="B726" s="6"/>
      <c r="I726" s="9"/>
      <c r="J726" s="9"/>
      <c r="Y726" s="10"/>
      <c r="Z726" s="11"/>
      <c r="AA726" s="10"/>
      <c r="AB726" s="10"/>
    </row>
    <row r="727" spans="2:28">
      <c r="B727" s="6"/>
      <c r="I727" s="9"/>
      <c r="J727" s="9"/>
      <c r="Y727" s="10"/>
      <c r="Z727" s="11"/>
      <c r="AA727" s="10"/>
      <c r="AB727" s="10"/>
    </row>
    <row r="728" spans="2:28">
      <c r="B728" s="6"/>
      <c r="I728" s="9"/>
      <c r="J728" s="9"/>
      <c r="Y728" s="10"/>
      <c r="Z728" s="11"/>
      <c r="AA728" s="10"/>
      <c r="AB728" s="10"/>
    </row>
    <row r="729" spans="2:28">
      <c r="B729" s="6"/>
      <c r="I729" s="9"/>
      <c r="J729" s="9"/>
      <c r="Y729" s="10"/>
      <c r="Z729" s="11"/>
      <c r="AA729" s="10"/>
      <c r="AB729" s="10"/>
    </row>
    <row r="730" spans="2:28">
      <c r="B730" s="6"/>
      <c r="I730" s="9"/>
      <c r="J730" s="9"/>
      <c r="Y730" s="10"/>
      <c r="Z730" s="11"/>
      <c r="AA730" s="10"/>
      <c r="AB730" s="10"/>
    </row>
    <row r="731" spans="2:28">
      <c r="B731" s="6"/>
      <c r="I731" s="9"/>
      <c r="J731" s="9"/>
      <c r="Y731" s="10"/>
      <c r="Z731" s="11"/>
      <c r="AA731" s="10"/>
      <c r="AB731" s="10"/>
    </row>
    <row r="732" spans="2:28">
      <c r="B732" s="6"/>
      <c r="I732" s="9"/>
      <c r="J732" s="9"/>
      <c r="Y732" s="10"/>
      <c r="Z732" s="11"/>
      <c r="AA732" s="10"/>
      <c r="AB732" s="10"/>
    </row>
    <row r="733" spans="2:28">
      <c r="B733" s="6"/>
      <c r="I733" s="9"/>
      <c r="J733" s="9"/>
      <c r="Y733" s="10"/>
      <c r="Z733" s="11"/>
      <c r="AA733" s="10"/>
      <c r="AB733" s="10"/>
    </row>
    <row r="734" spans="2:28">
      <c r="B734" s="6"/>
      <c r="I734" s="9"/>
      <c r="J734" s="9"/>
      <c r="Y734" s="10"/>
      <c r="Z734" s="11"/>
      <c r="AA734" s="10"/>
      <c r="AB734" s="10"/>
    </row>
    <row r="735" spans="2:28">
      <c r="B735" s="6"/>
      <c r="I735" s="9"/>
      <c r="J735" s="9"/>
      <c r="Y735" s="10"/>
      <c r="Z735" s="11"/>
      <c r="AA735" s="10"/>
      <c r="AB735" s="10"/>
    </row>
    <row r="736" spans="2:28">
      <c r="B736" s="6"/>
      <c r="I736" s="9"/>
      <c r="J736" s="9"/>
      <c r="Y736" s="10"/>
      <c r="Z736" s="11"/>
      <c r="AA736" s="10"/>
      <c r="AB736" s="10"/>
    </row>
    <row r="737" spans="2:28">
      <c r="B737" s="6"/>
      <c r="I737" s="9"/>
      <c r="J737" s="9"/>
      <c r="Y737" s="10"/>
      <c r="Z737" s="11"/>
      <c r="AA737" s="10"/>
      <c r="AB737" s="10"/>
    </row>
    <row r="738" spans="2:28">
      <c r="B738" s="6"/>
      <c r="I738" s="9"/>
      <c r="J738" s="9"/>
      <c r="Y738" s="10"/>
      <c r="Z738" s="11"/>
      <c r="AA738" s="10"/>
      <c r="AB738" s="10"/>
    </row>
    <row r="739" spans="2:28">
      <c r="B739" s="6"/>
      <c r="I739" s="9"/>
      <c r="J739" s="9"/>
      <c r="Y739" s="10"/>
      <c r="Z739" s="11"/>
      <c r="AA739" s="10"/>
      <c r="AB739" s="10"/>
    </row>
    <row r="740" spans="2:28">
      <c r="B740" s="6"/>
      <c r="I740" s="9"/>
      <c r="J740" s="9"/>
      <c r="Y740" s="10"/>
      <c r="Z740" s="11"/>
      <c r="AA740" s="10"/>
      <c r="AB740" s="10"/>
    </row>
    <row r="741" spans="2:28">
      <c r="B741" s="6"/>
      <c r="I741" s="9"/>
      <c r="J741" s="9"/>
      <c r="Y741" s="10"/>
      <c r="Z741" s="11"/>
      <c r="AA741" s="10"/>
      <c r="AB741" s="10"/>
    </row>
    <row r="742" spans="2:28">
      <c r="B742" s="6"/>
      <c r="I742" s="9"/>
      <c r="J742" s="9"/>
      <c r="Y742" s="10"/>
      <c r="Z742" s="11"/>
      <c r="AA742" s="10"/>
      <c r="AB742" s="10"/>
    </row>
    <row r="743" spans="2:28">
      <c r="B743" s="6"/>
      <c r="I743" s="9"/>
      <c r="J743" s="9"/>
      <c r="Y743" s="10"/>
      <c r="Z743" s="11"/>
      <c r="AA743" s="10"/>
      <c r="AB743" s="10"/>
    </row>
    <row r="744" spans="2:28">
      <c r="B744" s="6"/>
      <c r="I744" s="9"/>
      <c r="J744" s="9"/>
      <c r="Y744" s="10"/>
      <c r="Z744" s="11"/>
      <c r="AA744" s="10"/>
      <c r="AB744" s="10"/>
    </row>
    <row r="745" spans="2:28">
      <c r="B745" s="6"/>
      <c r="I745" s="9"/>
      <c r="J745" s="9"/>
      <c r="Y745" s="10"/>
      <c r="Z745" s="11"/>
      <c r="AA745" s="10"/>
      <c r="AB745" s="10"/>
    </row>
    <row r="746" spans="2:28">
      <c r="B746" s="6"/>
      <c r="I746" s="9"/>
      <c r="J746" s="9"/>
      <c r="Y746" s="10"/>
      <c r="Z746" s="11"/>
      <c r="AA746" s="10"/>
      <c r="AB746" s="10"/>
    </row>
    <row r="747" spans="2:28">
      <c r="B747" s="6"/>
      <c r="I747" s="9"/>
      <c r="J747" s="9"/>
      <c r="Y747" s="10"/>
      <c r="Z747" s="11"/>
      <c r="AA747" s="10"/>
      <c r="AB747" s="10"/>
    </row>
    <row r="748" spans="2:28">
      <c r="B748" s="6"/>
      <c r="I748" s="9"/>
      <c r="J748" s="9"/>
      <c r="Y748" s="10"/>
      <c r="Z748" s="11"/>
      <c r="AA748" s="10"/>
      <c r="AB748" s="10"/>
    </row>
    <row r="749" spans="2:28">
      <c r="B749" s="6"/>
      <c r="I749" s="9"/>
      <c r="J749" s="9"/>
      <c r="Y749" s="10"/>
      <c r="Z749" s="11"/>
      <c r="AA749" s="10"/>
      <c r="AB749" s="10"/>
    </row>
    <row r="750" spans="2:28">
      <c r="B750" s="6"/>
      <c r="I750" s="9"/>
      <c r="J750" s="9"/>
      <c r="Y750" s="10"/>
      <c r="Z750" s="11"/>
      <c r="AA750" s="10"/>
      <c r="AB750" s="10"/>
    </row>
    <row r="751" spans="2:28">
      <c r="B751" s="6"/>
      <c r="I751" s="9"/>
      <c r="J751" s="9"/>
      <c r="Y751" s="10"/>
      <c r="Z751" s="11"/>
      <c r="AA751" s="10"/>
      <c r="AB751" s="10"/>
    </row>
    <row r="752" spans="2:28">
      <c r="B752" s="6"/>
      <c r="I752" s="9"/>
      <c r="J752" s="9"/>
      <c r="Y752" s="10"/>
      <c r="Z752" s="11"/>
      <c r="AA752" s="10"/>
      <c r="AB752" s="10"/>
    </row>
    <row r="753" spans="2:28">
      <c r="B753" s="6"/>
      <c r="I753" s="9"/>
      <c r="J753" s="9"/>
      <c r="Y753" s="10"/>
      <c r="Z753" s="11"/>
      <c r="AA753" s="10"/>
      <c r="AB753" s="10"/>
    </row>
    <row r="754" spans="2:28">
      <c r="B754" s="6"/>
      <c r="I754" s="9"/>
      <c r="J754" s="9"/>
      <c r="Y754" s="10"/>
      <c r="Z754" s="11"/>
      <c r="AA754" s="10"/>
      <c r="AB754" s="10"/>
    </row>
    <row r="755" spans="2:28">
      <c r="B755" s="6"/>
      <c r="I755" s="9"/>
      <c r="J755" s="9"/>
      <c r="Y755" s="10"/>
      <c r="Z755" s="11"/>
      <c r="AA755" s="10"/>
      <c r="AB755" s="10"/>
    </row>
    <row r="756" spans="2:28">
      <c r="B756" s="6"/>
      <c r="I756" s="9"/>
      <c r="J756" s="9"/>
      <c r="Y756" s="10"/>
      <c r="Z756" s="11"/>
      <c r="AA756" s="10"/>
      <c r="AB756" s="10"/>
    </row>
    <row r="757" spans="2:28">
      <c r="B757" s="6"/>
      <c r="I757" s="9"/>
      <c r="J757" s="9"/>
      <c r="Y757" s="10"/>
      <c r="Z757" s="11"/>
      <c r="AA757" s="10"/>
      <c r="AB757" s="10"/>
    </row>
    <row r="758" spans="2:28">
      <c r="B758" s="6"/>
      <c r="I758" s="9"/>
      <c r="J758" s="9"/>
      <c r="Y758" s="10"/>
      <c r="Z758" s="11"/>
      <c r="AA758" s="10"/>
      <c r="AB758" s="10"/>
    </row>
    <row r="759" spans="2:28">
      <c r="B759" s="6"/>
      <c r="I759" s="9"/>
      <c r="J759" s="9"/>
      <c r="Y759" s="10"/>
      <c r="Z759" s="11"/>
      <c r="AA759" s="10"/>
      <c r="AB759" s="10"/>
    </row>
    <row r="760" spans="2:28">
      <c r="B760" s="6"/>
      <c r="I760" s="9"/>
      <c r="J760" s="9"/>
      <c r="Y760" s="10"/>
      <c r="Z760" s="11"/>
      <c r="AA760" s="10"/>
      <c r="AB760" s="10"/>
    </row>
    <row r="761" spans="2:28">
      <c r="B761" s="6"/>
      <c r="I761" s="9"/>
      <c r="J761" s="9"/>
      <c r="Y761" s="10"/>
      <c r="Z761" s="11"/>
      <c r="AA761" s="10"/>
      <c r="AB761" s="10"/>
    </row>
    <row r="762" spans="2:28">
      <c r="B762" s="6"/>
      <c r="I762" s="9"/>
      <c r="J762" s="9"/>
      <c r="Y762" s="10"/>
      <c r="Z762" s="11"/>
      <c r="AA762" s="10"/>
      <c r="AB762" s="10"/>
    </row>
    <row r="763" spans="2:28">
      <c r="B763" s="6"/>
      <c r="I763" s="9"/>
      <c r="J763" s="9"/>
      <c r="Y763" s="10"/>
      <c r="Z763" s="11"/>
      <c r="AA763" s="10"/>
      <c r="AB763" s="10"/>
    </row>
    <row r="764" spans="2:28">
      <c r="B764" s="6"/>
      <c r="I764" s="9"/>
      <c r="J764" s="9"/>
      <c r="Y764" s="10"/>
      <c r="Z764" s="11"/>
      <c r="AA764" s="10"/>
      <c r="AB764" s="10"/>
    </row>
    <row r="765" spans="2:28">
      <c r="B765" s="6"/>
      <c r="I765" s="9"/>
      <c r="J765" s="9"/>
      <c r="Y765" s="10"/>
      <c r="Z765" s="11"/>
      <c r="AA765" s="10"/>
      <c r="AB765" s="10"/>
    </row>
    <row r="766" spans="2:28">
      <c r="B766" s="6"/>
      <c r="I766" s="9"/>
      <c r="J766" s="9"/>
      <c r="Y766" s="10"/>
      <c r="Z766" s="11"/>
      <c r="AA766" s="10"/>
      <c r="AB766" s="10"/>
    </row>
    <row r="767" spans="2:28">
      <c r="B767" s="6"/>
      <c r="I767" s="9"/>
      <c r="J767" s="9"/>
      <c r="Y767" s="10"/>
      <c r="Z767" s="11"/>
      <c r="AA767" s="10"/>
      <c r="AB767" s="10"/>
    </row>
    <row r="768" spans="2:28">
      <c r="B768" s="6"/>
      <c r="I768" s="9"/>
      <c r="J768" s="9"/>
      <c r="Y768" s="10"/>
      <c r="Z768" s="11"/>
      <c r="AA768" s="10"/>
      <c r="AB768" s="10"/>
    </row>
    <row r="769" spans="2:28">
      <c r="B769" s="6"/>
      <c r="I769" s="9"/>
      <c r="J769" s="9"/>
      <c r="Y769" s="10"/>
      <c r="Z769" s="11"/>
      <c r="AA769" s="10"/>
      <c r="AB769" s="10"/>
    </row>
    <row r="770" spans="2:28">
      <c r="B770" s="6"/>
      <c r="I770" s="9"/>
      <c r="J770" s="9"/>
      <c r="Y770" s="10"/>
      <c r="Z770" s="11"/>
      <c r="AA770" s="10"/>
      <c r="AB770" s="10"/>
    </row>
    <row r="771" spans="2:28">
      <c r="B771" s="6"/>
      <c r="I771" s="9"/>
      <c r="J771" s="9"/>
      <c r="Y771" s="10"/>
      <c r="Z771" s="11"/>
      <c r="AA771" s="10"/>
      <c r="AB771" s="10"/>
    </row>
    <row r="772" spans="2:28">
      <c r="B772" s="6"/>
      <c r="I772" s="9"/>
      <c r="J772" s="9"/>
      <c r="Y772" s="10"/>
      <c r="Z772" s="11"/>
      <c r="AA772" s="10"/>
      <c r="AB772" s="10"/>
    </row>
    <row r="773" spans="2:28">
      <c r="B773" s="6"/>
      <c r="I773" s="9"/>
      <c r="J773" s="9"/>
      <c r="Y773" s="10"/>
      <c r="Z773" s="11"/>
      <c r="AA773" s="10"/>
      <c r="AB773" s="10"/>
    </row>
    <row r="774" spans="2:28">
      <c r="B774" s="6"/>
      <c r="I774" s="9"/>
      <c r="J774" s="9"/>
      <c r="Y774" s="10"/>
      <c r="Z774" s="11"/>
      <c r="AA774" s="10"/>
      <c r="AB774" s="10"/>
    </row>
    <row r="775" spans="2:28">
      <c r="B775" s="6"/>
      <c r="I775" s="9"/>
      <c r="J775" s="9"/>
      <c r="Y775" s="10"/>
      <c r="Z775" s="11"/>
      <c r="AA775" s="10"/>
      <c r="AB775" s="10"/>
    </row>
    <row r="776" spans="2:28">
      <c r="B776" s="6"/>
      <c r="I776" s="9"/>
      <c r="J776" s="9"/>
      <c r="Y776" s="10"/>
      <c r="Z776" s="11"/>
      <c r="AA776" s="10"/>
      <c r="AB776" s="10"/>
    </row>
    <row r="777" spans="2:28">
      <c r="B777" s="6"/>
      <c r="I777" s="9"/>
      <c r="J777" s="9"/>
      <c r="Y777" s="10"/>
      <c r="Z777" s="11"/>
      <c r="AA777" s="10"/>
      <c r="AB777" s="10"/>
    </row>
    <row r="778" spans="2:28">
      <c r="B778" s="6"/>
      <c r="I778" s="9"/>
      <c r="J778" s="9"/>
      <c r="Y778" s="10"/>
      <c r="Z778" s="11"/>
      <c r="AA778" s="10"/>
      <c r="AB778" s="10"/>
    </row>
    <row r="779" spans="2:28">
      <c r="B779" s="6"/>
      <c r="I779" s="9"/>
      <c r="J779" s="9"/>
      <c r="Y779" s="10"/>
      <c r="Z779" s="11"/>
      <c r="AA779" s="10"/>
      <c r="AB779" s="10"/>
    </row>
    <row r="780" spans="2:28">
      <c r="B780" s="6"/>
      <c r="I780" s="9"/>
      <c r="J780" s="9"/>
      <c r="Y780" s="10"/>
      <c r="Z780" s="11"/>
      <c r="AA780" s="10"/>
      <c r="AB780" s="10"/>
    </row>
    <row r="781" spans="2:28">
      <c r="B781" s="6"/>
      <c r="I781" s="9"/>
      <c r="J781" s="9"/>
      <c r="Y781" s="10"/>
      <c r="Z781" s="11"/>
      <c r="AA781" s="10"/>
      <c r="AB781" s="10"/>
    </row>
    <row r="782" spans="2:28">
      <c r="B782" s="6"/>
      <c r="I782" s="9"/>
      <c r="J782" s="9"/>
      <c r="Y782" s="10"/>
      <c r="Z782" s="11"/>
      <c r="AA782" s="10"/>
      <c r="AB782" s="10"/>
    </row>
    <row r="783" spans="2:28">
      <c r="B783" s="6"/>
      <c r="I783" s="9"/>
      <c r="J783" s="9"/>
      <c r="Y783" s="10"/>
      <c r="Z783" s="11"/>
      <c r="AA783" s="10"/>
      <c r="AB783" s="10"/>
    </row>
    <row r="784" spans="2:28">
      <c r="B784" s="6"/>
      <c r="I784" s="9"/>
      <c r="J784" s="9"/>
      <c r="Y784" s="10"/>
      <c r="Z784" s="11"/>
      <c r="AA784" s="10"/>
      <c r="AB784" s="10"/>
    </row>
    <row r="785" spans="2:28">
      <c r="B785" s="6"/>
      <c r="I785" s="9"/>
      <c r="J785" s="9"/>
      <c r="Y785" s="10"/>
      <c r="Z785" s="11"/>
      <c r="AA785" s="10"/>
      <c r="AB785" s="10"/>
    </row>
    <row r="786" spans="2:28">
      <c r="B786" s="6"/>
      <c r="I786" s="9"/>
      <c r="J786" s="9"/>
      <c r="Y786" s="10"/>
      <c r="Z786" s="11"/>
      <c r="AA786" s="10"/>
      <c r="AB786" s="10"/>
    </row>
    <row r="787" spans="2:28">
      <c r="B787" s="6"/>
      <c r="I787" s="9"/>
      <c r="J787" s="9"/>
      <c r="Y787" s="10"/>
      <c r="Z787" s="11"/>
      <c r="AA787" s="10"/>
      <c r="AB787" s="10"/>
    </row>
    <row r="788" spans="2:28">
      <c r="B788" s="6"/>
      <c r="I788" s="9"/>
      <c r="J788" s="9"/>
      <c r="Y788" s="10"/>
      <c r="Z788" s="11"/>
      <c r="AA788" s="10"/>
      <c r="AB788" s="10"/>
    </row>
    <row r="789" spans="2:28">
      <c r="B789" s="6"/>
      <c r="I789" s="9"/>
      <c r="J789" s="9"/>
      <c r="Y789" s="10"/>
      <c r="Z789" s="11"/>
      <c r="AA789" s="10"/>
      <c r="AB789" s="10"/>
    </row>
    <row r="790" spans="2:28">
      <c r="B790" s="6"/>
      <c r="I790" s="9"/>
      <c r="J790" s="9"/>
      <c r="Y790" s="10"/>
      <c r="Z790" s="11"/>
      <c r="AA790" s="10"/>
      <c r="AB790" s="10"/>
    </row>
    <row r="791" spans="2:28">
      <c r="B791" s="6"/>
      <c r="I791" s="9"/>
      <c r="J791" s="9"/>
      <c r="Y791" s="10"/>
      <c r="Z791" s="11"/>
      <c r="AA791" s="10"/>
      <c r="AB791" s="10"/>
    </row>
    <row r="792" spans="2:28">
      <c r="B792" s="6"/>
      <c r="I792" s="9"/>
      <c r="J792" s="9"/>
      <c r="Y792" s="10"/>
      <c r="Z792" s="11"/>
      <c r="AA792" s="10"/>
      <c r="AB792" s="10"/>
    </row>
    <row r="793" spans="2:28">
      <c r="B793" s="6"/>
      <c r="I793" s="9"/>
      <c r="J793" s="9"/>
      <c r="Y793" s="10"/>
      <c r="Z793" s="11"/>
      <c r="AA793" s="10"/>
      <c r="AB793" s="10"/>
    </row>
    <row r="794" spans="2:28">
      <c r="B794" s="6"/>
      <c r="I794" s="9"/>
      <c r="J794" s="9"/>
      <c r="Y794" s="10"/>
      <c r="Z794" s="11"/>
      <c r="AA794" s="10"/>
      <c r="AB794" s="10"/>
    </row>
    <row r="795" spans="2:28">
      <c r="B795" s="6"/>
      <c r="I795" s="9"/>
      <c r="J795" s="9"/>
      <c r="Y795" s="10"/>
      <c r="Z795" s="11"/>
      <c r="AA795" s="10"/>
      <c r="AB795" s="10"/>
    </row>
    <row r="796" spans="2:28">
      <c r="B796" s="6"/>
      <c r="I796" s="9"/>
      <c r="J796" s="9"/>
      <c r="Y796" s="10"/>
      <c r="Z796" s="11"/>
      <c r="AA796" s="10"/>
      <c r="AB796" s="10"/>
    </row>
    <row r="797" spans="2:28">
      <c r="B797" s="6"/>
      <c r="I797" s="9"/>
      <c r="J797" s="9"/>
      <c r="Y797" s="10"/>
      <c r="Z797" s="11"/>
      <c r="AA797" s="10"/>
      <c r="AB797" s="10"/>
    </row>
    <row r="798" spans="2:28">
      <c r="B798" s="6"/>
      <c r="I798" s="9"/>
      <c r="J798" s="9"/>
      <c r="Y798" s="10"/>
      <c r="Z798" s="11"/>
      <c r="AA798" s="10"/>
      <c r="AB798" s="10"/>
    </row>
    <row r="799" spans="2:28">
      <c r="B799" s="6"/>
      <c r="I799" s="9"/>
      <c r="J799" s="9"/>
      <c r="Y799" s="10"/>
      <c r="Z799" s="11"/>
      <c r="AA799" s="10"/>
      <c r="AB799" s="10"/>
    </row>
    <row r="800" spans="2:28">
      <c r="B800" s="6"/>
      <c r="I800" s="9"/>
      <c r="J800" s="9"/>
      <c r="Y800" s="10"/>
      <c r="Z800" s="11"/>
      <c r="AA800" s="10"/>
      <c r="AB800" s="10"/>
    </row>
    <row r="801" spans="2:28">
      <c r="B801" s="6"/>
      <c r="I801" s="9"/>
      <c r="J801" s="9"/>
      <c r="Y801" s="10"/>
      <c r="Z801" s="11"/>
      <c r="AA801" s="10"/>
      <c r="AB801" s="10"/>
    </row>
    <row r="802" spans="2:28">
      <c r="B802" s="6"/>
      <c r="I802" s="9"/>
      <c r="J802" s="9"/>
      <c r="Y802" s="10"/>
      <c r="Z802" s="11"/>
      <c r="AA802" s="10"/>
      <c r="AB802" s="10"/>
    </row>
    <row r="803" spans="2:28">
      <c r="B803" s="6"/>
      <c r="I803" s="9"/>
      <c r="J803" s="9"/>
      <c r="Y803" s="10"/>
      <c r="Z803" s="11"/>
      <c r="AA803" s="10"/>
      <c r="AB803" s="10"/>
    </row>
    <row r="804" spans="2:28">
      <c r="B804" s="6"/>
      <c r="I804" s="9"/>
      <c r="J804" s="9"/>
      <c r="Y804" s="10"/>
      <c r="Z804" s="11"/>
      <c r="AA804" s="10"/>
      <c r="AB804" s="10"/>
    </row>
    <row r="805" spans="2:28">
      <c r="B805" s="6"/>
      <c r="I805" s="9"/>
      <c r="J805" s="9"/>
      <c r="Y805" s="10"/>
      <c r="Z805" s="11"/>
      <c r="AA805" s="10"/>
      <c r="AB805" s="10"/>
    </row>
    <row r="806" spans="2:28">
      <c r="B806" s="6"/>
      <c r="I806" s="9"/>
      <c r="J806" s="9"/>
      <c r="Y806" s="10"/>
      <c r="Z806" s="11"/>
      <c r="AA806" s="10"/>
      <c r="AB806" s="10"/>
    </row>
    <row r="807" spans="2:28">
      <c r="B807" s="6"/>
      <c r="I807" s="9"/>
      <c r="J807" s="9"/>
      <c r="Y807" s="10"/>
      <c r="Z807" s="11"/>
      <c r="AA807" s="10"/>
      <c r="AB807" s="10"/>
    </row>
    <row r="808" spans="2:28">
      <c r="B808" s="6"/>
      <c r="I808" s="9"/>
      <c r="J808" s="9"/>
      <c r="Y808" s="10"/>
      <c r="Z808" s="11"/>
      <c r="AA808" s="10"/>
      <c r="AB808" s="10"/>
    </row>
    <row r="809" spans="2:28">
      <c r="B809" s="6"/>
      <c r="I809" s="9"/>
      <c r="J809" s="9"/>
      <c r="Y809" s="10"/>
      <c r="Z809" s="11"/>
      <c r="AA809" s="10"/>
      <c r="AB809" s="10"/>
    </row>
    <row r="810" spans="2:28">
      <c r="B810" s="6"/>
      <c r="I810" s="9"/>
      <c r="J810" s="9"/>
      <c r="Y810" s="10"/>
      <c r="Z810" s="11"/>
      <c r="AA810" s="10"/>
      <c r="AB810" s="10"/>
    </row>
    <row r="811" spans="2:28">
      <c r="B811" s="6"/>
      <c r="I811" s="9"/>
      <c r="J811" s="9"/>
      <c r="Y811" s="10"/>
      <c r="Z811" s="11"/>
      <c r="AA811" s="10"/>
      <c r="AB811" s="10"/>
    </row>
    <row r="812" spans="2:28">
      <c r="B812" s="6"/>
      <c r="I812" s="9"/>
      <c r="J812" s="9"/>
      <c r="Y812" s="10"/>
      <c r="Z812" s="11"/>
      <c r="AA812" s="10"/>
      <c r="AB812" s="10"/>
    </row>
    <row r="813" spans="2:28">
      <c r="B813" s="6"/>
      <c r="I813" s="9"/>
      <c r="J813" s="9"/>
      <c r="Y813" s="10"/>
      <c r="Z813" s="11"/>
      <c r="AA813" s="10"/>
      <c r="AB813" s="10"/>
    </row>
    <row r="814" spans="2:28">
      <c r="B814" s="6"/>
      <c r="I814" s="9"/>
      <c r="J814" s="9"/>
      <c r="Y814" s="10"/>
      <c r="Z814" s="11"/>
      <c r="AA814" s="10"/>
      <c r="AB814" s="10"/>
    </row>
    <row r="815" spans="2:28">
      <c r="B815" s="6"/>
      <c r="I815" s="9"/>
      <c r="J815" s="9"/>
      <c r="Y815" s="10"/>
      <c r="Z815" s="11"/>
      <c r="AA815" s="10"/>
      <c r="AB815" s="10"/>
    </row>
    <row r="816" spans="2:28">
      <c r="B816" s="6"/>
      <c r="I816" s="9"/>
      <c r="J816" s="9"/>
      <c r="Y816" s="10"/>
      <c r="Z816" s="11"/>
      <c r="AA816" s="10"/>
      <c r="AB816" s="10"/>
    </row>
    <row r="817" spans="2:28">
      <c r="B817" s="6"/>
      <c r="I817" s="9"/>
      <c r="J817" s="9"/>
      <c r="Y817" s="10"/>
      <c r="Z817" s="11"/>
      <c r="AA817" s="10"/>
      <c r="AB817" s="10"/>
    </row>
    <row r="818" spans="2:28">
      <c r="B818" s="6"/>
      <c r="I818" s="9"/>
      <c r="J818" s="9"/>
      <c r="Y818" s="10"/>
      <c r="Z818" s="11"/>
      <c r="AA818" s="10"/>
      <c r="AB818" s="10"/>
    </row>
    <row r="819" spans="2:28">
      <c r="B819" s="6"/>
      <c r="I819" s="9"/>
      <c r="J819" s="9"/>
      <c r="Y819" s="10"/>
      <c r="Z819" s="11"/>
      <c r="AA819" s="10"/>
      <c r="AB819" s="10"/>
    </row>
    <row r="820" spans="2:28">
      <c r="B820" s="6"/>
      <c r="I820" s="9"/>
      <c r="J820" s="9"/>
      <c r="Y820" s="10"/>
      <c r="Z820" s="11"/>
      <c r="AA820" s="10"/>
      <c r="AB820" s="10"/>
    </row>
    <row r="821" spans="2:28">
      <c r="B821" s="6"/>
      <c r="I821" s="9"/>
      <c r="J821" s="9"/>
      <c r="Y821" s="10"/>
      <c r="Z821" s="11"/>
      <c r="AA821" s="10"/>
      <c r="AB821" s="10"/>
    </row>
    <row r="822" spans="2:28">
      <c r="B822" s="6"/>
      <c r="I822" s="9"/>
      <c r="J822" s="9"/>
      <c r="Y822" s="10"/>
      <c r="Z822" s="11"/>
      <c r="AA822" s="10"/>
      <c r="AB822" s="10"/>
    </row>
    <row r="823" spans="2:28">
      <c r="B823" s="6"/>
      <c r="I823" s="9"/>
      <c r="J823" s="9"/>
      <c r="Y823" s="10"/>
      <c r="Z823" s="11"/>
      <c r="AA823" s="10"/>
      <c r="AB823" s="10"/>
    </row>
    <row r="824" spans="2:28">
      <c r="B824" s="6"/>
      <c r="I824" s="9"/>
      <c r="J824" s="9"/>
      <c r="Y824" s="10"/>
      <c r="Z824" s="11"/>
      <c r="AA824" s="10"/>
      <c r="AB824" s="10"/>
    </row>
    <row r="825" spans="2:28">
      <c r="B825" s="6"/>
      <c r="I825" s="9"/>
      <c r="J825" s="9"/>
      <c r="Y825" s="10"/>
      <c r="Z825" s="11"/>
      <c r="AA825" s="10"/>
      <c r="AB825" s="10"/>
    </row>
    <row r="826" spans="2:28">
      <c r="B826" s="6"/>
      <c r="I826" s="9"/>
      <c r="J826" s="9"/>
      <c r="Y826" s="10"/>
      <c r="Z826" s="11"/>
      <c r="AA826" s="10"/>
      <c r="AB826" s="10"/>
    </row>
    <row r="827" spans="2:28">
      <c r="B827" s="6"/>
      <c r="I827" s="9"/>
      <c r="J827" s="9"/>
      <c r="Y827" s="10"/>
      <c r="Z827" s="11"/>
      <c r="AA827" s="10"/>
      <c r="AB827" s="10"/>
    </row>
    <row r="828" spans="2:28">
      <c r="B828" s="6"/>
      <c r="I828" s="9"/>
      <c r="J828" s="9"/>
      <c r="Y828" s="10"/>
      <c r="Z828" s="11"/>
      <c r="AA828" s="10"/>
      <c r="AB828" s="10"/>
    </row>
    <row r="829" spans="2:28">
      <c r="B829" s="6"/>
      <c r="I829" s="9"/>
      <c r="J829" s="9"/>
      <c r="Y829" s="10"/>
      <c r="Z829" s="11"/>
      <c r="AA829" s="10"/>
      <c r="AB829" s="10"/>
    </row>
    <row r="830" spans="2:28">
      <c r="B830" s="6"/>
      <c r="I830" s="9"/>
      <c r="J830" s="9"/>
      <c r="Y830" s="10"/>
      <c r="Z830" s="11"/>
      <c r="AA830" s="10"/>
      <c r="AB830" s="10"/>
    </row>
    <row r="831" spans="2:28">
      <c r="B831" s="6"/>
      <c r="I831" s="9"/>
      <c r="J831" s="9"/>
      <c r="Y831" s="10"/>
      <c r="Z831" s="11"/>
      <c r="AA831" s="10"/>
      <c r="AB831" s="10"/>
    </row>
    <row r="832" spans="2:28">
      <c r="B832" s="6"/>
      <c r="I832" s="9"/>
      <c r="J832" s="9"/>
      <c r="Y832" s="10"/>
      <c r="Z832" s="11"/>
      <c r="AA832" s="10"/>
      <c r="AB832" s="10"/>
    </row>
    <row r="833" spans="2:28">
      <c r="B833" s="6"/>
      <c r="I833" s="9"/>
      <c r="J833" s="9"/>
      <c r="Y833" s="10"/>
      <c r="Z833" s="11"/>
      <c r="AA833" s="10"/>
      <c r="AB833" s="10"/>
    </row>
    <row r="834" spans="2:28">
      <c r="B834" s="6"/>
      <c r="I834" s="9"/>
      <c r="J834" s="9"/>
      <c r="Y834" s="10"/>
      <c r="Z834" s="11"/>
      <c r="AA834" s="10"/>
      <c r="AB834" s="10"/>
    </row>
    <row r="835" spans="2:28">
      <c r="B835" s="6"/>
      <c r="I835" s="9"/>
      <c r="J835" s="9"/>
      <c r="Y835" s="10"/>
      <c r="Z835" s="11"/>
      <c r="AA835" s="10"/>
      <c r="AB835" s="10"/>
    </row>
    <row r="836" spans="2:28">
      <c r="B836" s="6"/>
      <c r="I836" s="9"/>
      <c r="J836" s="9"/>
      <c r="Y836" s="10"/>
      <c r="Z836" s="11"/>
      <c r="AA836" s="10"/>
      <c r="AB836" s="10"/>
    </row>
    <row r="837" spans="2:28">
      <c r="B837" s="6"/>
      <c r="I837" s="9"/>
      <c r="J837" s="9"/>
      <c r="Y837" s="10"/>
      <c r="Z837" s="11"/>
      <c r="AA837" s="10"/>
      <c r="AB837" s="10"/>
    </row>
    <row r="838" spans="2:28">
      <c r="B838" s="6"/>
      <c r="I838" s="9"/>
      <c r="J838" s="9"/>
      <c r="Y838" s="10"/>
      <c r="Z838" s="11"/>
      <c r="AA838" s="10"/>
      <c r="AB838" s="10"/>
    </row>
    <row r="839" spans="2:28">
      <c r="B839" s="6"/>
      <c r="I839" s="9"/>
      <c r="J839" s="9"/>
      <c r="Y839" s="10"/>
      <c r="Z839" s="11"/>
      <c r="AA839" s="10"/>
      <c r="AB839" s="10"/>
    </row>
    <row r="840" spans="2:28">
      <c r="B840" s="6"/>
      <c r="I840" s="9"/>
      <c r="J840" s="9"/>
      <c r="Y840" s="10"/>
      <c r="Z840" s="11"/>
      <c r="AA840" s="10"/>
      <c r="AB840" s="10"/>
    </row>
    <row r="841" spans="2:28">
      <c r="B841" s="6"/>
      <c r="I841" s="9"/>
      <c r="J841" s="9"/>
      <c r="Y841" s="10"/>
      <c r="Z841" s="11"/>
      <c r="AA841" s="10"/>
      <c r="AB841" s="10"/>
    </row>
    <row r="842" spans="2:28">
      <c r="B842" s="6"/>
      <c r="I842" s="9"/>
      <c r="J842" s="9"/>
      <c r="Y842" s="10"/>
      <c r="Z842" s="11"/>
      <c r="AA842" s="10"/>
      <c r="AB842" s="10"/>
    </row>
    <row r="843" spans="2:28">
      <c r="B843" s="6"/>
      <c r="I843" s="9"/>
      <c r="J843" s="9"/>
      <c r="Y843" s="10"/>
      <c r="Z843" s="11"/>
      <c r="AA843" s="10"/>
      <c r="AB843" s="10"/>
    </row>
    <row r="844" spans="2:28">
      <c r="B844" s="6"/>
      <c r="I844" s="9"/>
      <c r="J844" s="9"/>
      <c r="Y844" s="10"/>
      <c r="Z844" s="11"/>
      <c r="AA844" s="10"/>
      <c r="AB844" s="10"/>
    </row>
    <row r="845" spans="2:28">
      <c r="B845" s="6"/>
      <c r="I845" s="9"/>
      <c r="J845" s="9"/>
      <c r="Y845" s="10"/>
      <c r="Z845" s="11"/>
      <c r="AA845" s="10"/>
      <c r="AB845" s="10"/>
    </row>
    <row r="846" spans="2:28">
      <c r="B846" s="6"/>
      <c r="I846" s="9"/>
      <c r="J846" s="9"/>
      <c r="Y846" s="10"/>
      <c r="Z846" s="11"/>
      <c r="AA846" s="10"/>
      <c r="AB846" s="10"/>
    </row>
    <row r="847" spans="2:28">
      <c r="B847" s="6"/>
      <c r="I847" s="9"/>
      <c r="J847" s="9"/>
      <c r="Y847" s="10"/>
      <c r="Z847" s="11"/>
      <c r="AA847" s="10"/>
      <c r="AB847" s="10"/>
    </row>
    <row r="848" spans="2:28">
      <c r="B848" s="6"/>
      <c r="I848" s="9"/>
      <c r="J848" s="9"/>
      <c r="Y848" s="10"/>
      <c r="Z848" s="11"/>
      <c r="AA848" s="10"/>
      <c r="AB848" s="10"/>
    </row>
    <row r="849" spans="2:28">
      <c r="B849" s="6"/>
      <c r="I849" s="9"/>
      <c r="J849" s="9"/>
      <c r="Y849" s="10"/>
      <c r="Z849" s="11"/>
      <c r="AA849" s="10"/>
      <c r="AB849" s="10"/>
    </row>
    <row r="850" spans="2:28">
      <c r="B850" s="6"/>
      <c r="I850" s="9"/>
      <c r="J850" s="9"/>
      <c r="Y850" s="10"/>
      <c r="Z850" s="11"/>
      <c r="AA850" s="10"/>
      <c r="AB850" s="10"/>
    </row>
    <row r="851" spans="2:28">
      <c r="B851" s="6"/>
      <c r="I851" s="9"/>
      <c r="J851" s="9"/>
      <c r="Y851" s="10"/>
      <c r="Z851" s="11"/>
      <c r="AA851" s="10"/>
      <c r="AB851" s="10"/>
    </row>
    <row r="852" spans="2:28">
      <c r="B852" s="6"/>
      <c r="I852" s="9"/>
      <c r="J852" s="9"/>
      <c r="Y852" s="10"/>
      <c r="Z852" s="11"/>
      <c r="AA852" s="10"/>
      <c r="AB852" s="10"/>
    </row>
    <row r="853" spans="2:28">
      <c r="B853" s="6"/>
      <c r="I853" s="9"/>
      <c r="J853" s="9"/>
      <c r="Y853" s="10"/>
      <c r="Z853" s="11"/>
      <c r="AA853" s="10"/>
      <c r="AB853" s="10"/>
    </row>
    <row r="854" spans="2:28">
      <c r="B854" s="6"/>
      <c r="I854" s="9"/>
      <c r="J854" s="9"/>
      <c r="Y854" s="10"/>
      <c r="Z854" s="11"/>
      <c r="AA854" s="10"/>
      <c r="AB854" s="10"/>
    </row>
    <row r="855" spans="2:28">
      <c r="B855" s="6"/>
      <c r="I855" s="9"/>
      <c r="J855" s="9"/>
      <c r="Y855" s="10"/>
      <c r="Z855" s="11"/>
      <c r="AA855" s="10"/>
      <c r="AB855" s="10"/>
    </row>
    <row r="856" spans="2:28">
      <c r="B856" s="6"/>
      <c r="I856" s="9"/>
      <c r="J856" s="9"/>
      <c r="Y856" s="10"/>
      <c r="Z856" s="11"/>
      <c r="AA856" s="10"/>
      <c r="AB856" s="10"/>
    </row>
    <row r="857" spans="2:28">
      <c r="B857" s="6"/>
      <c r="I857" s="9"/>
      <c r="J857" s="9"/>
      <c r="Y857" s="10"/>
      <c r="Z857" s="11"/>
      <c r="AA857" s="10"/>
      <c r="AB857" s="10"/>
    </row>
    <row r="858" spans="2:28">
      <c r="B858" s="6"/>
      <c r="I858" s="9"/>
      <c r="J858" s="9"/>
      <c r="Y858" s="10"/>
      <c r="Z858" s="11"/>
      <c r="AA858" s="10"/>
      <c r="AB858" s="10"/>
    </row>
    <row r="859" spans="2:28">
      <c r="B859" s="6"/>
      <c r="I859" s="9"/>
      <c r="J859" s="9"/>
      <c r="Y859" s="10"/>
      <c r="Z859" s="11"/>
      <c r="AA859" s="10"/>
      <c r="AB859" s="10"/>
    </row>
    <row r="860" spans="2:28">
      <c r="B860" s="6"/>
      <c r="I860" s="9"/>
      <c r="J860" s="9"/>
      <c r="Y860" s="10"/>
      <c r="Z860" s="11"/>
      <c r="AA860" s="10"/>
      <c r="AB860" s="10"/>
    </row>
    <row r="861" spans="2:28">
      <c r="B861" s="6"/>
      <c r="I861" s="9"/>
      <c r="J861" s="9"/>
      <c r="Y861" s="10"/>
      <c r="Z861" s="11"/>
      <c r="AA861" s="10"/>
      <c r="AB861" s="10"/>
    </row>
    <row r="862" spans="2:28">
      <c r="B862" s="6"/>
      <c r="I862" s="9"/>
      <c r="J862" s="9"/>
      <c r="Y862" s="10"/>
      <c r="Z862" s="11"/>
      <c r="AA862" s="10"/>
      <c r="AB862" s="10"/>
    </row>
    <row r="863" spans="2:28">
      <c r="B863" s="6"/>
      <c r="I863" s="9"/>
      <c r="J863" s="9"/>
      <c r="Y863" s="10"/>
      <c r="Z863" s="11"/>
      <c r="AA863" s="10"/>
      <c r="AB863" s="10"/>
    </row>
    <row r="864" spans="2:28">
      <c r="B864" s="6"/>
      <c r="I864" s="9"/>
      <c r="J864" s="9"/>
      <c r="Y864" s="10"/>
      <c r="Z864" s="11"/>
      <c r="AA864" s="10"/>
      <c r="AB864" s="10"/>
    </row>
    <row r="865" spans="2:28">
      <c r="B865" s="6"/>
      <c r="I865" s="9"/>
      <c r="J865" s="9"/>
      <c r="Y865" s="10"/>
      <c r="Z865" s="11"/>
      <c r="AA865" s="10"/>
      <c r="AB865" s="10"/>
    </row>
    <row r="866" spans="2:28">
      <c r="B866" s="6"/>
      <c r="I866" s="9"/>
      <c r="J866" s="9"/>
      <c r="Y866" s="10"/>
      <c r="Z866" s="11"/>
      <c r="AA866" s="10"/>
      <c r="AB866" s="10"/>
    </row>
    <row r="867" spans="2:28">
      <c r="B867" s="6"/>
      <c r="I867" s="9"/>
      <c r="J867" s="9"/>
      <c r="Y867" s="10"/>
      <c r="Z867" s="11"/>
      <c r="AA867" s="10"/>
      <c r="AB867" s="10"/>
    </row>
    <row r="868" spans="2:28">
      <c r="B868" s="6"/>
      <c r="I868" s="9"/>
      <c r="J868" s="9"/>
      <c r="Y868" s="10"/>
      <c r="Z868" s="11"/>
      <c r="AA868" s="10"/>
      <c r="AB868" s="10"/>
    </row>
    <row r="869" spans="2:28">
      <c r="B869" s="6"/>
      <c r="I869" s="9"/>
      <c r="J869" s="9"/>
      <c r="Y869" s="10"/>
      <c r="Z869" s="11"/>
      <c r="AA869" s="10"/>
      <c r="AB869" s="10"/>
    </row>
    <row r="870" spans="2:28">
      <c r="B870" s="6"/>
      <c r="I870" s="9"/>
      <c r="J870" s="9"/>
      <c r="Y870" s="10"/>
      <c r="Z870" s="11"/>
      <c r="AA870" s="10"/>
      <c r="AB870" s="10"/>
    </row>
    <row r="871" spans="2:28">
      <c r="B871" s="6"/>
      <c r="I871" s="9"/>
      <c r="J871" s="9"/>
      <c r="Y871" s="10"/>
      <c r="Z871" s="11"/>
      <c r="AA871" s="10"/>
      <c r="AB871" s="10"/>
    </row>
    <row r="872" spans="2:28">
      <c r="B872" s="6"/>
      <c r="I872" s="9"/>
      <c r="J872" s="9"/>
      <c r="Y872" s="10"/>
      <c r="Z872" s="11"/>
      <c r="AA872" s="10"/>
      <c r="AB872" s="10"/>
    </row>
    <row r="873" spans="2:28">
      <c r="B873" s="6"/>
      <c r="I873" s="9"/>
      <c r="J873" s="9"/>
      <c r="Y873" s="10"/>
      <c r="Z873" s="11"/>
      <c r="AA873" s="10"/>
      <c r="AB873" s="10"/>
    </row>
    <row r="874" spans="2:28">
      <c r="B874" s="6"/>
      <c r="I874" s="9"/>
      <c r="J874" s="9"/>
      <c r="Y874" s="10"/>
      <c r="Z874" s="11"/>
      <c r="AA874" s="10"/>
      <c r="AB874" s="10"/>
    </row>
    <row r="875" spans="2:28">
      <c r="B875" s="6"/>
      <c r="I875" s="9"/>
      <c r="J875" s="9"/>
      <c r="Y875" s="10"/>
      <c r="Z875" s="11"/>
      <c r="AA875" s="10"/>
      <c r="AB875" s="10"/>
    </row>
    <row r="876" spans="2:28">
      <c r="B876" s="6"/>
      <c r="I876" s="9"/>
      <c r="J876" s="9"/>
      <c r="Y876" s="10"/>
      <c r="Z876" s="11"/>
      <c r="AA876" s="10"/>
      <c r="AB876" s="10"/>
    </row>
    <row r="877" spans="2:28">
      <c r="B877" s="6"/>
      <c r="I877" s="9"/>
      <c r="J877" s="9"/>
      <c r="Y877" s="10"/>
      <c r="Z877" s="11"/>
      <c r="AA877" s="10"/>
      <c r="AB877" s="10"/>
    </row>
    <row r="878" spans="2:28">
      <c r="B878" s="6"/>
      <c r="I878" s="9"/>
      <c r="J878" s="9"/>
      <c r="Y878" s="10"/>
      <c r="Z878" s="11"/>
      <c r="AA878" s="10"/>
      <c r="AB878" s="10"/>
    </row>
    <row r="879" spans="2:28">
      <c r="B879" s="6"/>
      <c r="I879" s="9"/>
      <c r="J879" s="9"/>
      <c r="Y879" s="10"/>
      <c r="Z879" s="11"/>
      <c r="AA879" s="10"/>
      <c r="AB879" s="10"/>
    </row>
    <row r="880" spans="2:28">
      <c r="B880" s="6"/>
      <c r="I880" s="9"/>
      <c r="J880" s="9"/>
      <c r="Y880" s="10"/>
      <c r="Z880" s="11"/>
      <c r="AA880" s="10"/>
      <c r="AB880" s="10"/>
    </row>
    <row r="881" spans="2:28">
      <c r="B881" s="6"/>
      <c r="I881" s="9"/>
      <c r="J881" s="9"/>
      <c r="Y881" s="10"/>
      <c r="Z881" s="11"/>
      <c r="AA881" s="10"/>
      <c r="AB881" s="10"/>
    </row>
    <row r="882" spans="2:28">
      <c r="B882" s="6"/>
      <c r="I882" s="9"/>
      <c r="J882" s="9"/>
      <c r="Y882" s="10"/>
      <c r="Z882" s="11"/>
      <c r="AA882" s="10"/>
      <c r="AB882" s="10"/>
    </row>
    <row r="883" spans="2:28">
      <c r="B883" s="6"/>
      <c r="I883" s="9"/>
      <c r="J883" s="9"/>
      <c r="Y883" s="10"/>
      <c r="Z883" s="11"/>
      <c r="AA883" s="10"/>
      <c r="AB883" s="10"/>
    </row>
    <row r="884" spans="2:28">
      <c r="B884" s="6"/>
      <c r="I884" s="9"/>
      <c r="J884" s="9"/>
      <c r="Y884" s="10"/>
      <c r="Z884" s="11"/>
      <c r="AA884" s="10"/>
      <c r="AB884" s="10"/>
    </row>
    <row r="885" spans="2:28">
      <c r="B885" s="6"/>
      <c r="I885" s="9"/>
      <c r="J885" s="9"/>
      <c r="Y885" s="10"/>
      <c r="Z885" s="11"/>
      <c r="AA885" s="10"/>
      <c r="AB885" s="10"/>
    </row>
    <row r="886" spans="2:28">
      <c r="B886" s="6"/>
      <c r="I886" s="9"/>
      <c r="J886" s="9"/>
      <c r="Y886" s="10"/>
      <c r="Z886" s="11"/>
      <c r="AA886" s="10"/>
      <c r="AB886" s="10"/>
    </row>
    <row r="887" spans="2:28">
      <c r="B887" s="6"/>
      <c r="I887" s="9"/>
      <c r="J887" s="9"/>
      <c r="Y887" s="10"/>
      <c r="Z887" s="11"/>
      <c r="AA887" s="10"/>
      <c r="AB887" s="10"/>
    </row>
    <row r="888" spans="2:28">
      <c r="B888" s="6"/>
      <c r="I888" s="9"/>
      <c r="J888" s="9"/>
      <c r="Y888" s="10"/>
      <c r="Z888" s="11"/>
      <c r="AA888" s="10"/>
      <c r="AB888" s="10"/>
    </row>
    <row r="889" spans="2:28">
      <c r="B889" s="6"/>
      <c r="I889" s="9"/>
      <c r="J889" s="9"/>
      <c r="Y889" s="10"/>
      <c r="Z889" s="11"/>
      <c r="AA889" s="10"/>
      <c r="AB889" s="10"/>
    </row>
    <row r="890" spans="2:28">
      <c r="B890" s="6"/>
      <c r="I890" s="9"/>
      <c r="J890" s="9"/>
      <c r="Y890" s="10"/>
      <c r="Z890" s="11"/>
      <c r="AA890" s="10"/>
      <c r="AB890" s="10"/>
    </row>
    <row r="891" spans="2:28">
      <c r="B891" s="6"/>
      <c r="I891" s="9"/>
      <c r="J891" s="9"/>
      <c r="Y891" s="10"/>
      <c r="Z891" s="11"/>
      <c r="AA891" s="10"/>
      <c r="AB891" s="10"/>
    </row>
    <row r="892" spans="2:28">
      <c r="B892" s="6"/>
      <c r="I892" s="9"/>
      <c r="J892" s="9"/>
      <c r="Y892" s="10"/>
      <c r="Z892" s="11"/>
      <c r="AA892" s="10"/>
      <c r="AB892" s="10"/>
    </row>
    <row r="893" spans="2:28">
      <c r="B893" s="6"/>
      <c r="I893" s="9"/>
      <c r="J893" s="9"/>
      <c r="Y893" s="10"/>
      <c r="Z893" s="11"/>
      <c r="AA893" s="10"/>
      <c r="AB893" s="10"/>
    </row>
    <row r="894" spans="2:28">
      <c r="B894" s="6"/>
      <c r="I894" s="9"/>
      <c r="J894" s="9"/>
      <c r="Y894" s="10"/>
      <c r="Z894" s="11"/>
      <c r="AA894" s="10"/>
      <c r="AB894" s="10"/>
    </row>
    <row r="895" spans="2:28">
      <c r="B895" s="6"/>
      <c r="I895" s="9"/>
      <c r="J895" s="9"/>
      <c r="Y895" s="10"/>
      <c r="Z895" s="11"/>
      <c r="AA895" s="10"/>
      <c r="AB895" s="10"/>
    </row>
    <row r="896" spans="2:28">
      <c r="B896" s="6"/>
      <c r="I896" s="9"/>
      <c r="J896" s="9"/>
      <c r="Y896" s="10"/>
      <c r="Z896" s="11"/>
      <c r="AA896" s="10"/>
      <c r="AB896" s="10"/>
    </row>
    <row r="897" spans="2:28">
      <c r="B897" s="6"/>
      <c r="I897" s="9"/>
      <c r="J897" s="9"/>
      <c r="Y897" s="10"/>
      <c r="Z897" s="11"/>
      <c r="AA897" s="10"/>
      <c r="AB897" s="10"/>
    </row>
    <row r="898" spans="2:28">
      <c r="B898" s="6"/>
      <c r="I898" s="9"/>
      <c r="J898" s="9"/>
      <c r="Y898" s="10"/>
      <c r="Z898" s="11"/>
      <c r="AA898" s="10"/>
      <c r="AB898" s="10"/>
    </row>
    <row r="899" spans="2:28">
      <c r="B899" s="6"/>
      <c r="I899" s="9"/>
      <c r="J899" s="9"/>
      <c r="Y899" s="10"/>
      <c r="Z899" s="11"/>
      <c r="AA899" s="10"/>
      <c r="AB899" s="10"/>
    </row>
    <row r="900" spans="2:28">
      <c r="B900" s="6"/>
      <c r="I900" s="9"/>
      <c r="J900" s="9"/>
      <c r="Y900" s="10"/>
      <c r="Z900" s="11"/>
      <c r="AA900" s="10"/>
      <c r="AB900" s="10"/>
    </row>
    <row r="901" spans="2:28">
      <c r="B901" s="6"/>
      <c r="I901" s="9"/>
      <c r="J901" s="9"/>
      <c r="Y901" s="10"/>
      <c r="Z901" s="11"/>
      <c r="AA901" s="10"/>
      <c r="AB901" s="10"/>
    </row>
    <row r="902" spans="2:28">
      <c r="B902" s="6"/>
      <c r="I902" s="9"/>
      <c r="J902" s="9"/>
      <c r="Y902" s="10"/>
      <c r="Z902" s="11"/>
      <c r="AA902" s="10"/>
      <c r="AB902" s="10"/>
    </row>
    <row r="903" spans="2:28">
      <c r="B903" s="6"/>
      <c r="I903" s="9"/>
      <c r="J903" s="9"/>
      <c r="Y903" s="10"/>
      <c r="Z903" s="11"/>
      <c r="AA903" s="10"/>
      <c r="AB903" s="10"/>
    </row>
    <row r="904" spans="2:28">
      <c r="B904" s="6"/>
      <c r="I904" s="9"/>
      <c r="J904" s="9"/>
      <c r="Y904" s="10"/>
      <c r="Z904" s="11"/>
      <c r="AA904" s="10"/>
      <c r="AB904" s="10"/>
    </row>
    <row r="905" spans="2:28">
      <c r="B905" s="6"/>
      <c r="I905" s="9"/>
      <c r="J905" s="9"/>
      <c r="Y905" s="10"/>
      <c r="Z905" s="11"/>
      <c r="AA905" s="10"/>
      <c r="AB905" s="10"/>
    </row>
    <row r="906" spans="2:28">
      <c r="B906" s="6"/>
      <c r="I906" s="9"/>
      <c r="J906" s="9"/>
      <c r="Y906" s="10"/>
      <c r="Z906" s="11"/>
      <c r="AA906" s="10"/>
      <c r="AB906" s="10"/>
    </row>
    <row r="907" spans="2:28">
      <c r="B907" s="6"/>
      <c r="I907" s="9"/>
      <c r="J907" s="9"/>
      <c r="Y907" s="10"/>
      <c r="Z907" s="11"/>
      <c r="AA907" s="10"/>
      <c r="AB907" s="10"/>
    </row>
    <row r="908" spans="2:28">
      <c r="B908" s="6"/>
      <c r="I908" s="9"/>
      <c r="J908" s="9"/>
      <c r="Y908" s="10"/>
      <c r="Z908" s="11"/>
      <c r="AA908" s="10"/>
      <c r="AB908" s="10"/>
    </row>
    <row r="909" spans="2:28">
      <c r="B909" s="6"/>
      <c r="I909" s="9"/>
      <c r="J909" s="9"/>
      <c r="Y909" s="10"/>
      <c r="Z909" s="11"/>
      <c r="AA909" s="10"/>
      <c r="AB909" s="10"/>
    </row>
    <row r="910" spans="2:28">
      <c r="B910" s="6"/>
      <c r="I910" s="9"/>
      <c r="J910" s="9"/>
      <c r="Y910" s="10"/>
      <c r="Z910" s="11"/>
      <c r="AA910" s="10"/>
      <c r="AB910" s="10"/>
    </row>
    <row r="911" spans="2:28">
      <c r="B911" s="6"/>
      <c r="I911" s="9"/>
      <c r="J911" s="9"/>
      <c r="Y911" s="10"/>
      <c r="Z911" s="11"/>
      <c r="AA911" s="10"/>
      <c r="AB911" s="10"/>
    </row>
    <row r="912" spans="2:28">
      <c r="B912" s="6"/>
      <c r="I912" s="9"/>
      <c r="J912" s="9"/>
      <c r="Y912" s="10"/>
      <c r="Z912" s="11"/>
      <c r="AA912" s="10"/>
      <c r="AB912" s="10"/>
    </row>
    <row r="913" spans="2:28">
      <c r="B913" s="6"/>
      <c r="I913" s="9"/>
      <c r="J913" s="9"/>
      <c r="Y913" s="10"/>
      <c r="Z913" s="11"/>
      <c r="AA913" s="10"/>
      <c r="AB913" s="10"/>
    </row>
    <row r="914" spans="2:28">
      <c r="B914" s="6"/>
      <c r="I914" s="9"/>
      <c r="J914" s="9"/>
      <c r="Y914" s="10"/>
      <c r="Z914" s="11"/>
      <c r="AA914" s="10"/>
      <c r="AB914" s="10"/>
    </row>
    <row r="915" spans="2:28">
      <c r="B915" s="6"/>
      <c r="I915" s="9"/>
      <c r="J915" s="9"/>
      <c r="Y915" s="10"/>
      <c r="Z915" s="11"/>
      <c r="AA915" s="10"/>
      <c r="AB915" s="10"/>
    </row>
    <row r="916" spans="2:28">
      <c r="B916" s="6"/>
      <c r="I916" s="9"/>
      <c r="J916" s="9"/>
      <c r="Y916" s="10"/>
      <c r="Z916" s="11"/>
      <c r="AA916" s="10"/>
      <c r="AB916" s="10"/>
    </row>
    <row r="917" spans="2:28">
      <c r="B917" s="6"/>
      <c r="I917" s="9"/>
      <c r="J917" s="9"/>
      <c r="Y917" s="10"/>
      <c r="Z917" s="11"/>
      <c r="AA917" s="10"/>
      <c r="AB917" s="10"/>
    </row>
    <row r="918" spans="2:28">
      <c r="B918" s="6"/>
      <c r="I918" s="9"/>
      <c r="J918" s="9"/>
      <c r="Y918" s="10"/>
      <c r="Z918" s="11"/>
      <c r="AA918" s="10"/>
      <c r="AB918" s="10"/>
    </row>
    <row r="919" spans="2:28">
      <c r="B919" s="6"/>
      <c r="I919" s="9"/>
      <c r="J919" s="9"/>
      <c r="Y919" s="10"/>
      <c r="Z919" s="11"/>
      <c r="AA919" s="10"/>
      <c r="AB919" s="10"/>
    </row>
    <row r="920" spans="2:28">
      <c r="B920" s="6"/>
      <c r="I920" s="9"/>
      <c r="J920" s="9"/>
      <c r="Y920" s="10"/>
      <c r="Z920" s="11"/>
      <c r="AA920" s="10"/>
      <c r="AB920" s="10"/>
    </row>
    <row r="921" spans="2:28">
      <c r="B921" s="6"/>
      <c r="I921" s="9"/>
      <c r="J921" s="9"/>
      <c r="Y921" s="10"/>
      <c r="Z921" s="11"/>
      <c r="AA921" s="10"/>
      <c r="AB921" s="10"/>
    </row>
    <row r="922" spans="2:28">
      <c r="B922" s="6"/>
      <c r="I922" s="9"/>
      <c r="J922" s="9"/>
      <c r="Y922" s="10"/>
      <c r="Z922" s="11"/>
      <c r="AA922" s="10"/>
      <c r="AB922" s="10"/>
    </row>
    <row r="923" spans="2:28">
      <c r="B923" s="6"/>
      <c r="I923" s="9"/>
      <c r="J923" s="9"/>
      <c r="Y923" s="10"/>
      <c r="Z923" s="11"/>
      <c r="AA923" s="10"/>
      <c r="AB923" s="10"/>
    </row>
    <row r="924" spans="2:28">
      <c r="B924" s="6"/>
      <c r="I924" s="9"/>
      <c r="J924" s="9"/>
      <c r="Y924" s="10"/>
      <c r="Z924" s="11"/>
      <c r="AA924" s="10"/>
      <c r="AB924" s="10"/>
    </row>
    <row r="925" spans="2:28">
      <c r="B925" s="6"/>
      <c r="I925" s="9"/>
      <c r="J925" s="9"/>
      <c r="Y925" s="10"/>
      <c r="Z925" s="11"/>
      <c r="AA925" s="10"/>
      <c r="AB925" s="10"/>
    </row>
    <row r="926" spans="2:28">
      <c r="B926" s="6"/>
      <c r="I926" s="9"/>
      <c r="J926" s="9"/>
      <c r="Y926" s="10"/>
      <c r="Z926" s="11"/>
      <c r="AA926" s="10"/>
      <c r="AB926" s="10"/>
    </row>
    <row r="927" spans="2:28">
      <c r="B927" s="6"/>
      <c r="I927" s="9"/>
      <c r="J927" s="9"/>
      <c r="Y927" s="10"/>
      <c r="Z927" s="11"/>
      <c r="AA927" s="10"/>
      <c r="AB927" s="10"/>
    </row>
    <row r="928" spans="2:28">
      <c r="B928" s="6"/>
      <c r="I928" s="9"/>
      <c r="J928" s="9"/>
      <c r="Y928" s="10"/>
      <c r="Z928" s="11"/>
      <c r="AA928" s="10"/>
      <c r="AB928" s="10"/>
    </row>
    <row r="929" spans="2:28">
      <c r="B929" s="6"/>
      <c r="I929" s="9"/>
      <c r="J929" s="9"/>
      <c r="Y929" s="10"/>
      <c r="Z929" s="11"/>
      <c r="AA929" s="10"/>
      <c r="AB929" s="10"/>
    </row>
    <row r="930" spans="2:28">
      <c r="B930" s="6"/>
      <c r="I930" s="9"/>
      <c r="J930" s="9"/>
      <c r="Y930" s="10"/>
      <c r="Z930" s="11"/>
      <c r="AA930" s="10"/>
      <c r="AB930" s="10"/>
    </row>
    <row r="931" spans="2:28">
      <c r="B931" s="6"/>
      <c r="I931" s="9"/>
      <c r="J931" s="9"/>
      <c r="Y931" s="10"/>
      <c r="Z931" s="11"/>
      <c r="AA931" s="10"/>
      <c r="AB931" s="10"/>
    </row>
    <row r="932" spans="2:28">
      <c r="B932" s="6"/>
      <c r="I932" s="9"/>
      <c r="J932" s="9"/>
      <c r="Y932" s="10"/>
      <c r="Z932" s="11"/>
      <c r="AA932" s="10"/>
      <c r="AB932" s="10"/>
    </row>
    <row r="933" spans="2:28">
      <c r="B933" s="6"/>
      <c r="I933" s="9"/>
      <c r="J933" s="9"/>
      <c r="Y933" s="10"/>
      <c r="Z933" s="11"/>
      <c r="AA933" s="10"/>
      <c r="AB933" s="10"/>
    </row>
    <row r="934" spans="2:28">
      <c r="B934" s="6"/>
      <c r="I934" s="9"/>
      <c r="J934" s="9"/>
      <c r="Y934" s="10"/>
      <c r="Z934" s="11"/>
      <c r="AA934" s="10"/>
      <c r="AB934" s="10"/>
    </row>
    <row r="935" spans="2:28">
      <c r="B935" s="6"/>
      <c r="I935" s="9"/>
      <c r="J935" s="9"/>
      <c r="Y935" s="10"/>
      <c r="Z935" s="11"/>
      <c r="AA935" s="10"/>
      <c r="AB935" s="10"/>
    </row>
    <row r="936" spans="2:28">
      <c r="B936" s="6"/>
      <c r="I936" s="9"/>
      <c r="J936" s="9"/>
      <c r="Y936" s="10"/>
      <c r="Z936" s="11"/>
      <c r="AA936" s="10"/>
      <c r="AB936" s="10"/>
    </row>
    <row r="937" spans="2:28">
      <c r="B937" s="6"/>
      <c r="I937" s="9"/>
      <c r="J937" s="9"/>
      <c r="Y937" s="10"/>
      <c r="Z937" s="11"/>
      <c r="AA937" s="10"/>
      <c r="AB937" s="10"/>
    </row>
    <row r="938" spans="2:28">
      <c r="B938" s="6"/>
      <c r="I938" s="9"/>
      <c r="J938" s="9"/>
      <c r="Y938" s="10"/>
      <c r="Z938" s="11"/>
      <c r="AA938" s="10"/>
      <c r="AB938" s="10"/>
    </row>
    <row r="939" spans="2:28">
      <c r="B939" s="6"/>
      <c r="I939" s="9"/>
      <c r="J939" s="9"/>
      <c r="Y939" s="10"/>
      <c r="Z939" s="11"/>
      <c r="AA939" s="10"/>
      <c r="AB939" s="10"/>
    </row>
    <row r="940" spans="2:28">
      <c r="B940" s="6"/>
      <c r="I940" s="9"/>
      <c r="J940" s="9"/>
      <c r="Y940" s="10"/>
      <c r="Z940" s="11"/>
      <c r="AA940" s="10"/>
      <c r="AB940" s="10"/>
    </row>
    <row r="941" spans="2:28">
      <c r="B941" s="6"/>
      <c r="I941" s="9"/>
      <c r="J941" s="9"/>
      <c r="Y941" s="10"/>
      <c r="Z941" s="11"/>
      <c r="AA941" s="10"/>
      <c r="AB941" s="10"/>
    </row>
    <row r="942" spans="2:28">
      <c r="B942" s="6"/>
      <c r="I942" s="9"/>
      <c r="J942" s="9"/>
      <c r="Y942" s="10"/>
      <c r="Z942" s="11"/>
      <c r="AA942" s="10"/>
      <c r="AB942" s="10"/>
    </row>
    <row r="943" spans="2:28">
      <c r="B943" s="6"/>
      <c r="I943" s="9"/>
      <c r="J943" s="9"/>
      <c r="Y943" s="10"/>
      <c r="Z943" s="11"/>
      <c r="AA943" s="10"/>
      <c r="AB943" s="10"/>
    </row>
    <row r="944" spans="2:28">
      <c r="B944" s="6"/>
      <c r="I944" s="9"/>
      <c r="J944" s="9"/>
      <c r="Y944" s="10"/>
      <c r="Z944" s="11"/>
      <c r="AA944" s="10"/>
      <c r="AB944" s="10"/>
    </row>
    <row r="945" spans="2:28">
      <c r="B945" s="6"/>
      <c r="I945" s="9"/>
      <c r="J945" s="9"/>
      <c r="Y945" s="10"/>
      <c r="Z945" s="11"/>
      <c r="AA945" s="10"/>
      <c r="AB945" s="10"/>
    </row>
    <row r="946" spans="2:28">
      <c r="B946" s="6"/>
      <c r="I946" s="9"/>
      <c r="J946" s="9"/>
      <c r="Y946" s="10"/>
      <c r="Z946" s="11"/>
      <c r="AA946" s="10"/>
      <c r="AB946" s="10"/>
    </row>
    <row r="947" spans="2:28">
      <c r="B947" s="6"/>
      <c r="I947" s="9"/>
      <c r="J947" s="9"/>
      <c r="Y947" s="10"/>
      <c r="Z947" s="11"/>
      <c r="AA947" s="10"/>
      <c r="AB947" s="10"/>
    </row>
    <row r="948" spans="2:28">
      <c r="B948" s="6"/>
      <c r="I948" s="9"/>
      <c r="J948" s="9"/>
      <c r="Y948" s="10"/>
      <c r="Z948" s="11"/>
      <c r="AA948" s="10"/>
      <c r="AB948" s="10"/>
    </row>
    <row r="949" spans="2:28">
      <c r="B949" s="6"/>
      <c r="I949" s="9"/>
      <c r="J949" s="9"/>
      <c r="Y949" s="10"/>
      <c r="Z949" s="11"/>
      <c r="AA949" s="10"/>
      <c r="AB949" s="10"/>
    </row>
    <row r="950" spans="2:28">
      <c r="B950" s="6"/>
      <c r="I950" s="9"/>
      <c r="J950" s="9"/>
      <c r="Y950" s="10"/>
      <c r="Z950" s="11"/>
      <c r="AA950" s="10"/>
      <c r="AB950" s="10"/>
    </row>
    <row r="951" spans="2:28">
      <c r="B951" s="6"/>
      <c r="I951" s="9"/>
      <c r="J951" s="9"/>
      <c r="Y951" s="10"/>
      <c r="Z951" s="11"/>
      <c r="AA951" s="10"/>
      <c r="AB951" s="10"/>
    </row>
    <row r="952" spans="2:28">
      <c r="B952" s="6"/>
      <c r="I952" s="9"/>
      <c r="J952" s="9"/>
      <c r="Y952" s="10"/>
      <c r="Z952" s="11"/>
      <c r="AA952" s="10"/>
      <c r="AB952" s="10"/>
    </row>
    <row r="953" spans="2:28">
      <c r="B953" s="6"/>
      <c r="I953" s="9"/>
      <c r="J953" s="9"/>
      <c r="Y953" s="10"/>
      <c r="Z953" s="11"/>
      <c r="AA953" s="10"/>
      <c r="AB953" s="10"/>
    </row>
    <row r="954" spans="2:28">
      <c r="B954" s="6"/>
      <c r="I954" s="9"/>
      <c r="J954" s="9"/>
      <c r="Y954" s="10"/>
      <c r="Z954" s="11"/>
      <c r="AA954" s="10"/>
      <c r="AB954" s="10"/>
    </row>
    <row r="955" spans="2:28">
      <c r="B955" s="6"/>
      <c r="I955" s="9"/>
      <c r="J955" s="9"/>
      <c r="Y955" s="10"/>
      <c r="Z955" s="11"/>
      <c r="AA955" s="10"/>
      <c r="AB955" s="10"/>
    </row>
    <row r="956" spans="2:28">
      <c r="B956" s="6"/>
      <c r="I956" s="9"/>
      <c r="J956" s="9"/>
      <c r="Y956" s="10"/>
      <c r="Z956" s="11"/>
      <c r="AA956" s="10"/>
      <c r="AB956" s="10"/>
    </row>
    <row r="957" spans="2:28">
      <c r="B957" s="6"/>
      <c r="I957" s="9"/>
      <c r="J957" s="9"/>
      <c r="Y957" s="10"/>
      <c r="Z957" s="11"/>
      <c r="AA957" s="10"/>
      <c r="AB957" s="10"/>
    </row>
    <row r="958" spans="2:28">
      <c r="B958" s="6"/>
      <c r="I958" s="9"/>
      <c r="J958" s="9"/>
      <c r="Y958" s="10"/>
      <c r="Z958" s="11"/>
      <c r="AA958" s="10"/>
      <c r="AB958" s="10"/>
    </row>
    <row r="959" spans="2:28">
      <c r="B959" s="6"/>
      <c r="I959" s="9"/>
      <c r="J959" s="9"/>
      <c r="Y959" s="10"/>
      <c r="Z959" s="11"/>
      <c r="AA959" s="10"/>
      <c r="AB959" s="10"/>
    </row>
    <row r="960" spans="2:28">
      <c r="B960" s="6"/>
      <c r="I960" s="9"/>
      <c r="J960" s="9"/>
      <c r="Y960" s="10"/>
      <c r="Z960" s="11"/>
      <c r="AA960" s="10"/>
      <c r="AB960" s="10"/>
    </row>
    <row r="961" spans="2:28">
      <c r="B961" s="6"/>
      <c r="I961" s="9"/>
      <c r="J961" s="9"/>
      <c r="Y961" s="10"/>
      <c r="Z961" s="11"/>
      <c r="AA961" s="10"/>
      <c r="AB961" s="10"/>
    </row>
    <row r="962" spans="2:28">
      <c r="B962" s="6"/>
      <c r="I962" s="9"/>
      <c r="J962" s="9"/>
      <c r="Y962" s="10"/>
      <c r="Z962" s="11"/>
      <c r="AA962" s="10"/>
      <c r="AB962" s="10"/>
    </row>
    <row r="963" spans="2:28">
      <c r="B963" s="6"/>
      <c r="I963" s="9"/>
      <c r="J963" s="9"/>
      <c r="Y963" s="10"/>
      <c r="Z963" s="11"/>
      <c r="AA963" s="10"/>
      <c r="AB963" s="10"/>
    </row>
    <row r="964" spans="2:28">
      <c r="B964" s="6"/>
      <c r="I964" s="9"/>
      <c r="J964" s="9"/>
      <c r="Y964" s="10"/>
      <c r="Z964" s="11"/>
      <c r="AA964" s="10"/>
      <c r="AB964" s="10"/>
    </row>
    <row r="965" spans="2:28">
      <c r="B965" s="6"/>
      <c r="I965" s="9"/>
      <c r="J965" s="9"/>
      <c r="Y965" s="10"/>
      <c r="Z965" s="11"/>
      <c r="AA965" s="10"/>
      <c r="AB965" s="10"/>
    </row>
    <row r="966" spans="2:28">
      <c r="B966" s="6"/>
      <c r="I966" s="9"/>
      <c r="J966" s="9"/>
      <c r="Y966" s="10"/>
      <c r="Z966" s="11"/>
      <c r="AA966" s="10"/>
      <c r="AB966" s="10"/>
    </row>
    <row r="967" spans="2:28">
      <c r="B967" s="6"/>
      <c r="I967" s="9"/>
      <c r="J967" s="9"/>
      <c r="Y967" s="10"/>
      <c r="Z967" s="11"/>
      <c r="AA967" s="10"/>
      <c r="AB967" s="10"/>
    </row>
    <row r="968" spans="2:28">
      <c r="B968" s="6"/>
      <c r="I968" s="9"/>
      <c r="J968" s="9"/>
      <c r="Y968" s="10"/>
      <c r="Z968" s="11"/>
      <c r="AA968" s="10"/>
      <c r="AB968" s="10"/>
    </row>
    <row r="969" spans="2:28">
      <c r="B969" s="6"/>
      <c r="I969" s="9"/>
      <c r="J969" s="9"/>
      <c r="Y969" s="10"/>
      <c r="Z969" s="11"/>
      <c r="AA969" s="10"/>
      <c r="AB969" s="10"/>
    </row>
    <row r="970" spans="2:28">
      <c r="B970" s="6"/>
      <c r="I970" s="9"/>
      <c r="J970" s="9"/>
      <c r="Y970" s="10"/>
      <c r="Z970" s="11"/>
      <c r="AA970" s="10"/>
      <c r="AB970" s="10"/>
    </row>
    <row r="971" spans="2:28">
      <c r="B971" s="6"/>
      <c r="I971" s="9"/>
      <c r="J971" s="9"/>
      <c r="Y971" s="10"/>
      <c r="Z971" s="11"/>
      <c r="AA971" s="10"/>
      <c r="AB971" s="10"/>
    </row>
    <row r="972" spans="2:28">
      <c r="B972" s="6"/>
      <c r="I972" s="9"/>
      <c r="J972" s="9"/>
      <c r="Y972" s="10"/>
      <c r="Z972" s="11"/>
      <c r="AA972" s="10"/>
      <c r="AB972" s="10"/>
    </row>
    <row r="973" spans="2:28">
      <c r="B973" s="6"/>
      <c r="I973" s="9"/>
      <c r="J973" s="9"/>
      <c r="Y973" s="10"/>
      <c r="Z973" s="11"/>
      <c r="AA973" s="10"/>
      <c r="AB973" s="10"/>
    </row>
    <row r="974" spans="2:28">
      <c r="B974" s="6"/>
      <c r="I974" s="9"/>
      <c r="J974" s="9"/>
      <c r="Y974" s="10"/>
      <c r="Z974" s="11"/>
      <c r="AA974" s="10"/>
      <c r="AB974" s="10"/>
    </row>
    <row r="975" spans="2:28">
      <c r="B975" s="6"/>
      <c r="I975" s="9"/>
      <c r="J975" s="9"/>
      <c r="Y975" s="10"/>
      <c r="Z975" s="11"/>
      <c r="AA975" s="10"/>
      <c r="AB975" s="10"/>
    </row>
    <row r="976" spans="2:28">
      <c r="B976" s="6"/>
      <c r="I976" s="9"/>
      <c r="J976" s="9"/>
      <c r="Y976" s="10"/>
      <c r="Z976" s="11"/>
      <c r="AA976" s="10"/>
      <c r="AB976" s="10"/>
    </row>
    <row r="977" spans="2:28">
      <c r="B977" s="6"/>
      <c r="I977" s="9"/>
      <c r="J977" s="9"/>
      <c r="Y977" s="10"/>
      <c r="Z977" s="11"/>
      <c r="AA977" s="10"/>
      <c r="AB977" s="10"/>
    </row>
    <row r="978" spans="2:28">
      <c r="B978" s="6"/>
      <c r="I978" s="9"/>
      <c r="J978" s="9"/>
      <c r="Y978" s="10"/>
      <c r="Z978" s="11"/>
      <c r="AA978" s="10"/>
      <c r="AB978" s="10"/>
    </row>
    <row r="979" spans="2:28">
      <c r="B979" s="6"/>
      <c r="I979" s="9"/>
      <c r="J979" s="9"/>
      <c r="Y979" s="10"/>
      <c r="Z979" s="11"/>
      <c r="AA979" s="10"/>
      <c r="AB979" s="10"/>
    </row>
    <row r="980" spans="2:28">
      <c r="B980" s="6"/>
      <c r="I980" s="9"/>
      <c r="J980" s="9"/>
      <c r="Y980" s="10"/>
      <c r="Z980" s="11"/>
      <c r="AA980" s="10"/>
      <c r="AB980" s="10"/>
    </row>
    <row r="981" spans="2:28">
      <c r="B981" s="6"/>
      <c r="I981" s="9"/>
      <c r="J981" s="9"/>
      <c r="Y981" s="10"/>
      <c r="Z981" s="11"/>
      <c r="AA981" s="10"/>
      <c r="AB981" s="10"/>
    </row>
    <row r="982" spans="2:28">
      <c r="B982" s="6"/>
      <c r="I982" s="9"/>
      <c r="J982" s="9"/>
      <c r="Y982" s="10"/>
      <c r="Z982" s="11"/>
      <c r="AA982" s="10"/>
      <c r="AB982" s="10"/>
    </row>
    <row r="983" spans="2:28">
      <c r="B983" s="6"/>
      <c r="I983" s="9"/>
      <c r="J983" s="9"/>
      <c r="Y983" s="10"/>
      <c r="Z983" s="11"/>
      <c r="AA983" s="10"/>
      <c r="AB983" s="10"/>
    </row>
    <row r="984" spans="2:28">
      <c r="B984" s="6"/>
      <c r="I984" s="9"/>
      <c r="J984" s="9"/>
      <c r="Y984" s="10"/>
      <c r="Z984" s="11"/>
      <c r="AA984" s="10"/>
      <c r="AB984" s="10"/>
    </row>
    <row r="985" spans="2:28">
      <c r="B985" s="6"/>
      <c r="I985" s="9"/>
      <c r="J985" s="9"/>
      <c r="Y985" s="10"/>
      <c r="Z985" s="11"/>
      <c r="AA985" s="10"/>
      <c r="AB985" s="10"/>
    </row>
    <row r="986" spans="2:28">
      <c r="B986" s="6"/>
      <c r="I986" s="9"/>
      <c r="J986" s="9"/>
      <c r="Y986" s="10"/>
      <c r="Z986" s="11"/>
      <c r="AA986" s="10"/>
      <c r="AB986" s="10"/>
    </row>
    <row r="987" spans="2:28">
      <c r="B987" s="6"/>
      <c r="I987" s="9"/>
      <c r="J987" s="9"/>
      <c r="Y987" s="10"/>
      <c r="Z987" s="11"/>
      <c r="AA987" s="10"/>
      <c r="AB987" s="10"/>
    </row>
    <row r="988" spans="2:28">
      <c r="B988" s="6"/>
      <c r="I988" s="9"/>
      <c r="J988" s="9"/>
      <c r="Y988" s="10"/>
      <c r="Z988" s="11"/>
      <c r="AA988" s="10"/>
      <c r="AB988" s="10"/>
    </row>
    <row r="989" spans="2:28">
      <c r="B989" s="6"/>
      <c r="I989" s="9"/>
      <c r="J989" s="9"/>
      <c r="Y989" s="10"/>
      <c r="Z989" s="11"/>
      <c r="AA989" s="10"/>
      <c r="AB989" s="10"/>
    </row>
    <row r="990" spans="2:28">
      <c r="B990" s="6"/>
      <c r="I990" s="9"/>
      <c r="J990" s="9"/>
      <c r="Y990" s="10"/>
      <c r="Z990" s="11"/>
      <c r="AA990" s="10"/>
      <c r="AB990" s="10"/>
    </row>
    <row r="991" spans="2:28">
      <c r="B991" s="6"/>
      <c r="I991" s="9"/>
      <c r="J991" s="9"/>
      <c r="Y991" s="10"/>
      <c r="Z991" s="11"/>
      <c r="AA991" s="10"/>
      <c r="AB991" s="10"/>
    </row>
    <row r="992" spans="2:28">
      <c r="B992" s="6"/>
      <c r="I992" s="9"/>
      <c r="J992" s="9"/>
      <c r="Y992" s="10"/>
      <c r="Z992" s="11"/>
      <c r="AA992" s="10"/>
      <c r="AB992" s="10"/>
    </row>
    <row r="993" spans="2:28">
      <c r="B993" s="6"/>
      <c r="I993" s="9"/>
      <c r="J993" s="9"/>
      <c r="Y993" s="10"/>
      <c r="Z993" s="11"/>
      <c r="AA993" s="10"/>
      <c r="AB993" s="10"/>
    </row>
    <row r="994" spans="2:28">
      <c r="B994" s="6"/>
      <c r="I994" s="9"/>
      <c r="J994" s="9"/>
      <c r="Y994" s="10"/>
      <c r="Z994" s="11"/>
      <c r="AA994" s="10"/>
      <c r="AB994" s="10"/>
    </row>
    <row r="995" spans="2:28">
      <c r="B995" s="6"/>
      <c r="I995" s="9"/>
      <c r="J995" s="9"/>
      <c r="Y995" s="10"/>
      <c r="Z995" s="11"/>
      <c r="AA995" s="10"/>
      <c r="AB995" s="10"/>
    </row>
    <row r="996" spans="2:28">
      <c r="B996" s="6"/>
      <c r="I996" s="9"/>
      <c r="J996" s="9"/>
      <c r="Y996" s="10"/>
      <c r="Z996" s="11"/>
      <c r="AA996" s="10"/>
      <c r="AB996" s="10"/>
    </row>
    <row r="997" spans="2:28">
      <c r="B997" s="6"/>
      <c r="I997" s="9"/>
      <c r="J997" s="9"/>
      <c r="Y997" s="10"/>
      <c r="Z997" s="11"/>
      <c r="AA997" s="10"/>
      <c r="AB997" s="10"/>
    </row>
    <row r="998" spans="2:28">
      <c r="B998" s="6"/>
      <c r="I998" s="9"/>
      <c r="J998" s="9"/>
      <c r="Y998" s="10"/>
      <c r="Z998" s="11"/>
      <c r="AA998" s="10"/>
      <c r="AB998" s="10"/>
    </row>
    <row r="999" spans="2:28">
      <c r="B999" s="6"/>
      <c r="I999" s="9"/>
      <c r="J999" s="9"/>
      <c r="Y999" s="10"/>
      <c r="Z999" s="11"/>
      <c r="AA999" s="10"/>
      <c r="AB999" s="10"/>
    </row>
    <row r="1000" spans="2:28">
      <c r="B1000" s="6"/>
      <c r="I1000" s="9"/>
      <c r="J1000" s="9"/>
      <c r="Y1000" s="10"/>
      <c r="Z1000" s="11"/>
      <c r="AA1000" s="10"/>
      <c r="AB1000" s="10"/>
    </row>
    <row r="1001" spans="2:28">
      <c r="B1001" s="6"/>
      <c r="I1001" s="9"/>
      <c r="J1001" s="9"/>
      <c r="Y1001" s="10"/>
      <c r="Z1001" s="11"/>
      <c r="AA1001" s="10"/>
      <c r="AB1001" s="10"/>
    </row>
    <row r="1002" spans="2:28">
      <c r="B1002" s="6"/>
      <c r="I1002" s="9"/>
      <c r="J1002" s="9"/>
      <c r="Y1002" s="10"/>
      <c r="Z1002" s="11"/>
      <c r="AA1002" s="10"/>
      <c r="AB1002" s="10"/>
    </row>
    <row r="1003" spans="2:28">
      <c r="B1003" s="6"/>
      <c r="I1003" s="9"/>
      <c r="J1003" s="9"/>
      <c r="Y1003" s="10"/>
      <c r="Z1003" s="11"/>
      <c r="AA1003" s="10"/>
      <c r="AB1003" s="10"/>
    </row>
    <row r="1004" spans="2:28">
      <c r="B1004" s="6"/>
      <c r="I1004" s="9"/>
      <c r="J1004" s="9"/>
      <c r="Y1004" s="10"/>
      <c r="Z1004" s="11"/>
      <c r="AA1004" s="10"/>
      <c r="AB1004" s="10"/>
    </row>
    <row r="1005" spans="2:28">
      <c r="B1005" s="6"/>
      <c r="I1005" s="9"/>
      <c r="J1005" s="9"/>
      <c r="Y1005" s="10"/>
      <c r="Z1005" s="11"/>
      <c r="AA1005" s="10"/>
      <c r="AB1005" s="10"/>
    </row>
    <row r="1006" spans="2:28">
      <c r="B1006" s="6"/>
      <c r="I1006" s="9"/>
      <c r="J1006" s="9"/>
      <c r="Y1006" s="10"/>
      <c r="Z1006" s="11"/>
      <c r="AA1006" s="10"/>
      <c r="AB1006" s="10"/>
    </row>
    <row r="1007" spans="2:28">
      <c r="B1007" s="6"/>
      <c r="I1007" s="9"/>
      <c r="J1007" s="9"/>
      <c r="Y1007" s="10"/>
      <c r="Z1007" s="11"/>
      <c r="AA1007" s="10"/>
      <c r="AB1007" s="10"/>
    </row>
    <row r="1008" spans="2:28">
      <c r="B1008" s="6"/>
      <c r="I1008" s="9"/>
      <c r="J1008" s="9"/>
      <c r="Y1008" s="10"/>
      <c r="Z1008" s="11"/>
      <c r="AA1008" s="10"/>
      <c r="AB1008" s="10"/>
    </row>
    <row r="1009" spans="2:28">
      <c r="B1009" s="6"/>
      <c r="I1009" s="9"/>
      <c r="J1009" s="9"/>
      <c r="Y1009" s="10"/>
      <c r="Z1009" s="11"/>
      <c r="AA1009" s="10"/>
      <c r="AB1009" s="10"/>
    </row>
    <row r="1010" spans="2:28">
      <c r="B1010" s="6"/>
      <c r="I1010" s="9"/>
      <c r="J1010" s="9"/>
      <c r="Y1010" s="10"/>
      <c r="Z1010" s="11"/>
      <c r="AA1010" s="10"/>
      <c r="AB1010" s="10"/>
    </row>
    <row r="1011" spans="2:28">
      <c r="B1011" s="6"/>
      <c r="I1011" s="9"/>
      <c r="J1011" s="9"/>
      <c r="Y1011" s="10"/>
      <c r="Z1011" s="11"/>
      <c r="AA1011" s="10"/>
      <c r="AB1011" s="10"/>
    </row>
    <row r="1012" spans="2:28">
      <c r="B1012" s="6"/>
      <c r="I1012" s="9"/>
      <c r="J1012" s="9"/>
      <c r="Y1012" s="10"/>
      <c r="Z1012" s="11"/>
      <c r="AA1012" s="10"/>
      <c r="AB1012" s="10"/>
    </row>
    <row r="1013" spans="2:28">
      <c r="B1013" s="6"/>
      <c r="I1013" s="9"/>
      <c r="J1013" s="9"/>
      <c r="Y1013" s="10"/>
      <c r="Z1013" s="11"/>
      <c r="AA1013" s="10"/>
      <c r="AB1013" s="10"/>
    </row>
    <row r="1014" spans="2:28">
      <c r="B1014" s="6"/>
      <c r="I1014" s="9"/>
      <c r="J1014" s="9"/>
      <c r="Y1014" s="10"/>
      <c r="Z1014" s="11"/>
      <c r="AA1014" s="10"/>
      <c r="AB1014" s="10"/>
    </row>
    <row r="1015" spans="2:28">
      <c r="B1015" s="6"/>
      <c r="I1015" s="9"/>
      <c r="J1015" s="9"/>
      <c r="Y1015" s="10"/>
      <c r="Z1015" s="11"/>
      <c r="AA1015" s="10"/>
      <c r="AB1015" s="10"/>
    </row>
    <row r="1016" spans="2:28">
      <c r="B1016" s="6"/>
      <c r="I1016" s="9"/>
      <c r="J1016" s="9"/>
      <c r="Y1016" s="10"/>
      <c r="Z1016" s="11"/>
      <c r="AA1016" s="10"/>
      <c r="AB1016" s="10"/>
    </row>
    <row r="1017" spans="2:28">
      <c r="B1017" s="6"/>
      <c r="I1017" s="9"/>
      <c r="J1017" s="9"/>
      <c r="Y1017" s="10"/>
      <c r="Z1017" s="11"/>
      <c r="AA1017" s="10"/>
      <c r="AB1017" s="10"/>
    </row>
    <row r="1018" spans="2:28">
      <c r="B1018" s="6"/>
      <c r="I1018" s="9"/>
      <c r="J1018" s="9"/>
      <c r="Y1018" s="10"/>
      <c r="Z1018" s="11"/>
      <c r="AA1018" s="10"/>
      <c r="AB1018" s="10"/>
    </row>
    <row r="1019" spans="2:28">
      <c r="B1019" s="6"/>
      <c r="I1019" s="9"/>
      <c r="J1019" s="9"/>
      <c r="Y1019" s="10"/>
      <c r="Z1019" s="11"/>
      <c r="AA1019" s="10"/>
      <c r="AB1019" s="10"/>
    </row>
    <row r="1020" spans="2:28">
      <c r="B1020" s="6"/>
      <c r="I1020" s="9"/>
      <c r="J1020" s="9"/>
      <c r="Y1020" s="10"/>
      <c r="Z1020" s="11"/>
      <c r="AA1020" s="10"/>
      <c r="AB1020" s="10"/>
    </row>
    <row r="1021" spans="2:28">
      <c r="B1021" s="6"/>
      <c r="I1021" s="9"/>
      <c r="J1021" s="9"/>
      <c r="Y1021" s="10"/>
      <c r="Z1021" s="11"/>
      <c r="AA1021" s="10"/>
      <c r="AB1021" s="10"/>
    </row>
    <row r="1022" spans="2:28">
      <c r="B1022" s="6"/>
      <c r="I1022" s="9"/>
      <c r="J1022" s="9"/>
      <c r="Y1022" s="10"/>
      <c r="Z1022" s="11"/>
      <c r="AA1022" s="10"/>
      <c r="AB1022" s="10"/>
    </row>
    <row r="1023" spans="2:28">
      <c r="B1023" s="6"/>
      <c r="I1023" s="9"/>
      <c r="J1023" s="9"/>
      <c r="Y1023" s="10"/>
      <c r="Z1023" s="11"/>
      <c r="AA1023" s="10"/>
      <c r="AB1023" s="10"/>
    </row>
    <row r="1024" spans="2:28">
      <c r="B1024" s="6"/>
      <c r="I1024" s="9"/>
      <c r="J1024" s="9"/>
      <c r="Y1024" s="10"/>
      <c r="Z1024" s="11"/>
      <c r="AA1024" s="10"/>
      <c r="AB1024" s="10"/>
    </row>
    <row r="1025" spans="2:28">
      <c r="B1025" s="6"/>
      <c r="I1025" s="9"/>
      <c r="J1025" s="9"/>
      <c r="Y1025" s="10"/>
      <c r="Z1025" s="11"/>
      <c r="AA1025" s="10"/>
      <c r="AB1025" s="10"/>
    </row>
    <row r="1026" spans="2:28">
      <c r="B1026" s="6"/>
      <c r="I1026" s="9"/>
      <c r="J1026" s="9"/>
      <c r="Y1026" s="10"/>
      <c r="Z1026" s="11"/>
      <c r="AA1026" s="10"/>
      <c r="AB1026" s="10"/>
    </row>
    <row r="1027" spans="2:28">
      <c r="B1027" s="6"/>
      <c r="I1027" s="9"/>
      <c r="J1027" s="9"/>
      <c r="Y1027" s="10"/>
      <c r="Z1027" s="11"/>
      <c r="AA1027" s="10"/>
      <c r="AB1027" s="10"/>
    </row>
    <row r="1028" spans="2:28">
      <c r="B1028" s="6"/>
      <c r="I1028" s="9"/>
      <c r="J1028" s="9"/>
      <c r="Y1028" s="10"/>
      <c r="Z1028" s="11"/>
      <c r="AA1028" s="10"/>
      <c r="AB1028" s="10"/>
    </row>
    <row r="1029" spans="2:28">
      <c r="B1029" s="6"/>
      <c r="I1029" s="9"/>
      <c r="J1029" s="9"/>
      <c r="Y1029" s="10"/>
      <c r="Z1029" s="11"/>
      <c r="AA1029" s="10"/>
      <c r="AB1029" s="10"/>
    </row>
    <row r="1030" spans="2:28">
      <c r="B1030" s="6"/>
      <c r="I1030" s="9"/>
      <c r="J1030" s="9"/>
      <c r="Y1030" s="10"/>
      <c r="Z1030" s="11"/>
      <c r="AA1030" s="10"/>
      <c r="AB1030" s="10"/>
    </row>
    <row r="1031" spans="2:28">
      <c r="B1031" s="6"/>
      <c r="I1031" s="9"/>
      <c r="J1031" s="9"/>
      <c r="Y1031" s="10"/>
      <c r="Z1031" s="11"/>
      <c r="AA1031" s="10"/>
      <c r="AB1031" s="10"/>
    </row>
    <row r="1032" spans="2:28">
      <c r="B1032" s="6"/>
      <c r="I1032" s="9"/>
      <c r="J1032" s="9"/>
      <c r="Y1032" s="10"/>
      <c r="Z1032" s="11"/>
      <c r="AA1032" s="10"/>
      <c r="AB1032" s="10"/>
    </row>
    <row r="1033" spans="2:28">
      <c r="B1033" s="6"/>
      <c r="I1033" s="9"/>
      <c r="J1033" s="9"/>
      <c r="Y1033" s="10"/>
      <c r="Z1033" s="11"/>
      <c r="AA1033" s="10"/>
      <c r="AB1033" s="10"/>
    </row>
    <row r="1034" spans="2:28">
      <c r="B1034" s="6"/>
      <c r="I1034" s="9"/>
      <c r="J1034" s="9"/>
      <c r="Y1034" s="10"/>
      <c r="Z1034" s="11"/>
      <c r="AA1034" s="10"/>
      <c r="AB1034" s="10"/>
    </row>
    <row r="1035" spans="2:28">
      <c r="B1035" s="6"/>
      <c r="I1035" s="9"/>
      <c r="J1035" s="9"/>
      <c r="Y1035" s="10"/>
      <c r="Z1035" s="11"/>
      <c r="AA1035" s="10"/>
      <c r="AB1035" s="10"/>
    </row>
    <row r="1036" spans="2:28">
      <c r="B1036" s="6"/>
      <c r="I1036" s="9"/>
      <c r="J1036" s="9"/>
      <c r="Y1036" s="10"/>
      <c r="Z1036" s="11"/>
      <c r="AA1036" s="10"/>
      <c r="AB1036" s="10"/>
    </row>
    <row r="1037" spans="2:28">
      <c r="B1037" s="6"/>
      <c r="I1037" s="9"/>
      <c r="J1037" s="9"/>
      <c r="Y1037" s="10"/>
      <c r="Z1037" s="11"/>
      <c r="AA1037" s="10"/>
      <c r="AB1037" s="10"/>
    </row>
    <row r="1038" spans="2:28">
      <c r="B1038" s="6"/>
      <c r="I1038" s="9"/>
      <c r="J1038" s="9"/>
      <c r="Y1038" s="10"/>
      <c r="Z1038" s="11"/>
      <c r="AA1038" s="10"/>
      <c r="AB1038" s="10"/>
    </row>
    <row r="1039" spans="2:28">
      <c r="B1039" s="6"/>
      <c r="I1039" s="9"/>
      <c r="J1039" s="9"/>
      <c r="Y1039" s="10"/>
      <c r="Z1039" s="11"/>
      <c r="AA1039" s="10"/>
      <c r="AB1039" s="10"/>
    </row>
    <row r="1040" spans="2:28">
      <c r="B1040" s="6"/>
      <c r="I1040" s="9"/>
      <c r="J1040" s="9"/>
      <c r="Y1040" s="10"/>
      <c r="Z1040" s="11"/>
      <c r="AA1040" s="10"/>
      <c r="AB1040" s="10"/>
    </row>
    <row r="1041" spans="2:28">
      <c r="B1041" s="6"/>
      <c r="I1041" s="9"/>
      <c r="J1041" s="9"/>
      <c r="Y1041" s="10"/>
      <c r="Z1041" s="11"/>
      <c r="AA1041" s="10"/>
      <c r="AB1041" s="10"/>
    </row>
    <row r="1042" spans="2:28">
      <c r="B1042" s="6"/>
      <c r="I1042" s="9"/>
      <c r="J1042" s="9"/>
      <c r="Y1042" s="10"/>
      <c r="Z1042" s="11"/>
      <c r="AA1042" s="10"/>
      <c r="AB1042" s="10"/>
    </row>
    <row r="1043" spans="2:28">
      <c r="B1043" s="6"/>
      <c r="I1043" s="9"/>
      <c r="J1043" s="9"/>
      <c r="Y1043" s="10"/>
      <c r="Z1043" s="11"/>
      <c r="AA1043" s="10"/>
      <c r="AB1043" s="10"/>
    </row>
    <row r="1044" spans="2:28">
      <c r="B1044" s="6"/>
      <c r="I1044" s="9"/>
      <c r="J1044" s="9"/>
      <c r="Y1044" s="10"/>
      <c r="Z1044" s="11"/>
      <c r="AA1044" s="10"/>
      <c r="AB1044" s="10"/>
    </row>
    <row r="1045" spans="2:28">
      <c r="B1045" s="6"/>
      <c r="I1045" s="9"/>
      <c r="J1045" s="9"/>
      <c r="Y1045" s="10"/>
      <c r="Z1045" s="11"/>
      <c r="AA1045" s="10"/>
      <c r="AB1045" s="10"/>
    </row>
    <row r="1046" spans="2:28">
      <c r="B1046" s="6"/>
      <c r="I1046" s="9"/>
      <c r="J1046" s="9"/>
      <c r="Y1046" s="10"/>
      <c r="Z1046" s="11"/>
      <c r="AA1046" s="10"/>
      <c r="AB1046" s="10"/>
    </row>
    <row r="1047" spans="2:28">
      <c r="B1047" s="6"/>
      <c r="I1047" s="9"/>
      <c r="J1047" s="9"/>
      <c r="Y1047" s="10"/>
      <c r="Z1047" s="11"/>
      <c r="AA1047" s="10"/>
      <c r="AB1047" s="10"/>
    </row>
    <row r="1048" spans="2:28">
      <c r="B1048" s="6"/>
      <c r="I1048" s="9"/>
      <c r="J1048" s="9"/>
      <c r="Y1048" s="10"/>
      <c r="Z1048" s="11"/>
      <c r="AA1048" s="10"/>
      <c r="AB1048" s="10"/>
    </row>
    <row r="1049" spans="2:28">
      <c r="B1049" s="6"/>
      <c r="I1049" s="9"/>
      <c r="J1049" s="9"/>
      <c r="Y1049" s="10"/>
      <c r="Z1049" s="11"/>
      <c r="AA1049" s="10"/>
      <c r="AB1049" s="10"/>
    </row>
    <row r="1050" spans="2:28">
      <c r="B1050" s="6"/>
      <c r="I1050" s="9"/>
      <c r="J1050" s="9"/>
      <c r="Y1050" s="10"/>
      <c r="Z1050" s="11"/>
      <c r="AA1050" s="10"/>
      <c r="AB1050" s="10"/>
    </row>
    <row r="1051" spans="2:28">
      <c r="B1051" s="6"/>
      <c r="I1051" s="9"/>
      <c r="J1051" s="9"/>
      <c r="Y1051" s="10"/>
      <c r="Z1051" s="11"/>
      <c r="AA1051" s="10"/>
      <c r="AB1051" s="10"/>
    </row>
    <row r="1052" spans="2:28">
      <c r="B1052" s="6"/>
      <c r="I1052" s="9"/>
      <c r="J1052" s="9"/>
      <c r="Y1052" s="10"/>
      <c r="Z1052" s="11"/>
      <c r="AA1052" s="10"/>
      <c r="AB1052" s="10"/>
    </row>
    <row r="1053" spans="2:28">
      <c r="B1053" s="6"/>
      <c r="I1053" s="9"/>
      <c r="J1053" s="9"/>
      <c r="Y1053" s="10"/>
      <c r="Z1053" s="11"/>
      <c r="AA1053" s="10"/>
      <c r="AB1053" s="10"/>
    </row>
    <row r="1054" spans="2:28">
      <c r="B1054" s="6"/>
      <c r="I1054" s="9"/>
      <c r="J1054" s="9"/>
      <c r="Y1054" s="10"/>
      <c r="Z1054" s="11"/>
      <c r="AA1054" s="10"/>
      <c r="AB1054" s="10"/>
    </row>
    <row r="1055" spans="2:28">
      <c r="B1055" s="6"/>
      <c r="I1055" s="9"/>
      <c r="J1055" s="9"/>
      <c r="Y1055" s="10"/>
      <c r="Z1055" s="11"/>
      <c r="AA1055" s="10"/>
      <c r="AB1055" s="10"/>
    </row>
    <row r="1056" spans="2:28">
      <c r="B1056" s="6"/>
      <c r="I1056" s="9"/>
      <c r="J1056" s="9"/>
      <c r="Y1056" s="10"/>
      <c r="Z1056" s="11"/>
      <c r="AA1056" s="10"/>
      <c r="AB1056" s="10"/>
    </row>
    <row r="1057" spans="2:28">
      <c r="B1057" s="6"/>
      <c r="I1057" s="9"/>
      <c r="J1057" s="9"/>
      <c r="Y1057" s="10"/>
      <c r="Z1057" s="11"/>
      <c r="AA1057" s="10"/>
      <c r="AB1057" s="10"/>
    </row>
    <row r="1058" spans="2:28">
      <c r="B1058" s="6"/>
      <c r="I1058" s="9"/>
      <c r="J1058" s="9"/>
      <c r="Y1058" s="10"/>
      <c r="Z1058" s="11"/>
      <c r="AA1058" s="10"/>
      <c r="AB1058" s="10"/>
    </row>
    <row r="1059" spans="2:28">
      <c r="B1059" s="6"/>
      <c r="I1059" s="9"/>
      <c r="J1059" s="9"/>
      <c r="Y1059" s="10"/>
      <c r="Z1059" s="11"/>
      <c r="AA1059" s="10"/>
      <c r="AB1059" s="10"/>
    </row>
    <row r="1060" spans="2:28">
      <c r="K1060" s="18"/>
      <c r="L1060" s="2"/>
    </row>
    <row r="1061" spans="2:28">
      <c r="K1061" s="18"/>
      <c r="L1061" s="2"/>
    </row>
    <row r="1062" spans="2:28">
      <c r="K1062" s="18"/>
      <c r="L1062" s="2"/>
    </row>
    <row r="1063" spans="2:28">
      <c r="K1063" s="18"/>
      <c r="L1063" s="2"/>
    </row>
    <row r="1064" spans="2:28">
      <c r="K1064" s="18"/>
      <c r="L1064" s="2"/>
    </row>
    <row r="1065" spans="2:28">
      <c r="K1065" s="18"/>
      <c r="L1065" s="2"/>
    </row>
    <row r="1066" spans="2:28">
      <c r="K1066" s="18"/>
      <c r="L1066" s="2"/>
    </row>
    <row r="1067" spans="2:28">
      <c r="K1067" s="18"/>
      <c r="L1067" s="2"/>
    </row>
    <row r="1068" spans="2:28">
      <c r="K1068" s="18"/>
      <c r="L1068" s="2"/>
    </row>
    <row r="1069" spans="2:28">
      <c r="K1069" s="18"/>
      <c r="L1069" s="2"/>
    </row>
    <row r="1070" spans="2:28">
      <c r="K1070" s="18"/>
      <c r="L1070" s="2"/>
    </row>
    <row r="1071" spans="2:28">
      <c r="K1071" s="18"/>
      <c r="L1071" s="2"/>
    </row>
    <row r="1072" spans="2:28">
      <c r="K1072" s="18"/>
      <c r="L1072" s="2"/>
    </row>
    <row r="1073" spans="11:12">
      <c r="K1073" s="18"/>
      <c r="L1073" s="2"/>
    </row>
    <row r="1074" spans="11:12">
      <c r="K1074" s="18"/>
      <c r="L1074" s="2"/>
    </row>
    <row r="1075" spans="11:12">
      <c r="K1075" s="18"/>
      <c r="L1075" s="2"/>
    </row>
    <row r="1076" spans="11:12">
      <c r="K1076" s="18"/>
      <c r="L1076" s="2"/>
    </row>
    <row r="1077" spans="11:12">
      <c r="K1077" s="18"/>
      <c r="L1077" s="2"/>
    </row>
    <row r="1078" spans="11:12">
      <c r="K1078" s="18"/>
      <c r="L1078" s="2"/>
    </row>
    <row r="1079" spans="11:12">
      <c r="K1079" s="18"/>
      <c r="L1079" s="2"/>
    </row>
    <row r="1080" spans="11:12">
      <c r="K1080" s="18"/>
      <c r="L1080" s="2"/>
    </row>
    <row r="1081" spans="11:12">
      <c r="K1081" s="18"/>
      <c r="L1081" s="2"/>
    </row>
    <row r="1082" spans="11:12">
      <c r="K1082" s="18"/>
      <c r="L1082" s="2"/>
    </row>
    <row r="1083" spans="11:12">
      <c r="K1083" s="18"/>
      <c r="L1083" s="2"/>
    </row>
    <row r="1084" spans="11:12">
      <c r="K1084" s="18"/>
      <c r="L1084" s="2"/>
    </row>
    <row r="1085" spans="11:12">
      <c r="K1085" s="18"/>
      <c r="L1085" s="2"/>
    </row>
    <row r="1086" spans="11:12">
      <c r="K1086" s="18"/>
      <c r="L1086" s="2"/>
    </row>
    <row r="1087" spans="11:12">
      <c r="K1087" s="18"/>
      <c r="L1087" s="2"/>
    </row>
    <row r="1088" spans="11:12">
      <c r="K1088" s="18"/>
      <c r="L1088" s="2"/>
    </row>
    <row r="1089" spans="11:12">
      <c r="K1089" s="18"/>
      <c r="L1089" s="2"/>
    </row>
    <row r="1090" spans="11:12">
      <c r="K1090" s="18"/>
      <c r="L1090" s="2"/>
    </row>
    <row r="1091" spans="11:12">
      <c r="K1091" s="18"/>
      <c r="L1091" s="2"/>
    </row>
    <row r="1092" spans="11:12">
      <c r="K1092" s="18"/>
      <c r="L1092" s="2"/>
    </row>
    <row r="1093" spans="11:12">
      <c r="K1093" s="18"/>
      <c r="L1093" s="2"/>
    </row>
    <row r="1094" spans="11:12">
      <c r="K1094" s="18"/>
      <c r="L1094" s="2"/>
    </row>
    <row r="1095" spans="11:12">
      <c r="K1095" s="18"/>
      <c r="L1095" s="2"/>
    </row>
    <row r="1096" spans="11:12">
      <c r="K1096" s="18"/>
      <c r="L1096" s="2"/>
    </row>
    <row r="1097" spans="11:12">
      <c r="K1097" s="18"/>
      <c r="L1097" s="2"/>
    </row>
    <row r="1098" spans="11:12">
      <c r="K1098" s="18"/>
      <c r="L1098" s="2"/>
    </row>
    <row r="1099" spans="11:12">
      <c r="K1099" s="18"/>
      <c r="L1099" s="2"/>
    </row>
    <row r="1100" spans="11:12">
      <c r="K1100" s="18"/>
      <c r="L1100" s="2"/>
    </row>
    <row r="1101" spans="11:12">
      <c r="K1101" s="18"/>
      <c r="L1101" s="2"/>
    </row>
    <row r="1102" spans="11:12">
      <c r="K1102" s="18"/>
      <c r="L1102" s="2"/>
    </row>
    <row r="1103" spans="11:12">
      <c r="K1103" s="18"/>
      <c r="L1103" s="2"/>
    </row>
    <row r="1104" spans="11:12">
      <c r="K1104" s="18"/>
      <c r="L1104" s="2"/>
    </row>
    <row r="1105" spans="11:12">
      <c r="K1105" s="18"/>
      <c r="L1105" s="2"/>
    </row>
    <row r="1106" spans="11:12">
      <c r="K1106" s="18"/>
      <c r="L1106" s="2"/>
    </row>
    <row r="1107" spans="11:12">
      <c r="K1107" s="18"/>
      <c r="L1107" s="2"/>
    </row>
    <row r="1108" spans="11:12">
      <c r="K1108" s="18"/>
      <c r="L1108" s="2"/>
    </row>
    <row r="1109" spans="11:12">
      <c r="K1109" s="18"/>
      <c r="L1109" s="2"/>
    </row>
    <row r="1110" spans="11:12">
      <c r="K1110" s="18"/>
      <c r="L1110" s="2"/>
    </row>
    <row r="1111" spans="11:12">
      <c r="K1111" s="18"/>
      <c r="L1111" s="2"/>
    </row>
    <row r="1112" spans="11:12">
      <c r="K1112" s="18"/>
      <c r="L1112" s="2"/>
    </row>
    <row r="1113" spans="11:12">
      <c r="K1113" s="18"/>
      <c r="L1113" s="2"/>
    </row>
    <row r="1114" spans="11:12">
      <c r="K1114" s="18"/>
      <c r="L1114" s="2"/>
    </row>
    <row r="1115" spans="11:12">
      <c r="K1115" s="18"/>
      <c r="L1115" s="2"/>
    </row>
    <row r="1116" spans="11:12">
      <c r="K1116" s="18"/>
      <c r="L1116" s="2"/>
    </row>
    <row r="1117" spans="11:12">
      <c r="K1117" s="18"/>
      <c r="L1117" s="2"/>
    </row>
    <row r="1118" spans="11:12">
      <c r="K1118" s="18"/>
      <c r="L1118" s="2"/>
    </row>
    <row r="1119" spans="11:12">
      <c r="K1119" s="18"/>
      <c r="L1119" s="2"/>
    </row>
    <row r="1120" spans="11:12">
      <c r="K1120" s="18"/>
      <c r="L1120" s="2"/>
    </row>
    <row r="1121" spans="11:12">
      <c r="K1121" s="18"/>
      <c r="L1121" s="2"/>
    </row>
    <row r="1122" spans="11:12">
      <c r="K1122" s="18"/>
      <c r="L1122" s="2"/>
    </row>
    <row r="1123" spans="11:12">
      <c r="K1123" s="18"/>
      <c r="L1123" s="2"/>
    </row>
    <row r="1124" spans="11:12">
      <c r="K1124" s="18"/>
      <c r="L1124" s="2"/>
    </row>
    <row r="1125" spans="11:12">
      <c r="K1125" s="18"/>
      <c r="L1125" s="2"/>
    </row>
    <row r="1126" spans="11:12">
      <c r="K1126" s="18"/>
      <c r="L1126" s="2"/>
    </row>
    <row r="1127" spans="11:12">
      <c r="K1127" s="18"/>
      <c r="L1127" s="2"/>
    </row>
    <row r="1128" spans="11:12">
      <c r="K1128" s="18"/>
      <c r="L1128" s="2"/>
    </row>
    <row r="1129" spans="11:12">
      <c r="K1129" s="18"/>
      <c r="L1129" s="2"/>
    </row>
    <row r="1130" spans="11:12">
      <c r="K1130" s="18"/>
      <c r="L1130" s="2"/>
    </row>
    <row r="1131" spans="11:12">
      <c r="K1131" s="18"/>
      <c r="L1131" s="2"/>
    </row>
    <row r="1132" spans="11:12">
      <c r="K1132" s="18"/>
      <c r="L1132" s="2"/>
    </row>
    <row r="1133" spans="11:12">
      <c r="K1133" s="18"/>
      <c r="L1133" s="2"/>
    </row>
    <row r="1134" spans="11:12">
      <c r="K1134" s="18"/>
      <c r="L1134" s="2"/>
    </row>
    <row r="1135" spans="11:12">
      <c r="K1135" s="18"/>
      <c r="L1135" s="2"/>
    </row>
    <row r="1136" spans="11:12">
      <c r="K1136" s="18"/>
      <c r="L1136" s="2"/>
    </row>
    <row r="1137" spans="11:12">
      <c r="K1137" s="18"/>
      <c r="L1137" s="2"/>
    </row>
    <row r="1138" spans="11:12">
      <c r="K1138" s="18"/>
      <c r="L1138" s="2"/>
    </row>
    <row r="1139" spans="11:12">
      <c r="K1139" s="18"/>
      <c r="L1139" s="2"/>
    </row>
    <row r="1140" spans="11:12">
      <c r="K1140" s="18"/>
      <c r="L1140" s="2"/>
    </row>
    <row r="1141" spans="11:12">
      <c r="K1141" s="18"/>
      <c r="L1141" s="2"/>
    </row>
    <row r="1142" spans="11:12">
      <c r="K1142" s="18"/>
      <c r="L1142" s="2"/>
    </row>
    <row r="1143" spans="11:12">
      <c r="K1143" s="18"/>
      <c r="L1143" s="2"/>
    </row>
    <row r="1144" spans="11:12">
      <c r="K1144" s="18"/>
      <c r="L1144" s="2"/>
    </row>
    <row r="1145" spans="11:12">
      <c r="K1145" s="18"/>
      <c r="L1145" s="2"/>
    </row>
    <row r="1146" spans="11:12">
      <c r="K1146" s="18"/>
      <c r="L1146" s="2"/>
    </row>
    <row r="1147" spans="11:12">
      <c r="K1147" s="18"/>
      <c r="L1147" s="2"/>
    </row>
    <row r="1148" spans="11:12">
      <c r="K1148" s="18"/>
      <c r="L1148" s="2"/>
    </row>
    <row r="1149" spans="11:12">
      <c r="K1149" s="18"/>
      <c r="L1149" s="2"/>
    </row>
    <row r="1150" spans="11:12">
      <c r="K1150" s="18"/>
      <c r="L1150" s="2"/>
    </row>
    <row r="1151" spans="11:12">
      <c r="K1151" s="18"/>
      <c r="L1151" s="2"/>
    </row>
    <row r="1152" spans="11:12">
      <c r="K1152" s="18"/>
      <c r="L1152" s="2"/>
    </row>
    <row r="1153" spans="11:12">
      <c r="K1153" s="18"/>
      <c r="L1153" s="2"/>
    </row>
    <row r="1154" spans="11:12">
      <c r="K1154" s="18"/>
      <c r="L1154" s="2"/>
    </row>
    <row r="1155" spans="11:12">
      <c r="K1155" s="18"/>
      <c r="L1155" s="2"/>
    </row>
    <row r="1156" spans="11:12">
      <c r="K1156" s="18"/>
      <c r="L1156" s="2"/>
    </row>
    <row r="1157" spans="11:12">
      <c r="K1157" s="18"/>
      <c r="L1157" s="2"/>
    </row>
    <row r="1158" spans="11:12">
      <c r="K1158" s="18"/>
      <c r="L1158" s="2"/>
    </row>
    <row r="1159" spans="11:12">
      <c r="K1159" s="18"/>
      <c r="L1159" s="2"/>
    </row>
    <row r="1160" spans="11:12">
      <c r="K1160" s="18"/>
      <c r="L1160" s="2"/>
    </row>
    <row r="1161" spans="11:12">
      <c r="K1161" s="18"/>
      <c r="L1161" s="2"/>
    </row>
    <row r="1162" spans="11:12">
      <c r="K1162" s="18"/>
      <c r="L1162" s="2"/>
    </row>
    <row r="1163" spans="11:12">
      <c r="K1163" s="18"/>
      <c r="L1163" s="2"/>
    </row>
    <row r="1164" spans="11:12">
      <c r="K1164" s="18"/>
      <c r="L1164" s="2"/>
    </row>
    <row r="1165" spans="11:12">
      <c r="K1165" s="18"/>
      <c r="L1165" s="2"/>
    </row>
    <row r="1166" spans="11:12">
      <c r="K1166" s="18"/>
      <c r="L1166" s="2"/>
    </row>
    <row r="1167" spans="11:12">
      <c r="K1167" s="18"/>
      <c r="L1167" s="2"/>
    </row>
    <row r="1168" spans="11:12">
      <c r="K1168" s="18"/>
      <c r="L1168" s="2"/>
    </row>
    <row r="1169" spans="11:12">
      <c r="K1169" s="18"/>
      <c r="L1169" s="2"/>
    </row>
    <row r="1170" spans="11:12">
      <c r="K1170" s="18"/>
      <c r="L1170" s="2"/>
    </row>
    <row r="1171" spans="11:12">
      <c r="K1171" s="18"/>
      <c r="L1171" s="2"/>
    </row>
    <row r="1172" spans="11:12">
      <c r="K1172" s="18"/>
      <c r="L1172" s="2"/>
    </row>
    <row r="1173" spans="11:12">
      <c r="K1173" s="18"/>
      <c r="L1173" s="2"/>
    </row>
    <row r="1174" spans="11:12">
      <c r="K1174" s="18"/>
      <c r="L1174" s="2"/>
    </row>
    <row r="1175" spans="11:12">
      <c r="K1175" s="18"/>
      <c r="L1175" s="2"/>
    </row>
    <row r="1176" spans="11:12">
      <c r="K1176" s="18"/>
      <c r="L1176" s="2"/>
    </row>
    <row r="1177" spans="11:12">
      <c r="K1177" s="18"/>
      <c r="L1177" s="2"/>
    </row>
    <row r="1178" spans="11:12">
      <c r="K1178" s="18"/>
      <c r="L1178" s="2"/>
    </row>
    <row r="1179" spans="11:12">
      <c r="K1179" s="18"/>
      <c r="L1179" s="2"/>
    </row>
    <row r="1180" spans="11:12">
      <c r="K1180" s="18"/>
      <c r="L1180" s="2"/>
    </row>
    <row r="1181" spans="11:12">
      <c r="K1181" s="18"/>
      <c r="L1181" s="2"/>
    </row>
    <row r="1182" spans="11:12">
      <c r="K1182" s="18"/>
      <c r="L1182" s="2"/>
    </row>
    <row r="1183" spans="11:12">
      <c r="K1183" s="18"/>
      <c r="L1183" s="2"/>
    </row>
    <row r="1184" spans="11:12">
      <c r="K1184" s="18"/>
      <c r="L1184" s="2"/>
    </row>
    <row r="1185" spans="11:12">
      <c r="K1185" s="18"/>
      <c r="L1185" s="2"/>
    </row>
    <row r="1186" spans="11:12">
      <c r="K1186" s="18"/>
      <c r="L1186" s="2"/>
    </row>
    <row r="1187" spans="11:12">
      <c r="K1187" s="18"/>
      <c r="L1187" s="2"/>
    </row>
    <row r="1188" spans="11:12">
      <c r="K1188" s="18"/>
      <c r="L1188" s="2"/>
    </row>
    <row r="1189" spans="11:12">
      <c r="K1189" s="18"/>
      <c r="L1189" s="2"/>
    </row>
    <row r="1190" spans="11:12">
      <c r="K1190" s="18"/>
      <c r="L1190" s="2"/>
    </row>
    <row r="1191" spans="11:12">
      <c r="K1191" s="18"/>
      <c r="L1191" s="2"/>
    </row>
    <row r="1192" spans="11:12">
      <c r="K1192" s="18"/>
      <c r="L1192" s="2"/>
    </row>
    <row r="1193" spans="11:12">
      <c r="K1193" s="18"/>
      <c r="L1193" s="2"/>
    </row>
    <row r="1194" spans="11:12">
      <c r="K1194" s="18"/>
      <c r="L1194" s="2"/>
    </row>
    <row r="1195" spans="11:12">
      <c r="K1195" s="18"/>
      <c r="L1195" s="2"/>
    </row>
    <row r="1196" spans="11:12">
      <c r="K1196" s="18"/>
      <c r="L1196" s="2"/>
    </row>
    <row r="1197" spans="11:12">
      <c r="K1197" s="18"/>
      <c r="L1197" s="2"/>
    </row>
    <row r="1198" spans="11:12">
      <c r="K1198" s="18"/>
      <c r="L1198" s="2"/>
    </row>
    <row r="1199" spans="11:12">
      <c r="K1199" s="18"/>
      <c r="L1199" s="2"/>
    </row>
    <row r="1200" spans="11:12">
      <c r="K1200" s="18"/>
      <c r="L1200" s="2"/>
    </row>
    <row r="1201" spans="11:12">
      <c r="K1201" s="18"/>
      <c r="L1201" s="2"/>
    </row>
    <row r="1202" spans="11:12">
      <c r="K1202" s="18"/>
      <c r="L1202" s="2"/>
    </row>
    <row r="1203" spans="11:12">
      <c r="K1203" s="18"/>
      <c r="L1203" s="2"/>
    </row>
    <row r="1204" spans="11:12">
      <c r="K1204" s="18"/>
      <c r="L1204" s="2"/>
    </row>
    <row r="1205" spans="11:12">
      <c r="K1205" s="18"/>
      <c r="L1205" s="2"/>
    </row>
    <row r="1206" spans="11:12">
      <c r="K1206" s="18"/>
      <c r="L1206" s="2"/>
    </row>
    <row r="1207" spans="11:12">
      <c r="K1207" s="18"/>
      <c r="L1207" s="2"/>
    </row>
    <row r="1208" spans="11:12">
      <c r="K1208" s="18"/>
      <c r="L1208" s="2"/>
    </row>
    <row r="1209" spans="11:12">
      <c r="K1209" s="18"/>
      <c r="L1209" s="2"/>
    </row>
    <row r="1210" spans="11:12">
      <c r="K1210" s="18"/>
      <c r="L1210" s="2"/>
    </row>
    <row r="1211" spans="11:12">
      <c r="K1211" s="18"/>
      <c r="L1211" s="2"/>
    </row>
    <row r="1212" spans="11:12">
      <c r="K1212" s="18"/>
      <c r="L1212" s="2"/>
    </row>
    <row r="1213" spans="11:12">
      <c r="K1213" s="18"/>
      <c r="L1213" s="2"/>
    </row>
    <row r="1214" spans="11:12">
      <c r="K1214" s="18"/>
      <c r="L1214" s="2"/>
    </row>
    <row r="1215" spans="11:12">
      <c r="K1215" s="18"/>
      <c r="L1215" s="2"/>
    </row>
    <row r="1216" spans="11:12">
      <c r="K1216" s="18"/>
      <c r="L1216" s="2"/>
    </row>
    <row r="1217" spans="11:12">
      <c r="K1217" s="18"/>
      <c r="L1217" s="2"/>
    </row>
    <row r="1218" spans="11:12">
      <c r="K1218" s="18"/>
      <c r="L1218" s="2"/>
    </row>
    <row r="1219" spans="11:12">
      <c r="K1219" s="18"/>
      <c r="L1219" s="2"/>
    </row>
    <row r="1220" spans="11:12">
      <c r="K1220" s="18"/>
      <c r="L1220" s="2"/>
    </row>
    <row r="1221" spans="11:12">
      <c r="K1221" s="18"/>
      <c r="L1221" s="2"/>
    </row>
    <row r="1222" spans="11:12">
      <c r="K1222" s="18"/>
      <c r="L1222" s="2"/>
    </row>
    <row r="1223" spans="11:12">
      <c r="K1223" s="18"/>
      <c r="L1223" s="2"/>
    </row>
    <row r="1224" spans="11:12">
      <c r="K1224" s="18"/>
      <c r="L1224" s="2"/>
    </row>
    <row r="1225" spans="11:12">
      <c r="K1225" s="18"/>
      <c r="L1225" s="2"/>
    </row>
    <row r="1226" spans="11:12">
      <c r="K1226" s="18"/>
      <c r="L1226" s="2"/>
    </row>
    <row r="1227" spans="11:12">
      <c r="K1227" s="18"/>
      <c r="L1227" s="2"/>
    </row>
    <row r="1228" spans="11:12">
      <c r="K1228" s="18"/>
      <c r="L1228" s="2"/>
    </row>
    <row r="1229" spans="11:12">
      <c r="K1229" s="18"/>
      <c r="L1229" s="2"/>
    </row>
    <row r="1230" spans="11:12">
      <c r="K1230" s="18"/>
      <c r="L1230" s="2"/>
    </row>
    <row r="1231" spans="11:12">
      <c r="K1231" s="18"/>
      <c r="L1231" s="2"/>
    </row>
    <row r="1232" spans="11:12">
      <c r="K1232" s="18"/>
      <c r="L1232" s="2"/>
    </row>
    <row r="1233" spans="11:12">
      <c r="K1233" s="18"/>
      <c r="L1233" s="2"/>
    </row>
    <row r="1234" spans="11:12">
      <c r="K1234" s="18"/>
      <c r="L1234" s="2"/>
    </row>
    <row r="1235" spans="11:12">
      <c r="K1235" s="18"/>
      <c r="L1235" s="2"/>
    </row>
    <row r="1236" spans="11:12">
      <c r="K1236" s="18"/>
      <c r="L1236" s="2"/>
    </row>
    <row r="1237" spans="11:12">
      <c r="K1237" s="18"/>
      <c r="L1237" s="2"/>
    </row>
    <row r="1238" spans="11:12">
      <c r="K1238" s="18"/>
      <c r="L1238" s="2"/>
    </row>
    <row r="1239" spans="11:12">
      <c r="K1239" s="18"/>
      <c r="L1239" s="2"/>
    </row>
    <row r="1240" spans="11:12">
      <c r="K1240" s="18"/>
      <c r="L1240" s="2"/>
    </row>
    <row r="1241" spans="11:12">
      <c r="K1241" s="18"/>
      <c r="L1241" s="2"/>
    </row>
    <row r="1242" spans="11:12">
      <c r="K1242" s="18"/>
      <c r="L1242" s="2"/>
    </row>
    <row r="1243" spans="11:12">
      <c r="K1243" s="18"/>
      <c r="L1243" s="2"/>
    </row>
    <row r="1244" spans="11:12">
      <c r="K1244" s="18"/>
      <c r="L1244" s="2"/>
    </row>
    <row r="1245" spans="11:12">
      <c r="K1245" s="18"/>
      <c r="L1245" s="2"/>
    </row>
    <row r="1246" spans="11:12">
      <c r="K1246" s="18"/>
      <c r="L1246" s="2"/>
    </row>
    <row r="1247" spans="11:12">
      <c r="K1247" s="18"/>
      <c r="L1247" s="2"/>
    </row>
    <row r="1248" spans="11:12">
      <c r="K1248" s="18"/>
      <c r="L1248" s="2"/>
    </row>
    <row r="1249" spans="11:12">
      <c r="K1249" s="18"/>
      <c r="L1249" s="2"/>
    </row>
    <row r="1250" spans="11:12">
      <c r="K1250" s="18"/>
      <c r="L1250" s="2"/>
    </row>
    <row r="1251" spans="11:12">
      <c r="K1251" s="18"/>
      <c r="L1251" s="2"/>
    </row>
    <row r="1252" spans="11:12">
      <c r="K1252" s="18"/>
      <c r="L1252" s="2"/>
    </row>
    <row r="1253" spans="11:12">
      <c r="K1253" s="18"/>
      <c r="L1253" s="2"/>
    </row>
    <row r="1254" spans="11:12">
      <c r="K1254" s="18"/>
      <c r="L1254" s="2"/>
    </row>
    <row r="1255" spans="11:12">
      <c r="K1255" s="18"/>
      <c r="L1255" s="2"/>
    </row>
    <row r="1256" spans="11:12">
      <c r="K1256" s="18"/>
      <c r="L1256" s="2"/>
    </row>
    <row r="1257" spans="11:12">
      <c r="K1257" s="18"/>
      <c r="L1257" s="2"/>
    </row>
    <row r="1258" spans="11:12">
      <c r="K1258" s="18"/>
      <c r="L1258" s="2"/>
    </row>
    <row r="1259" spans="11:12">
      <c r="K1259" s="18"/>
      <c r="L1259" s="2"/>
    </row>
    <row r="1260" spans="11:12">
      <c r="K1260" s="18"/>
      <c r="L1260" s="2"/>
    </row>
    <row r="1261" spans="11:12">
      <c r="K1261" s="18"/>
      <c r="L1261" s="2"/>
    </row>
    <row r="1262" spans="11:12">
      <c r="K1262" s="18"/>
      <c r="L1262" s="2"/>
    </row>
    <row r="1263" spans="11:12">
      <c r="K1263" s="18"/>
      <c r="L1263" s="2"/>
    </row>
    <row r="1264" spans="11:12">
      <c r="K1264" s="18"/>
      <c r="L1264" s="2"/>
    </row>
    <row r="1265" spans="11:12">
      <c r="K1265" s="18"/>
      <c r="L1265" s="2"/>
    </row>
    <row r="1266" spans="11:12">
      <c r="K1266" s="18"/>
      <c r="L1266" s="2"/>
    </row>
    <row r="1267" spans="11:12">
      <c r="K1267" s="18"/>
      <c r="L1267" s="2"/>
    </row>
    <row r="1268" spans="11:12">
      <c r="K1268" s="18"/>
      <c r="L1268" s="2"/>
    </row>
    <row r="1269" spans="11:12">
      <c r="K1269" s="18"/>
      <c r="L1269" s="2"/>
    </row>
    <row r="1270" spans="11:12">
      <c r="K1270" s="18"/>
      <c r="L1270" s="2"/>
    </row>
    <row r="1271" spans="11:12">
      <c r="K1271" s="18"/>
      <c r="L1271" s="2"/>
    </row>
    <row r="1272" spans="11:12">
      <c r="K1272" s="18"/>
      <c r="L1272" s="2"/>
    </row>
    <row r="1273" spans="11:12">
      <c r="K1273" s="18"/>
      <c r="L1273" s="2"/>
    </row>
    <row r="1274" spans="11:12">
      <c r="K1274" s="18"/>
      <c r="L1274" s="2"/>
    </row>
    <row r="1275" spans="11:12">
      <c r="K1275" s="18"/>
      <c r="L1275" s="2"/>
    </row>
    <row r="1276" spans="11:12">
      <c r="K1276" s="18"/>
      <c r="L1276" s="2"/>
    </row>
    <row r="1277" spans="11:12">
      <c r="K1277" s="18"/>
      <c r="L1277" s="2"/>
    </row>
    <row r="1278" spans="11:12">
      <c r="K1278" s="18"/>
      <c r="L1278" s="2"/>
    </row>
    <row r="1279" spans="11:12">
      <c r="K1279" s="18"/>
      <c r="L1279" s="2"/>
    </row>
    <row r="1280" spans="11:12">
      <c r="K1280" s="18"/>
      <c r="L1280" s="2"/>
    </row>
    <row r="1281" spans="11:12">
      <c r="K1281" s="18"/>
      <c r="L1281" s="2"/>
    </row>
    <row r="1282" spans="11:12">
      <c r="K1282" s="18"/>
      <c r="L1282" s="2"/>
    </row>
    <row r="1283" spans="11:12">
      <c r="K1283" s="18"/>
      <c r="L1283" s="2"/>
    </row>
    <row r="1284" spans="11:12">
      <c r="K1284" s="18"/>
      <c r="L1284" s="2"/>
    </row>
    <row r="1285" spans="11:12">
      <c r="K1285" s="18"/>
      <c r="L1285" s="2"/>
    </row>
    <row r="1286" spans="11:12">
      <c r="K1286" s="18"/>
      <c r="L1286" s="2"/>
    </row>
    <row r="1287" spans="11:12">
      <c r="K1287" s="18"/>
      <c r="L1287" s="2"/>
    </row>
    <row r="1288" spans="11:12">
      <c r="K1288" s="18"/>
      <c r="L1288" s="2"/>
    </row>
    <row r="1289" spans="11:12">
      <c r="K1289" s="18"/>
      <c r="L1289" s="2"/>
    </row>
    <row r="1290" spans="11:12">
      <c r="K1290" s="18"/>
      <c r="L1290" s="2"/>
    </row>
    <row r="1291" spans="11:12">
      <c r="K1291" s="18"/>
      <c r="L1291" s="2"/>
    </row>
    <row r="1292" spans="11:12">
      <c r="K1292" s="18"/>
      <c r="L1292" s="2"/>
    </row>
    <row r="1293" spans="11:12">
      <c r="K1293" s="18"/>
      <c r="L1293" s="2"/>
    </row>
    <row r="1294" spans="11:12">
      <c r="K1294" s="18"/>
      <c r="L1294" s="2"/>
    </row>
    <row r="1295" spans="11:12">
      <c r="K1295" s="18"/>
      <c r="L1295" s="2"/>
    </row>
    <row r="1296" spans="11:12">
      <c r="K1296" s="18"/>
      <c r="L1296" s="2"/>
    </row>
    <row r="1297" spans="11:12">
      <c r="K1297" s="18"/>
      <c r="L1297" s="2"/>
    </row>
    <row r="1298" spans="11:12">
      <c r="K1298" s="18"/>
      <c r="L1298" s="2"/>
    </row>
    <row r="1299" spans="11:12">
      <c r="K1299" s="18"/>
      <c r="L1299" s="2"/>
    </row>
    <row r="1300" spans="11:12">
      <c r="K1300" s="18"/>
      <c r="L1300" s="2"/>
    </row>
    <row r="1301" spans="11:12">
      <c r="K1301" s="18"/>
      <c r="L1301" s="2"/>
    </row>
    <row r="1302" spans="11:12">
      <c r="K1302" s="18"/>
      <c r="L1302" s="2"/>
    </row>
    <row r="1303" spans="11:12">
      <c r="K1303" s="18"/>
      <c r="L1303" s="2"/>
    </row>
    <row r="1304" spans="11:12">
      <c r="K1304" s="18"/>
      <c r="L1304" s="2"/>
    </row>
    <row r="1305" spans="11:12">
      <c r="K1305" s="18"/>
      <c r="L1305" s="2"/>
    </row>
    <row r="1306" spans="11:12">
      <c r="K1306" s="18"/>
      <c r="L1306" s="2"/>
    </row>
    <row r="1307" spans="11:12">
      <c r="K1307" s="18"/>
      <c r="L1307" s="2"/>
    </row>
    <row r="1308" spans="11:12">
      <c r="K1308" s="18"/>
      <c r="L1308" s="2"/>
    </row>
    <row r="1309" spans="11:12">
      <c r="K1309" s="18"/>
      <c r="L1309" s="2"/>
    </row>
    <row r="1310" spans="11:12">
      <c r="K1310" s="18"/>
      <c r="L1310" s="2"/>
    </row>
    <row r="1311" spans="11:12">
      <c r="K1311" s="18"/>
      <c r="L1311" s="2"/>
    </row>
    <row r="1312" spans="11:12">
      <c r="K1312" s="18"/>
      <c r="L1312" s="2"/>
    </row>
    <row r="1313" spans="11:12">
      <c r="K1313" s="18"/>
      <c r="L1313" s="2"/>
    </row>
    <row r="1314" spans="11:12">
      <c r="K1314" s="18"/>
      <c r="L1314" s="2"/>
    </row>
    <row r="1315" spans="11:12">
      <c r="K1315" s="18"/>
      <c r="L1315" s="2"/>
    </row>
    <row r="1316" spans="11:12">
      <c r="K1316" s="18"/>
      <c r="L1316" s="2"/>
    </row>
    <row r="1317" spans="11:12">
      <c r="K1317" s="18"/>
      <c r="L1317" s="2"/>
    </row>
    <row r="1318" spans="11:12">
      <c r="K1318" s="18"/>
      <c r="L1318" s="2"/>
    </row>
    <row r="1319" spans="11:12">
      <c r="K1319" s="18"/>
      <c r="L1319" s="2"/>
    </row>
    <row r="1320" spans="11:12">
      <c r="K1320" s="18"/>
      <c r="L1320" s="2"/>
    </row>
    <row r="1321" spans="11:12">
      <c r="K1321" s="18"/>
      <c r="L1321" s="2"/>
    </row>
    <row r="1322" spans="11:12">
      <c r="K1322" s="18"/>
      <c r="L1322" s="2"/>
    </row>
    <row r="1323" spans="11:12">
      <c r="K1323" s="18"/>
      <c r="L1323" s="2"/>
    </row>
    <row r="1324" spans="11:12">
      <c r="K1324" s="18"/>
      <c r="L1324" s="2"/>
    </row>
    <row r="1325" spans="11:12">
      <c r="K1325" s="18"/>
      <c r="L1325" s="2"/>
    </row>
    <row r="1326" spans="11:12">
      <c r="K1326" s="18"/>
      <c r="L1326" s="2"/>
    </row>
    <row r="1327" spans="11:12">
      <c r="K1327" s="18"/>
      <c r="L1327" s="2"/>
    </row>
    <row r="1328" spans="11:12">
      <c r="K1328" s="18"/>
      <c r="L1328" s="2"/>
    </row>
    <row r="1329" spans="11:12">
      <c r="K1329" s="18"/>
      <c r="L1329" s="2"/>
    </row>
    <row r="1330" spans="11:12">
      <c r="K1330" s="18"/>
      <c r="L1330" s="2"/>
    </row>
    <row r="1331" spans="11:12">
      <c r="K1331" s="18"/>
      <c r="L1331" s="2"/>
    </row>
    <row r="1332" spans="11:12">
      <c r="K1332" s="18"/>
      <c r="L1332" s="2"/>
    </row>
    <row r="1333" spans="11:12">
      <c r="K1333" s="18"/>
      <c r="L1333" s="2"/>
    </row>
    <row r="1334" spans="11:12">
      <c r="K1334" s="18"/>
      <c r="L1334" s="2"/>
    </row>
    <row r="1335" spans="11:12">
      <c r="K1335" s="18"/>
      <c r="L1335" s="2"/>
    </row>
    <row r="1336" spans="11:12">
      <c r="K1336" s="18"/>
      <c r="L1336" s="2"/>
    </row>
    <row r="1337" spans="11:12">
      <c r="K1337" s="18"/>
      <c r="L1337" s="2"/>
    </row>
    <row r="1338" spans="11:12">
      <c r="K1338" s="18"/>
      <c r="L1338" s="2"/>
    </row>
    <row r="1339" spans="11:12">
      <c r="K1339" s="18"/>
      <c r="L1339" s="2"/>
    </row>
    <row r="1340" spans="11:12">
      <c r="K1340" s="18"/>
      <c r="L1340" s="2"/>
    </row>
    <row r="1341" spans="11:12">
      <c r="K1341" s="18"/>
      <c r="L1341" s="2"/>
    </row>
    <row r="1342" spans="11:12">
      <c r="K1342" s="18"/>
      <c r="L1342" s="2"/>
    </row>
    <row r="1343" spans="11:12">
      <c r="K1343" s="18"/>
      <c r="L1343" s="2"/>
    </row>
    <row r="1344" spans="11:12">
      <c r="K1344" s="18"/>
      <c r="L1344" s="2"/>
    </row>
    <row r="1345" spans="11:12">
      <c r="K1345" s="18"/>
      <c r="L1345" s="2"/>
    </row>
    <row r="1346" spans="11:12">
      <c r="K1346" s="18"/>
      <c r="L1346" s="2"/>
    </row>
    <row r="1347" spans="11:12">
      <c r="K1347" s="18"/>
      <c r="L1347" s="2"/>
    </row>
    <row r="1348" spans="11:12">
      <c r="K1348" s="18"/>
      <c r="L1348" s="2"/>
    </row>
    <row r="1349" spans="11:12">
      <c r="K1349" s="18"/>
      <c r="L1349" s="2"/>
    </row>
    <row r="1350" spans="11:12">
      <c r="K1350" s="18"/>
      <c r="L1350" s="2"/>
    </row>
    <row r="1351" spans="11:12">
      <c r="K1351" s="18"/>
      <c r="L1351" s="2"/>
    </row>
    <row r="1352" spans="11:12">
      <c r="K1352" s="18"/>
      <c r="L1352" s="2"/>
    </row>
    <row r="1353" spans="11:12">
      <c r="K1353" s="18"/>
      <c r="L1353" s="2"/>
    </row>
    <row r="1354" spans="11:12">
      <c r="K1354" s="18"/>
      <c r="L1354" s="2"/>
    </row>
    <row r="1355" spans="11:12">
      <c r="K1355" s="18"/>
      <c r="L1355" s="2"/>
    </row>
    <row r="1356" spans="11:12">
      <c r="K1356" s="18"/>
      <c r="L1356" s="2"/>
    </row>
    <row r="1357" spans="11:12">
      <c r="K1357" s="18"/>
      <c r="L1357" s="2"/>
    </row>
    <row r="1358" spans="11:12">
      <c r="K1358" s="18"/>
      <c r="L1358" s="2"/>
    </row>
    <row r="1359" spans="11:12">
      <c r="K1359" s="18"/>
      <c r="L1359" s="2"/>
    </row>
    <row r="1360" spans="11:12">
      <c r="K1360" s="18"/>
      <c r="L1360" s="2"/>
    </row>
    <row r="1361" spans="11:12">
      <c r="K1361" s="18"/>
      <c r="L1361" s="2"/>
    </row>
    <row r="1362" spans="11:12">
      <c r="K1362" s="18"/>
      <c r="L1362" s="2"/>
    </row>
    <row r="1363" spans="11:12">
      <c r="K1363" s="18"/>
      <c r="L1363" s="2"/>
    </row>
    <row r="1364" spans="11:12">
      <c r="K1364" s="18"/>
      <c r="L1364" s="2"/>
    </row>
    <row r="1365" spans="11:12">
      <c r="K1365" s="18"/>
      <c r="L1365" s="2"/>
    </row>
    <row r="1366" spans="11:12">
      <c r="K1366" s="18"/>
      <c r="L1366" s="2"/>
    </row>
    <row r="1367" spans="11:12">
      <c r="K1367" s="18"/>
      <c r="L1367" s="2"/>
    </row>
    <row r="1368" spans="11:12">
      <c r="K1368" s="18"/>
      <c r="L1368" s="2"/>
    </row>
    <row r="1369" spans="11:12">
      <c r="K1369" s="18"/>
      <c r="L1369" s="2"/>
    </row>
    <row r="1370" spans="11:12">
      <c r="K1370" s="18"/>
      <c r="L1370" s="2"/>
    </row>
    <row r="1371" spans="11:12">
      <c r="K1371" s="18"/>
      <c r="L1371" s="2"/>
    </row>
    <row r="1372" spans="11:12">
      <c r="K1372" s="18"/>
      <c r="L1372" s="2"/>
    </row>
    <row r="1373" spans="11:12">
      <c r="K1373" s="18"/>
      <c r="L1373" s="2"/>
    </row>
    <row r="1374" spans="11:12">
      <c r="K1374" s="18"/>
      <c r="L1374" s="2"/>
    </row>
    <row r="1375" spans="11:12">
      <c r="K1375" s="18"/>
      <c r="L1375" s="2"/>
    </row>
    <row r="1376" spans="11:12">
      <c r="K1376" s="18"/>
      <c r="L1376" s="2"/>
    </row>
    <row r="1377" spans="11:12">
      <c r="K1377" s="18"/>
      <c r="L1377" s="2"/>
    </row>
    <row r="1378" spans="11:12">
      <c r="K1378" s="18"/>
      <c r="L1378" s="2"/>
    </row>
    <row r="1379" spans="11:12">
      <c r="K1379" s="18"/>
      <c r="L1379" s="2"/>
    </row>
    <row r="1380" spans="11:12">
      <c r="K1380" s="18"/>
      <c r="L1380" s="2"/>
    </row>
    <row r="1381" spans="11:12">
      <c r="K1381" s="18"/>
      <c r="L1381" s="2"/>
    </row>
    <row r="1382" spans="11:12">
      <c r="K1382" s="18"/>
      <c r="L1382" s="2"/>
    </row>
    <row r="1383" spans="11:12">
      <c r="K1383" s="18"/>
      <c r="L1383" s="2"/>
    </row>
    <row r="1384" spans="11:12">
      <c r="K1384" s="18"/>
      <c r="L1384" s="2"/>
    </row>
    <row r="1385" spans="11:12">
      <c r="K1385" s="18"/>
      <c r="L1385" s="2"/>
    </row>
    <row r="1386" spans="11:12">
      <c r="K1386" s="18"/>
      <c r="L1386" s="2"/>
    </row>
    <row r="1387" spans="11:12">
      <c r="K1387" s="18"/>
      <c r="L1387" s="2"/>
    </row>
    <row r="1388" spans="11:12">
      <c r="K1388" s="18"/>
      <c r="L1388" s="2"/>
    </row>
    <row r="1389" spans="11:12">
      <c r="K1389" s="18"/>
      <c r="L1389" s="2"/>
    </row>
    <row r="1390" spans="11:12">
      <c r="K1390" s="18"/>
      <c r="L1390" s="2"/>
    </row>
    <row r="1391" spans="11:12">
      <c r="K1391" s="18"/>
      <c r="L1391" s="2"/>
    </row>
    <row r="1392" spans="11:12">
      <c r="K1392" s="18"/>
      <c r="L1392" s="2"/>
    </row>
    <row r="1393" spans="11:12">
      <c r="K1393" s="18"/>
      <c r="L1393" s="2"/>
    </row>
    <row r="1394" spans="11:12">
      <c r="K1394" s="18"/>
      <c r="L1394" s="2"/>
    </row>
    <row r="1395" spans="11:12">
      <c r="K1395" s="18"/>
      <c r="L1395" s="2"/>
    </row>
    <row r="1396" spans="11:12">
      <c r="K1396" s="18"/>
      <c r="L1396" s="2"/>
    </row>
    <row r="1397" spans="11:12">
      <c r="K1397" s="18"/>
      <c r="L1397" s="2"/>
    </row>
    <row r="1398" spans="11:12">
      <c r="K1398" s="18"/>
      <c r="L1398" s="2"/>
    </row>
    <row r="1399" spans="11:12">
      <c r="K1399" s="18"/>
      <c r="L1399" s="2"/>
    </row>
    <row r="1400" spans="11:12">
      <c r="K1400" s="18"/>
      <c r="L1400" s="2"/>
    </row>
    <row r="1401" spans="11:12">
      <c r="K1401" s="18"/>
      <c r="L1401" s="2"/>
    </row>
    <row r="1402" spans="11:12">
      <c r="K1402" s="18"/>
      <c r="L1402" s="2"/>
    </row>
    <row r="1403" spans="11:12">
      <c r="K1403" s="18"/>
      <c r="L1403" s="2"/>
    </row>
    <row r="1404" spans="11:12">
      <c r="K1404" s="18"/>
      <c r="L1404" s="2"/>
    </row>
    <row r="1405" spans="11:12">
      <c r="K1405" s="18"/>
      <c r="L1405" s="2"/>
    </row>
    <row r="1406" spans="11:12">
      <c r="K1406" s="18"/>
      <c r="L1406" s="2"/>
    </row>
    <row r="1407" spans="11:12">
      <c r="K1407" s="18"/>
      <c r="L1407" s="2"/>
    </row>
    <row r="1408" spans="11:12">
      <c r="K1408" s="18"/>
      <c r="L1408" s="2"/>
    </row>
    <row r="1409" spans="11:12">
      <c r="K1409" s="18"/>
      <c r="L1409" s="2"/>
    </row>
    <row r="1410" spans="11:12">
      <c r="K1410" s="18"/>
      <c r="L1410" s="2"/>
    </row>
    <row r="1411" spans="11:12">
      <c r="K1411" s="18"/>
      <c r="L1411" s="2"/>
    </row>
    <row r="1412" spans="11:12">
      <c r="K1412" s="18"/>
      <c r="L1412" s="2"/>
    </row>
    <row r="1413" spans="11:12">
      <c r="K1413" s="18"/>
      <c r="L1413" s="2"/>
    </row>
    <row r="1414" spans="11:12">
      <c r="K1414" s="18"/>
      <c r="L1414" s="2"/>
    </row>
    <row r="1415" spans="11:12">
      <c r="K1415" s="18"/>
      <c r="L1415" s="2"/>
    </row>
    <row r="1416" spans="11:12">
      <c r="K1416" s="18"/>
      <c r="L1416" s="2"/>
    </row>
    <row r="1417" spans="11:12">
      <c r="K1417" s="18"/>
      <c r="L1417" s="2"/>
    </row>
    <row r="1418" spans="11:12">
      <c r="K1418" s="18"/>
      <c r="L1418" s="2"/>
    </row>
    <row r="1419" spans="11:12">
      <c r="K1419" s="18"/>
      <c r="L1419" s="2"/>
    </row>
    <row r="1420" spans="11:12">
      <c r="K1420" s="18"/>
      <c r="L1420" s="2"/>
    </row>
    <row r="1421" spans="11:12">
      <c r="K1421" s="18"/>
      <c r="L1421" s="2"/>
    </row>
    <row r="1422" spans="11:12">
      <c r="K1422" s="18"/>
      <c r="L1422" s="2"/>
    </row>
    <row r="1423" spans="11:12">
      <c r="K1423" s="18"/>
      <c r="L1423" s="2"/>
    </row>
    <row r="1424" spans="11:12">
      <c r="K1424" s="18"/>
      <c r="L1424" s="2"/>
    </row>
    <row r="1425" spans="11:12">
      <c r="K1425" s="18"/>
      <c r="L1425" s="2"/>
    </row>
    <row r="1426" spans="11:12">
      <c r="K1426" s="18"/>
      <c r="L1426" s="2"/>
    </row>
    <row r="1427" spans="11:12">
      <c r="K1427" s="18"/>
      <c r="L1427" s="2"/>
    </row>
    <row r="1428" spans="11:12">
      <c r="K1428" s="18"/>
      <c r="L1428" s="2"/>
    </row>
    <row r="1429" spans="11:12">
      <c r="K1429" s="18"/>
      <c r="L1429" s="2"/>
    </row>
    <row r="1430" spans="11:12">
      <c r="K1430" s="18"/>
      <c r="L1430" s="2"/>
    </row>
    <row r="1431" spans="11:12">
      <c r="K1431" s="18"/>
      <c r="L1431" s="2"/>
    </row>
    <row r="1432" spans="11:12">
      <c r="K1432" s="18"/>
      <c r="L1432" s="2"/>
    </row>
    <row r="1433" spans="11:12">
      <c r="K1433" s="18"/>
      <c r="L1433" s="2"/>
    </row>
    <row r="1434" spans="11:12">
      <c r="K1434" s="18"/>
      <c r="L1434" s="2"/>
    </row>
    <row r="1435" spans="11:12">
      <c r="K1435" s="18"/>
      <c r="L1435" s="2"/>
    </row>
    <row r="1436" spans="11:12">
      <c r="K1436" s="18"/>
      <c r="L1436" s="2"/>
    </row>
    <row r="1437" spans="11:12">
      <c r="K1437" s="18"/>
      <c r="L1437" s="2"/>
    </row>
    <row r="1438" spans="11:12">
      <c r="K1438" s="18"/>
      <c r="L1438" s="2"/>
    </row>
    <row r="1439" spans="11:12">
      <c r="K1439" s="18"/>
      <c r="L1439" s="2"/>
    </row>
    <row r="1440" spans="11:12">
      <c r="K1440" s="18"/>
      <c r="L1440" s="2"/>
    </row>
    <row r="1441" spans="11:12">
      <c r="K1441" s="18"/>
      <c r="L1441" s="2"/>
    </row>
    <row r="1442" spans="11:12">
      <c r="K1442" s="18"/>
      <c r="L1442" s="2"/>
    </row>
    <row r="1443" spans="11:12">
      <c r="K1443" s="18"/>
      <c r="L1443" s="2"/>
    </row>
    <row r="1444" spans="11:12">
      <c r="K1444" s="18"/>
      <c r="L1444" s="2"/>
    </row>
    <row r="1445" spans="11:12">
      <c r="K1445" s="18"/>
      <c r="L1445" s="2"/>
    </row>
    <row r="1446" spans="11:12">
      <c r="K1446" s="18"/>
      <c r="L1446" s="2"/>
    </row>
    <row r="1447" spans="11:12">
      <c r="K1447" s="18"/>
      <c r="L1447" s="2"/>
    </row>
    <row r="1448" spans="11:12">
      <c r="K1448" s="18"/>
      <c r="L1448" s="2"/>
    </row>
    <row r="1449" spans="11:12">
      <c r="K1449" s="18"/>
      <c r="L1449" s="2"/>
    </row>
    <row r="1450" spans="11:12">
      <c r="K1450" s="18"/>
      <c r="L1450" s="2"/>
    </row>
    <row r="1451" spans="11:12">
      <c r="K1451" s="18"/>
      <c r="L1451" s="2"/>
    </row>
    <row r="1452" spans="11:12">
      <c r="K1452" s="18"/>
      <c r="L1452" s="2"/>
    </row>
    <row r="1453" spans="11:12">
      <c r="K1453" s="18"/>
      <c r="L1453" s="2"/>
    </row>
    <row r="1454" spans="11:12">
      <c r="K1454" s="18"/>
      <c r="L1454" s="2"/>
    </row>
    <row r="1455" spans="11:12">
      <c r="K1455" s="18"/>
      <c r="L1455" s="2"/>
    </row>
    <row r="1456" spans="11:12">
      <c r="K1456" s="18"/>
      <c r="L1456" s="2"/>
    </row>
    <row r="1457" spans="11:12">
      <c r="K1457" s="18"/>
      <c r="L1457" s="2"/>
    </row>
    <row r="1458" spans="11:12">
      <c r="K1458" s="18"/>
      <c r="L1458" s="2"/>
    </row>
    <row r="1459" spans="11:12">
      <c r="K1459" s="18"/>
      <c r="L1459" s="2"/>
    </row>
    <row r="1460" spans="11:12">
      <c r="K1460" s="18"/>
      <c r="L1460" s="2"/>
    </row>
    <row r="1461" spans="11:12">
      <c r="K1461" s="18"/>
      <c r="L1461" s="2"/>
    </row>
    <row r="1462" spans="11:12">
      <c r="K1462" s="18"/>
      <c r="L1462" s="2"/>
    </row>
    <row r="1463" spans="11:12">
      <c r="K1463" s="18"/>
      <c r="L1463" s="2"/>
    </row>
    <row r="1464" spans="11:12">
      <c r="K1464" s="18"/>
      <c r="L1464" s="2"/>
    </row>
    <row r="1465" spans="11:12">
      <c r="K1465" s="18"/>
      <c r="L1465" s="2"/>
    </row>
    <row r="1466" spans="11:12">
      <c r="K1466" s="18"/>
      <c r="L1466" s="2"/>
    </row>
    <row r="1467" spans="11:12">
      <c r="K1467" s="18"/>
      <c r="L1467" s="2"/>
    </row>
    <row r="1468" spans="11:12">
      <c r="K1468" s="18"/>
      <c r="L1468" s="2"/>
    </row>
    <row r="1469" spans="11:12">
      <c r="K1469" s="18"/>
      <c r="L1469" s="2"/>
    </row>
    <row r="1470" spans="11:12">
      <c r="K1470" s="18"/>
      <c r="L1470" s="2"/>
    </row>
    <row r="1471" spans="11:12">
      <c r="K1471" s="18"/>
      <c r="L1471" s="2"/>
    </row>
    <row r="1472" spans="11:12">
      <c r="K1472" s="18"/>
      <c r="L1472" s="2"/>
    </row>
    <row r="1473" spans="11:12">
      <c r="K1473" s="18"/>
      <c r="L1473" s="2"/>
    </row>
    <row r="1474" spans="11:12">
      <c r="K1474" s="18"/>
      <c r="L1474" s="2"/>
    </row>
    <row r="1475" spans="11:12">
      <c r="K1475" s="18"/>
      <c r="L1475" s="2"/>
    </row>
    <row r="1476" spans="11:12">
      <c r="K1476" s="18"/>
      <c r="L1476" s="2"/>
    </row>
    <row r="1477" spans="11:12">
      <c r="K1477" s="18"/>
      <c r="L1477" s="2"/>
    </row>
    <row r="1478" spans="11:12">
      <c r="K1478" s="18"/>
      <c r="L1478" s="2"/>
    </row>
    <row r="1479" spans="11:12">
      <c r="K1479" s="18"/>
      <c r="L1479" s="2"/>
    </row>
    <row r="1480" spans="11:12">
      <c r="K1480" s="18"/>
      <c r="L1480" s="2"/>
    </row>
    <row r="1481" spans="11:12">
      <c r="K1481" s="18"/>
      <c r="L1481" s="2"/>
    </row>
    <row r="1482" spans="11:12">
      <c r="K1482" s="18"/>
      <c r="L1482" s="2"/>
    </row>
    <row r="1483" spans="11:12">
      <c r="K1483" s="18"/>
      <c r="L1483" s="2"/>
    </row>
    <row r="1484" spans="11:12">
      <c r="K1484" s="18"/>
      <c r="L1484" s="2"/>
    </row>
    <row r="1485" spans="11:12">
      <c r="K1485" s="18"/>
      <c r="L1485" s="2"/>
    </row>
    <row r="1486" spans="11:12">
      <c r="K1486" s="18"/>
      <c r="L1486" s="2"/>
    </row>
    <row r="1487" spans="11:12">
      <c r="K1487" s="18"/>
      <c r="L1487" s="2"/>
    </row>
    <row r="1488" spans="11:12">
      <c r="K1488" s="18"/>
      <c r="L1488" s="2"/>
    </row>
    <row r="1489" spans="11:12">
      <c r="K1489" s="18"/>
      <c r="L1489" s="2"/>
    </row>
    <row r="1490" spans="11:12">
      <c r="K1490" s="18"/>
      <c r="L1490" s="2"/>
    </row>
    <row r="1491" spans="11:12">
      <c r="K1491" s="18"/>
      <c r="L1491" s="2"/>
    </row>
    <row r="1492" spans="11:12">
      <c r="K1492" s="18"/>
      <c r="L1492" s="2"/>
    </row>
    <row r="1493" spans="11:12">
      <c r="K1493" s="18"/>
      <c r="L1493" s="2"/>
    </row>
    <row r="1494" spans="11:12">
      <c r="K1494" s="18"/>
      <c r="L1494" s="2"/>
    </row>
    <row r="1495" spans="11:12">
      <c r="K1495" s="18"/>
      <c r="L1495" s="2"/>
    </row>
    <row r="1496" spans="11:12">
      <c r="K1496" s="18"/>
      <c r="L1496" s="2"/>
    </row>
    <row r="1497" spans="11:12">
      <c r="K1497" s="18"/>
      <c r="L1497" s="2"/>
    </row>
    <row r="1498" spans="11:12">
      <c r="K1498" s="18"/>
      <c r="L1498" s="2"/>
    </row>
    <row r="1499" spans="11:12">
      <c r="K1499" s="18"/>
      <c r="L1499" s="2"/>
    </row>
    <row r="1500" spans="11:12">
      <c r="K1500" s="18"/>
      <c r="L1500" s="2"/>
    </row>
    <row r="1501" spans="11:12">
      <c r="K1501" s="18"/>
      <c r="L1501" s="2"/>
    </row>
    <row r="1502" spans="11:12">
      <c r="K1502" s="18"/>
      <c r="L1502" s="2"/>
    </row>
    <row r="1503" spans="11:12">
      <c r="K1503" s="18"/>
      <c r="L1503" s="2"/>
    </row>
    <row r="1504" spans="11:12">
      <c r="K1504" s="18"/>
      <c r="L1504" s="2"/>
    </row>
    <row r="1505" spans="11:12">
      <c r="K1505" s="18"/>
      <c r="L1505" s="2"/>
    </row>
    <row r="1506" spans="11:12">
      <c r="K1506" s="18"/>
      <c r="L1506" s="2"/>
    </row>
    <row r="1507" spans="11:12">
      <c r="K1507" s="18"/>
      <c r="L1507" s="2"/>
    </row>
    <row r="1508" spans="11:12">
      <c r="K1508" s="18"/>
      <c r="L1508" s="2"/>
    </row>
    <row r="1509" spans="11:12">
      <c r="K1509" s="18"/>
      <c r="L1509" s="2"/>
    </row>
    <row r="1510" spans="11:12">
      <c r="K1510" s="18"/>
      <c r="L1510" s="2"/>
    </row>
    <row r="1511" spans="11:12">
      <c r="K1511" s="18"/>
      <c r="L1511" s="2"/>
    </row>
    <row r="1512" spans="11:12">
      <c r="K1512" s="18"/>
      <c r="L1512" s="2"/>
    </row>
    <row r="1513" spans="11:12">
      <c r="K1513" s="18"/>
      <c r="L1513" s="2"/>
    </row>
    <row r="1514" spans="11:12">
      <c r="K1514" s="18"/>
      <c r="L1514" s="2"/>
    </row>
    <row r="1515" spans="11:12">
      <c r="K1515" s="18"/>
      <c r="L1515" s="2"/>
    </row>
    <row r="1516" spans="11:12">
      <c r="K1516" s="18"/>
      <c r="L1516" s="2"/>
    </row>
    <row r="1517" spans="11:12">
      <c r="K1517" s="18"/>
      <c r="L1517" s="2"/>
    </row>
    <row r="1518" spans="11:12">
      <c r="K1518" s="18"/>
      <c r="L1518" s="2"/>
    </row>
    <row r="1519" spans="11:12">
      <c r="K1519" s="18"/>
      <c r="L1519" s="2"/>
    </row>
    <row r="1520" spans="11:12">
      <c r="K1520" s="18"/>
      <c r="L1520" s="2"/>
    </row>
    <row r="1521" spans="11:12">
      <c r="K1521" s="18"/>
      <c r="L1521" s="2"/>
    </row>
    <row r="1522" spans="11:12">
      <c r="K1522" s="18"/>
      <c r="L1522" s="2"/>
    </row>
    <row r="1523" spans="11:12">
      <c r="K1523" s="18"/>
      <c r="L1523" s="2"/>
    </row>
    <row r="1524" spans="11:12">
      <c r="K1524" s="18"/>
      <c r="L1524" s="2"/>
    </row>
    <row r="1525" spans="11:12">
      <c r="K1525" s="18"/>
      <c r="L1525" s="2"/>
    </row>
    <row r="1526" spans="11:12">
      <c r="K1526" s="18"/>
      <c r="L1526" s="2"/>
    </row>
    <row r="1527" spans="11:12">
      <c r="K1527" s="18"/>
      <c r="L1527" s="2"/>
    </row>
    <row r="1528" spans="11:12">
      <c r="K1528" s="18"/>
      <c r="L1528" s="2"/>
    </row>
    <row r="1529" spans="11:12">
      <c r="K1529" s="18"/>
      <c r="L1529" s="2"/>
    </row>
    <row r="1530" spans="11:12">
      <c r="K1530" s="18"/>
      <c r="L1530" s="2"/>
    </row>
    <row r="1531" spans="11:12">
      <c r="K1531" s="18"/>
      <c r="L1531" s="2"/>
    </row>
    <row r="1532" spans="11:12">
      <c r="K1532" s="18"/>
      <c r="L1532" s="2"/>
    </row>
    <row r="1533" spans="11:12">
      <c r="K1533" s="18"/>
      <c r="L1533" s="2"/>
    </row>
    <row r="1534" spans="11:12">
      <c r="K1534" s="18"/>
      <c r="L1534" s="2"/>
    </row>
    <row r="1535" spans="11:12">
      <c r="K1535" s="18"/>
      <c r="L1535" s="2"/>
    </row>
    <row r="1536" spans="11:12">
      <c r="K1536" s="18"/>
      <c r="L1536" s="2"/>
    </row>
    <row r="1537" spans="11:12">
      <c r="K1537" s="18"/>
      <c r="L1537" s="2"/>
    </row>
    <row r="1538" spans="11:12">
      <c r="K1538" s="18"/>
      <c r="L1538" s="2"/>
    </row>
    <row r="1539" spans="11:12">
      <c r="K1539" s="18"/>
      <c r="L1539" s="2"/>
    </row>
    <row r="1540" spans="11:12">
      <c r="K1540" s="18"/>
      <c r="L1540" s="2"/>
    </row>
    <row r="1541" spans="11:12">
      <c r="K1541" s="18"/>
      <c r="L1541" s="2"/>
    </row>
    <row r="1542" spans="11:12">
      <c r="K1542" s="18"/>
      <c r="L1542" s="2"/>
    </row>
    <row r="1543" spans="11:12">
      <c r="K1543" s="18"/>
      <c r="L1543" s="2"/>
    </row>
    <row r="1544" spans="11:12">
      <c r="K1544" s="18"/>
      <c r="L1544" s="2"/>
    </row>
    <row r="1545" spans="11:12">
      <c r="K1545" s="18"/>
      <c r="L1545" s="2"/>
    </row>
    <row r="1546" spans="11:12">
      <c r="K1546" s="18"/>
      <c r="L1546" s="2"/>
    </row>
    <row r="1547" spans="11:12">
      <c r="K1547" s="18"/>
      <c r="L1547" s="2"/>
    </row>
    <row r="1548" spans="11:12">
      <c r="K1548" s="18"/>
      <c r="L1548" s="2"/>
    </row>
    <row r="1549" spans="11:12">
      <c r="K1549" s="18"/>
      <c r="L1549" s="2"/>
    </row>
    <row r="1550" spans="11:12">
      <c r="K1550" s="18"/>
      <c r="L1550" s="2"/>
    </row>
    <row r="1551" spans="11:12">
      <c r="K1551" s="18"/>
      <c r="L1551" s="2"/>
    </row>
    <row r="1552" spans="11:12">
      <c r="K1552" s="18"/>
      <c r="L1552" s="2"/>
    </row>
    <row r="1553" spans="11:12">
      <c r="K1553" s="18"/>
      <c r="L1553" s="2"/>
    </row>
    <row r="1554" spans="11:12">
      <c r="K1554" s="18"/>
      <c r="L1554" s="2"/>
    </row>
    <row r="1555" spans="11:12">
      <c r="K1555" s="18"/>
      <c r="L1555" s="2"/>
    </row>
    <row r="1556" spans="11:12">
      <c r="K1556" s="18"/>
      <c r="L1556" s="2"/>
    </row>
    <row r="1557" spans="11:12">
      <c r="K1557" s="18"/>
      <c r="L1557" s="2"/>
    </row>
    <row r="1558" spans="11:12">
      <c r="K1558" s="18"/>
      <c r="L1558" s="2"/>
    </row>
    <row r="1559" spans="11:12">
      <c r="K1559" s="18"/>
      <c r="L1559" s="2"/>
    </row>
    <row r="1560" spans="11:12">
      <c r="K1560" s="18"/>
      <c r="L1560" s="2"/>
    </row>
    <row r="1561" spans="11:12">
      <c r="K1561" s="18"/>
      <c r="L1561" s="2"/>
    </row>
    <row r="1562" spans="11:12">
      <c r="K1562" s="18"/>
      <c r="L1562" s="2"/>
    </row>
    <row r="1563" spans="11:12">
      <c r="K1563" s="18"/>
      <c r="L1563" s="2"/>
    </row>
    <row r="1564" spans="11:12">
      <c r="K1564" s="18"/>
      <c r="L1564" s="2"/>
    </row>
    <row r="1565" spans="11:12">
      <c r="K1565" s="18"/>
      <c r="L1565" s="2"/>
    </row>
    <row r="1566" spans="11:12">
      <c r="K1566" s="18"/>
      <c r="L1566" s="2"/>
    </row>
    <row r="1567" spans="11:12">
      <c r="K1567" s="18"/>
      <c r="L1567" s="2"/>
    </row>
    <row r="1568" spans="11:12">
      <c r="K1568" s="18"/>
      <c r="L1568" s="2"/>
    </row>
    <row r="1569" spans="11:12">
      <c r="K1569" s="18"/>
      <c r="L1569" s="2"/>
    </row>
    <row r="1570" spans="11:12">
      <c r="K1570" s="18"/>
      <c r="L1570" s="2"/>
    </row>
    <row r="1571" spans="11:12">
      <c r="K1571" s="18"/>
      <c r="L1571" s="2"/>
    </row>
    <row r="1572" spans="11:12">
      <c r="K1572" s="18"/>
      <c r="L1572" s="2"/>
    </row>
    <row r="1573" spans="11:12">
      <c r="K1573" s="18"/>
      <c r="L1573" s="2"/>
    </row>
    <row r="1574" spans="11:12">
      <c r="K1574" s="18"/>
      <c r="L1574" s="2"/>
    </row>
    <row r="1575" spans="11:12">
      <c r="K1575" s="18"/>
      <c r="L1575" s="2"/>
    </row>
    <row r="1576" spans="11:12">
      <c r="K1576" s="18"/>
      <c r="L1576" s="2"/>
    </row>
    <row r="1577" spans="11:12">
      <c r="K1577" s="18"/>
      <c r="L1577" s="2"/>
    </row>
    <row r="1578" spans="11:12">
      <c r="K1578" s="18"/>
      <c r="L1578" s="2"/>
    </row>
    <row r="1579" spans="11:12">
      <c r="K1579" s="18"/>
      <c r="L1579" s="2"/>
    </row>
    <row r="1580" spans="11:12">
      <c r="K1580" s="18"/>
      <c r="L1580" s="2"/>
    </row>
    <row r="1581" spans="11:12">
      <c r="K1581" s="18"/>
      <c r="L1581" s="2"/>
    </row>
    <row r="1582" spans="11:12">
      <c r="K1582" s="18"/>
      <c r="L1582" s="2"/>
    </row>
    <row r="1583" spans="11:12">
      <c r="K1583" s="18"/>
      <c r="L1583" s="2"/>
    </row>
    <row r="1584" spans="11:12">
      <c r="K1584" s="18"/>
      <c r="L1584" s="2"/>
    </row>
    <row r="1585" spans="11:12">
      <c r="K1585" s="18"/>
      <c r="L1585" s="2"/>
    </row>
    <row r="1586" spans="11:12">
      <c r="K1586" s="18"/>
      <c r="L1586" s="2"/>
    </row>
    <row r="1587" spans="11:12">
      <c r="K1587" s="18"/>
      <c r="L1587" s="2"/>
    </row>
    <row r="1588" spans="11:12">
      <c r="K1588" s="18"/>
      <c r="L1588" s="2"/>
    </row>
    <row r="1589" spans="11:12">
      <c r="K1589" s="18"/>
      <c r="L1589" s="2"/>
    </row>
    <row r="1590" spans="11:12">
      <c r="K1590" s="18"/>
      <c r="L1590" s="2"/>
    </row>
    <row r="1591" spans="11:12">
      <c r="K1591" s="18"/>
      <c r="L1591" s="2"/>
    </row>
    <row r="1592" spans="11:12">
      <c r="K1592" s="18"/>
      <c r="L1592" s="2"/>
    </row>
    <row r="1593" spans="11:12">
      <c r="K1593" s="18"/>
      <c r="L1593" s="2"/>
    </row>
    <row r="1594" spans="11:12">
      <c r="K1594" s="18"/>
      <c r="L1594" s="2"/>
    </row>
    <row r="1595" spans="11:12">
      <c r="K1595" s="18"/>
      <c r="L1595" s="2"/>
    </row>
    <row r="1596" spans="11:12">
      <c r="K1596" s="18"/>
      <c r="L1596" s="2"/>
    </row>
    <row r="1597" spans="11:12">
      <c r="K1597" s="18"/>
      <c r="L1597" s="2"/>
    </row>
    <row r="1598" spans="11:12">
      <c r="K1598" s="18"/>
      <c r="L1598" s="2"/>
    </row>
    <row r="1599" spans="11:12">
      <c r="K1599" s="18"/>
      <c r="L1599" s="2"/>
    </row>
    <row r="1600" spans="11:12">
      <c r="K1600" s="18"/>
      <c r="L1600" s="2"/>
    </row>
    <row r="1601" spans="11:12">
      <c r="K1601" s="18"/>
      <c r="L1601" s="2"/>
    </row>
    <row r="1602" spans="11:12">
      <c r="K1602" s="18"/>
      <c r="L1602" s="2"/>
    </row>
    <row r="1603" spans="11:12">
      <c r="K1603" s="18"/>
      <c r="L1603" s="2"/>
    </row>
    <row r="1604" spans="11:12">
      <c r="K1604" s="18"/>
      <c r="L1604" s="2"/>
    </row>
    <row r="1605" spans="11:12">
      <c r="K1605" s="18"/>
      <c r="L1605" s="2"/>
    </row>
    <row r="1606" spans="11:12">
      <c r="K1606" s="18"/>
      <c r="L1606" s="2"/>
    </row>
    <row r="1607" spans="11:12">
      <c r="K1607" s="18"/>
      <c r="L1607" s="2"/>
    </row>
    <row r="1608" spans="11:12">
      <c r="K1608" s="18"/>
      <c r="L1608" s="2"/>
    </row>
    <row r="1609" spans="11:12">
      <c r="K1609" s="18"/>
      <c r="L1609" s="2"/>
    </row>
    <row r="1610" spans="11:12">
      <c r="K1610" s="18"/>
      <c r="L1610" s="2"/>
    </row>
    <row r="1611" spans="11:12">
      <c r="K1611" s="18"/>
      <c r="L1611" s="2"/>
    </row>
    <row r="1612" spans="11:12">
      <c r="K1612" s="18"/>
      <c r="L1612" s="2"/>
    </row>
    <row r="1613" spans="11:12">
      <c r="K1613" s="18"/>
      <c r="L1613" s="2"/>
    </row>
    <row r="1614" spans="11:12">
      <c r="K1614" s="18"/>
      <c r="L1614" s="2"/>
    </row>
    <row r="1615" spans="11:12">
      <c r="K1615" s="18"/>
      <c r="L1615" s="2"/>
    </row>
    <row r="1616" spans="11:12">
      <c r="K1616" s="18"/>
      <c r="L1616" s="2"/>
    </row>
    <row r="1617" spans="11:12">
      <c r="K1617" s="18"/>
      <c r="L1617" s="2"/>
    </row>
    <row r="1618" spans="11:12">
      <c r="K1618" s="18"/>
      <c r="L1618" s="2"/>
    </row>
    <row r="1619" spans="11:12">
      <c r="K1619" s="18"/>
      <c r="L1619" s="2"/>
    </row>
    <row r="1620" spans="11:12">
      <c r="K1620" s="18"/>
      <c r="L1620" s="2"/>
    </row>
    <row r="1621" spans="11:12">
      <c r="K1621" s="18"/>
      <c r="L1621" s="2"/>
    </row>
    <row r="1622" spans="11:12">
      <c r="K1622" s="18"/>
      <c r="L1622" s="2"/>
    </row>
    <row r="1623" spans="11:12">
      <c r="K1623" s="18"/>
      <c r="L1623" s="2"/>
    </row>
    <row r="1624" spans="11:12">
      <c r="K1624" s="18"/>
      <c r="L1624" s="2"/>
    </row>
    <row r="1625" spans="11:12">
      <c r="K1625" s="18"/>
      <c r="L1625" s="2"/>
    </row>
    <row r="1626" spans="11:12">
      <c r="K1626" s="18"/>
      <c r="L1626" s="2"/>
    </row>
    <row r="1627" spans="11:12">
      <c r="K1627" s="18"/>
      <c r="L1627" s="2"/>
    </row>
    <row r="1628" spans="11:12">
      <c r="K1628" s="18"/>
      <c r="L1628" s="2"/>
    </row>
    <row r="1629" spans="11:12">
      <c r="K1629" s="18"/>
      <c r="L1629" s="2"/>
    </row>
    <row r="1630" spans="11:12">
      <c r="K1630" s="18"/>
      <c r="L1630" s="2"/>
    </row>
    <row r="1631" spans="11:12">
      <c r="K1631" s="18"/>
      <c r="L1631" s="2"/>
    </row>
    <row r="1632" spans="11:12">
      <c r="K1632" s="18"/>
      <c r="L1632" s="2"/>
    </row>
    <row r="1633" spans="11:12">
      <c r="K1633" s="18"/>
      <c r="L1633" s="2"/>
    </row>
    <row r="1634" spans="11:12">
      <c r="K1634" s="18"/>
      <c r="L1634" s="2"/>
    </row>
    <row r="1635" spans="11:12">
      <c r="K1635" s="18"/>
      <c r="L1635" s="2"/>
    </row>
    <row r="1636" spans="11:12">
      <c r="K1636" s="18"/>
      <c r="L1636" s="2"/>
    </row>
    <row r="1637" spans="11:12">
      <c r="K1637" s="18"/>
      <c r="L1637" s="2"/>
    </row>
    <row r="1638" spans="11:12">
      <c r="K1638" s="18"/>
      <c r="L1638" s="2"/>
    </row>
    <row r="1639" spans="11:12">
      <c r="K1639" s="18"/>
      <c r="L1639" s="2"/>
    </row>
    <row r="1640" spans="11:12">
      <c r="K1640" s="18"/>
      <c r="L1640" s="2"/>
    </row>
    <row r="1641" spans="11:12">
      <c r="K1641" s="18"/>
      <c r="L1641" s="2"/>
    </row>
    <row r="1642" spans="11:12">
      <c r="K1642" s="18"/>
      <c r="L1642" s="2"/>
    </row>
    <row r="1643" spans="11:12">
      <c r="K1643" s="18"/>
      <c r="L1643" s="2"/>
    </row>
    <row r="1644" spans="11:12">
      <c r="K1644" s="18"/>
      <c r="L1644" s="2"/>
    </row>
    <row r="1645" spans="11:12">
      <c r="K1645" s="18"/>
      <c r="L1645" s="2"/>
    </row>
    <row r="1646" spans="11:12">
      <c r="K1646" s="18"/>
      <c r="L1646" s="2"/>
    </row>
    <row r="1647" spans="11:12">
      <c r="K1647" s="18"/>
      <c r="L1647" s="2"/>
    </row>
    <row r="1648" spans="11:12">
      <c r="K1648" s="18"/>
      <c r="L1648" s="2"/>
    </row>
    <row r="1649" spans="11:12">
      <c r="K1649" s="18"/>
      <c r="L1649" s="2"/>
    </row>
    <row r="1650" spans="11:12">
      <c r="K1650" s="18"/>
      <c r="L1650" s="2"/>
    </row>
    <row r="1651" spans="11:12">
      <c r="K1651" s="18"/>
      <c r="L1651" s="2"/>
    </row>
    <row r="1652" spans="11:12">
      <c r="K1652" s="18"/>
      <c r="L1652" s="2"/>
    </row>
    <row r="1653" spans="11:12">
      <c r="K1653" s="18"/>
      <c r="L1653" s="2"/>
    </row>
    <row r="1654" spans="11:12">
      <c r="K1654" s="18"/>
      <c r="L1654" s="2"/>
    </row>
    <row r="1655" spans="11:12">
      <c r="K1655" s="18"/>
      <c r="L1655" s="2"/>
    </row>
    <row r="1656" spans="11:12">
      <c r="K1656" s="18"/>
      <c r="L1656" s="2"/>
    </row>
    <row r="1657" spans="11:12">
      <c r="K1657" s="18"/>
      <c r="L1657" s="2"/>
    </row>
    <row r="1658" spans="11:12">
      <c r="K1658" s="18"/>
      <c r="L1658" s="2"/>
    </row>
    <row r="1659" spans="11:12">
      <c r="K1659" s="18"/>
      <c r="L1659" s="2"/>
    </row>
    <row r="1660" spans="11:12">
      <c r="K1660" s="18"/>
      <c r="L1660" s="2"/>
    </row>
    <row r="1661" spans="11:12">
      <c r="K1661" s="18"/>
      <c r="L1661" s="2"/>
    </row>
    <row r="1662" spans="11:12">
      <c r="K1662" s="18"/>
      <c r="L1662" s="2"/>
    </row>
    <row r="1663" spans="11:12">
      <c r="K1663" s="18"/>
      <c r="L1663" s="2"/>
    </row>
    <row r="1664" spans="11:12">
      <c r="K1664" s="18"/>
      <c r="L1664" s="2"/>
    </row>
    <row r="1665" spans="11:12">
      <c r="K1665" s="18"/>
      <c r="L1665" s="2"/>
    </row>
    <row r="1666" spans="11:12">
      <c r="K1666" s="18"/>
      <c r="L1666" s="2"/>
    </row>
    <row r="1667" spans="11:12">
      <c r="K1667" s="18"/>
      <c r="L1667" s="2"/>
    </row>
    <row r="1668" spans="11:12">
      <c r="K1668" s="18"/>
      <c r="L1668" s="2"/>
    </row>
    <row r="1669" spans="11:12">
      <c r="K1669" s="18"/>
      <c r="L1669" s="2"/>
    </row>
    <row r="1670" spans="11:12">
      <c r="K1670" s="18"/>
      <c r="L1670" s="2"/>
    </row>
    <row r="1671" spans="11:12">
      <c r="K1671" s="18"/>
      <c r="L1671" s="2"/>
    </row>
    <row r="1672" spans="11:12">
      <c r="K1672" s="18"/>
      <c r="L1672" s="2"/>
    </row>
    <row r="1673" spans="11:12">
      <c r="K1673" s="18"/>
      <c r="L1673" s="2"/>
    </row>
    <row r="1674" spans="11:12">
      <c r="K1674" s="18"/>
      <c r="L1674" s="2"/>
    </row>
    <row r="1675" spans="11:12">
      <c r="K1675" s="18"/>
      <c r="L1675" s="2"/>
    </row>
    <row r="1676" spans="11:12">
      <c r="K1676" s="18"/>
      <c r="L1676" s="2"/>
    </row>
    <row r="1677" spans="11:12">
      <c r="K1677" s="18"/>
      <c r="L1677" s="2"/>
    </row>
    <row r="1678" spans="11:12">
      <c r="K1678" s="18"/>
      <c r="L1678" s="2"/>
    </row>
    <row r="1679" spans="11:12">
      <c r="K1679" s="18"/>
      <c r="L1679" s="2"/>
    </row>
    <row r="1680" spans="11:12">
      <c r="K1680" s="18"/>
      <c r="L1680" s="2"/>
    </row>
    <row r="1681" spans="11:12">
      <c r="K1681" s="18"/>
      <c r="L1681" s="2"/>
    </row>
    <row r="1682" spans="11:12">
      <c r="K1682" s="18"/>
      <c r="L1682" s="2"/>
    </row>
    <row r="1683" spans="11:12">
      <c r="K1683" s="18"/>
      <c r="L1683" s="2"/>
    </row>
    <row r="1684" spans="11:12">
      <c r="K1684" s="18"/>
      <c r="L1684" s="2"/>
    </row>
    <row r="1685" spans="11:12">
      <c r="K1685" s="18"/>
      <c r="L1685" s="2"/>
    </row>
    <row r="1686" spans="11:12">
      <c r="K1686" s="18"/>
      <c r="L1686" s="2"/>
    </row>
    <row r="1687" spans="11:12">
      <c r="K1687" s="18"/>
      <c r="L1687" s="2"/>
    </row>
    <row r="1688" spans="11:12">
      <c r="K1688" s="18"/>
      <c r="L1688" s="2"/>
    </row>
    <row r="1689" spans="11:12">
      <c r="K1689" s="18"/>
      <c r="L1689" s="2"/>
    </row>
    <row r="1690" spans="11:12">
      <c r="K1690" s="18"/>
      <c r="L1690" s="2"/>
    </row>
    <row r="1691" spans="11:12">
      <c r="K1691" s="18"/>
      <c r="L1691" s="2"/>
    </row>
    <row r="1692" spans="11:12">
      <c r="K1692" s="18"/>
      <c r="L1692" s="2"/>
    </row>
    <row r="1693" spans="11:12">
      <c r="K1693" s="18"/>
      <c r="L1693" s="2"/>
    </row>
    <row r="1694" spans="11:12">
      <c r="K1694" s="18"/>
      <c r="L1694" s="2"/>
    </row>
    <row r="1695" spans="11:12">
      <c r="K1695" s="18"/>
      <c r="L1695" s="2"/>
    </row>
    <row r="1696" spans="11:12">
      <c r="K1696" s="18"/>
      <c r="L1696" s="2"/>
    </row>
    <row r="1697" spans="11:12">
      <c r="K1697" s="18"/>
      <c r="L1697" s="2"/>
    </row>
    <row r="1698" spans="11:12">
      <c r="K1698" s="18"/>
      <c r="L1698" s="2"/>
    </row>
    <row r="1699" spans="11:12">
      <c r="K1699" s="18"/>
      <c r="L1699" s="2"/>
    </row>
    <row r="1700" spans="11:12">
      <c r="K1700" s="18"/>
      <c r="L1700" s="2"/>
    </row>
    <row r="1701" spans="11:12">
      <c r="K1701" s="18"/>
      <c r="L1701" s="2"/>
    </row>
    <row r="1702" spans="11:12">
      <c r="K1702" s="18"/>
      <c r="L1702" s="2"/>
    </row>
    <row r="1703" spans="11:12">
      <c r="K1703" s="18"/>
      <c r="L1703" s="2"/>
    </row>
    <row r="1704" spans="11:12">
      <c r="K1704" s="18"/>
      <c r="L1704" s="2"/>
    </row>
    <row r="1705" spans="11:12">
      <c r="K1705" s="18"/>
      <c r="L1705" s="2"/>
    </row>
    <row r="1706" spans="11:12">
      <c r="K1706" s="18"/>
      <c r="L1706" s="2"/>
    </row>
    <row r="1707" spans="11:12">
      <c r="K1707" s="18"/>
      <c r="L1707" s="2"/>
    </row>
    <row r="1708" spans="11:12">
      <c r="K1708" s="18"/>
      <c r="L1708" s="2"/>
    </row>
    <row r="1709" spans="11:12">
      <c r="K1709" s="18"/>
      <c r="L1709" s="2"/>
    </row>
    <row r="1710" spans="11:12">
      <c r="K1710" s="18"/>
      <c r="L1710" s="2"/>
    </row>
    <row r="1711" spans="11:12">
      <c r="K1711" s="18"/>
      <c r="L1711" s="2"/>
    </row>
    <row r="1712" spans="11:12">
      <c r="K1712" s="18"/>
      <c r="L1712" s="2"/>
    </row>
    <row r="1713" spans="11:12">
      <c r="K1713" s="18"/>
      <c r="L1713" s="2"/>
    </row>
    <row r="1714" spans="11:12">
      <c r="K1714" s="18"/>
      <c r="L1714" s="2"/>
    </row>
    <row r="1715" spans="11:12">
      <c r="K1715" s="18"/>
      <c r="L1715" s="2"/>
    </row>
    <row r="1716" spans="11:12">
      <c r="K1716" s="18"/>
      <c r="L1716" s="2"/>
    </row>
    <row r="1717" spans="11:12">
      <c r="K1717" s="18"/>
      <c r="L1717" s="2"/>
    </row>
    <row r="1718" spans="11:12">
      <c r="K1718" s="18"/>
      <c r="L1718" s="2"/>
    </row>
    <row r="1719" spans="11:12">
      <c r="K1719" s="18"/>
      <c r="L1719" s="2"/>
    </row>
    <row r="1720" spans="11:12">
      <c r="K1720" s="18"/>
      <c r="L1720" s="2"/>
    </row>
    <row r="1721" spans="11:12">
      <c r="K1721" s="18"/>
      <c r="L1721" s="2"/>
    </row>
    <row r="1722" spans="11:12">
      <c r="K1722" s="18"/>
      <c r="L1722" s="2"/>
    </row>
    <row r="1723" spans="11:12">
      <c r="K1723" s="18"/>
      <c r="L1723" s="2"/>
    </row>
    <row r="1724" spans="11:12">
      <c r="K1724" s="18"/>
      <c r="L1724" s="2"/>
    </row>
    <row r="1725" spans="11:12">
      <c r="K1725" s="18"/>
      <c r="L1725" s="2"/>
    </row>
    <row r="1726" spans="11:12">
      <c r="K1726" s="18"/>
      <c r="L1726" s="2"/>
    </row>
    <row r="1727" spans="11:12">
      <c r="K1727" s="18"/>
      <c r="L1727" s="2"/>
    </row>
    <row r="1728" spans="11:12">
      <c r="K1728" s="18"/>
      <c r="L1728" s="2"/>
    </row>
    <row r="1729" spans="11:12">
      <c r="K1729" s="18"/>
      <c r="L1729" s="2"/>
    </row>
    <row r="1730" spans="11:12">
      <c r="K1730" s="18"/>
      <c r="L1730" s="2"/>
    </row>
    <row r="1731" spans="11:12">
      <c r="K1731" s="18"/>
      <c r="L1731" s="2"/>
    </row>
    <row r="1732" spans="11:12">
      <c r="K1732" s="18"/>
      <c r="L1732" s="2"/>
    </row>
    <row r="1733" spans="11:12">
      <c r="K1733" s="18"/>
      <c r="L1733" s="2"/>
    </row>
    <row r="1734" spans="11:12">
      <c r="K1734" s="18"/>
      <c r="L1734" s="2"/>
    </row>
    <row r="1735" spans="11:12">
      <c r="K1735" s="18"/>
      <c r="L1735" s="2"/>
    </row>
    <row r="1736" spans="11:12">
      <c r="K1736" s="18"/>
      <c r="L1736" s="2"/>
    </row>
    <row r="1737" spans="11:12">
      <c r="K1737" s="18"/>
      <c r="L1737" s="2"/>
    </row>
    <row r="1738" spans="11:12">
      <c r="K1738" s="18"/>
      <c r="L1738" s="2"/>
    </row>
    <row r="1739" spans="11:12">
      <c r="K1739" s="18"/>
      <c r="L1739" s="2"/>
    </row>
    <row r="1740" spans="11:12">
      <c r="K1740" s="18"/>
      <c r="L1740" s="2"/>
    </row>
    <row r="1741" spans="11:12">
      <c r="K1741" s="18"/>
      <c r="L1741" s="2"/>
    </row>
    <row r="1742" spans="11:12">
      <c r="K1742" s="18"/>
      <c r="L1742" s="2"/>
    </row>
    <row r="1743" spans="11:12">
      <c r="K1743" s="18"/>
      <c r="L1743" s="2"/>
    </row>
    <row r="1744" spans="11:12">
      <c r="K1744" s="18"/>
      <c r="L1744" s="2"/>
    </row>
    <row r="1745" spans="11:12">
      <c r="K1745" s="18"/>
      <c r="L1745" s="2"/>
    </row>
    <row r="1746" spans="11:12">
      <c r="K1746" s="18"/>
      <c r="L1746" s="2"/>
    </row>
    <row r="1747" spans="11:12">
      <c r="K1747" s="18"/>
      <c r="L1747" s="2"/>
    </row>
    <row r="1748" spans="11:12">
      <c r="K1748" s="18"/>
      <c r="L1748" s="2"/>
    </row>
    <row r="1749" spans="11:12">
      <c r="K1749" s="18"/>
      <c r="L1749" s="2"/>
    </row>
    <row r="1750" spans="11:12">
      <c r="K1750" s="18"/>
      <c r="L1750" s="2"/>
    </row>
    <row r="1751" spans="11:12">
      <c r="K1751" s="18"/>
      <c r="L1751" s="2"/>
    </row>
    <row r="1752" spans="11:12">
      <c r="K1752" s="18"/>
      <c r="L1752" s="2"/>
    </row>
    <row r="1753" spans="11:12">
      <c r="K1753" s="18"/>
      <c r="L1753" s="2"/>
    </row>
    <row r="1754" spans="11:12">
      <c r="K1754" s="18"/>
      <c r="L1754" s="2"/>
    </row>
    <row r="1755" spans="11:12">
      <c r="K1755" s="18"/>
      <c r="L1755" s="2"/>
    </row>
    <row r="1756" spans="11:12">
      <c r="K1756" s="18"/>
      <c r="L1756" s="2"/>
    </row>
    <row r="1757" spans="11:12">
      <c r="K1757" s="18"/>
      <c r="L1757" s="2"/>
    </row>
    <row r="1758" spans="11:12">
      <c r="K1758" s="18"/>
      <c r="L1758" s="2"/>
    </row>
    <row r="1759" spans="11:12">
      <c r="K1759" s="18"/>
      <c r="L1759" s="2"/>
    </row>
    <row r="1760" spans="11:12">
      <c r="K1760" s="18"/>
      <c r="L1760" s="2"/>
    </row>
    <row r="1761" spans="11:12">
      <c r="K1761" s="18"/>
      <c r="L1761" s="2"/>
    </row>
    <row r="1762" spans="11:12">
      <c r="K1762" s="18"/>
      <c r="L1762" s="2"/>
    </row>
    <row r="1763" spans="11:12">
      <c r="K1763" s="18"/>
      <c r="L1763" s="2"/>
    </row>
    <row r="1764" spans="11:12">
      <c r="K1764" s="18"/>
      <c r="L1764" s="2"/>
    </row>
    <row r="1765" spans="11:12">
      <c r="K1765" s="18"/>
      <c r="L1765" s="2"/>
    </row>
    <row r="1766" spans="11:12">
      <c r="K1766" s="18"/>
      <c r="L1766" s="2"/>
    </row>
    <row r="1767" spans="11:12">
      <c r="K1767" s="18"/>
      <c r="L1767" s="2"/>
    </row>
    <row r="1768" spans="11:12">
      <c r="K1768" s="18"/>
      <c r="L1768" s="2"/>
    </row>
    <row r="1769" spans="11:12">
      <c r="K1769" s="18"/>
      <c r="L1769" s="2"/>
    </row>
    <row r="1770" spans="11:12">
      <c r="K1770" s="18"/>
      <c r="L1770" s="2"/>
    </row>
    <row r="1771" spans="11:12">
      <c r="K1771" s="18"/>
      <c r="L1771" s="2"/>
    </row>
    <row r="1772" spans="11:12">
      <c r="K1772" s="18"/>
      <c r="L1772" s="2"/>
    </row>
    <row r="1773" spans="11:12">
      <c r="K1773" s="18"/>
      <c r="L1773" s="2"/>
    </row>
    <row r="1774" spans="11:12">
      <c r="K1774" s="18"/>
      <c r="L1774" s="2"/>
    </row>
    <row r="1775" spans="11:12">
      <c r="K1775" s="18"/>
      <c r="L1775" s="2"/>
    </row>
    <row r="1776" spans="11:12">
      <c r="K1776" s="18"/>
      <c r="L1776" s="2"/>
    </row>
    <row r="1777" spans="11:12">
      <c r="K1777" s="18"/>
      <c r="L1777" s="2"/>
    </row>
    <row r="1778" spans="11:12">
      <c r="K1778" s="18"/>
      <c r="L1778" s="2"/>
    </row>
    <row r="1779" spans="11:12">
      <c r="K1779" s="18"/>
      <c r="L1779" s="2"/>
    </row>
    <row r="1780" spans="11:12">
      <c r="K1780" s="18"/>
      <c r="L1780" s="2"/>
    </row>
    <row r="1781" spans="11:12">
      <c r="K1781" s="18"/>
      <c r="L1781" s="2"/>
    </row>
    <row r="1782" spans="11:12">
      <c r="K1782" s="18"/>
      <c r="L1782" s="2"/>
    </row>
    <row r="1783" spans="11:12">
      <c r="K1783" s="18"/>
      <c r="L1783" s="2"/>
    </row>
    <row r="1784" spans="11:12">
      <c r="K1784" s="18"/>
      <c r="L1784" s="2"/>
    </row>
    <row r="1785" spans="11:12">
      <c r="K1785" s="18"/>
      <c r="L1785" s="2"/>
    </row>
    <row r="1786" spans="11:12">
      <c r="K1786" s="18"/>
      <c r="L1786" s="2"/>
    </row>
    <row r="1787" spans="11:12">
      <c r="K1787" s="18"/>
      <c r="L1787" s="2"/>
    </row>
    <row r="1788" spans="11:12">
      <c r="K1788" s="18"/>
      <c r="L1788" s="2"/>
    </row>
    <row r="1789" spans="11:12">
      <c r="K1789" s="18"/>
      <c r="L1789" s="2"/>
    </row>
    <row r="1790" spans="11:12">
      <c r="K1790" s="18"/>
      <c r="L1790" s="2"/>
    </row>
    <row r="1791" spans="11:12">
      <c r="K1791" s="18"/>
      <c r="L1791" s="2"/>
    </row>
    <row r="1792" spans="11:12">
      <c r="K1792" s="18"/>
      <c r="L1792" s="2"/>
    </row>
    <row r="1793" spans="11:12">
      <c r="K1793" s="18"/>
      <c r="L1793" s="2"/>
    </row>
    <row r="1794" spans="11:12">
      <c r="K1794" s="18"/>
      <c r="L1794" s="2"/>
    </row>
    <row r="1795" spans="11:12">
      <c r="K1795" s="18"/>
      <c r="L1795" s="2"/>
    </row>
    <row r="1796" spans="11:12">
      <c r="K1796" s="18"/>
      <c r="L1796" s="2"/>
    </row>
    <row r="1797" spans="11:12">
      <c r="K1797" s="18"/>
      <c r="L1797" s="2"/>
    </row>
    <row r="1798" spans="11:12">
      <c r="K1798" s="18"/>
      <c r="L1798" s="2"/>
    </row>
    <row r="1799" spans="11:12">
      <c r="K1799" s="18"/>
      <c r="L1799" s="2"/>
    </row>
    <row r="1800" spans="11:12">
      <c r="K1800" s="18"/>
      <c r="L1800" s="2"/>
    </row>
    <row r="1801" spans="11:12">
      <c r="K1801" s="18"/>
      <c r="L1801" s="2"/>
    </row>
    <row r="1802" spans="11:12">
      <c r="K1802" s="18"/>
      <c r="L1802" s="2"/>
    </row>
    <row r="1803" spans="11:12">
      <c r="K1803" s="18"/>
      <c r="L1803" s="2"/>
    </row>
    <row r="1804" spans="11:12">
      <c r="K1804" s="18"/>
      <c r="L1804" s="2"/>
    </row>
    <row r="1805" spans="11:12">
      <c r="K1805" s="18"/>
      <c r="L1805" s="2"/>
    </row>
    <row r="1806" spans="11:12">
      <c r="K1806" s="18"/>
      <c r="L1806" s="2"/>
    </row>
    <row r="1807" spans="11:12">
      <c r="K1807" s="18"/>
      <c r="L1807" s="2"/>
    </row>
    <row r="1808" spans="11:12">
      <c r="K1808" s="18"/>
      <c r="L1808" s="2"/>
    </row>
    <row r="1809" spans="11:12">
      <c r="K1809" s="18"/>
      <c r="L1809" s="2"/>
    </row>
    <row r="1810" spans="11:12">
      <c r="K1810" s="18"/>
      <c r="L1810" s="2"/>
    </row>
    <row r="1811" spans="11:12">
      <c r="K1811" s="18"/>
      <c r="L1811" s="2"/>
    </row>
    <row r="1812" spans="11:12">
      <c r="K1812" s="18"/>
      <c r="L1812" s="2"/>
    </row>
    <row r="1813" spans="11:12">
      <c r="K1813" s="18"/>
      <c r="L1813" s="2"/>
    </row>
    <row r="1814" spans="11:12">
      <c r="K1814" s="18"/>
      <c r="L1814" s="2"/>
    </row>
    <row r="1815" spans="11:12">
      <c r="K1815" s="18"/>
      <c r="L1815" s="2"/>
    </row>
    <row r="1816" spans="11:12">
      <c r="K1816" s="18"/>
      <c r="L1816" s="2"/>
    </row>
    <row r="1817" spans="11:12">
      <c r="K1817" s="18"/>
      <c r="L1817" s="2"/>
    </row>
    <row r="1818" spans="11:12">
      <c r="K1818" s="18"/>
      <c r="L1818" s="2"/>
    </row>
    <row r="1819" spans="11:12">
      <c r="K1819" s="18"/>
      <c r="L1819" s="2"/>
    </row>
    <row r="1820" spans="11:12">
      <c r="K1820" s="18"/>
      <c r="L1820" s="2"/>
    </row>
    <row r="1821" spans="11:12">
      <c r="K1821" s="18"/>
      <c r="L1821" s="2"/>
    </row>
    <row r="1822" spans="11:12">
      <c r="K1822" s="18"/>
      <c r="L1822" s="2"/>
    </row>
    <row r="1823" spans="11:12">
      <c r="K1823" s="18"/>
      <c r="L1823" s="2"/>
    </row>
    <row r="1824" spans="11:12">
      <c r="K1824" s="18"/>
      <c r="L1824" s="2"/>
    </row>
    <row r="1825" spans="11:12">
      <c r="K1825" s="18"/>
      <c r="L1825" s="2"/>
    </row>
    <row r="1826" spans="11:12">
      <c r="K1826" s="18"/>
      <c r="L1826" s="2"/>
    </row>
    <row r="1827" spans="11:12">
      <c r="K1827" s="18"/>
      <c r="L1827" s="2"/>
    </row>
    <row r="1828" spans="11:12">
      <c r="K1828" s="18"/>
      <c r="L1828" s="2"/>
    </row>
    <row r="1829" spans="11:12">
      <c r="K1829" s="18"/>
      <c r="L1829" s="2"/>
    </row>
    <row r="1830" spans="11:12">
      <c r="K1830" s="18"/>
      <c r="L1830" s="2"/>
    </row>
    <row r="1831" spans="11:12">
      <c r="K1831" s="18"/>
      <c r="L1831" s="2"/>
    </row>
    <row r="1832" spans="11:12">
      <c r="K1832" s="18"/>
      <c r="L1832" s="2"/>
    </row>
    <row r="1833" spans="11:12">
      <c r="K1833" s="18"/>
      <c r="L1833" s="2"/>
    </row>
    <row r="1834" spans="11:12">
      <c r="K1834" s="18"/>
      <c r="L1834" s="2"/>
    </row>
    <row r="1835" spans="11:12">
      <c r="K1835" s="18"/>
      <c r="L1835" s="2"/>
    </row>
    <row r="1836" spans="11:12">
      <c r="K1836" s="18"/>
      <c r="L1836" s="2"/>
    </row>
    <row r="1837" spans="11:12">
      <c r="K1837" s="18"/>
      <c r="L1837" s="2"/>
    </row>
    <row r="1838" spans="11:12">
      <c r="K1838" s="18"/>
      <c r="L1838" s="2"/>
    </row>
    <row r="1839" spans="11:12">
      <c r="K1839" s="18"/>
      <c r="L1839" s="2"/>
    </row>
    <row r="1840" spans="11:12">
      <c r="K1840" s="18"/>
      <c r="L1840" s="2"/>
    </row>
    <row r="1841" spans="11:12">
      <c r="K1841" s="18"/>
      <c r="L1841" s="2"/>
    </row>
    <row r="1842" spans="11:12">
      <c r="K1842" s="18"/>
      <c r="L1842" s="2"/>
    </row>
    <row r="1843" spans="11:12">
      <c r="K1843" s="18"/>
      <c r="L1843" s="2"/>
    </row>
    <row r="1844" spans="11:12">
      <c r="K1844" s="18"/>
      <c r="L1844" s="2"/>
    </row>
    <row r="1845" spans="11:12">
      <c r="K1845" s="18"/>
      <c r="L1845" s="2"/>
    </row>
    <row r="1846" spans="11:12">
      <c r="K1846" s="18"/>
      <c r="L1846" s="2"/>
    </row>
    <row r="1847" spans="11:12">
      <c r="K1847" s="18"/>
      <c r="L1847" s="2"/>
    </row>
    <row r="1848" spans="11:12">
      <c r="K1848" s="18"/>
      <c r="L1848" s="2"/>
    </row>
    <row r="1849" spans="11:12">
      <c r="K1849" s="18"/>
      <c r="L1849" s="2"/>
    </row>
    <row r="1850" spans="11:12">
      <c r="K1850" s="18"/>
      <c r="L1850" s="2"/>
    </row>
    <row r="1851" spans="11:12">
      <c r="K1851" s="18"/>
      <c r="L1851" s="2"/>
    </row>
    <row r="1852" spans="11:12">
      <c r="K1852" s="18"/>
      <c r="L1852" s="2"/>
    </row>
    <row r="1853" spans="11:12">
      <c r="K1853" s="18"/>
      <c r="L1853" s="2"/>
    </row>
    <row r="1854" spans="11:12">
      <c r="K1854" s="18"/>
      <c r="L1854" s="2"/>
    </row>
    <row r="1855" spans="11:12">
      <c r="K1855" s="18"/>
      <c r="L1855" s="2"/>
    </row>
    <row r="1856" spans="11:12">
      <c r="K1856" s="18"/>
      <c r="L1856" s="2"/>
    </row>
    <row r="1857" spans="11:12">
      <c r="K1857" s="18"/>
      <c r="L1857" s="2"/>
    </row>
    <row r="1858" spans="11:12">
      <c r="K1858" s="18"/>
      <c r="L1858" s="2"/>
    </row>
    <row r="1859" spans="11:12">
      <c r="K1859" s="18"/>
      <c r="L1859" s="2"/>
    </row>
    <row r="1860" spans="11:12">
      <c r="K1860" s="18"/>
      <c r="L1860" s="2"/>
    </row>
    <row r="1861" spans="11:12">
      <c r="K1861" s="18"/>
      <c r="L1861" s="2"/>
    </row>
    <row r="1862" spans="11:12">
      <c r="K1862" s="18"/>
      <c r="L1862" s="2"/>
    </row>
    <row r="1863" spans="11:12">
      <c r="K1863" s="18"/>
      <c r="L1863" s="2"/>
    </row>
    <row r="1864" spans="11:12">
      <c r="K1864" s="18"/>
      <c r="L1864" s="2"/>
    </row>
    <row r="1865" spans="11:12">
      <c r="K1865" s="18"/>
      <c r="L1865" s="2"/>
    </row>
    <row r="1866" spans="11:12">
      <c r="K1866" s="18"/>
      <c r="L1866" s="2"/>
    </row>
    <row r="1867" spans="11:12">
      <c r="K1867" s="18"/>
      <c r="L1867" s="2"/>
    </row>
    <row r="1868" spans="11:12">
      <c r="K1868" s="18"/>
      <c r="L1868" s="2"/>
    </row>
    <row r="1869" spans="11:12">
      <c r="K1869" s="18"/>
      <c r="L1869" s="2"/>
    </row>
    <row r="1870" spans="11:12">
      <c r="K1870" s="18"/>
      <c r="L1870" s="2"/>
    </row>
    <row r="1871" spans="11:12">
      <c r="K1871" s="18"/>
      <c r="L1871" s="2"/>
    </row>
    <row r="1872" spans="11:12">
      <c r="K1872" s="18"/>
      <c r="L1872" s="2"/>
    </row>
    <row r="1873" spans="11:12">
      <c r="K1873" s="18"/>
      <c r="L1873" s="2"/>
    </row>
    <row r="1874" spans="11:12">
      <c r="K1874" s="18"/>
      <c r="L1874" s="2"/>
    </row>
    <row r="1875" spans="11:12">
      <c r="K1875" s="18"/>
      <c r="L1875" s="2"/>
    </row>
    <row r="1876" spans="11:12">
      <c r="K1876" s="18"/>
      <c r="L1876" s="2"/>
    </row>
    <row r="1877" spans="11:12">
      <c r="K1877" s="18"/>
      <c r="L1877" s="2"/>
    </row>
    <row r="1878" spans="11:12">
      <c r="K1878" s="18"/>
      <c r="L1878" s="2"/>
    </row>
    <row r="1879" spans="11:12">
      <c r="K1879" s="18"/>
      <c r="L1879" s="2"/>
    </row>
    <row r="1880" spans="11:12">
      <c r="K1880" s="18"/>
      <c r="L1880" s="2"/>
    </row>
    <row r="1881" spans="11:12">
      <c r="K1881" s="18"/>
      <c r="L1881" s="2"/>
    </row>
    <row r="1882" spans="11:12">
      <c r="K1882" s="18"/>
      <c r="L1882" s="2"/>
    </row>
    <row r="1883" spans="11:12">
      <c r="K1883" s="18"/>
      <c r="L1883" s="2"/>
    </row>
    <row r="1884" spans="11:12">
      <c r="K1884" s="18"/>
      <c r="L1884" s="2"/>
    </row>
    <row r="1885" spans="11:12">
      <c r="K1885" s="18"/>
      <c r="L1885" s="2"/>
    </row>
    <row r="1886" spans="11:12">
      <c r="K1886" s="18"/>
      <c r="L1886" s="2"/>
    </row>
    <row r="1887" spans="11:12">
      <c r="K1887" s="18"/>
      <c r="L1887" s="2"/>
    </row>
    <row r="1888" spans="11:12">
      <c r="K1888" s="18"/>
      <c r="L1888" s="2"/>
    </row>
    <row r="1889" spans="11:12">
      <c r="K1889" s="18"/>
      <c r="L1889" s="2"/>
    </row>
    <row r="1890" spans="11:12">
      <c r="K1890" s="18"/>
      <c r="L1890" s="2"/>
    </row>
    <row r="1891" spans="11:12">
      <c r="K1891" s="18"/>
      <c r="L1891" s="2"/>
    </row>
    <row r="1892" spans="11:12">
      <c r="K1892" s="18"/>
      <c r="L1892" s="2"/>
    </row>
    <row r="1893" spans="11:12">
      <c r="K1893" s="18"/>
      <c r="L1893" s="2"/>
    </row>
    <row r="1894" spans="11:12">
      <c r="K1894" s="18"/>
      <c r="L1894" s="2"/>
    </row>
    <row r="1895" spans="11:12">
      <c r="K1895" s="18"/>
      <c r="L1895" s="2"/>
    </row>
    <row r="1896" spans="11:12">
      <c r="K1896" s="18"/>
      <c r="L1896" s="2"/>
    </row>
    <row r="1897" spans="11:12">
      <c r="K1897" s="18"/>
      <c r="L1897" s="2"/>
    </row>
    <row r="1898" spans="11:12">
      <c r="K1898" s="18"/>
      <c r="L1898" s="2"/>
    </row>
    <row r="1899" spans="11:12">
      <c r="K1899" s="18"/>
      <c r="L1899" s="2"/>
    </row>
    <row r="1900" spans="11:12">
      <c r="K1900" s="18"/>
      <c r="L1900" s="2"/>
    </row>
    <row r="1901" spans="11:12">
      <c r="K1901" s="18"/>
      <c r="L1901" s="2"/>
    </row>
    <row r="1902" spans="11:12">
      <c r="K1902" s="18"/>
      <c r="L1902" s="2"/>
    </row>
    <row r="1903" spans="11:12">
      <c r="K1903" s="18"/>
      <c r="L1903" s="2"/>
    </row>
    <row r="1904" spans="11:12">
      <c r="K1904" s="18"/>
      <c r="L1904" s="2"/>
    </row>
    <row r="1905" spans="11:12">
      <c r="K1905" s="18"/>
      <c r="L1905" s="2"/>
    </row>
    <row r="1906" spans="11:12">
      <c r="K1906" s="18"/>
      <c r="L1906" s="2"/>
    </row>
    <row r="1907" spans="11:12">
      <c r="K1907" s="18"/>
      <c r="L1907" s="2"/>
    </row>
    <row r="1908" spans="11:12">
      <c r="K1908" s="18"/>
      <c r="L1908" s="2"/>
    </row>
    <row r="1909" spans="11:12">
      <c r="K1909" s="18"/>
      <c r="L1909" s="2"/>
    </row>
    <row r="1910" spans="11:12">
      <c r="K1910" s="18"/>
      <c r="L1910" s="2"/>
    </row>
    <row r="1911" spans="11:12">
      <c r="K1911" s="18"/>
      <c r="L1911" s="2"/>
    </row>
    <row r="1912" spans="11:12">
      <c r="K1912" s="18"/>
      <c r="L1912" s="2"/>
    </row>
    <row r="1913" spans="11:12">
      <c r="K1913" s="18"/>
      <c r="L1913" s="2"/>
    </row>
    <row r="1914" spans="11:12">
      <c r="K1914" s="18"/>
      <c r="L1914" s="2"/>
    </row>
    <row r="1915" spans="11:12">
      <c r="K1915" s="18"/>
      <c r="L1915" s="2"/>
    </row>
    <row r="1916" spans="11:12">
      <c r="K1916" s="18"/>
      <c r="L1916" s="2"/>
    </row>
    <row r="1917" spans="11:12">
      <c r="K1917" s="18"/>
      <c r="L1917" s="2"/>
    </row>
    <row r="1918" spans="11:12">
      <c r="K1918" s="18"/>
      <c r="L1918" s="2"/>
    </row>
    <row r="1919" spans="11:12">
      <c r="K1919" s="18"/>
      <c r="L1919" s="2"/>
    </row>
    <row r="1920" spans="11:12">
      <c r="K1920" s="18"/>
      <c r="L1920" s="2"/>
    </row>
    <row r="1921" spans="11:12">
      <c r="K1921" s="18"/>
      <c r="L1921" s="2"/>
    </row>
    <row r="1922" spans="11:12">
      <c r="K1922" s="18"/>
      <c r="L1922" s="2"/>
    </row>
    <row r="1923" spans="11:12">
      <c r="K1923" s="18"/>
      <c r="L1923" s="2"/>
    </row>
    <row r="1924" spans="11:12">
      <c r="K1924" s="18"/>
      <c r="L1924" s="2"/>
    </row>
    <row r="1925" spans="11:12">
      <c r="K1925" s="18"/>
      <c r="L1925" s="2"/>
    </row>
    <row r="1926" spans="11:12">
      <c r="K1926" s="18"/>
      <c r="L1926" s="2"/>
    </row>
    <row r="1927" spans="11:12">
      <c r="K1927" s="18"/>
      <c r="L1927" s="2"/>
    </row>
    <row r="1928" spans="11:12">
      <c r="K1928" s="18"/>
      <c r="L1928" s="2"/>
    </row>
    <row r="1929" spans="11:12">
      <c r="K1929" s="18"/>
      <c r="L1929" s="2"/>
    </row>
    <row r="1930" spans="11:12">
      <c r="K1930" s="18"/>
      <c r="L1930" s="2"/>
    </row>
    <row r="1931" spans="11:12">
      <c r="K1931" s="18"/>
      <c r="L1931" s="2"/>
    </row>
    <row r="1932" spans="11:12">
      <c r="K1932" s="18"/>
      <c r="L1932" s="2"/>
    </row>
    <row r="1933" spans="11:12">
      <c r="K1933" s="18"/>
      <c r="L1933" s="2"/>
    </row>
    <row r="1934" spans="11:12">
      <c r="K1934" s="18"/>
      <c r="L1934" s="2"/>
    </row>
    <row r="1935" spans="11:12">
      <c r="K1935" s="18"/>
      <c r="L1935" s="2"/>
    </row>
    <row r="1936" spans="11:12">
      <c r="K1936" s="18"/>
      <c r="L1936" s="2"/>
    </row>
    <row r="1937" spans="11:12">
      <c r="K1937" s="18"/>
      <c r="L1937" s="2"/>
    </row>
    <row r="1938" spans="11:12">
      <c r="K1938" s="18"/>
      <c r="L1938" s="2"/>
    </row>
    <row r="1939" spans="11:12">
      <c r="K1939" s="18"/>
      <c r="L1939" s="2"/>
    </row>
    <row r="1940" spans="11:12">
      <c r="K1940" s="18"/>
      <c r="L1940" s="2"/>
    </row>
    <row r="1941" spans="11:12">
      <c r="K1941" s="18"/>
      <c r="L1941" s="2"/>
    </row>
    <row r="1942" spans="11:12">
      <c r="K1942" s="18"/>
      <c r="L1942" s="2"/>
    </row>
    <row r="1943" spans="11:12">
      <c r="K1943" s="18"/>
      <c r="L1943" s="2"/>
    </row>
    <row r="1944" spans="11:12">
      <c r="K1944" s="18"/>
      <c r="L1944" s="2"/>
    </row>
    <row r="1945" spans="11:12">
      <c r="K1945" s="18"/>
      <c r="L1945" s="2"/>
    </row>
    <row r="1946" spans="11:12">
      <c r="K1946" s="18"/>
      <c r="L1946" s="2"/>
    </row>
    <row r="1947" spans="11:12">
      <c r="K1947" s="18"/>
      <c r="L1947" s="2"/>
    </row>
    <row r="1948" spans="11:12">
      <c r="K1948" s="18"/>
      <c r="L1948" s="2"/>
    </row>
    <row r="1949" spans="11:12">
      <c r="K1949" s="18"/>
      <c r="L1949" s="2"/>
    </row>
    <row r="1950" spans="11:12">
      <c r="K1950" s="18"/>
      <c r="L1950" s="2"/>
    </row>
    <row r="1951" spans="11:12">
      <c r="K1951" s="18"/>
      <c r="L1951" s="2"/>
    </row>
    <row r="1952" spans="11:12">
      <c r="K1952" s="18"/>
      <c r="L1952" s="2"/>
    </row>
    <row r="1953" spans="11:12">
      <c r="K1953" s="18"/>
      <c r="L1953" s="2"/>
    </row>
    <row r="1954" spans="11:12">
      <c r="K1954" s="18"/>
      <c r="L1954" s="2"/>
    </row>
    <row r="1955" spans="11:12">
      <c r="K1955" s="18"/>
      <c r="L1955" s="2"/>
    </row>
    <row r="1956" spans="11:12">
      <c r="K1956" s="18"/>
      <c r="L1956" s="2"/>
    </row>
    <row r="1957" spans="11:12">
      <c r="K1957" s="18"/>
      <c r="L1957" s="2"/>
    </row>
    <row r="1958" spans="11:12">
      <c r="K1958" s="18"/>
      <c r="L1958" s="2"/>
    </row>
    <row r="1959" spans="11:12">
      <c r="K1959" s="18"/>
      <c r="L1959" s="2"/>
    </row>
    <row r="1960" spans="11:12">
      <c r="K1960" s="18"/>
      <c r="L1960" s="2"/>
    </row>
    <row r="1961" spans="11:12">
      <c r="K1961" s="18"/>
      <c r="L1961" s="2"/>
    </row>
    <row r="1962" spans="11:12">
      <c r="K1962" s="18"/>
      <c r="L1962" s="2"/>
    </row>
    <row r="1963" spans="11:12">
      <c r="K1963" s="18"/>
      <c r="L1963" s="2"/>
    </row>
    <row r="1964" spans="11:12">
      <c r="K1964" s="18"/>
      <c r="L1964" s="2"/>
    </row>
    <row r="1965" spans="11:12">
      <c r="K1965" s="18"/>
      <c r="L1965" s="2"/>
    </row>
    <row r="1966" spans="11:12">
      <c r="K1966" s="18"/>
      <c r="L1966" s="2"/>
    </row>
    <row r="1967" spans="11:12">
      <c r="K1967" s="18"/>
      <c r="L1967" s="2"/>
    </row>
    <row r="1968" spans="11:12">
      <c r="K1968" s="18"/>
      <c r="L1968" s="2"/>
    </row>
    <row r="1969" spans="11:12">
      <c r="K1969" s="18"/>
      <c r="L1969" s="2"/>
    </row>
    <row r="1970" spans="11:12">
      <c r="K1970" s="18"/>
      <c r="L1970" s="2"/>
    </row>
    <row r="1971" spans="11:12">
      <c r="K1971" s="18"/>
      <c r="L1971" s="2"/>
    </row>
    <row r="1972" spans="11:12">
      <c r="K1972" s="18"/>
      <c r="L1972" s="2"/>
    </row>
    <row r="1973" spans="11:12">
      <c r="K1973" s="18"/>
      <c r="L1973" s="2"/>
    </row>
    <row r="1974" spans="11:12">
      <c r="K1974" s="18"/>
      <c r="L1974" s="2"/>
    </row>
    <row r="1975" spans="11:12">
      <c r="K1975" s="18"/>
      <c r="L1975" s="2"/>
    </row>
    <row r="1976" spans="11:12">
      <c r="K1976" s="18"/>
      <c r="L1976" s="2"/>
    </row>
    <row r="1977" spans="11:12">
      <c r="K1977" s="18"/>
      <c r="L1977" s="2"/>
    </row>
    <row r="1978" spans="11:12">
      <c r="K1978" s="18"/>
      <c r="L1978" s="2"/>
    </row>
    <row r="1979" spans="11:12">
      <c r="K1979" s="18"/>
      <c r="L1979" s="2"/>
    </row>
    <row r="1980" spans="11:12">
      <c r="K1980" s="18"/>
      <c r="L1980" s="2"/>
    </row>
    <row r="1981" spans="11:12">
      <c r="K1981" s="18"/>
      <c r="L1981" s="2"/>
    </row>
    <row r="1982" spans="11:12">
      <c r="K1982" s="18"/>
      <c r="L1982" s="2"/>
    </row>
    <row r="1983" spans="11:12">
      <c r="K1983" s="18"/>
      <c r="L1983" s="2"/>
    </row>
    <row r="1984" spans="11:12">
      <c r="K1984" s="18"/>
      <c r="L1984" s="2"/>
    </row>
    <row r="1985" spans="11:12">
      <c r="K1985" s="18"/>
      <c r="L1985" s="2"/>
    </row>
    <row r="1986" spans="11:12">
      <c r="K1986" s="18"/>
      <c r="L1986" s="2"/>
    </row>
    <row r="1987" spans="11:12">
      <c r="K1987" s="18"/>
      <c r="L1987" s="2"/>
    </row>
    <row r="1988" spans="11:12">
      <c r="K1988" s="18"/>
      <c r="L1988" s="2"/>
    </row>
    <row r="1989" spans="11:12">
      <c r="K1989" s="18"/>
      <c r="L1989" s="2"/>
    </row>
    <row r="1990" spans="11:12">
      <c r="K1990" s="18"/>
      <c r="L1990" s="2"/>
    </row>
    <row r="1991" spans="11:12">
      <c r="K1991" s="18"/>
      <c r="L1991" s="2"/>
    </row>
    <row r="1992" spans="11:12">
      <c r="K1992" s="18"/>
      <c r="L1992" s="2"/>
    </row>
    <row r="1993" spans="11:12">
      <c r="K1993" s="18"/>
      <c r="L1993" s="2"/>
    </row>
    <row r="1994" spans="11:12">
      <c r="K1994" s="18"/>
      <c r="L1994" s="2"/>
    </row>
    <row r="1995" spans="11:12">
      <c r="K1995" s="18"/>
      <c r="L1995" s="2"/>
    </row>
    <row r="1996" spans="11:12">
      <c r="K1996" s="18"/>
      <c r="L1996" s="2"/>
    </row>
    <row r="1997" spans="11:12">
      <c r="K1997" s="18"/>
      <c r="L1997" s="2"/>
    </row>
    <row r="1998" spans="11:12">
      <c r="K1998" s="18"/>
      <c r="L1998" s="2"/>
    </row>
    <row r="1999" spans="11:12">
      <c r="K1999" s="18"/>
      <c r="L1999" s="2"/>
    </row>
    <row r="2000" spans="11:12">
      <c r="K2000" s="18"/>
      <c r="L2000" s="2"/>
    </row>
    <row r="2001" spans="11:12">
      <c r="K2001" s="18"/>
      <c r="L2001" s="2"/>
    </row>
    <row r="2002" spans="11:12">
      <c r="K2002" s="18"/>
      <c r="L2002" s="2"/>
    </row>
    <row r="2003" spans="11:12">
      <c r="K2003" s="18"/>
      <c r="L2003" s="2"/>
    </row>
    <row r="2004" spans="11:12">
      <c r="K2004" s="18"/>
      <c r="L2004" s="2"/>
    </row>
    <row r="2005" spans="11:12">
      <c r="K2005" s="18"/>
      <c r="L2005" s="2"/>
    </row>
    <row r="2006" spans="11:12">
      <c r="K2006" s="18"/>
      <c r="L2006" s="2"/>
    </row>
    <row r="2007" spans="11:12">
      <c r="K2007" s="18"/>
      <c r="L2007" s="2"/>
    </row>
    <row r="2008" spans="11:12">
      <c r="K2008" s="18"/>
      <c r="L2008" s="2"/>
    </row>
    <row r="2009" spans="11:12">
      <c r="K2009" s="18"/>
      <c r="L2009" s="2"/>
    </row>
    <row r="2010" spans="11:12">
      <c r="K2010" s="18"/>
      <c r="L2010" s="2"/>
    </row>
    <row r="2011" spans="11:12">
      <c r="K2011" s="18"/>
      <c r="L2011" s="2"/>
    </row>
    <row r="2012" spans="11:12">
      <c r="K2012" s="18"/>
      <c r="L2012" s="2"/>
    </row>
    <row r="2013" spans="11:12">
      <c r="K2013" s="18"/>
      <c r="L2013" s="2"/>
    </row>
    <row r="2014" spans="11:12">
      <c r="K2014" s="18"/>
      <c r="L2014" s="2"/>
    </row>
    <row r="2015" spans="11:12">
      <c r="K2015" s="18"/>
      <c r="L2015" s="2"/>
    </row>
    <row r="2016" spans="11:12">
      <c r="K2016" s="18"/>
      <c r="L2016" s="2"/>
    </row>
    <row r="2017" spans="11:12">
      <c r="K2017" s="18"/>
      <c r="L2017" s="2"/>
    </row>
    <row r="2018" spans="11:12">
      <c r="K2018" s="18"/>
      <c r="L2018" s="2"/>
    </row>
    <row r="2019" spans="11:12">
      <c r="K2019" s="18"/>
      <c r="L2019" s="2"/>
    </row>
    <row r="2020" spans="11:12">
      <c r="K2020" s="18"/>
      <c r="L2020" s="2"/>
    </row>
    <row r="2021" spans="11:12">
      <c r="K2021" s="18"/>
      <c r="L2021" s="2"/>
    </row>
    <row r="2022" spans="11:12">
      <c r="K2022" s="18"/>
      <c r="L2022" s="2"/>
    </row>
    <row r="2023" spans="11:12">
      <c r="K2023" s="18"/>
      <c r="L2023" s="2"/>
    </row>
    <row r="2024" spans="11:12">
      <c r="K2024" s="18"/>
      <c r="L2024" s="2"/>
    </row>
    <row r="2025" spans="11:12">
      <c r="K2025" s="18"/>
      <c r="L2025" s="2"/>
    </row>
    <row r="2026" spans="11:12">
      <c r="K2026" s="18"/>
      <c r="L2026" s="2"/>
    </row>
    <row r="2027" spans="11:12">
      <c r="K2027" s="18"/>
      <c r="L2027" s="2"/>
    </row>
    <row r="2028" spans="11:12">
      <c r="K2028" s="18"/>
      <c r="L2028" s="2"/>
    </row>
    <row r="2029" spans="11:12">
      <c r="K2029" s="18"/>
      <c r="L2029" s="2"/>
    </row>
    <row r="2030" spans="11:12">
      <c r="K2030" s="18"/>
      <c r="L2030" s="2"/>
    </row>
    <row r="2031" spans="11:12">
      <c r="K2031" s="18"/>
      <c r="L2031" s="2"/>
    </row>
    <row r="2032" spans="11:12">
      <c r="K2032" s="18"/>
      <c r="L2032" s="2"/>
    </row>
    <row r="2033" spans="11:12">
      <c r="K2033" s="18"/>
      <c r="L2033" s="2"/>
    </row>
    <row r="2034" spans="11:12">
      <c r="K2034" s="18"/>
      <c r="L2034" s="2"/>
    </row>
    <row r="2035" spans="11:12">
      <c r="K2035" s="18"/>
      <c r="L2035" s="2"/>
    </row>
    <row r="2036" spans="11:12">
      <c r="K2036" s="18"/>
      <c r="L2036" s="2"/>
    </row>
    <row r="2037" spans="11:12">
      <c r="K2037" s="18"/>
      <c r="L2037" s="2"/>
    </row>
    <row r="2038" spans="11:12">
      <c r="K2038" s="18"/>
      <c r="L2038" s="2"/>
    </row>
    <row r="2039" spans="11:12">
      <c r="K2039" s="18"/>
      <c r="L2039" s="2"/>
    </row>
    <row r="2040" spans="11:12">
      <c r="K2040" s="18"/>
      <c r="L2040" s="2"/>
    </row>
    <row r="2041" spans="11:12">
      <c r="K2041" s="18"/>
      <c r="L2041" s="2"/>
    </row>
    <row r="2042" spans="11:12">
      <c r="K2042" s="18"/>
      <c r="L2042" s="2"/>
    </row>
    <row r="2043" spans="11:12">
      <c r="K2043" s="18"/>
      <c r="L2043" s="2"/>
    </row>
    <row r="2044" spans="11:12">
      <c r="K2044" s="18"/>
      <c r="L2044" s="2"/>
    </row>
    <row r="2045" spans="11:12">
      <c r="K2045" s="18"/>
      <c r="L2045" s="2"/>
    </row>
    <row r="2046" spans="11:12">
      <c r="K2046" s="18"/>
      <c r="L2046" s="2"/>
    </row>
    <row r="2047" spans="11:12">
      <c r="K2047" s="18"/>
      <c r="L2047" s="2"/>
    </row>
    <row r="2048" spans="11:12">
      <c r="K2048" s="18"/>
      <c r="L2048" s="2"/>
    </row>
    <row r="2049" spans="11:12">
      <c r="K2049" s="18"/>
      <c r="L2049" s="2"/>
    </row>
    <row r="2050" spans="11:12">
      <c r="K2050" s="18"/>
      <c r="L2050" s="2"/>
    </row>
    <row r="2051" spans="11:12">
      <c r="K2051" s="18"/>
      <c r="L2051" s="2"/>
    </row>
    <row r="2052" spans="11:12">
      <c r="K2052" s="18"/>
      <c r="L2052" s="2"/>
    </row>
    <row r="2053" spans="11:12">
      <c r="K2053" s="18"/>
      <c r="L2053" s="2"/>
    </row>
    <row r="2054" spans="11:12">
      <c r="K2054" s="18"/>
      <c r="L2054" s="2"/>
    </row>
    <row r="2055" spans="11:12">
      <c r="K2055" s="18"/>
      <c r="L2055" s="2"/>
    </row>
    <row r="2056" spans="11:12">
      <c r="K2056" s="18"/>
      <c r="L2056" s="2"/>
    </row>
    <row r="2057" spans="11:12">
      <c r="K2057" s="18"/>
      <c r="L2057" s="2"/>
    </row>
    <row r="2058" spans="11:12">
      <c r="K2058" s="18"/>
      <c r="L2058" s="2"/>
    </row>
    <row r="2059" spans="11:12">
      <c r="K2059" s="18"/>
      <c r="L2059" s="2"/>
    </row>
    <row r="2060" spans="11:12">
      <c r="K2060" s="18"/>
      <c r="L2060" s="2"/>
    </row>
    <row r="2061" spans="11:12">
      <c r="K2061" s="18"/>
      <c r="L2061" s="2"/>
    </row>
    <row r="2062" spans="11:12">
      <c r="K2062" s="18"/>
      <c r="L2062" s="2"/>
    </row>
    <row r="2063" spans="11:12">
      <c r="K2063" s="18"/>
      <c r="L2063" s="2"/>
    </row>
    <row r="2064" spans="11:12">
      <c r="K2064" s="18"/>
      <c r="L2064" s="2"/>
    </row>
    <row r="2065" spans="11:12">
      <c r="K2065" s="18"/>
      <c r="L2065" s="2"/>
    </row>
    <row r="2066" spans="11:12">
      <c r="K2066" s="18"/>
      <c r="L2066" s="2"/>
    </row>
    <row r="2067" spans="11:12">
      <c r="K2067" s="18"/>
      <c r="L2067" s="2"/>
    </row>
    <row r="2068" spans="11:12">
      <c r="K2068" s="18"/>
      <c r="L2068" s="2"/>
    </row>
    <row r="2069" spans="11:12">
      <c r="K2069" s="18"/>
      <c r="L2069" s="2"/>
    </row>
    <row r="2070" spans="11:12">
      <c r="K2070" s="18"/>
      <c r="L2070" s="2"/>
    </row>
    <row r="2071" spans="11:12">
      <c r="K2071" s="18"/>
      <c r="L2071" s="2"/>
    </row>
    <row r="2072" spans="11:12">
      <c r="K2072" s="18"/>
      <c r="L2072" s="2"/>
    </row>
    <row r="2073" spans="11:12">
      <c r="K2073" s="18"/>
      <c r="L2073" s="2"/>
    </row>
    <row r="2074" spans="11:12">
      <c r="K2074" s="18"/>
      <c r="L2074" s="2"/>
    </row>
    <row r="2075" spans="11:12">
      <c r="K2075" s="18"/>
      <c r="L2075" s="2"/>
    </row>
    <row r="2076" spans="11:12">
      <c r="K2076" s="18"/>
      <c r="L2076" s="2"/>
    </row>
    <row r="2077" spans="11:12">
      <c r="K2077" s="18"/>
      <c r="L2077" s="2"/>
    </row>
    <row r="2078" spans="11:12">
      <c r="K2078" s="18"/>
      <c r="L2078" s="2"/>
    </row>
    <row r="2079" spans="11:12">
      <c r="K2079" s="18"/>
      <c r="L2079" s="2"/>
    </row>
    <row r="2080" spans="11:12">
      <c r="K2080" s="18"/>
      <c r="L2080" s="2"/>
    </row>
    <row r="2081" spans="11:12">
      <c r="K2081" s="18"/>
      <c r="L2081" s="2"/>
    </row>
    <row r="2082" spans="11:12">
      <c r="K2082" s="18"/>
      <c r="L2082" s="2"/>
    </row>
    <row r="2083" spans="11:12">
      <c r="K2083" s="18"/>
      <c r="L2083" s="2"/>
    </row>
    <row r="2084" spans="11:12">
      <c r="K2084" s="18"/>
      <c r="L2084" s="2"/>
    </row>
    <row r="2085" spans="11:12">
      <c r="K2085" s="18"/>
      <c r="L2085" s="2"/>
    </row>
    <row r="2086" spans="11:12">
      <c r="K2086" s="18"/>
      <c r="L2086" s="2"/>
    </row>
    <row r="2087" spans="11:12">
      <c r="K2087" s="18"/>
      <c r="L2087" s="2"/>
    </row>
    <row r="2088" spans="11:12">
      <c r="K2088" s="18"/>
      <c r="L2088" s="2"/>
    </row>
    <row r="2089" spans="11:12">
      <c r="K2089" s="18"/>
      <c r="L2089" s="2"/>
    </row>
    <row r="2090" spans="11:12">
      <c r="K2090" s="18"/>
      <c r="L2090" s="2"/>
    </row>
    <row r="2091" spans="11:12">
      <c r="K2091" s="18"/>
      <c r="L2091" s="2"/>
    </row>
    <row r="2092" spans="11:12">
      <c r="K2092" s="18"/>
      <c r="L2092" s="2"/>
    </row>
    <row r="2093" spans="11:12">
      <c r="K2093" s="18"/>
      <c r="L2093" s="2"/>
    </row>
    <row r="2094" spans="11:12">
      <c r="K2094" s="18"/>
      <c r="L2094" s="2"/>
    </row>
    <row r="2095" spans="11:12">
      <c r="K2095" s="18"/>
      <c r="L2095" s="2"/>
    </row>
    <row r="2096" spans="11:12">
      <c r="K2096" s="18"/>
      <c r="L2096" s="2"/>
    </row>
    <row r="2097" spans="11:12">
      <c r="K2097" s="18"/>
      <c r="L2097" s="2"/>
    </row>
    <row r="2098" spans="11:12">
      <c r="K2098" s="18"/>
      <c r="L2098" s="2"/>
    </row>
    <row r="2099" spans="11:12">
      <c r="K2099" s="18"/>
      <c r="L2099" s="2"/>
    </row>
    <row r="2100" spans="11:12">
      <c r="K2100" s="18"/>
      <c r="L2100" s="2"/>
    </row>
    <row r="2101" spans="11:12">
      <c r="K2101" s="18"/>
      <c r="L2101" s="2"/>
    </row>
    <row r="2102" spans="11:12">
      <c r="K2102" s="18"/>
      <c r="L2102" s="2"/>
    </row>
    <row r="2103" spans="11:12">
      <c r="K2103" s="18"/>
      <c r="L2103" s="2"/>
    </row>
    <row r="2104" spans="11:12">
      <c r="K2104" s="18"/>
      <c r="L2104" s="2"/>
    </row>
    <row r="2105" spans="11:12">
      <c r="K2105" s="18"/>
      <c r="L2105" s="2"/>
    </row>
    <row r="2106" spans="11:12">
      <c r="K2106" s="18"/>
      <c r="L2106" s="2"/>
    </row>
    <row r="2107" spans="11:12">
      <c r="K2107" s="18"/>
      <c r="L2107" s="2"/>
    </row>
    <row r="2108" spans="11:12">
      <c r="K2108" s="18"/>
      <c r="L2108" s="2"/>
    </row>
    <row r="2109" spans="11:12">
      <c r="K2109" s="18"/>
      <c r="L2109" s="2"/>
    </row>
    <row r="2110" spans="11:12">
      <c r="K2110" s="18"/>
      <c r="L2110" s="2"/>
    </row>
    <row r="2111" spans="11:12">
      <c r="K2111" s="18"/>
      <c r="L2111" s="2"/>
    </row>
    <row r="2112" spans="11:12">
      <c r="K2112" s="18"/>
      <c r="L2112" s="2"/>
    </row>
    <row r="2113" spans="11:12">
      <c r="K2113" s="18"/>
      <c r="L2113" s="2"/>
    </row>
    <row r="2114" spans="11:12">
      <c r="K2114" s="18"/>
      <c r="L2114" s="2"/>
    </row>
    <row r="2115" spans="11:12">
      <c r="K2115" s="18"/>
      <c r="L2115" s="2"/>
    </row>
    <row r="2116" spans="11:12">
      <c r="K2116" s="18"/>
      <c r="L2116" s="2"/>
    </row>
    <row r="2117" spans="11:12">
      <c r="K2117" s="18"/>
      <c r="L2117" s="2"/>
    </row>
    <row r="2118" spans="11:12">
      <c r="K2118" s="18"/>
      <c r="L2118" s="2"/>
    </row>
    <row r="2119" spans="11:12">
      <c r="K2119" s="18"/>
      <c r="L2119" s="2"/>
    </row>
    <row r="2120" spans="11:12">
      <c r="K2120" s="18"/>
      <c r="L2120" s="2"/>
    </row>
    <row r="2121" spans="11:12">
      <c r="K2121" s="18"/>
      <c r="L2121" s="2"/>
    </row>
    <row r="2122" spans="11:12">
      <c r="K2122" s="18"/>
      <c r="L2122" s="2"/>
    </row>
    <row r="2123" spans="11:12">
      <c r="K2123" s="18"/>
      <c r="L2123" s="2"/>
    </row>
    <row r="2124" spans="11:12">
      <c r="K2124" s="18"/>
      <c r="L2124" s="2"/>
    </row>
    <row r="2125" spans="11:12">
      <c r="K2125" s="18"/>
      <c r="L2125" s="2"/>
    </row>
    <row r="2126" spans="11:12">
      <c r="K2126" s="18"/>
      <c r="L2126" s="2"/>
    </row>
    <row r="2127" spans="11:12">
      <c r="K2127" s="18"/>
      <c r="L2127" s="2"/>
    </row>
    <row r="2128" spans="11:12">
      <c r="K2128" s="18"/>
      <c r="L2128" s="2"/>
    </row>
    <row r="2129" spans="11:12">
      <c r="K2129" s="18"/>
      <c r="L2129" s="2"/>
    </row>
    <row r="2130" spans="11:12">
      <c r="K2130" s="18"/>
      <c r="L2130" s="2"/>
    </row>
    <row r="2131" spans="11:12">
      <c r="K2131" s="18"/>
      <c r="L2131" s="2"/>
    </row>
    <row r="2132" spans="11:12">
      <c r="K2132" s="18"/>
      <c r="L2132" s="2"/>
    </row>
    <row r="2133" spans="11:12">
      <c r="K2133" s="18"/>
      <c r="L2133" s="2"/>
    </row>
    <row r="2134" spans="11:12">
      <c r="K2134" s="18"/>
      <c r="L2134" s="2"/>
    </row>
    <row r="2135" spans="11:12">
      <c r="K2135" s="18"/>
      <c r="L2135" s="2"/>
    </row>
    <row r="2136" spans="11:12">
      <c r="K2136" s="18"/>
      <c r="L2136" s="2"/>
    </row>
    <row r="2137" spans="11:12">
      <c r="K2137" s="18"/>
      <c r="L2137" s="2"/>
    </row>
    <row r="2138" spans="11:12">
      <c r="K2138" s="18"/>
      <c r="L2138" s="2"/>
    </row>
    <row r="2139" spans="11:12">
      <c r="K2139" s="18"/>
      <c r="L2139" s="2"/>
    </row>
    <row r="2140" spans="11:12">
      <c r="K2140" s="18"/>
      <c r="L2140" s="2"/>
    </row>
    <row r="2141" spans="11:12">
      <c r="K2141" s="18"/>
      <c r="L2141" s="2"/>
    </row>
    <row r="2142" spans="11:12">
      <c r="K2142" s="18"/>
      <c r="L2142" s="2"/>
    </row>
    <row r="2143" spans="11:12">
      <c r="K2143" s="18"/>
      <c r="L2143" s="2"/>
    </row>
    <row r="2144" spans="11:12">
      <c r="K2144" s="18"/>
      <c r="L2144" s="2"/>
    </row>
    <row r="2145" spans="11:12">
      <c r="K2145" s="18"/>
      <c r="L2145" s="2"/>
    </row>
    <row r="2146" spans="11:12">
      <c r="K2146" s="18"/>
      <c r="L2146" s="2"/>
    </row>
    <row r="2147" spans="11:12">
      <c r="K2147" s="18"/>
      <c r="L2147" s="2"/>
    </row>
    <row r="2148" spans="11:12">
      <c r="K2148" s="18"/>
      <c r="L2148" s="2"/>
    </row>
    <row r="2149" spans="11:12">
      <c r="K2149" s="18"/>
      <c r="L2149" s="2"/>
    </row>
    <row r="2150" spans="11:12">
      <c r="K2150" s="18"/>
      <c r="L2150" s="2"/>
    </row>
    <row r="2151" spans="11:12">
      <c r="K2151" s="18"/>
      <c r="L2151" s="2"/>
    </row>
    <row r="2152" spans="11:12">
      <c r="K2152" s="18"/>
      <c r="L2152" s="2"/>
    </row>
    <row r="2153" spans="11:12">
      <c r="K2153" s="18"/>
      <c r="L2153" s="2"/>
    </row>
    <row r="2154" spans="11:12">
      <c r="K2154" s="18"/>
      <c r="L2154" s="2"/>
    </row>
    <row r="2155" spans="11:12">
      <c r="K2155" s="18"/>
      <c r="L2155" s="2"/>
    </row>
    <row r="2156" spans="11:12">
      <c r="K2156" s="18"/>
      <c r="L2156" s="2"/>
    </row>
    <row r="2157" spans="11:12">
      <c r="K2157" s="18"/>
      <c r="L2157" s="2"/>
    </row>
    <row r="2158" spans="11:12">
      <c r="K2158" s="18"/>
      <c r="L2158" s="2"/>
    </row>
    <row r="2159" spans="11:12">
      <c r="K2159" s="18"/>
      <c r="L2159" s="2"/>
    </row>
    <row r="2160" spans="11:12">
      <c r="K2160" s="18"/>
      <c r="L2160" s="2"/>
    </row>
    <row r="2161" spans="11:12">
      <c r="K2161" s="18"/>
      <c r="L2161" s="2"/>
    </row>
    <row r="2162" spans="11:12">
      <c r="K2162" s="18"/>
      <c r="L2162" s="2"/>
    </row>
    <row r="2163" spans="11:12">
      <c r="K2163" s="18"/>
      <c r="L2163" s="2"/>
    </row>
    <row r="2164" spans="11:12">
      <c r="K2164" s="18"/>
      <c r="L2164" s="2"/>
    </row>
    <row r="2165" spans="11:12">
      <c r="K2165" s="18"/>
      <c r="L2165" s="2"/>
    </row>
    <row r="2166" spans="11:12">
      <c r="K2166" s="18"/>
      <c r="L2166" s="2"/>
    </row>
    <row r="2167" spans="11:12">
      <c r="K2167" s="18"/>
      <c r="L2167" s="2"/>
    </row>
    <row r="2168" spans="11:12">
      <c r="K2168" s="18"/>
      <c r="L2168" s="2"/>
    </row>
    <row r="2169" spans="11:12">
      <c r="K2169" s="18"/>
      <c r="L2169" s="2"/>
    </row>
    <row r="2170" spans="11:12">
      <c r="K2170" s="18"/>
      <c r="L2170" s="2"/>
    </row>
    <row r="2171" spans="11:12">
      <c r="K2171" s="18"/>
      <c r="L2171" s="2"/>
    </row>
    <row r="2172" spans="11:12">
      <c r="K2172" s="18"/>
      <c r="L2172" s="2"/>
    </row>
    <row r="2173" spans="11:12">
      <c r="K2173" s="18"/>
      <c r="L2173" s="2"/>
    </row>
    <row r="2174" spans="11:12">
      <c r="K2174" s="18"/>
      <c r="L2174" s="2"/>
    </row>
    <row r="2175" spans="11:12">
      <c r="K2175" s="18"/>
      <c r="L2175" s="2"/>
    </row>
    <row r="2176" spans="11:12">
      <c r="K2176" s="18"/>
      <c r="L2176" s="2"/>
    </row>
    <row r="2177" spans="11:12">
      <c r="K2177" s="18"/>
      <c r="L2177" s="2"/>
    </row>
    <row r="2178" spans="11:12">
      <c r="K2178" s="18"/>
      <c r="L2178" s="2"/>
    </row>
    <row r="2179" spans="11:12">
      <c r="K2179" s="18"/>
      <c r="L2179" s="2"/>
    </row>
    <row r="2180" spans="11:12">
      <c r="K2180" s="18"/>
      <c r="L2180" s="2"/>
    </row>
    <row r="2181" spans="11:12">
      <c r="K2181" s="18"/>
      <c r="L2181" s="2"/>
    </row>
    <row r="2182" spans="11:12">
      <c r="K2182" s="18"/>
      <c r="L2182" s="2"/>
    </row>
    <row r="2183" spans="11:12">
      <c r="K2183" s="18"/>
      <c r="L2183" s="2"/>
    </row>
    <row r="2184" spans="11:12">
      <c r="K2184" s="18"/>
      <c r="L2184" s="2"/>
    </row>
    <row r="2185" spans="11:12">
      <c r="K2185" s="18"/>
      <c r="L2185" s="2"/>
    </row>
    <row r="2186" spans="11:12">
      <c r="K2186" s="18"/>
      <c r="L2186" s="2"/>
    </row>
    <row r="2187" spans="11:12">
      <c r="K2187" s="18"/>
      <c r="L2187" s="2"/>
    </row>
    <row r="2188" spans="11:12">
      <c r="K2188" s="18"/>
      <c r="L2188" s="2"/>
    </row>
    <row r="2189" spans="11:12">
      <c r="K2189" s="18"/>
      <c r="L2189" s="2"/>
    </row>
    <row r="2190" spans="11:12">
      <c r="K2190" s="18"/>
      <c r="L2190" s="2"/>
    </row>
    <row r="2191" spans="11:12">
      <c r="K2191" s="18"/>
      <c r="L2191" s="2"/>
    </row>
    <row r="2192" spans="11:12">
      <c r="K2192" s="18"/>
      <c r="L2192" s="2"/>
    </row>
    <row r="2193" spans="11:12">
      <c r="K2193" s="18"/>
      <c r="L2193" s="2"/>
    </row>
    <row r="2194" spans="11:12">
      <c r="K2194" s="18"/>
      <c r="L2194" s="2"/>
    </row>
    <row r="2195" spans="11:12">
      <c r="K2195" s="18"/>
      <c r="L2195" s="2"/>
    </row>
    <row r="2196" spans="11:12">
      <c r="K2196" s="18"/>
      <c r="L2196" s="2"/>
    </row>
    <row r="2197" spans="11:12">
      <c r="K2197" s="18"/>
      <c r="L2197" s="2"/>
    </row>
    <row r="2198" spans="11:12">
      <c r="K2198" s="18"/>
      <c r="L2198" s="2"/>
    </row>
    <row r="2199" spans="11:12">
      <c r="K2199" s="18"/>
      <c r="L2199" s="2"/>
    </row>
    <row r="2200" spans="11:12">
      <c r="K2200" s="18"/>
      <c r="L2200" s="2"/>
    </row>
    <row r="2201" spans="11:12">
      <c r="K2201" s="18"/>
      <c r="L2201" s="2"/>
    </row>
    <row r="2202" spans="11:12">
      <c r="K2202" s="18"/>
      <c r="L2202" s="2"/>
    </row>
    <row r="2203" spans="11:12">
      <c r="K2203" s="18"/>
      <c r="L2203" s="2"/>
    </row>
    <row r="2204" spans="11:12">
      <c r="K2204" s="18"/>
      <c r="L2204" s="2"/>
    </row>
    <row r="2205" spans="11:12">
      <c r="K2205" s="18"/>
      <c r="L2205" s="2"/>
    </row>
    <row r="2206" spans="11:12">
      <c r="K2206" s="18"/>
      <c r="L2206" s="2"/>
    </row>
    <row r="2207" spans="11:12">
      <c r="K2207" s="18"/>
      <c r="L2207" s="2"/>
    </row>
    <row r="2208" spans="11:12">
      <c r="K2208" s="18"/>
      <c r="L2208" s="2"/>
    </row>
    <row r="2209" spans="11:12">
      <c r="K2209" s="18"/>
      <c r="L2209" s="2"/>
    </row>
    <row r="2210" spans="11:12">
      <c r="K2210" s="18"/>
      <c r="L2210" s="2"/>
    </row>
    <row r="2211" spans="11:12">
      <c r="K2211" s="18"/>
      <c r="L2211" s="2"/>
    </row>
    <row r="2212" spans="11:12">
      <c r="K2212" s="18"/>
      <c r="L2212" s="2"/>
    </row>
    <row r="2213" spans="11:12">
      <c r="K2213" s="18"/>
      <c r="L2213" s="2"/>
    </row>
    <row r="2214" spans="11:12">
      <c r="K2214" s="18"/>
      <c r="L2214" s="2"/>
    </row>
    <row r="2215" spans="11:12">
      <c r="K2215" s="18"/>
      <c r="L2215" s="2"/>
    </row>
    <row r="2216" spans="11:12">
      <c r="K2216" s="18"/>
      <c r="L2216" s="2"/>
    </row>
    <row r="2217" spans="11:12">
      <c r="K2217" s="18"/>
      <c r="L2217" s="2"/>
    </row>
    <row r="2218" spans="11:12">
      <c r="K2218" s="18"/>
      <c r="L2218" s="2"/>
    </row>
    <row r="2219" spans="11:12">
      <c r="K2219" s="18"/>
      <c r="L2219" s="2"/>
    </row>
    <row r="2220" spans="11:12">
      <c r="K2220" s="18"/>
      <c r="L2220" s="2"/>
    </row>
    <row r="2221" spans="11:12">
      <c r="K2221" s="18"/>
      <c r="L2221" s="2"/>
    </row>
    <row r="2222" spans="11:12">
      <c r="K2222" s="18"/>
      <c r="L2222" s="2"/>
    </row>
    <row r="2223" spans="11:12">
      <c r="K2223" s="18"/>
      <c r="L2223" s="2"/>
    </row>
    <row r="2224" spans="11:12">
      <c r="K2224" s="18"/>
      <c r="L2224" s="2"/>
    </row>
    <row r="2225" spans="11:12">
      <c r="K2225" s="18"/>
      <c r="L2225" s="2"/>
    </row>
    <row r="2226" spans="11:12">
      <c r="K2226" s="18"/>
      <c r="L2226" s="2"/>
    </row>
    <row r="2227" spans="11:12">
      <c r="K2227" s="18"/>
      <c r="L2227" s="2"/>
    </row>
    <row r="2228" spans="11:12">
      <c r="K2228" s="18"/>
      <c r="L2228" s="2"/>
    </row>
    <row r="2229" spans="11:12">
      <c r="K2229" s="18"/>
      <c r="L2229" s="2"/>
    </row>
    <row r="2230" spans="11:12">
      <c r="K2230" s="18"/>
      <c r="L2230" s="2"/>
    </row>
    <row r="2231" spans="11:12">
      <c r="K2231" s="18"/>
      <c r="L2231" s="2"/>
    </row>
    <row r="2232" spans="11:12">
      <c r="K2232" s="18"/>
      <c r="L2232" s="2"/>
    </row>
    <row r="2233" spans="11:12">
      <c r="K2233" s="18"/>
      <c r="L2233" s="2"/>
    </row>
    <row r="2234" spans="11:12">
      <c r="K2234" s="18"/>
      <c r="L2234" s="2"/>
    </row>
    <row r="2235" spans="11:12">
      <c r="K2235" s="18"/>
      <c r="L2235" s="2"/>
    </row>
    <row r="2236" spans="11:12">
      <c r="K2236" s="18"/>
      <c r="L2236" s="2"/>
    </row>
    <row r="2237" spans="11:12">
      <c r="K2237" s="18"/>
      <c r="L2237" s="2"/>
    </row>
    <row r="2238" spans="11:12">
      <c r="K2238" s="18"/>
      <c r="L2238" s="2"/>
    </row>
    <row r="2239" spans="11:12">
      <c r="K2239" s="18"/>
      <c r="L2239" s="2"/>
    </row>
    <row r="2240" spans="11:12">
      <c r="K2240" s="18"/>
      <c r="L2240" s="2"/>
    </row>
    <row r="2241" spans="11:12">
      <c r="K2241" s="18"/>
      <c r="L2241" s="2"/>
    </row>
    <row r="2242" spans="11:12">
      <c r="K2242" s="18"/>
      <c r="L2242" s="2"/>
    </row>
    <row r="2243" spans="11:12">
      <c r="K2243" s="18"/>
      <c r="L2243" s="2"/>
    </row>
    <row r="2244" spans="11:12">
      <c r="K2244" s="18"/>
      <c r="L2244" s="2"/>
    </row>
    <row r="2245" spans="11:12">
      <c r="K2245" s="18"/>
      <c r="L2245" s="2"/>
    </row>
    <row r="2246" spans="11:12">
      <c r="K2246" s="18"/>
      <c r="L2246" s="2"/>
    </row>
    <row r="2247" spans="11:12">
      <c r="K2247" s="18"/>
      <c r="L2247" s="2"/>
    </row>
    <row r="2248" spans="11:12">
      <c r="K2248" s="18"/>
      <c r="L2248" s="2"/>
    </row>
    <row r="2249" spans="11:12">
      <c r="K2249" s="18"/>
      <c r="L2249" s="2"/>
    </row>
    <row r="2250" spans="11:12">
      <c r="K2250" s="18"/>
      <c r="L2250" s="2"/>
    </row>
    <row r="2251" spans="11:12">
      <c r="K2251" s="18"/>
      <c r="L2251" s="2"/>
    </row>
    <row r="2252" spans="11:12">
      <c r="K2252" s="18"/>
      <c r="L2252" s="2"/>
    </row>
    <row r="2253" spans="11:12">
      <c r="K2253" s="18"/>
      <c r="L2253" s="2"/>
    </row>
    <row r="2254" spans="11:12">
      <c r="K2254" s="18"/>
      <c r="L2254" s="2"/>
    </row>
    <row r="2255" spans="11:12">
      <c r="K2255" s="18"/>
      <c r="L2255" s="2"/>
    </row>
    <row r="2256" spans="11:12">
      <c r="K2256" s="18"/>
      <c r="L2256" s="2"/>
    </row>
    <row r="2257" spans="11:12">
      <c r="K2257" s="18"/>
      <c r="L2257" s="2"/>
    </row>
    <row r="2258" spans="11:12">
      <c r="K2258" s="18"/>
      <c r="L2258" s="2"/>
    </row>
    <row r="2259" spans="11:12">
      <c r="K2259" s="18"/>
      <c r="L2259" s="2"/>
    </row>
    <row r="2260" spans="11:12">
      <c r="K2260" s="18"/>
      <c r="L2260" s="2"/>
    </row>
    <row r="2261" spans="11:12">
      <c r="K2261" s="18"/>
      <c r="L2261" s="2"/>
    </row>
    <row r="2262" spans="11:12">
      <c r="K2262" s="18"/>
      <c r="L2262" s="2"/>
    </row>
    <row r="2263" spans="11:12">
      <c r="K2263" s="18"/>
      <c r="L2263" s="2"/>
    </row>
    <row r="2264" spans="11:12">
      <c r="K2264" s="18"/>
      <c r="L2264" s="2"/>
    </row>
    <row r="2265" spans="11:12">
      <c r="K2265" s="18"/>
      <c r="L2265" s="2"/>
    </row>
    <row r="2266" spans="11:12">
      <c r="K2266" s="18"/>
      <c r="L2266" s="2"/>
    </row>
    <row r="2267" spans="11:12">
      <c r="K2267" s="18"/>
      <c r="L2267" s="2"/>
    </row>
    <row r="2268" spans="11:12">
      <c r="K2268" s="18"/>
      <c r="L2268" s="2"/>
    </row>
    <row r="2269" spans="11:12">
      <c r="K2269" s="18"/>
      <c r="L2269" s="2"/>
    </row>
    <row r="2270" spans="11:12">
      <c r="K2270" s="18"/>
      <c r="L2270" s="2"/>
    </row>
    <row r="2271" spans="11:12">
      <c r="K2271" s="18"/>
      <c r="L2271" s="2"/>
    </row>
    <row r="2272" spans="11:12">
      <c r="K2272" s="18"/>
      <c r="L2272" s="2"/>
    </row>
    <row r="2273" spans="11:12">
      <c r="K2273" s="18"/>
      <c r="L2273" s="2"/>
    </row>
    <row r="2274" spans="11:12">
      <c r="K2274" s="18"/>
      <c r="L2274" s="2"/>
    </row>
    <row r="2275" spans="11:12">
      <c r="K2275" s="18"/>
      <c r="L2275" s="2"/>
    </row>
    <row r="2276" spans="11:12">
      <c r="K2276" s="18"/>
      <c r="L2276" s="2"/>
    </row>
    <row r="2277" spans="11:12">
      <c r="K2277" s="18"/>
      <c r="L2277" s="2"/>
    </row>
    <row r="2278" spans="11:12">
      <c r="K2278" s="18"/>
      <c r="L2278" s="2"/>
    </row>
    <row r="2279" spans="11:12">
      <c r="K2279" s="18"/>
      <c r="L2279" s="2"/>
    </row>
    <row r="2280" spans="11:12">
      <c r="K2280" s="18"/>
      <c r="L2280" s="2"/>
    </row>
    <row r="2281" spans="11:12">
      <c r="K2281" s="18"/>
      <c r="L2281" s="2"/>
    </row>
    <row r="2282" spans="11:12">
      <c r="K2282" s="18"/>
      <c r="L2282" s="2"/>
    </row>
    <row r="2283" spans="11:12">
      <c r="K2283" s="18"/>
      <c r="L2283" s="2"/>
    </row>
    <row r="2284" spans="11:12">
      <c r="K2284" s="18"/>
      <c r="L2284" s="2"/>
    </row>
    <row r="2285" spans="11:12">
      <c r="K2285" s="18"/>
      <c r="L2285" s="2"/>
    </row>
    <row r="2286" spans="11:12">
      <c r="K2286" s="18"/>
      <c r="L2286" s="2"/>
    </row>
    <row r="2287" spans="11:12">
      <c r="K2287" s="18"/>
      <c r="L2287" s="2"/>
    </row>
    <row r="2288" spans="11:12">
      <c r="K2288" s="18"/>
      <c r="L2288" s="2"/>
    </row>
    <row r="2289" spans="11:12">
      <c r="K2289" s="18"/>
      <c r="L2289" s="2"/>
    </row>
    <row r="2290" spans="11:12">
      <c r="K2290" s="18"/>
      <c r="L2290" s="2"/>
    </row>
    <row r="2291" spans="11:12">
      <c r="K2291" s="18"/>
      <c r="L2291" s="2"/>
    </row>
    <row r="2292" spans="11:12">
      <c r="K2292" s="18"/>
      <c r="L2292" s="2"/>
    </row>
    <row r="2293" spans="11:12">
      <c r="K2293" s="18"/>
      <c r="L2293" s="2"/>
    </row>
    <row r="2294" spans="11:12">
      <c r="K2294" s="18"/>
      <c r="L2294" s="2"/>
    </row>
    <row r="2295" spans="11:12">
      <c r="K2295" s="18"/>
      <c r="L2295" s="2"/>
    </row>
    <row r="2296" spans="11:12">
      <c r="K2296" s="18"/>
      <c r="L2296" s="2"/>
    </row>
    <row r="2297" spans="11:12">
      <c r="K2297" s="18"/>
      <c r="L2297" s="2"/>
    </row>
    <row r="2298" spans="11:12">
      <c r="K2298" s="18"/>
      <c r="L2298" s="2"/>
    </row>
    <row r="2299" spans="11:12">
      <c r="K2299" s="18"/>
      <c r="L2299" s="2"/>
    </row>
    <row r="2300" spans="11:12">
      <c r="K2300" s="18"/>
      <c r="L2300" s="2"/>
    </row>
    <row r="2301" spans="11:12">
      <c r="K2301" s="18"/>
      <c r="L2301" s="2"/>
    </row>
    <row r="2302" spans="11:12">
      <c r="K2302" s="18"/>
      <c r="L2302" s="2"/>
    </row>
    <row r="2303" spans="11:12">
      <c r="K2303" s="18"/>
      <c r="L2303" s="2"/>
    </row>
    <row r="2304" spans="11:12">
      <c r="K2304" s="18"/>
      <c r="L2304" s="2"/>
    </row>
    <row r="2305" spans="11:12">
      <c r="K2305" s="18"/>
      <c r="L2305" s="2"/>
    </row>
    <row r="2306" spans="11:12">
      <c r="K2306" s="18"/>
      <c r="L2306" s="2"/>
    </row>
    <row r="2307" spans="11:12">
      <c r="K2307" s="18"/>
      <c r="L2307" s="2"/>
    </row>
    <row r="2308" spans="11:12">
      <c r="K2308" s="18"/>
      <c r="L2308" s="2"/>
    </row>
    <row r="2309" spans="11:12">
      <c r="K2309" s="18"/>
      <c r="L2309" s="2"/>
    </row>
    <row r="2310" spans="11:12">
      <c r="K2310" s="18"/>
      <c r="L2310" s="2"/>
    </row>
    <row r="2311" spans="11:12">
      <c r="K2311" s="18"/>
      <c r="L2311" s="2"/>
    </row>
    <row r="2312" spans="11:12">
      <c r="K2312" s="18"/>
      <c r="L2312" s="2"/>
    </row>
    <row r="2313" spans="11:12">
      <c r="K2313" s="18"/>
      <c r="L2313" s="2"/>
    </row>
    <row r="2314" spans="11:12">
      <c r="K2314" s="18"/>
      <c r="L2314" s="2"/>
    </row>
    <row r="2315" spans="11:12">
      <c r="K2315" s="18"/>
      <c r="L2315" s="2"/>
    </row>
    <row r="2316" spans="11:12">
      <c r="K2316" s="18"/>
      <c r="L2316" s="2"/>
    </row>
    <row r="2317" spans="11:12">
      <c r="K2317" s="18"/>
      <c r="L2317" s="2"/>
    </row>
    <row r="2318" spans="11:12">
      <c r="K2318" s="18"/>
      <c r="L2318" s="2"/>
    </row>
    <row r="2319" spans="11:12">
      <c r="K2319" s="18"/>
      <c r="L2319" s="2"/>
    </row>
    <row r="2320" spans="11:12">
      <c r="K2320" s="18"/>
      <c r="L2320" s="2"/>
    </row>
    <row r="2321" spans="11:12">
      <c r="K2321" s="18"/>
      <c r="L2321" s="2"/>
    </row>
    <row r="2322" spans="11:12">
      <c r="K2322" s="18"/>
      <c r="L2322" s="2"/>
    </row>
    <row r="2323" spans="11:12">
      <c r="K2323" s="18"/>
      <c r="L2323" s="2"/>
    </row>
    <row r="2324" spans="11:12">
      <c r="K2324" s="18"/>
      <c r="L2324" s="2"/>
    </row>
    <row r="2325" spans="11:12">
      <c r="K2325" s="18"/>
      <c r="L2325" s="2"/>
    </row>
    <row r="2326" spans="11:12">
      <c r="K2326" s="18"/>
      <c r="L2326" s="2"/>
    </row>
    <row r="2327" spans="11:12">
      <c r="K2327" s="18"/>
      <c r="L2327" s="2"/>
    </row>
    <row r="2328" spans="11:12">
      <c r="K2328" s="18"/>
      <c r="L2328" s="2"/>
    </row>
    <row r="2329" spans="11:12">
      <c r="K2329" s="18"/>
      <c r="L2329" s="2"/>
    </row>
    <row r="2330" spans="11:12">
      <c r="K2330" s="18"/>
      <c r="L2330" s="2"/>
    </row>
    <row r="2331" spans="11:12">
      <c r="K2331" s="18"/>
      <c r="L2331" s="2"/>
    </row>
    <row r="2332" spans="11:12">
      <c r="K2332" s="18"/>
      <c r="L2332" s="2"/>
    </row>
    <row r="2333" spans="11:12">
      <c r="K2333" s="18"/>
      <c r="L2333" s="2"/>
    </row>
    <row r="2334" spans="11:12">
      <c r="K2334" s="18"/>
      <c r="L2334" s="2"/>
    </row>
    <row r="2335" spans="11:12">
      <c r="K2335" s="18"/>
      <c r="L2335" s="2"/>
    </row>
    <row r="2336" spans="11:12">
      <c r="K2336" s="18"/>
      <c r="L2336" s="2"/>
    </row>
    <row r="2337" spans="11:12">
      <c r="K2337" s="18"/>
      <c r="L2337" s="2"/>
    </row>
    <row r="2338" spans="11:12">
      <c r="K2338" s="18"/>
      <c r="L2338" s="2"/>
    </row>
    <row r="2339" spans="11:12">
      <c r="K2339" s="18"/>
      <c r="L2339" s="2"/>
    </row>
    <row r="2340" spans="11:12">
      <c r="K2340" s="18"/>
      <c r="L2340" s="2"/>
    </row>
    <row r="2341" spans="11:12">
      <c r="K2341" s="18"/>
      <c r="L2341" s="2"/>
    </row>
    <row r="2342" spans="11:12">
      <c r="K2342" s="18"/>
      <c r="L2342" s="2"/>
    </row>
    <row r="2343" spans="11:12">
      <c r="K2343" s="18"/>
      <c r="L2343" s="2"/>
    </row>
    <row r="2344" spans="11:12">
      <c r="K2344" s="18"/>
      <c r="L2344" s="2"/>
    </row>
    <row r="2345" spans="11:12">
      <c r="K2345" s="18"/>
      <c r="L2345" s="2"/>
    </row>
    <row r="2346" spans="11:12">
      <c r="K2346" s="18"/>
      <c r="L2346" s="2"/>
    </row>
    <row r="2347" spans="11:12">
      <c r="K2347" s="18"/>
      <c r="L2347" s="2"/>
    </row>
    <row r="2348" spans="11:12">
      <c r="K2348" s="18"/>
      <c r="L2348" s="2"/>
    </row>
    <row r="2349" spans="11:12">
      <c r="K2349" s="18"/>
      <c r="L2349" s="2"/>
    </row>
    <row r="2350" spans="11:12">
      <c r="K2350" s="18"/>
      <c r="L2350" s="2"/>
    </row>
    <row r="2351" spans="11:12">
      <c r="K2351" s="18"/>
      <c r="L2351" s="2"/>
    </row>
    <row r="2352" spans="11:12">
      <c r="K2352" s="18"/>
      <c r="L2352" s="2"/>
    </row>
    <row r="2353" spans="11:12">
      <c r="K2353" s="18"/>
      <c r="L2353" s="2"/>
    </row>
    <row r="2354" spans="11:12">
      <c r="K2354" s="18"/>
      <c r="L2354" s="2"/>
    </row>
    <row r="2355" spans="11:12">
      <c r="K2355" s="18"/>
      <c r="L2355" s="2"/>
    </row>
    <row r="2356" spans="11:12">
      <c r="K2356" s="18"/>
      <c r="L2356" s="2"/>
    </row>
    <row r="2357" spans="11:12">
      <c r="K2357" s="18"/>
      <c r="L2357" s="2"/>
    </row>
    <row r="2358" spans="11:12">
      <c r="K2358" s="18"/>
      <c r="L2358" s="2"/>
    </row>
    <row r="2359" spans="11:12">
      <c r="K2359" s="18"/>
      <c r="L2359" s="2"/>
    </row>
    <row r="2360" spans="11:12">
      <c r="K2360" s="18"/>
      <c r="L2360" s="2"/>
    </row>
    <row r="2361" spans="11:12">
      <c r="K2361" s="18"/>
      <c r="L2361" s="2"/>
    </row>
    <row r="2362" spans="11:12">
      <c r="K2362" s="18"/>
      <c r="L2362" s="2"/>
    </row>
    <row r="2363" spans="11:12">
      <c r="K2363" s="18"/>
      <c r="L2363" s="2"/>
    </row>
    <row r="2364" spans="11:12">
      <c r="K2364" s="18"/>
      <c r="L2364" s="2"/>
    </row>
    <row r="2365" spans="11:12">
      <c r="K2365" s="18"/>
      <c r="L2365" s="2"/>
    </row>
    <row r="2366" spans="11:12">
      <c r="K2366" s="18"/>
      <c r="L2366" s="2"/>
    </row>
    <row r="2367" spans="11:12">
      <c r="K2367" s="18"/>
      <c r="L2367" s="2"/>
    </row>
    <row r="2368" spans="11:12">
      <c r="K2368" s="18"/>
      <c r="L2368" s="2"/>
    </row>
    <row r="2369" spans="11:12">
      <c r="K2369" s="18"/>
      <c r="L2369" s="2"/>
    </row>
    <row r="2370" spans="11:12">
      <c r="K2370" s="18"/>
      <c r="L2370" s="2"/>
    </row>
    <row r="2371" spans="11:12">
      <c r="K2371" s="18"/>
      <c r="L2371" s="2"/>
    </row>
    <row r="2372" spans="11:12">
      <c r="K2372" s="18"/>
      <c r="L2372" s="2"/>
    </row>
    <row r="2373" spans="11:12">
      <c r="K2373" s="18"/>
      <c r="L2373" s="2"/>
    </row>
    <row r="2374" spans="11:12">
      <c r="K2374" s="18"/>
      <c r="L2374" s="2"/>
    </row>
    <row r="2375" spans="11:12">
      <c r="K2375" s="18"/>
      <c r="L2375" s="2"/>
    </row>
    <row r="2376" spans="11:12">
      <c r="K2376" s="18"/>
      <c r="L2376" s="2"/>
    </row>
    <row r="2377" spans="11:12">
      <c r="K2377" s="18"/>
      <c r="L2377" s="2"/>
    </row>
    <row r="2378" spans="11:12">
      <c r="K2378" s="18"/>
      <c r="L2378" s="2"/>
    </row>
    <row r="2379" spans="11:12">
      <c r="K2379" s="18"/>
      <c r="L2379" s="2"/>
    </row>
    <row r="2380" spans="11:12">
      <c r="K2380" s="18"/>
      <c r="L2380" s="2"/>
    </row>
    <row r="2381" spans="11:12">
      <c r="K2381" s="18"/>
      <c r="L2381" s="2"/>
    </row>
    <row r="2382" spans="11:12">
      <c r="K2382" s="18"/>
      <c r="L2382" s="2"/>
    </row>
    <row r="2383" spans="11:12">
      <c r="K2383" s="18"/>
      <c r="L2383" s="2"/>
    </row>
    <row r="2384" spans="11:12">
      <c r="K2384" s="18"/>
      <c r="L2384" s="2"/>
    </row>
    <row r="2385" spans="11:12">
      <c r="K2385" s="18"/>
      <c r="L2385" s="2"/>
    </row>
    <row r="2386" spans="11:12">
      <c r="K2386" s="18"/>
      <c r="L2386" s="2"/>
    </row>
    <row r="2387" spans="11:12">
      <c r="K2387" s="18"/>
      <c r="L2387" s="2"/>
    </row>
    <row r="2388" spans="11:12">
      <c r="K2388" s="18"/>
      <c r="L2388" s="2"/>
    </row>
    <row r="2389" spans="11:12">
      <c r="K2389" s="18"/>
      <c r="L2389" s="2"/>
    </row>
    <row r="2390" spans="11:12">
      <c r="K2390" s="18"/>
      <c r="L2390" s="2"/>
    </row>
    <row r="2391" spans="11:12">
      <c r="K2391" s="18"/>
      <c r="L2391" s="2"/>
    </row>
    <row r="2392" spans="11:12">
      <c r="K2392" s="18"/>
      <c r="L2392" s="2"/>
    </row>
    <row r="2393" spans="11:12">
      <c r="K2393" s="18"/>
      <c r="L2393" s="2"/>
    </row>
    <row r="2394" spans="11:12">
      <c r="K2394" s="18"/>
      <c r="L2394" s="2"/>
    </row>
    <row r="2395" spans="11:12">
      <c r="K2395" s="18"/>
      <c r="L2395" s="2"/>
    </row>
    <row r="2396" spans="11:12">
      <c r="K2396" s="18"/>
      <c r="L2396" s="2"/>
    </row>
    <row r="2397" spans="11:12">
      <c r="K2397" s="18"/>
      <c r="L2397" s="2"/>
    </row>
    <row r="2398" spans="11:12">
      <c r="K2398" s="18"/>
      <c r="L2398" s="2"/>
    </row>
    <row r="2399" spans="11:12">
      <c r="K2399" s="18"/>
      <c r="L2399" s="2"/>
    </row>
    <row r="2400" spans="11:12">
      <c r="K2400" s="18"/>
      <c r="L2400" s="2"/>
    </row>
    <row r="2401" spans="11:12">
      <c r="K2401" s="18"/>
      <c r="L2401" s="2"/>
    </row>
    <row r="2402" spans="11:12">
      <c r="K2402" s="18"/>
      <c r="L2402" s="2"/>
    </row>
    <row r="2403" spans="11:12">
      <c r="K2403" s="18"/>
      <c r="L2403" s="2"/>
    </row>
    <row r="2404" spans="11:12">
      <c r="K2404" s="18"/>
      <c r="L2404" s="2"/>
    </row>
    <row r="2405" spans="11:12">
      <c r="K2405" s="18"/>
      <c r="L2405" s="2"/>
    </row>
    <row r="2406" spans="11:12">
      <c r="K2406" s="18"/>
      <c r="L2406" s="2"/>
    </row>
    <row r="2407" spans="11:12">
      <c r="K2407" s="18"/>
      <c r="L2407" s="2"/>
    </row>
    <row r="2408" spans="11:12">
      <c r="K2408" s="18"/>
      <c r="L2408" s="2"/>
    </row>
    <row r="2409" spans="11:12">
      <c r="K2409" s="18"/>
      <c r="L2409" s="2"/>
    </row>
    <row r="2410" spans="11:12">
      <c r="K2410" s="18"/>
      <c r="L2410" s="2"/>
    </row>
    <row r="2411" spans="11:12">
      <c r="K2411" s="18"/>
      <c r="L2411" s="2"/>
    </row>
    <row r="2412" spans="11:12">
      <c r="K2412" s="18"/>
      <c r="L2412" s="2"/>
    </row>
    <row r="2413" spans="11:12">
      <c r="K2413" s="18"/>
      <c r="L2413" s="2"/>
    </row>
    <row r="2414" spans="11:12">
      <c r="K2414" s="18"/>
      <c r="L2414" s="2"/>
    </row>
    <row r="2415" spans="11:12">
      <c r="K2415" s="18"/>
      <c r="L2415" s="2"/>
    </row>
    <row r="2416" spans="11:12">
      <c r="K2416" s="18"/>
      <c r="L2416" s="2"/>
    </row>
    <row r="2417" spans="11:12">
      <c r="K2417" s="18"/>
      <c r="L2417" s="2"/>
    </row>
    <row r="2418" spans="11:12">
      <c r="K2418" s="18"/>
      <c r="L2418" s="2"/>
    </row>
    <row r="2419" spans="11:12">
      <c r="K2419" s="18"/>
      <c r="L2419" s="2"/>
    </row>
    <row r="2420" spans="11:12">
      <c r="K2420" s="18"/>
      <c r="L2420" s="2"/>
    </row>
    <row r="2421" spans="11:12">
      <c r="K2421" s="18"/>
      <c r="L2421" s="2"/>
    </row>
    <row r="2422" spans="11:12">
      <c r="K2422" s="18"/>
      <c r="L2422" s="2"/>
    </row>
    <row r="2423" spans="11:12">
      <c r="K2423" s="18"/>
      <c r="L2423" s="2"/>
    </row>
    <row r="2424" spans="11:12">
      <c r="K2424" s="18"/>
      <c r="L2424" s="2"/>
    </row>
    <row r="2425" spans="11:12">
      <c r="K2425" s="18"/>
      <c r="L2425" s="2"/>
    </row>
    <row r="2426" spans="11:12">
      <c r="K2426" s="18"/>
      <c r="L2426" s="2"/>
    </row>
    <row r="2427" spans="11:12">
      <c r="K2427" s="18"/>
      <c r="L2427" s="2"/>
    </row>
    <row r="2428" spans="11:12">
      <c r="K2428" s="18"/>
      <c r="L2428" s="2"/>
    </row>
    <row r="2429" spans="11:12">
      <c r="K2429" s="18"/>
      <c r="L2429" s="2"/>
    </row>
    <row r="2430" spans="11:12">
      <c r="K2430" s="18"/>
      <c r="L2430" s="2"/>
    </row>
    <row r="2431" spans="11:12">
      <c r="K2431" s="18"/>
      <c r="L2431" s="2"/>
    </row>
    <row r="2432" spans="11:12">
      <c r="K2432" s="18"/>
      <c r="L2432" s="2"/>
    </row>
    <row r="2433" spans="11:12">
      <c r="K2433" s="18"/>
      <c r="L2433" s="2"/>
    </row>
    <row r="2434" spans="11:12">
      <c r="K2434" s="18"/>
      <c r="L2434" s="2"/>
    </row>
    <row r="2435" spans="11:12">
      <c r="K2435" s="18"/>
      <c r="L2435" s="2"/>
    </row>
    <row r="2436" spans="11:12">
      <c r="K2436" s="18"/>
      <c r="L2436" s="2"/>
    </row>
    <row r="2437" spans="11:12">
      <c r="K2437" s="18"/>
      <c r="L2437" s="2"/>
    </row>
    <row r="2438" spans="11:12">
      <c r="K2438" s="18"/>
      <c r="L2438" s="2"/>
    </row>
    <row r="2439" spans="11:12">
      <c r="K2439" s="18"/>
      <c r="L2439" s="2"/>
    </row>
    <row r="2440" spans="11:12">
      <c r="K2440" s="18"/>
      <c r="L2440" s="2"/>
    </row>
    <row r="2441" spans="11:12">
      <c r="K2441" s="18"/>
      <c r="L2441" s="2"/>
    </row>
    <row r="2442" spans="11:12">
      <c r="K2442" s="18"/>
      <c r="L2442" s="2"/>
    </row>
    <row r="2443" spans="11:12">
      <c r="K2443" s="18"/>
      <c r="L2443" s="2"/>
    </row>
    <row r="2444" spans="11:12">
      <c r="K2444" s="18"/>
      <c r="L2444" s="2"/>
    </row>
    <row r="2445" spans="11:12">
      <c r="K2445" s="18"/>
      <c r="L2445" s="2"/>
    </row>
    <row r="2446" spans="11:12">
      <c r="K2446" s="18"/>
      <c r="L2446" s="2"/>
    </row>
    <row r="2447" spans="11:12">
      <c r="K2447" s="18"/>
      <c r="L2447" s="2"/>
    </row>
    <row r="2448" spans="11:12">
      <c r="K2448" s="18"/>
      <c r="L2448" s="2"/>
    </row>
    <row r="2449" spans="11:12">
      <c r="K2449" s="18"/>
      <c r="L2449" s="2"/>
    </row>
    <row r="2450" spans="11:12">
      <c r="K2450" s="18"/>
      <c r="L2450" s="2"/>
    </row>
    <row r="2451" spans="11:12">
      <c r="K2451" s="18"/>
      <c r="L2451" s="2"/>
    </row>
    <row r="2452" spans="11:12">
      <c r="K2452" s="18"/>
      <c r="L2452" s="2"/>
    </row>
    <row r="2453" spans="11:12">
      <c r="K2453" s="18"/>
      <c r="L2453" s="2"/>
    </row>
    <row r="2454" spans="11:12">
      <c r="K2454" s="18"/>
      <c r="L2454" s="2"/>
    </row>
    <row r="2455" spans="11:12">
      <c r="K2455" s="18"/>
      <c r="L2455" s="2"/>
    </row>
    <row r="2456" spans="11:12">
      <c r="K2456" s="18"/>
      <c r="L2456" s="2"/>
    </row>
    <row r="2457" spans="11:12">
      <c r="K2457" s="18"/>
      <c r="L2457" s="2"/>
    </row>
    <row r="2458" spans="11:12">
      <c r="K2458" s="18"/>
      <c r="L2458" s="2"/>
    </row>
    <row r="2459" spans="11:12">
      <c r="K2459" s="18"/>
      <c r="L2459" s="2"/>
    </row>
    <row r="2460" spans="11:12">
      <c r="K2460" s="18"/>
      <c r="L2460" s="2"/>
    </row>
    <row r="2461" spans="11:12">
      <c r="K2461" s="18"/>
      <c r="L2461" s="2"/>
    </row>
    <row r="2462" spans="11:12">
      <c r="K2462" s="18"/>
      <c r="L2462" s="2"/>
    </row>
    <row r="2463" spans="11:12">
      <c r="K2463" s="18"/>
      <c r="L2463" s="2"/>
    </row>
    <row r="2464" spans="11:12">
      <c r="K2464" s="18"/>
      <c r="L2464" s="2"/>
    </row>
    <row r="2465" spans="11:12">
      <c r="K2465" s="18"/>
      <c r="L2465" s="2"/>
    </row>
    <row r="2466" spans="11:12">
      <c r="K2466" s="18"/>
      <c r="L2466" s="2"/>
    </row>
    <row r="2467" spans="11:12">
      <c r="K2467" s="18"/>
      <c r="L2467" s="2"/>
    </row>
    <row r="2468" spans="11:12">
      <c r="K2468" s="18"/>
      <c r="L2468" s="2"/>
    </row>
    <row r="2469" spans="11:12">
      <c r="K2469" s="18"/>
      <c r="L2469" s="2"/>
    </row>
    <row r="2470" spans="11:12">
      <c r="K2470" s="18"/>
      <c r="L2470" s="2"/>
    </row>
    <row r="2471" spans="11:12">
      <c r="K2471" s="18"/>
      <c r="L2471" s="2"/>
    </row>
    <row r="2472" spans="11:12">
      <c r="K2472" s="18"/>
      <c r="L2472" s="2"/>
    </row>
    <row r="2473" spans="11:12">
      <c r="K2473" s="18"/>
      <c r="L2473" s="2"/>
    </row>
    <row r="2474" spans="11:12">
      <c r="K2474" s="18"/>
      <c r="L2474" s="2"/>
    </row>
    <row r="2475" spans="11:12">
      <c r="K2475" s="18"/>
      <c r="L2475" s="2"/>
    </row>
    <row r="2476" spans="11:12">
      <c r="K2476" s="18"/>
      <c r="L2476" s="2"/>
    </row>
    <row r="2477" spans="11:12">
      <c r="K2477" s="18"/>
      <c r="L2477" s="2"/>
    </row>
    <row r="2478" spans="11:12">
      <c r="K2478" s="18"/>
      <c r="L2478" s="2"/>
    </row>
    <row r="2479" spans="11:12">
      <c r="K2479" s="18"/>
      <c r="L2479" s="2"/>
    </row>
    <row r="2480" spans="11:12">
      <c r="K2480" s="18"/>
      <c r="L2480" s="2"/>
    </row>
    <row r="2481" spans="11:12">
      <c r="K2481" s="18"/>
      <c r="L2481" s="2"/>
    </row>
    <row r="2482" spans="11:12">
      <c r="K2482" s="18"/>
      <c r="L2482" s="2"/>
    </row>
    <row r="2483" spans="11:12">
      <c r="K2483" s="18"/>
      <c r="L2483" s="2"/>
    </row>
    <row r="2484" spans="11:12">
      <c r="K2484" s="18"/>
      <c r="L2484" s="2"/>
    </row>
    <row r="2485" spans="11:12">
      <c r="K2485" s="18"/>
      <c r="L2485" s="2"/>
    </row>
    <row r="2486" spans="11:12">
      <c r="K2486" s="18"/>
      <c r="L2486" s="2"/>
    </row>
    <row r="2487" spans="11:12">
      <c r="K2487" s="18"/>
      <c r="L2487" s="2"/>
    </row>
    <row r="2488" spans="11:12">
      <c r="K2488" s="18"/>
      <c r="L2488" s="2"/>
    </row>
    <row r="2489" spans="11:12">
      <c r="K2489" s="18"/>
      <c r="L2489" s="2"/>
    </row>
    <row r="2490" spans="11:12">
      <c r="K2490" s="18"/>
      <c r="L2490" s="2"/>
    </row>
    <row r="2491" spans="11:12">
      <c r="K2491" s="18"/>
      <c r="L2491" s="2"/>
    </row>
    <row r="2492" spans="11:12">
      <c r="K2492" s="18"/>
      <c r="L2492" s="2"/>
    </row>
    <row r="2493" spans="11:12">
      <c r="K2493" s="18"/>
      <c r="L2493" s="2"/>
    </row>
    <row r="2494" spans="11:12">
      <c r="K2494" s="18"/>
      <c r="L2494" s="2"/>
    </row>
    <row r="2495" spans="11:12">
      <c r="K2495" s="18"/>
      <c r="L2495" s="2"/>
    </row>
    <row r="2496" spans="11:12">
      <c r="K2496" s="18"/>
      <c r="L2496" s="2"/>
    </row>
    <row r="2497" spans="11:12">
      <c r="K2497" s="18"/>
      <c r="L2497" s="2"/>
    </row>
    <row r="2498" spans="11:12">
      <c r="K2498" s="18"/>
      <c r="L2498" s="2"/>
    </row>
    <row r="2499" spans="11:12">
      <c r="K2499" s="18"/>
      <c r="L2499" s="2"/>
    </row>
    <row r="2500" spans="11:12">
      <c r="K2500" s="18"/>
      <c r="L2500" s="2"/>
    </row>
    <row r="2501" spans="11:12">
      <c r="K2501" s="18"/>
      <c r="L2501" s="2"/>
    </row>
    <row r="2502" spans="11:12">
      <c r="K2502" s="18"/>
      <c r="L2502" s="2"/>
    </row>
    <row r="2503" spans="11:12">
      <c r="K2503" s="18"/>
      <c r="L2503" s="2"/>
    </row>
    <row r="2504" spans="11:12">
      <c r="K2504" s="18"/>
      <c r="L2504" s="2"/>
    </row>
    <row r="2505" spans="11:12">
      <c r="K2505" s="18"/>
      <c r="L2505" s="2"/>
    </row>
    <row r="2506" spans="11:12">
      <c r="K2506" s="18"/>
      <c r="L2506" s="2"/>
    </row>
    <row r="2507" spans="11:12">
      <c r="K2507" s="18"/>
      <c r="L2507" s="2"/>
    </row>
    <row r="2508" spans="11:12">
      <c r="K2508" s="18"/>
      <c r="L2508" s="2"/>
    </row>
    <row r="2509" spans="11:12">
      <c r="K2509" s="18"/>
      <c r="L2509" s="2"/>
    </row>
    <row r="2510" spans="11:12">
      <c r="K2510" s="18"/>
      <c r="L2510" s="2"/>
    </row>
    <row r="2511" spans="11:12">
      <c r="K2511" s="18"/>
      <c r="L2511" s="2"/>
    </row>
    <row r="2512" spans="11:12">
      <c r="K2512" s="18"/>
      <c r="L2512" s="2"/>
    </row>
    <row r="2513" spans="11:12">
      <c r="K2513" s="18"/>
      <c r="L2513" s="2"/>
    </row>
    <row r="2514" spans="11:12">
      <c r="K2514" s="18"/>
      <c r="L2514" s="2"/>
    </row>
    <row r="2515" spans="11:12">
      <c r="K2515" s="18"/>
      <c r="L2515" s="2"/>
    </row>
    <row r="2516" spans="11:12">
      <c r="K2516" s="18"/>
      <c r="L2516" s="2"/>
    </row>
    <row r="2517" spans="11:12">
      <c r="K2517" s="18"/>
      <c r="L2517" s="2"/>
    </row>
    <row r="2518" spans="11:12">
      <c r="K2518" s="18"/>
      <c r="L2518" s="2"/>
    </row>
    <row r="2519" spans="11:12">
      <c r="K2519" s="18"/>
      <c r="L2519" s="2"/>
    </row>
    <row r="2520" spans="11:12">
      <c r="K2520" s="18"/>
      <c r="L2520" s="2"/>
    </row>
    <row r="2521" spans="11:12">
      <c r="K2521" s="18"/>
      <c r="L2521" s="2"/>
    </row>
    <row r="2522" spans="11:12">
      <c r="K2522" s="18"/>
      <c r="L2522" s="2"/>
    </row>
    <row r="2523" spans="11:12">
      <c r="K2523" s="18"/>
      <c r="L2523" s="2"/>
    </row>
    <row r="2524" spans="11:12">
      <c r="K2524" s="18"/>
      <c r="L2524" s="2"/>
    </row>
    <row r="2525" spans="11:12">
      <c r="K2525" s="18"/>
      <c r="L2525" s="2"/>
    </row>
    <row r="2526" spans="11:12">
      <c r="K2526" s="18"/>
      <c r="L2526" s="2"/>
    </row>
    <row r="2527" spans="11:12">
      <c r="K2527" s="18"/>
      <c r="L2527" s="2"/>
    </row>
    <row r="2528" spans="11:12">
      <c r="K2528" s="18"/>
      <c r="L2528" s="2"/>
    </row>
    <row r="2529" spans="11:12">
      <c r="K2529" s="18"/>
      <c r="L2529" s="2"/>
    </row>
    <row r="2530" spans="11:12">
      <c r="K2530" s="18"/>
      <c r="L2530" s="2"/>
    </row>
    <row r="2531" spans="11:12">
      <c r="K2531" s="18"/>
      <c r="L2531" s="2"/>
    </row>
    <row r="2532" spans="11:12">
      <c r="K2532" s="18"/>
      <c r="L2532" s="2"/>
    </row>
    <row r="2533" spans="11:12">
      <c r="K2533" s="18"/>
      <c r="L2533" s="2"/>
    </row>
    <row r="2534" spans="11:12">
      <c r="K2534" s="18"/>
      <c r="L2534" s="2"/>
    </row>
    <row r="2535" spans="11:12">
      <c r="K2535" s="18"/>
      <c r="L2535" s="2"/>
    </row>
    <row r="2536" spans="11:12">
      <c r="K2536" s="18"/>
      <c r="L2536" s="2"/>
    </row>
    <row r="2537" spans="11:12">
      <c r="K2537" s="18"/>
      <c r="L2537" s="2"/>
    </row>
    <row r="2538" spans="11:12">
      <c r="K2538" s="18"/>
      <c r="L2538" s="2"/>
    </row>
    <row r="2539" spans="11:12">
      <c r="K2539" s="18"/>
      <c r="L2539" s="2"/>
    </row>
    <row r="2540" spans="11:12">
      <c r="K2540" s="18"/>
      <c r="L2540" s="2"/>
    </row>
    <row r="2541" spans="11:12">
      <c r="K2541" s="18"/>
      <c r="L2541" s="2"/>
    </row>
    <row r="2542" spans="11:12">
      <c r="K2542" s="18"/>
      <c r="L2542" s="2"/>
    </row>
    <row r="2543" spans="11:12">
      <c r="K2543" s="18"/>
      <c r="L2543" s="2"/>
    </row>
    <row r="2544" spans="11:12">
      <c r="K2544" s="18"/>
      <c r="L2544" s="2"/>
    </row>
    <row r="2545" spans="11:12">
      <c r="K2545" s="18"/>
      <c r="L2545" s="2"/>
    </row>
    <row r="2546" spans="11:12">
      <c r="K2546" s="18"/>
      <c r="L2546" s="2"/>
    </row>
    <row r="2547" spans="11:12">
      <c r="K2547" s="18"/>
      <c r="L2547" s="2"/>
    </row>
    <row r="2548" spans="11:12">
      <c r="K2548" s="18"/>
      <c r="L2548" s="2"/>
    </row>
    <row r="2549" spans="11:12">
      <c r="K2549" s="18"/>
      <c r="L2549" s="2"/>
    </row>
    <row r="2550" spans="11:12">
      <c r="K2550" s="18"/>
      <c r="L2550" s="2"/>
    </row>
    <row r="2551" spans="11:12">
      <c r="K2551" s="18"/>
      <c r="L2551" s="2"/>
    </row>
    <row r="2552" spans="11:12">
      <c r="K2552" s="18"/>
      <c r="L2552" s="2"/>
    </row>
    <row r="2553" spans="11:12">
      <c r="K2553" s="18"/>
      <c r="L2553" s="2"/>
    </row>
    <row r="2554" spans="11:12">
      <c r="K2554" s="18"/>
      <c r="L2554" s="2"/>
    </row>
    <row r="2555" spans="11:12">
      <c r="K2555" s="18"/>
      <c r="L2555" s="2"/>
    </row>
    <row r="2556" spans="11:12">
      <c r="K2556" s="18"/>
      <c r="L2556" s="2"/>
    </row>
    <row r="2557" spans="11:12">
      <c r="K2557" s="18"/>
      <c r="L2557" s="2"/>
    </row>
    <row r="2558" spans="11:12">
      <c r="K2558" s="18"/>
      <c r="L2558" s="2"/>
    </row>
    <row r="2559" spans="11:12">
      <c r="K2559" s="18"/>
      <c r="L2559" s="2"/>
    </row>
    <row r="2560" spans="11:12">
      <c r="K2560" s="18"/>
      <c r="L2560" s="2"/>
    </row>
    <row r="2561" spans="11:12">
      <c r="K2561" s="18"/>
      <c r="L2561" s="2"/>
    </row>
    <row r="2562" spans="11:12">
      <c r="K2562" s="18"/>
      <c r="L2562" s="2"/>
    </row>
    <row r="2563" spans="11:12">
      <c r="K2563" s="18"/>
      <c r="L2563" s="2"/>
    </row>
    <row r="2564" spans="11:12">
      <c r="K2564" s="18"/>
      <c r="L2564" s="2"/>
    </row>
    <row r="2565" spans="11:12">
      <c r="K2565" s="18"/>
      <c r="L2565" s="2"/>
    </row>
    <row r="2566" spans="11:12">
      <c r="K2566" s="18"/>
      <c r="L2566" s="2"/>
    </row>
    <row r="2567" spans="11:12">
      <c r="K2567" s="18"/>
      <c r="L2567" s="2"/>
    </row>
    <row r="2568" spans="11:12">
      <c r="K2568" s="18"/>
      <c r="L2568" s="2"/>
    </row>
    <row r="2569" spans="11:12">
      <c r="K2569" s="18"/>
      <c r="L2569" s="2"/>
    </row>
    <row r="2570" spans="11:12">
      <c r="K2570" s="18"/>
      <c r="L2570" s="2"/>
    </row>
    <row r="2571" spans="11:12">
      <c r="K2571" s="18"/>
      <c r="L2571" s="2"/>
    </row>
    <row r="2572" spans="11:12">
      <c r="K2572" s="18"/>
      <c r="L2572" s="2"/>
    </row>
    <row r="2573" spans="11:12">
      <c r="K2573" s="18"/>
      <c r="L2573" s="2"/>
    </row>
    <row r="2574" spans="11:12">
      <c r="K2574" s="18"/>
      <c r="L2574" s="2"/>
    </row>
    <row r="2575" spans="11:12">
      <c r="K2575" s="18"/>
      <c r="L2575" s="2"/>
    </row>
    <row r="2576" spans="11:12">
      <c r="K2576" s="18"/>
      <c r="L2576" s="2"/>
    </row>
    <row r="2577" spans="11:12">
      <c r="K2577" s="18"/>
      <c r="L2577" s="2"/>
    </row>
    <row r="2578" spans="11:12">
      <c r="K2578" s="18"/>
      <c r="L2578" s="2"/>
    </row>
    <row r="2579" spans="11:12">
      <c r="K2579" s="18"/>
      <c r="L2579" s="2"/>
    </row>
    <row r="2580" spans="11:12">
      <c r="K2580" s="18"/>
      <c r="L2580" s="2"/>
    </row>
    <row r="2581" spans="11:12">
      <c r="K2581" s="18"/>
      <c r="L2581" s="2"/>
    </row>
    <row r="2582" spans="11:12">
      <c r="K2582" s="18"/>
      <c r="L2582" s="2"/>
    </row>
    <row r="2583" spans="11:12">
      <c r="K2583" s="18"/>
      <c r="L2583" s="2"/>
    </row>
    <row r="2584" spans="11:12">
      <c r="K2584" s="18"/>
      <c r="L2584" s="2"/>
    </row>
    <row r="2585" spans="11:12">
      <c r="K2585" s="18"/>
      <c r="L2585" s="2"/>
    </row>
    <row r="2586" spans="11:12">
      <c r="K2586" s="18"/>
      <c r="L2586" s="2"/>
    </row>
    <row r="2587" spans="11:12">
      <c r="K2587" s="18"/>
      <c r="L2587" s="2"/>
    </row>
    <row r="2588" spans="11:12">
      <c r="K2588" s="18"/>
      <c r="L2588" s="2"/>
    </row>
    <row r="2589" spans="11:12">
      <c r="K2589" s="18"/>
      <c r="L2589" s="2"/>
    </row>
    <row r="2590" spans="11:12">
      <c r="K2590" s="18"/>
      <c r="L2590" s="2"/>
    </row>
    <row r="2591" spans="11:12">
      <c r="K2591" s="18"/>
      <c r="L2591" s="2"/>
    </row>
    <row r="2592" spans="11:12">
      <c r="K2592" s="18"/>
      <c r="L2592" s="2"/>
    </row>
    <row r="2593" spans="11:12">
      <c r="K2593" s="18"/>
      <c r="L2593" s="2"/>
    </row>
    <row r="2594" spans="11:12">
      <c r="K2594" s="18"/>
      <c r="L2594" s="2"/>
    </row>
    <row r="2595" spans="11:12">
      <c r="K2595" s="18"/>
      <c r="L2595" s="2"/>
    </row>
    <row r="2596" spans="11:12">
      <c r="K2596" s="18"/>
      <c r="L2596" s="2"/>
    </row>
    <row r="2597" spans="11:12">
      <c r="K2597" s="18"/>
      <c r="L2597" s="2"/>
    </row>
    <row r="2598" spans="11:12">
      <c r="K2598" s="18"/>
      <c r="L2598" s="2"/>
    </row>
    <row r="2599" spans="11:12">
      <c r="K2599" s="18"/>
      <c r="L2599" s="2"/>
    </row>
    <row r="2600" spans="11:12">
      <c r="K2600" s="18"/>
      <c r="L2600" s="2"/>
    </row>
    <row r="2601" spans="11:12">
      <c r="K2601" s="18"/>
      <c r="L2601" s="2"/>
    </row>
    <row r="2602" spans="11:12">
      <c r="K2602" s="18"/>
      <c r="L2602" s="2"/>
    </row>
    <row r="2603" spans="11:12">
      <c r="K2603" s="18"/>
      <c r="L2603" s="2"/>
    </row>
    <row r="2604" spans="11:12">
      <c r="K2604" s="18"/>
      <c r="L2604" s="2"/>
    </row>
    <row r="2605" spans="11:12">
      <c r="K2605" s="18"/>
      <c r="L2605" s="2"/>
    </row>
    <row r="2606" spans="11:12">
      <c r="K2606" s="18"/>
      <c r="L2606" s="2"/>
    </row>
    <row r="2607" spans="11:12">
      <c r="K2607" s="18"/>
      <c r="L2607" s="2"/>
    </row>
    <row r="2608" spans="11:12">
      <c r="K2608" s="18"/>
      <c r="L2608" s="2"/>
    </row>
    <row r="2609" spans="11:12">
      <c r="K2609" s="18"/>
      <c r="L2609" s="2"/>
    </row>
    <row r="2610" spans="11:12">
      <c r="K2610" s="18"/>
      <c r="L2610" s="2"/>
    </row>
    <row r="2611" spans="11:12">
      <c r="K2611" s="18"/>
      <c r="L2611" s="2"/>
    </row>
    <row r="2612" spans="11:12">
      <c r="K2612" s="18"/>
      <c r="L2612" s="2"/>
    </row>
    <row r="2613" spans="11:12">
      <c r="K2613" s="18"/>
      <c r="L2613" s="2"/>
    </row>
    <row r="2614" spans="11:12">
      <c r="K2614" s="18"/>
      <c r="L2614" s="2"/>
    </row>
    <row r="2615" spans="11:12">
      <c r="K2615" s="18"/>
      <c r="L2615" s="2"/>
    </row>
    <row r="2616" spans="11:12">
      <c r="K2616" s="18"/>
      <c r="L2616" s="2"/>
    </row>
    <row r="2617" spans="11:12">
      <c r="K2617" s="18"/>
      <c r="L2617" s="2"/>
    </row>
    <row r="2618" spans="11:12">
      <c r="K2618" s="18"/>
      <c r="L2618" s="2"/>
    </row>
    <row r="2619" spans="11:12">
      <c r="K2619" s="18"/>
      <c r="L2619" s="2"/>
    </row>
    <row r="2620" spans="11:12">
      <c r="K2620" s="18"/>
      <c r="L2620" s="2"/>
    </row>
    <row r="2621" spans="11:12">
      <c r="K2621" s="18"/>
      <c r="L2621" s="2"/>
    </row>
    <row r="2622" spans="11:12">
      <c r="K2622" s="18"/>
      <c r="L2622" s="2"/>
    </row>
    <row r="2623" spans="11:12">
      <c r="K2623" s="18"/>
      <c r="L2623" s="2"/>
    </row>
    <row r="2624" spans="11:12">
      <c r="K2624" s="18"/>
      <c r="L2624" s="2"/>
    </row>
    <row r="2625" spans="11:12">
      <c r="K2625" s="18"/>
      <c r="L2625" s="2"/>
    </row>
    <row r="2626" spans="11:12">
      <c r="K2626" s="18"/>
      <c r="L2626" s="2"/>
    </row>
    <row r="2627" spans="11:12">
      <c r="K2627" s="18"/>
      <c r="L2627" s="2"/>
    </row>
    <row r="2628" spans="11:12">
      <c r="K2628" s="18"/>
      <c r="L2628" s="2"/>
    </row>
    <row r="2629" spans="11:12">
      <c r="K2629" s="18"/>
      <c r="L2629" s="2"/>
    </row>
    <row r="2630" spans="11:12">
      <c r="K2630" s="18"/>
      <c r="L2630" s="2"/>
    </row>
    <row r="2631" spans="11:12">
      <c r="K2631" s="18"/>
      <c r="L2631" s="2"/>
    </row>
    <row r="2632" spans="11:12">
      <c r="K2632" s="18"/>
      <c r="L2632" s="2"/>
    </row>
    <row r="2633" spans="11:12">
      <c r="K2633" s="18"/>
      <c r="L2633" s="2"/>
    </row>
    <row r="2634" spans="11:12">
      <c r="K2634" s="18"/>
      <c r="L2634" s="2"/>
    </row>
    <row r="2635" spans="11:12">
      <c r="K2635" s="18"/>
      <c r="L2635" s="2"/>
    </row>
    <row r="2636" spans="11:12">
      <c r="K2636" s="18"/>
      <c r="L2636" s="2"/>
    </row>
    <row r="2637" spans="11:12">
      <c r="K2637" s="18"/>
      <c r="L2637" s="2"/>
    </row>
    <row r="2638" spans="11:12">
      <c r="K2638" s="18"/>
      <c r="L2638" s="2"/>
    </row>
    <row r="2639" spans="11:12">
      <c r="K2639" s="18"/>
      <c r="L2639" s="2"/>
    </row>
    <row r="2640" spans="11:12">
      <c r="K2640" s="18"/>
      <c r="L2640" s="2"/>
    </row>
    <row r="2641" spans="11:12">
      <c r="K2641" s="18"/>
      <c r="L2641" s="2"/>
    </row>
    <row r="2642" spans="11:12">
      <c r="K2642" s="18"/>
      <c r="L2642" s="2"/>
    </row>
    <row r="2643" spans="11:12">
      <c r="K2643" s="18"/>
      <c r="L2643" s="2"/>
    </row>
    <row r="2644" spans="11:12">
      <c r="K2644" s="18"/>
      <c r="L2644" s="2"/>
    </row>
    <row r="2645" spans="11:12">
      <c r="K2645" s="18"/>
      <c r="L2645" s="2"/>
    </row>
    <row r="2646" spans="11:12">
      <c r="K2646" s="18"/>
      <c r="L2646" s="2"/>
    </row>
    <row r="2647" spans="11:12">
      <c r="K2647" s="18"/>
      <c r="L2647" s="2"/>
    </row>
    <row r="2648" spans="11:12">
      <c r="K2648" s="18"/>
      <c r="L2648" s="2"/>
    </row>
    <row r="2649" spans="11:12">
      <c r="K2649" s="18"/>
      <c r="L2649" s="2"/>
    </row>
    <row r="2650" spans="11:12">
      <c r="K2650" s="18"/>
      <c r="L2650" s="2"/>
    </row>
    <row r="2651" spans="11:12">
      <c r="K2651" s="18"/>
      <c r="L2651" s="2"/>
    </row>
    <row r="2652" spans="11:12">
      <c r="K2652" s="18"/>
      <c r="L2652" s="2"/>
    </row>
    <row r="2653" spans="11:12">
      <c r="K2653" s="18"/>
      <c r="L2653" s="2"/>
    </row>
    <row r="2654" spans="11:12">
      <c r="K2654" s="18"/>
      <c r="L2654" s="2"/>
    </row>
    <row r="2655" spans="11:12">
      <c r="K2655" s="18"/>
      <c r="L2655" s="2"/>
    </row>
    <row r="2656" spans="11:12">
      <c r="K2656" s="18"/>
      <c r="L2656" s="2"/>
    </row>
    <row r="2657" spans="11:12">
      <c r="K2657" s="18"/>
      <c r="L2657" s="2"/>
    </row>
    <row r="2658" spans="11:12">
      <c r="K2658" s="18"/>
      <c r="L2658" s="2"/>
    </row>
    <row r="2659" spans="11:12">
      <c r="K2659" s="18"/>
      <c r="L2659" s="2"/>
    </row>
    <row r="2660" spans="11:12">
      <c r="K2660" s="18"/>
      <c r="L2660" s="2"/>
    </row>
    <row r="2661" spans="11:12">
      <c r="K2661" s="18"/>
      <c r="L2661" s="2"/>
    </row>
    <row r="2662" spans="11:12">
      <c r="K2662" s="18"/>
      <c r="L2662" s="2"/>
    </row>
    <row r="2663" spans="11:12">
      <c r="K2663" s="18"/>
      <c r="L2663" s="2"/>
    </row>
    <row r="2664" spans="11:12">
      <c r="K2664" s="18"/>
      <c r="L2664" s="2"/>
    </row>
    <row r="2665" spans="11:12">
      <c r="K2665" s="18"/>
      <c r="L2665" s="2"/>
    </row>
    <row r="2666" spans="11:12">
      <c r="K2666" s="18"/>
      <c r="L2666" s="2"/>
    </row>
    <row r="2667" spans="11:12">
      <c r="K2667" s="18"/>
      <c r="L2667" s="2"/>
    </row>
    <row r="2668" spans="11:12">
      <c r="K2668" s="18"/>
      <c r="L2668" s="2"/>
    </row>
    <row r="2669" spans="11:12">
      <c r="K2669" s="18"/>
      <c r="L2669" s="2"/>
    </row>
    <row r="2670" spans="11:12">
      <c r="K2670" s="18"/>
      <c r="L2670" s="2"/>
    </row>
    <row r="2671" spans="11:12">
      <c r="K2671" s="18"/>
      <c r="L2671" s="2"/>
    </row>
    <row r="2672" spans="11:12">
      <c r="K2672" s="18"/>
      <c r="L2672" s="2"/>
    </row>
    <row r="2673" spans="11:12">
      <c r="K2673" s="18"/>
      <c r="L2673" s="2"/>
    </row>
    <row r="2674" spans="11:12">
      <c r="K2674" s="18"/>
      <c r="L2674" s="2"/>
    </row>
    <row r="2675" spans="11:12">
      <c r="K2675" s="18"/>
      <c r="L2675" s="2"/>
    </row>
    <row r="2676" spans="11:12">
      <c r="K2676" s="18"/>
      <c r="L2676" s="2"/>
    </row>
    <row r="2677" spans="11:12">
      <c r="K2677" s="18"/>
      <c r="L2677" s="2"/>
    </row>
    <row r="2678" spans="11:12">
      <c r="K2678" s="18"/>
      <c r="L2678" s="2"/>
    </row>
    <row r="2679" spans="11:12">
      <c r="K2679" s="18"/>
      <c r="L2679" s="2"/>
    </row>
    <row r="2680" spans="11:12">
      <c r="K2680" s="18"/>
      <c r="L2680" s="2"/>
    </row>
    <row r="2681" spans="11:12">
      <c r="K2681" s="18"/>
      <c r="L2681" s="2"/>
    </row>
    <row r="2682" spans="11:12">
      <c r="K2682" s="18"/>
      <c r="L2682" s="2"/>
    </row>
    <row r="2683" spans="11:12">
      <c r="K2683" s="18"/>
      <c r="L2683" s="2"/>
    </row>
    <row r="2684" spans="11:12">
      <c r="K2684" s="18"/>
      <c r="L2684" s="2"/>
    </row>
    <row r="2685" spans="11:12">
      <c r="K2685" s="18"/>
      <c r="L2685" s="2"/>
    </row>
    <row r="2686" spans="11:12">
      <c r="K2686" s="18"/>
      <c r="L2686" s="2"/>
    </row>
    <row r="2687" spans="11:12">
      <c r="K2687" s="18"/>
      <c r="L2687" s="2"/>
    </row>
    <row r="2688" spans="11:12">
      <c r="K2688" s="18"/>
      <c r="L2688" s="2"/>
    </row>
    <row r="2689" spans="11:12">
      <c r="K2689" s="18"/>
      <c r="L2689" s="2"/>
    </row>
    <row r="2690" spans="11:12">
      <c r="K2690" s="18"/>
      <c r="L2690" s="2"/>
    </row>
    <row r="2691" spans="11:12">
      <c r="K2691" s="18"/>
      <c r="L2691" s="2"/>
    </row>
    <row r="2692" spans="11:12">
      <c r="K2692" s="18"/>
      <c r="L2692" s="2"/>
    </row>
    <row r="2693" spans="11:12">
      <c r="K2693" s="18"/>
      <c r="L2693" s="2"/>
    </row>
    <row r="2694" spans="11:12">
      <c r="K2694" s="18"/>
      <c r="L2694" s="2"/>
    </row>
    <row r="2695" spans="11:12">
      <c r="K2695" s="18"/>
      <c r="L2695" s="2"/>
    </row>
    <row r="2696" spans="11:12">
      <c r="K2696" s="18"/>
      <c r="L2696" s="2"/>
    </row>
    <row r="2697" spans="11:12">
      <c r="K2697" s="18"/>
      <c r="L2697" s="2"/>
    </row>
    <row r="2698" spans="11:12">
      <c r="K2698" s="18"/>
      <c r="L2698" s="2"/>
    </row>
    <row r="2699" spans="11:12">
      <c r="K2699" s="18"/>
      <c r="L2699" s="2"/>
    </row>
    <row r="2700" spans="11:12">
      <c r="K2700" s="18"/>
      <c r="L2700" s="2"/>
    </row>
    <row r="2701" spans="11:12">
      <c r="K2701" s="18"/>
      <c r="L2701" s="2"/>
    </row>
    <row r="2702" spans="11:12">
      <c r="K2702" s="18"/>
      <c r="L2702" s="2"/>
    </row>
    <row r="2703" spans="11:12">
      <c r="K2703" s="18"/>
      <c r="L2703" s="2"/>
    </row>
    <row r="2704" spans="11:12">
      <c r="K2704" s="18"/>
      <c r="L2704" s="2"/>
    </row>
    <row r="2705" spans="11:12">
      <c r="K2705" s="18"/>
      <c r="L2705" s="2"/>
    </row>
    <row r="2706" spans="11:12">
      <c r="K2706" s="18"/>
      <c r="L2706" s="2"/>
    </row>
    <row r="2707" spans="11:12">
      <c r="K2707" s="18"/>
      <c r="L2707" s="2"/>
    </row>
    <row r="2708" spans="11:12">
      <c r="K2708" s="18"/>
      <c r="L2708" s="2"/>
    </row>
    <row r="2709" spans="11:12">
      <c r="K2709" s="18"/>
      <c r="L2709" s="2"/>
    </row>
    <row r="2710" spans="11:12">
      <c r="K2710" s="18"/>
      <c r="L2710" s="2"/>
    </row>
    <row r="2711" spans="11:12">
      <c r="K2711" s="18"/>
      <c r="L2711" s="2"/>
    </row>
    <row r="2712" spans="11:12">
      <c r="K2712" s="18"/>
      <c r="L2712" s="2"/>
    </row>
    <row r="2713" spans="11:12">
      <c r="K2713" s="18"/>
      <c r="L2713" s="2"/>
    </row>
    <row r="2714" spans="11:12">
      <c r="K2714" s="18"/>
      <c r="L2714" s="2"/>
    </row>
    <row r="2715" spans="11:12">
      <c r="K2715" s="18"/>
      <c r="L2715" s="2"/>
    </row>
    <row r="2716" spans="11:12">
      <c r="K2716" s="18"/>
      <c r="L2716" s="2"/>
    </row>
    <row r="2717" spans="11:12">
      <c r="K2717" s="18"/>
      <c r="L2717" s="2"/>
    </row>
    <row r="2718" spans="11:12">
      <c r="K2718" s="18"/>
      <c r="L2718" s="2"/>
    </row>
    <row r="2719" spans="11:12">
      <c r="K2719" s="18"/>
      <c r="L2719" s="2"/>
    </row>
    <row r="2720" spans="11:12">
      <c r="K2720" s="18"/>
      <c r="L2720" s="2"/>
    </row>
    <row r="2721" spans="11:12">
      <c r="K2721" s="18"/>
      <c r="L2721" s="2"/>
    </row>
    <row r="2722" spans="11:12">
      <c r="K2722" s="18"/>
      <c r="L2722" s="2"/>
    </row>
    <row r="2723" spans="11:12">
      <c r="K2723" s="18"/>
      <c r="L2723" s="2"/>
    </row>
    <row r="2724" spans="11:12">
      <c r="K2724" s="18"/>
      <c r="L2724" s="2"/>
    </row>
    <row r="2725" spans="11:12">
      <c r="K2725" s="18"/>
      <c r="L2725" s="2"/>
    </row>
    <row r="2726" spans="11:12">
      <c r="K2726" s="18"/>
      <c r="L2726" s="2"/>
    </row>
    <row r="2727" spans="11:12">
      <c r="K2727" s="18"/>
      <c r="L2727" s="2"/>
    </row>
    <row r="2728" spans="11:12">
      <c r="K2728" s="18"/>
      <c r="L2728" s="2"/>
    </row>
    <row r="2729" spans="11:12">
      <c r="K2729" s="18"/>
      <c r="L2729" s="2"/>
    </row>
    <row r="2730" spans="11:12">
      <c r="K2730" s="18"/>
      <c r="L2730" s="2"/>
    </row>
    <row r="2731" spans="11:12">
      <c r="K2731" s="18"/>
      <c r="L2731" s="2"/>
    </row>
    <row r="2732" spans="11:12">
      <c r="K2732" s="18"/>
      <c r="L2732" s="2"/>
    </row>
    <row r="2733" spans="11:12">
      <c r="K2733" s="18"/>
      <c r="L2733" s="2"/>
    </row>
    <row r="2734" spans="11:12">
      <c r="K2734" s="18"/>
      <c r="L2734" s="2"/>
    </row>
    <row r="2735" spans="11:12">
      <c r="K2735" s="18"/>
      <c r="L2735" s="2"/>
    </row>
    <row r="2736" spans="11:12">
      <c r="K2736" s="18"/>
      <c r="L2736" s="2"/>
    </row>
    <row r="2737" spans="11:12">
      <c r="K2737" s="18"/>
      <c r="L2737" s="2"/>
    </row>
    <row r="2738" spans="11:12">
      <c r="K2738" s="18"/>
      <c r="L2738" s="2"/>
    </row>
    <row r="2739" spans="11:12">
      <c r="K2739" s="18"/>
      <c r="L2739" s="2"/>
    </row>
    <row r="2740" spans="11:12">
      <c r="K2740" s="18"/>
      <c r="L2740" s="2"/>
    </row>
    <row r="2741" spans="11:12">
      <c r="K2741" s="18"/>
      <c r="L2741" s="2"/>
    </row>
    <row r="2742" spans="11:12">
      <c r="K2742" s="18"/>
      <c r="L2742" s="2"/>
    </row>
    <row r="2743" spans="11:12">
      <c r="K2743" s="18"/>
      <c r="L2743" s="2"/>
    </row>
    <row r="2744" spans="11:12">
      <c r="K2744" s="18"/>
      <c r="L2744" s="2"/>
    </row>
    <row r="2745" spans="11:12">
      <c r="K2745" s="18"/>
      <c r="L2745" s="2"/>
    </row>
    <row r="2746" spans="11:12">
      <c r="K2746" s="18"/>
      <c r="L2746" s="2"/>
    </row>
    <row r="2747" spans="11:12">
      <c r="K2747" s="18"/>
      <c r="L2747" s="2"/>
    </row>
    <row r="2748" spans="11:12">
      <c r="K2748" s="18"/>
      <c r="L2748" s="2"/>
    </row>
    <row r="2749" spans="11:12">
      <c r="K2749" s="18"/>
      <c r="L2749" s="2"/>
    </row>
    <row r="2750" spans="11:12">
      <c r="K2750" s="18"/>
      <c r="L2750" s="2"/>
    </row>
    <row r="2751" spans="11:12">
      <c r="K2751" s="18"/>
      <c r="L2751" s="2"/>
    </row>
    <row r="2752" spans="11:12">
      <c r="K2752" s="18"/>
      <c r="L2752" s="2"/>
    </row>
    <row r="2753" spans="11:12">
      <c r="K2753" s="18"/>
      <c r="L2753" s="2"/>
    </row>
    <row r="2754" spans="11:12">
      <c r="K2754" s="18"/>
      <c r="L2754" s="2"/>
    </row>
    <row r="2755" spans="11:12">
      <c r="K2755" s="18"/>
      <c r="L2755" s="2"/>
    </row>
    <row r="2756" spans="11:12">
      <c r="K2756" s="18"/>
      <c r="L2756" s="2"/>
    </row>
    <row r="2757" spans="11:12">
      <c r="K2757" s="18"/>
      <c r="L2757" s="2"/>
    </row>
    <row r="2758" spans="11:12">
      <c r="K2758" s="18"/>
      <c r="L2758" s="2"/>
    </row>
    <row r="2759" spans="11:12">
      <c r="K2759" s="18"/>
      <c r="L2759" s="2"/>
    </row>
    <row r="2760" spans="11:12">
      <c r="K2760" s="18"/>
      <c r="L2760" s="2"/>
    </row>
    <row r="2761" spans="11:12">
      <c r="K2761" s="18"/>
      <c r="L2761" s="2"/>
    </row>
    <row r="2762" spans="11:12">
      <c r="K2762" s="18"/>
      <c r="L2762" s="2"/>
    </row>
    <row r="2763" spans="11:12">
      <c r="K2763" s="18"/>
      <c r="L2763" s="2"/>
    </row>
    <row r="2764" spans="11:12">
      <c r="K2764" s="18"/>
      <c r="L2764" s="2"/>
    </row>
    <row r="2765" spans="11:12">
      <c r="K2765" s="18"/>
      <c r="L2765" s="2"/>
    </row>
    <row r="2766" spans="11:12">
      <c r="K2766" s="18"/>
      <c r="L2766" s="2"/>
    </row>
    <row r="2767" spans="11:12">
      <c r="K2767" s="18"/>
      <c r="L2767" s="2"/>
    </row>
    <row r="2768" spans="11:12">
      <c r="K2768" s="18"/>
      <c r="L2768" s="2"/>
    </row>
    <row r="2769" spans="11:12">
      <c r="K2769" s="18"/>
      <c r="L2769" s="2"/>
    </row>
    <row r="2770" spans="11:12">
      <c r="K2770" s="18"/>
      <c r="L2770" s="2"/>
    </row>
    <row r="2771" spans="11:12">
      <c r="K2771" s="18"/>
      <c r="L2771" s="2"/>
    </row>
    <row r="2772" spans="11:12">
      <c r="K2772" s="18"/>
      <c r="L2772" s="2"/>
    </row>
    <row r="2773" spans="11:12">
      <c r="K2773" s="18"/>
      <c r="L2773" s="2"/>
    </row>
    <row r="2774" spans="11:12">
      <c r="K2774" s="18"/>
      <c r="L2774" s="2"/>
    </row>
    <row r="2775" spans="11:12">
      <c r="K2775" s="18"/>
      <c r="L2775" s="2"/>
    </row>
    <row r="2776" spans="11:12">
      <c r="K2776" s="18"/>
      <c r="L2776" s="2"/>
    </row>
    <row r="2777" spans="11:12">
      <c r="K2777" s="18"/>
      <c r="L2777" s="2"/>
    </row>
    <row r="2778" spans="11:12">
      <c r="K2778" s="18"/>
      <c r="L2778" s="2"/>
    </row>
    <row r="2779" spans="11:12">
      <c r="K2779" s="18"/>
      <c r="L2779" s="2"/>
    </row>
    <row r="2780" spans="11:12">
      <c r="K2780" s="18"/>
      <c r="L2780" s="2"/>
    </row>
    <row r="2781" spans="11:12">
      <c r="K2781" s="18"/>
      <c r="L2781" s="2"/>
    </row>
    <row r="2782" spans="11:12">
      <c r="K2782" s="18"/>
      <c r="L2782" s="2"/>
    </row>
    <row r="2783" spans="11:12">
      <c r="K2783" s="18"/>
      <c r="L2783" s="2"/>
    </row>
    <row r="2784" spans="11:12">
      <c r="K2784" s="18"/>
      <c r="L2784" s="2"/>
    </row>
    <row r="2785" spans="11:12">
      <c r="K2785" s="18"/>
      <c r="L2785" s="2"/>
    </row>
    <row r="2786" spans="11:12">
      <c r="K2786" s="18"/>
      <c r="L2786" s="2"/>
    </row>
    <row r="2787" spans="11:12">
      <c r="K2787" s="18"/>
      <c r="L2787" s="2"/>
    </row>
    <row r="2788" spans="11:12">
      <c r="K2788" s="18"/>
      <c r="L2788" s="2"/>
    </row>
    <row r="2789" spans="11:12">
      <c r="K2789" s="18"/>
      <c r="L2789" s="2"/>
    </row>
    <row r="2790" spans="11:12">
      <c r="K2790" s="18"/>
      <c r="L2790" s="2"/>
    </row>
    <row r="2791" spans="11:12">
      <c r="K2791" s="18"/>
      <c r="L2791" s="2"/>
    </row>
    <row r="2792" spans="11:12">
      <c r="K2792" s="18"/>
      <c r="L2792" s="2"/>
    </row>
    <row r="2793" spans="11:12">
      <c r="K2793" s="18"/>
      <c r="L2793" s="2"/>
    </row>
    <row r="2794" spans="11:12">
      <c r="K2794" s="18"/>
      <c r="L2794" s="2"/>
    </row>
    <row r="2795" spans="11:12">
      <c r="K2795" s="18"/>
      <c r="L2795" s="2"/>
    </row>
    <row r="2796" spans="11:12">
      <c r="K2796" s="18"/>
      <c r="L2796" s="2"/>
    </row>
    <row r="2797" spans="11:12">
      <c r="K2797" s="18"/>
      <c r="L2797" s="2"/>
    </row>
    <row r="2798" spans="11:12">
      <c r="K2798" s="18"/>
      <c r="L2798" s="2"/>
    </row>
    <row r="2799" spans="11:12">
      <c r="K2799" s="18"/>
      <c r="L2799" s="2"/>
    </row>
    <row r="2800" spans="11:12">
      <c r="K2800" s="18"/>
      <c r="L2800" s="2"/>
    </row>
    <row r="2801" spans="11:12">
      <c r="K2801" s="18"/>
      <c r="L2801" s="2"/>
    </row>
    <row r="2802" spans="11:12">
      <c r="K2802" s="18"/>
      <c r="L2802" s="2"/>
    </row>
    <row r="2803" spans="11:12">
      <c r="K2803" s="18"/>
      <c r="L2803" s="2"/>
    </row>
    <row r="2804" spans="11:12">
      <c r="K2804" s="18"/>
      <c r="L2804" s="2"/>
    </row>
    <row r="2805" spans="11:12">
      <c r="K2805" s="18"/>
      <c r="L2805" s="2"/>
    </row>
    <row r="2806" spans="11:12">
      <c r="K2806" s="18"/>
      <c r="L2806" s="2"/>
    </row>
    <row r="2807" spans="11:12">
      <c r="K2807" s="18"/>
      <c r="L2807" s="2"/>
    </row>
    <row r="2808" spans="11:12">
      <c r="K2808" s="18"/>
      <c r="L2808" s="2"/>
    </row>
    <row r="2809" spans="11:12">
      <c r="K2809" s="18"/>
      <c r="L2809" s="2"/>
    </row>
    <row r="2810" spans="11:12">
      <c r="K2810" s="18"/>
      <c r="L2810" s="2"/>
    </row>
    <row r="2811" spans="11:12">
      <c r="K2811" s="18"/>
      <c r="L2811" s="2"/>
    </row>
    <row r="2812" spans="11:12">
      <c r="K2812" s="18"/>
      <c r="L2812" s="2"/>
    </row>
    <row r="2813" spans="11:12">
      <c r="K2813" s="18"/>
      <c r="L2813" s="2"/>
    </row>
    <row r="2814" spans="11:12">
      <c r="K2814" s="18"/>
      <c r="L2814" s="2"/>
    </row>
    <row r="2815" spans="11:12">
      <c r="K2815" s="18"/>
      <c r="L2815" s="2"/>
    </row>
    <row r="2816" spans="11:12">
      <c r="K2816" s="18"/>
      <c r="L2816" s="2"/>
    </row>
    <row r="2817" spans="11:12">
      <c r="K2817" s="18"/>
      <c r="L2817" s="2"/>
    </row>
    <row r="2818" spans="11:12">
      <c r="K2818" s="18"/>
      <c r="L2818" s="2"/>
    </row>
    <row r="2819" spans="11:12">
      <c r="K2819" s="18"/>
      <c r="L2819" s="2"/>
    </row>
    <row r="2820" spans="11:12">
      <c r="K2820" s="18"/>
      <c r="L2820" s="2"/>
    </row>
    <row r="2821" spans="11:12">
      <c r="K2821" s="18"/>
      <c r="L2821" s="2"/>
    </row>
    <row r="2822" spans="11:12">
      <c r="K2822" s="18"/>
      <c r="L2822" s="2"/>
    </row>
    <row r="2823" spans="11:12">
      <c r="K2823" s="18"/>
      <c r="L2823" s="2"/>
    </row>
    <row r="2824" spans="11:12">
      <c r="K2824" s="18"/>
      <c r="L2824" s="2"/>
    </row>
    <row r="2825" spans="11:12">
      <c r="K2825" s="18"/>
      <c r="L2825" s="2"/>
    </row>
    <row r="2826" spans="11:12">
      <c r="K2826" s="18"/>
      <c r="L2826" s="2"/>
    </row>
    <row r="2827" spans="11:12">
      <c r="K2827" s="18"/>
      <c r="L2827" s="2"/>
    </row>
    <row r="2828" spans="11:12">
      <c r="K2828" s="18"/>
      <c r="L2828" s="2"/>
    </row>
    <row r="2829" spans="11:12">
      <c r="K2829" s="18"/>
      <c r="L2829" s="2"/>
    </row>
    <row r="2830" spans="11:12">
      <c r="K2830" s="18"/>
      <c r="L2830" s="2"/>
    </row>
    <row r="2831" spans="11:12">
      <c r="K2831" s="18"/>
      <c r="L2831" s="2"/>
    </row>
    <row r="2832" spans="11:12">
      <c r="K2832" s="18"/>
      <c r="L2832" s="2"/>
    </row>
    <row r="2833" spans="11:12">
      <c r="K2833" s="18"/>
      <c r="L2833" s="2"/>
    </row>
    <row r="2834" spans="11:12">
      <c r="K2834" s="18"/>
      <c r="L2834" s="2"/>
    </row>
    <row r="2835" spans="11:12">
      <c r="K2835" s="18"/>
      <c r="L2835" s="2"/>
    </row>
    <row r="2836" spans="11:12">
      <c r="K2836" s="18"/>
      <c r="L2836" s="2"/>
    </row>
    <row r="2837" spans="11:12">
      <c r="K2837" s="18"/>
      <c r="L2837" s="2"/>
    </row>
    <row r="2838" spans="11:12">
      <c r="K2838" s="18"/>
      <c r="L2838" s="2"/>
    </row>
    <row r="2839" spans="11:12">
      <c r="K2839" s="18"/>
      <c r="L2839" s="2"/>
    </row>
    <row r="2840" spans="11:12">
      <c r="K2840" s="18"/>
      <c r="L2840" s="2"/>
    </row>
    <row r="2841" spans="11:12">
      <c r="K2841" s="18"/>
      <c r="L2841" s="2"/>
    </row>
    <row r="2842" spans="11:12">
      <c r="K2842" s="18"/>
      <c r="L2842" s="2"/>
    </row>
    <row r="2843" spans="11:12">
      <c r="K2843" s="18"/>
      <c r="L2843" s="2"/>
    </row>
    <row r="2844" spans="11:12">
      <c r="K2844" s="18"/>
      <c r="L2844" s="2"/>
    </row>
    <row r="2845" spans="11:12">
      <c r="K2845" s="18"/>
      <c r="L2845" s="2"/>
    </row>
    <row r="2846" spans="11:12">
      <c r="K2846" s="18"/>
      <c r="L2846" s="2"/>
    </row>
    <row r="2847" spans="11:12">
      <c r="K2847" s="18"/>
      <c r="L2847" s="2"/>
    </row>
    <row r="2848" spans="11:12">
      <c r="K2848" s="18"/>
      <c r="L2848" s="2"/>
    </row>
    <row r="2849" spans="11:12">
      <c r="K2849" s="18"/>
      <c r="L2849" s="2"/>
    </row>
    <row r="2850" spans="11:12">
      <c r="K2850" s="18"/>
      <c r="L2850" s="2"/>
    </row>
    <row r="2851" spans="11:12">
      <c r="K2851" s="18"/>
      <c r="L2851" s="2"/>
    </row>
    <row r="2852" spans="11:12">
      <c r="K2852" s="18"/>
      <c r="L2852" s="2"/>
    </row>
    <row r="2853" spans="11:12">
      <c r="K2853" s="18"/>
      <c r="L2853" s="2"/>
    </row>
    <row r="2854" spans="11:12">
      <c r="K2854" s="18"/>
      <c r="L2854" s="2"/>
    </row>
    <row r="2855" spans="11:12">
      <c r="K2855" s="18"/>
      <c r="L2855" s="2"/>
    </row>
    <row r="2856" spans="11:12">
      <c r="K2856" s="18"/>
      <c r="L2856" s="2"/>
    </row>
    <row r="2857" spans="11:12">
      <c r="K2857" s="18"/>
      <c r="L2857" s="2"/>
    </row>
    <row r="2858" spans="11:12">
      <c r="K2858" s="18"/>
      <c r="L2858" s="2"/>
    </row>
    <row r="2859" spans="11:12">
      <c r="K2859" s="18"/>
      <c r="L2859" s="2"/>
    </row>
    <row r="2860" spans="11:12">
      <c r="K2860" s="18"/>
      <c r="L2860" s="2"/>
    </row>
    <row r="2861" spans="11:12">
      <c r="K2861" s="18"/>
      <c r="L2861" s="2"/>
    </row>
    <row r="2862" spans="11:12">
      <c r="K2862" s="18"/>
      <c r="L2862" s="2"/>
    </row>
    <row r="2863" spans="11:12">
      <c r="K2863" s="18"/>
      <c r="L2863" s="2"/>
    </row>
    <row r="2864" spans="11:12">
      <c r="K2864" s="18"/>
      <c r="L2864" s="2"/>
    </row>
    <row r="2865" spans="11:12">
      <c r="K2865" s="18"/>
      <c r="L2865" s="2"/>
    </row>
    <row r="2866" spans="11:12">
      <c r="K2866" s="18"/>
      <c r="L2866" s="2"/>
    </row>
    <row r="2867" spans="11:12">
      <c r="K2867" s="18"/>
      <c r="L2867" s="2"/>
    </row>
    <row r="2868" spans="11:12">
      <c r="K2868" s="18"/>
      <c r="L2868" s="2"/>
    </row>
    <row r="2869" spans="11:12">
      <c r="K2869" s="18"/>
      <c r="L2869" s="2"/>
    </row>
    <row r="2870" spans="11:12">
      <c r="K2870" s="18"/>
      <c r="L2870" s="2"/>
    </row>
    <row r="2871" spans="11:12">
      <c r="K2871" s="18"/>
      <c r="L2871" s="2"/>
    </row>
    <row r="2872" spans="11:12">
      <c r="K2872" s="18"/>
      <c r="L2872" s="2"/>
    </row>
    <row r="2873" spans="11:12">
      <c r="K2873" s="18"/>
      <c r="L2873" s="2"/>
    </row>
    <row r="2874" spans="11:12">
      <c r="K2874" s="18"/>
      <c r="L2874" s="2"/>
    </row>
    <row r="2875" spans="11:12">
      <c r="K2875" s="18"/>
      <c r="L2875" s="2"/>
    </row>
    <row r="2876" spans="11:12">
      <c r="K2876" s="18"/>
      <c r="L2876" s="2"/>
    </row>
    <row r="2877" spans="11:12">
      <c r="K2877" s="18"/>
      <c r="L2877" s="2"/>
    </row>
    <row r="2878" spans="11:12">
      <c r="K2878" s="18"/>
      <c r="L2878" s="2"/>
    </row>
    <row r="2879" spans="11:12">
      <c r="K2879" s="18"/>
      <c r="L2879" s="2"/>
    </row>
    <row r="2880" spans="11:12">
      <c r="K2880" s="18"/>
      <c r="L2880" s="2"/>
    </row>
    <row r="2881" spans="11:12">
      <c r="K2881" s="18"/>
      <c r="L2881" s="2"/>
    </row>
    <row r="2882" spans="11:12">
      <c r="K2882" s="18"/>
      <c r="L2882" s="2"/>
    </row>
    <row r="2883" spans="11:12">
      <c r="K2883" s="18"/>
      <c r="L2883" s="2"/>
    </row>
    <row r="2884" spans="11:12">
      <c r="K2884" s="18"/>
      <c r="L2884" s="2"/>
    </row>
    <row r="2885" spans="11:12">
      <c r="K2885" s="18"/>
      <c r="L2885" s="2"/>
    </row>
    <row r="2886" spans="11:12">
      <c r="K2886" s="18"/>
      <c r="L2886" s="2"/>
    </row>
    <row r="2887" spans="11:12">
      <c r="K2887" s="18"/>
      <c r="L2887" s="2"/>
    </row>
    <row r="2888" spans="11:12">
      <c r="K2888" s="18"/>
      <c r="L2888" s="2"/>
    </row>
    <row r="2889" spans="11:12">
      <c r="K2889" s="18"/>
      <c r="L2889" s="2"/>
    </row>
    <row r="2890" spans="11:12">
      <c r="K2890" s="18"/>
      <c r="L2890" s="2"/>
    </row>
    <row r="2891" spans="11:12">
      <c r="K2891" s="18"/>
      <c r="L2891" s="2"/>
    </row>
    <row r="2892" spans="11:12">
      <c r="K2892" s="18"/>
      <c r="L2892" s="2"/>
    </row>
    <row r="2893" spans="11:12">
      <c r="K2893" s="18"/>
      <c r="L2893" s="2"/>
    </row>
    <row r="2894" spans="11:12">
      <c r="K2894" s="18"/>
      <c r="L2894" s="2"/>
    </row>
    <row r="2895" spans="11:12">
      <c r="K2895" s="18"/>
      <c r="L2895" s="2"/>
    </row>
    <row r="2896" spans="11:12">
      <c r="K2896" s="18"/>
      <c r="L2896" s="2"/>
    </row>
    <row r="2897" spans="11:12">
      <c r="K2897" s="18"/>
      <c r="L2897" s="2"/>
    </row>
    <row r="2898" spans="11:12">
      <c r="K2898" s="18"/>
      <c r="L2898" s="2"/>
    </row>
    <row r="2899" spans="11:12">
      <c r="K2899" s="18"/>
      <c r="L2899" s="2"/>
    </row>
    <row r="2900" spans="11:12">
      <c r="K2900" s="18"/>
      <c r="L2900" s="2"/>
    </row>
    <row r="2901" spans="11:12">
      <c r="K2901" s="18"/>
      <c r="L2901" s="2"/>
    </row>
    <row r="2902" spans="11:12">
      <c r="K2902" s="18"/>
      <c r="L2902" s="2"/>
    </row>
    <row r="2903" spans="11:12">
      <c r="K2903" s="18"/>
      <c r="L2903" s="2"/>
    </row>
    <row r="2904" spans="11:12">
      <c r="K2904" s="18"/>
      <c r="L2904" s="2"/>
    </row>
    <row r="2905" spans="11:12">
      <c r="K2905" s="18"/>
      <c r="L2905" s="2"/>
    </row>
    <row r="2906" spans="11:12">
      <c r="K2906" s="18"/>
      <c r="L2906" s="2"/>
    </row>
    <row r="2907" spans="11:12">
      <c r="K2907" s="18"/>
      <c r="L2907" s="2"/>
    </row>
    <row r="2908" spans="11:12">
      <c r="K2908" s="18"/>
      <c r="L2908" s="2"/>
    </row>
    <row r="2909" spans="11:12">
      <c r="K2909" s="18"/>
      <c r="L2909" s="2"/>
    </row>
    <row r="2910" spans="11:12">
      <c r="K2910" s="18"/>
      <c r="L2910" s="2"/>
    </row>
    <row r="2911" spans="11:12">
      <c r="K2911" s="18"/>
      <c r="L2911" s="2"/>
    </row>
    <row r="2912" spans="11:12">
      <c r="K2912" s="18"/>
      <c r="L2912" s="2"/>
    </row>
    <row r="2913" spans="11:12">
      <c r="K2913" s="18"/>
      <c r="L2913" s="2"/>
    </row>
    <row r="2914" spans="11:12">
      <c r="K2914" s="18"/>
      <c r="L2914" s="2"/>
    </row>
    <row r="2915" spans="11:12">
      <c r="K2915" s="18"/>
      <c r="L2915" s="2"/>
    </row>
    <row r="2916" spans="11:12">
      <c r="K2916" s="18"/>
      <c r="L2916" s="2"/>
    </row>
    <row r="2917" spans="11:12">
      <c r="K2917" s="18"/>
      <c r="L2917" s="2"/>
    </row>
    <row r="2918" spans="11:12">
      <c r="K2918" s="18"/>
      <c r="L2918" s="2"/>
    </row>
    <row r="2919" spans="11:12">
      <c r="K2919" s="18"/>
      <c r="L2919" s="2"/>
    </row>
    <row r="2920" spans="11:12">
      <c r="K2920" s="18"/>
      <c r="L2920" s="2"/>
    </row>
    <row r="2921" spans="11:12">
      <c r="K2921" s="18"/>
      <c r="L2921" s="2"/>
    </row>
    <row r="2922" spans="11:12">
      <c r="K2922" s="18"/>
      <c r="L2922" s="2"/>
    </row>
    <row r="2923" spans="11:12">
      <c r="K2923" s="18"/>
      <c r="L2923" s="2"/>
    </row>
    <row r="2924" spans="11:12">
      <c r="K2924" s="18"/>
      <c r="L2924" s="2"/>
    </row>
    <row r="2925" spans="11:12">
      <c r="K2925" s="18"/>
      <c r="L2925" s="2"/>
    </row>
    <row r="2926" spans="11:12">
      <c r="K2926" s="18"/>
      <c r="L2926" s="2"/>
    </row>
    <row r="2927" spans="11:12">
      <c r="K2927" s="18"/>
      <c r="L2927" s="2"/>
    </row>
    <row r="2928" spans="11:12">
      <c r="K2928" s="18"/>
      <c r="L2928" s="2"/>
    </row>
    <row r="2929" spans="11:12">
      <c r="K2929" s="18"/>
      <c r="L2929" s="2"/>
    </row>
    <row r="2930" spans="11:12">
      <c r="K2930" s="18"/>
      <c r="L2930" s="2"/>
    </row>
    <row r="2931" spans="11:12">
      <c r="K2931" s="18"/>
      <c r="L2931" s="2"/>
    </row>
    <row r="2932" spans="11:12">
      <c r="K2932" s="18"/>
      <c r="L2932" s="2"/>
    </row>
    <row r="2933" spans="11:12">
      <c r="K2933" s="18"/>
      <c r="L2933" s="2"/>
    </row>
    <row r="2934" spans="11:12">
      <c r="K2934" s="18"/>
      <c r="L2934" s="2"/>
    </row>
    <row r="2935" spans="11:12">
      <c r="K2935" s="18"/>
      <c r="L2935" s="2"/>
    </row>
    <row r="2936" spans="11:12">
      <c r="K2936" s="18"/>
      <c r="L2936" s="2"/>
    </row>
    <row r="2937" spans="11:12">
      <c r="K2937" s="18"/>
      <c r="L2937" s="2"/>
    </row>
    <row r="2938" spans="11:12">
      <c r="K2938" s="18"/>
      <c r="L2938" s="2"/>
    </row>
    <row r="2939" spans="11:12">
      <c r="K2939" s="18"/>
      <c r="L2939" s="2"/>
    </row>
    <row r="2940" spans="11:12">
      <c r="K2940" s="18"/>
      <c r="L2940" s="2"/>
    </row>
    <row r="2941" spans="11:12">
      <c r="K2941" s="18"/>
      <c r="L2941" s="2"/>
    </row>
    <row r="2942" spans="11:12">
      <c r="K2942" s="18"/>
      <c r="L2942" s="2"/>
    </row>
    <row r="2943" spans="11:12">
      <c r="K2943" s="18"/>
      <c r="L2943" s="2"/>
    </row>
    <row r="2944" spans="11:12">
      <c r="K2944" s="18"/>
      <c r="L2944" s="2"/>
    </row>
    <row r="2945" spans="11:12">
      <c r="K2945" s="18"/>
      <c r="L2945" s="2"/>
    </row>
    <row r="2946" spans="11:12">
      <c r="K2946" s="18"/>
      <c r="L2946" s="2"/>
    </row>
    <row r="2947" spans="11:12">
      <c r="K2947" s="18"/>
      <c r="L2947" s="2"/>
    </row>
    <row r="2948" spans="11:12">
      <c r="K2948" s="18"/>
      <c r="L2948" s="2"/>
    </row>
    <row r="2949" spans="11:12">
      <c r="K2949" s="18"/>
      <c r="L2949" s="2"/>
    </row>
    <row r="2950" spans="11:12">
      <c r="K2950" s="18"/>
      <c r="L2950" s="2"/>
    </row>
    <row r="2951" spans="11:12">
      <c r="K2951" s="18"/>
      <c r="L2951" s="2"/>
    </row>
    <row r="2952" spans="11:12">
      <c r="K2952" s="18"/>
      <c r="L2952" s="2"/>
    </row>
    <row r="2953" spans="11:12">
      <c r="K2953" s="18"/>
      <c r="L2953" s="2"/>
    </row>
    <row r="2954" spans="11:12">
      <c r="K2954" s="18"/>
      <c r="L2954" s="2"/>
    </row>
    <row r="2955" spans="11:12">
      <c r="K2955" s="18"/>
      <c r="L2955" s="2"/>
    </row>
    <row r="2956" spans="11:12">
      <c r="K2956" s="18"/>
      <c r="L2956" s="2"/>
    </row>
    <row r="2957" spans="11:12">
      <c r="K2957" s="18"/>
      <c r="L2957" s="2"/>
    </row>
    <row r="2958" spans="11:12">
      <c r="K2958" s="18"/>
      <c r="L2958" s="2"/>
    </row>
    <row r="2959" spans="11:12">
      <c r="K2959" s="18"/>
      <c r="L2959" s="2"/>
    </row>
    <row r="2960" spans="11:12">
      <c r="K2960" s="18"/>
      <c r="L2960" s="2"/>
    </row>
    <row r="2961" spans="11:12">
      <c r="K2961" s="18"/>
      <c r="L2961" s="2"/>
    </row>
    <row r="2962" spans="11:12">
      <c r="K2962" s="18"/>
      <c r="L2962" s="2"/>
    </row>
    <row r="2963" spans="11:12">
      <c r="K2963" s="18"/>
      <c r="L2963" s="2"/>
    </row>
    <row r="2964" spans="11:12">
      <c r="K2964" s="18"/>
      <c r="L2964" s="2"/>
    </row>
    <row r="2965" spans="11:12">
      <c r="K2965" s="18"/>
      <c r="L2965" s="2"/>
    </row>
    <row r="2966" spans="11:12">
      <c r="K2966" s="18"/>
      <c r="L2966" s="2"/>
    </row>
    <row r="2967" spans="11:12">
      <c r="K2967" s="18"/>
      <c r="L2967" s="2"/>
    </row>
    <row r="2968" spans="11:12">
      <c r="K2968" s="18"/>
      <c r="L2968" s="2"/>
    </row>
    <row r="2969" spans="11:12">
      <c r="K2969" s="18"/>
      <c r="L2969" s="2"/>
    </row>
    <row r="2970" spans="11:12">
      <c r="K2970" s="18"/>
      <c r="L2970" s="2"/>
    </row>
    <row r="2971" spans="11:12">
      <c r="K2971" s="18"/>
      <c r="L2971" s="2"/>
    </row>
    <row r="2972" spans="11:12">
      <c r="K2972" s="18"/>
      <c r="L2972" s="2"/>
    </row>
    <row r="2973" spans="11:12">
      <c r="K2973" s="18"/>
      <c r="L2973" s="2"/>
    </row>
    <row r="2974" spans="11:12">
      <c r="K2974" s="18"/>
      <c r="L2974" s="2"/>
    </row>
    <row r="2975" spans="11:12">
      <c r="K2975" s="18"/>
      <c r="L2975" s="2"/>
    </row>
    <row r="2976" spans="11:12">
      <c r="K2976" s="18"/>
      <c r="L2976" s="2"/>
    </row>
    <row r="2977" spans="11:12">
      <c r="K2977" s="18"/>
      <c r="L2977" s="2"/>
    </row>
    <row r="2978" spans="11:12">
      <c r="K2978" s="18"/>
      <c r="L2978" s="2"/>
    </row>
    <row r="2979" spans="11:12">
      <c r="K2979" s="18"/>
      <c r="L2979" s="2"/>
    </row>
    <row r="2980" spans="11:12">
      <c r="K2980" s="18"/>
      <c r="L2980" s="2"/>
    </row>
    <row r="2981" spans="11:12">
      <c r="K2981" s="18"/>
      <c r="L2981" s="2"/>
    </row>
    <row r="2982" spans="11:12">
      <c r="K2982" s="18"/>
      <c r="L2982" s="2"/>
    </row>
    <row r="2983" spans="11:12">
      <c r="K2983" s="18"/>
      <c r="L2983" s="2"/>
    </row>
    <row r="2984" spans="11:12">
      <c r="K2984" s="18"/>
      <c r="L2984" s="2"/>
    </row>
    <row r="2985" spans="11:12">
      <c r="K2985" s="18"/>
      <c r="L2985" s="2"/>
    </row>
    <row r="2986" spans="11:12">
      <c r="K2986" s="18"/>
      <c r="L2986" s="2"/>
    </row>
    <row r="2987" spans="11:12">
      <c r="K2987" s="18"/>
      <c r="L2987" s="2"/>
    </row>
    <row r="2988" spans="11:12">
      <c r="K2988" s="18"/>
      <c r="L2988" s="2"/>
    </row>
    <row r="2989" spans="11:12">
      <c r="K2989" s="18"/>
      <c r="L2989" s="2"/>
    </row>
    <row r="2990" spans="11:12">
      <c r="K2990" s="18"/>
      <c r="L2990" s="2"/>
    </row>
    <row r="2991" spans="11:12">
      <c r="K2991" s="18"/>
      <c r="L2991" s="2"/>
    </row>
    <row r="2992" spans="11:12">
      <c r="K2992" s="18"/>
      <c r="L2992" s="2"/>
    </row>
    <row r="2993" spans="11:12">
      <c r="K2993" s="18"/>
      <c r="L2993" s="2"/>
    </row>
    <row r="2994" spans="11:12">
      <c r="K2994" s="18"/>
      <c r="L2994" s="2"/>
    </row>
    <row r="2995" spans="11:12">
      <c r="K2995" s="18"/>
      <c r="L2995" s="2"/>
    </row>
    <row r="2996" spans="11:12">
      <c r="K2996" s="18"/>
      <c r="L2996" s="2"/>
    </row>
    <row r="2997" spans="11:12">
      <c r="K2997" s="18"/>
      <c r="L2997" s="2"/>
    </row>
    <row r="2998" spans="11:12">
      <c r="K2998" s="18"/>
      <c r="L2998" s="2"/>
    </row>
    <row r="2999" spans="11:12">
      <c r="K2999" s="18"/>
      <c r="L2999" s="2"/>
    </row>
    <row r="3000" spans="11:12">
      <c r="K3000" s="18"/>
      <c r="L3000" s="2"/>
    </row>
    <row r="3001" spans="11:12">
      <c r="K3001" s="18"/>
      <c r="L3001" s="2"/>
    </row>
    <row r="3002" spans="11:12">
      <c r="K3002" s="18"/>
      <c r="L3002" s="2"/>
    </row>
    <row r="3003" spans="11:12">
      <c r="K3003" s="18"/>
      <c r="L3003" s="2"/>
    </row>
    <row r="3004" spans="11:12">
      <c r="K3004" s="18"/>
      <c r="L3004" s="2"/>
    </row>
    <row r="3005" spans="11:12">
      <c r="K3005" s="18"/>
      <c r="L3005" s="2"/>
    </row>
    <row r="3006" spans="11:12">
      <c r="K3006" s="18"/>
      <c r="L3006" s="2"/>
    </row>
    <row r="3007" spans="11:12">
      <c r="K3007" s="18"/>
      <c r="L3007" s="2"/>
    </row>
    <row r="3008" spans="11:12">
      <c r="K3008" s="18"/>
      <c r="L3008" s="2"/>
    </row>
    <row r="3009" spans="11:12">
      <c r="K3009" s="18"/>
      <c r="L3009" s="2"/>
    </row>
    <row r="3010" spans="11:12">
      <c r="K3010" s="18"/>
      <c r="L3010" s="2"/>
    </row>
    <row r="3011" spans="11:12">
      <c r="K3011" s="18"/>
      <c r="L3011" s="2"/>
    </row>
    <row r="3012" spans="11:12">
      <c r="K3012" s="18"/>
      <c r="L3012" s="2"/>
    </row>
    <row r="3013" spans="11:12">
      <c r="K3013" s="18"/>
      <c r="L3013" s="2"/>
    </row>
    <row r="3014" spans="11:12">
      <c r="K3014" s="18"/>
      <c r="L3014" s="2"/>
    </row>
    <row r="3015" spans="11:12">
      <c r="K3015" s="18"/>
      <c r="L3015" s="2"/>
    </row>
    <row r="3016" spans="11:12">
      <c r="K3016" s="18"/>
      <c r="L3016" s="2"/>
    </row>
    <row r="3017" spans="11:12">
      <c r="K3017" s="18"/>
      <c r="L3017" s="2"/>
    </row>
    <row r="3018" spans="11:12">
      <c r="K3018" s="18"/>
      <c r="L3018" s="2"/>
    </row>
    <row r="3019" spans="11:12">
      <c r="K3019" s="18"/>
      <c r="L3019" s="2"/>
    </row>
    <row r="3020" spans="11:12">
      <c r="K3020" s="18"/>
      <c r="L3020" s="2"/>
    </row>
    <row r="3021" spans="11:12">
      <c r="K3021" s="18"/>
      <c r="L3021" s="2"/>
    </row>
    <row r="3022" spans="11:12">
      <c r="K3022" s="18"/>
      <c r="L3022" s="2"/>
    </row>
    <row r="3023" spans="11:12">
      <c r="K3023" s="18"/>
      <c r="L3023" s="2"/>
    </row>
    <row r="3024" spans="11:12">
      <c r="K3024" s="18"/>
      <c r="L3024" s="2"/>
    </row>
    <row r="3025" spans="11:12">
      <c r="K3025" s="18"/>
      <c r="L3025" s="2"/>
    </row>
    <row r="3026" spans="11:12">
      <c r="K3026" s="18"/>
      <c r="L3026" s="2"/>
    </row>
    <row r="3027" spans="11:12">
      <c r="K3027" s="18"/>
      <c r="L3027" s="2"/>
    </row>
    <row r="3028" spans="11:12">
      <c r="K3028" s="18"/>
      <c r="L3028" s="2"/>
    </row>
    <row r="3029" spans="11:12">
      <c r="K3029" s="18"/>
      <c r="L3029" s="2"/>
    </row>
    <row r="3030" spans="11:12">
      <c r="K3030" s="18"/>
      <c r="L3030" s="2"/>
    </row>
    <row r="3031" spans="11:12">
      <c r="K3031" s="18"/>
      <c r="L3031" s="2"/>
    </row>
    <row r="3032" spans="11:12">
      <c r="K3032" s="18"/>
      <c r="L3032" s="2"/>
    </row>
    <row r="3033" spans="11:12">
      <c r="K3033" s="18"/>
      <c r="L3033" s="2"/>
    </row>
    <row r="3034" spans="11:12">
      <c r="K3034" s="18"/>
      <c r="L3034" s="2"/>
    </row>
    <row r="3035" spans="11:12">
      <c r="K3035" s="18"/>
      <c r="L3035" s="2"/>
    </row>
    <row r="3036" spans="11:12">
      <c r="K3036" s="18"/>
      <c r="L3036" s="2"/>
    </row>
    <row r="3037" spans="11:12">
      <c r="K3037" s="18"/>
      <c r="L3037" s="2"/>
    </row>
    <row r="3038" spans="11:12">
      <c r="K3038" s="18"/>
      <c r="L3038" s="2"/>
    </row>
    <row r="3039" spans="11:12">
      <c r="K3039" s="18"/>
      <c r="L3039" s="2"/>
    </row>
    <row r="3040" spans="11:12">
      <c r="K3040" s="18"/>
      <c r="L3040" s="2"/>
    </row>
    <row r="3041" spans="11:12">
      <c r="K3041" s="18"/>
      <c r="L3041" s="2"/>
    </row>
    <row r="3042" spans="11:12">
      <c r="K3042" s="18"/>
      <c r="L3042" s="2"/>
    </row>
    <row r="3043" spans="11:12">
      <c r="K3043" s="18"/>
      <c r="L3043" s="2"/>
    </row>
    <row r="3044" spans="11:12">
      <c r="K3044" s="18"/>
      <c r="L3044" s="2"/>
    </row>
    <row r="3045" spans="11:12">
      <c r="K3045" s="18"/>
      <c r="L3045" s="2"/>
    </row>
    <row r="3046" spans="11:12">
      <c r="K3046" s="18"/>
      <c r="L3046" s="2"/>
    </row>
    <row r="3047" spans="11:12">
      <c r="K3047" s="18"/>
      <c r="L3047" s="2"/>
    </row>
    <row r="3048" spans="11:12">
      <c r="K3048" s="18"/>
      <c r="L3048" s="2"/>
    </row>
    <row r="3049" spans="11:12">
      <c r="K3049" s="18"/>
      <c r="L3049" s="2"/>
    </row>
    <row r="3050" spans="11:12">
      <c r="K3050" s="18"/>
      <c r="L3050" s="2"/>
    </row>
    <row r="3051" spans="11:12">
      <c r="K3051" s="18"/>
      <c r="L3051" s="2"/>
    </row>
    <row r="3052" spans="11:12">
      <c r="K3052" s="18"/>
      <c r="L3052" s="2"/>
    </row>
    <row r="3053" spans="11:12">
      <c r="K3053" s="18"/>
      <c r="L3053" s="2"/>
    </row>
    <row r="3054" spans="11:12">
      <c r="K3054" s="18"/>
      <c r="L3054" s="2"/>
    </row>
    <row r="3055" spans="11:12">
      <c r="K3055" s="18"/>
      <c r="L3055" s="2"/>
    </row>
    <row r="3056" spans="11:12">
      <c r="K3056" s="18"/>
      <c r="L3056" s="2"/>
    </row>
    <row r="3057" spans="11:12">
      <c r="K3057" s="18"/>
      <c r="L3057" s="2"/>
    </row>
    <row r="3058" spans="11:12">
      <c r="K3058" s="18"/>
      <c r="L3058" s="2"/>
    </row>
    <row r="3059" spans="11:12">
      <c r="K3059" s="18"/>
      <c r="L3059" s="2"/>
    </row>
    <row r="3060" spans="11:12">
      <c r="K3060" s="18"/>
      <c r="L3060" s="2"/>
    </row>
    <row r="3061" spans="11:12">
      <c r="K3061" s="18"/>
      <c r="L3061" s="2"/>
    </row>
    <row r="3062" spans="11:12">
      <c r="K3062" s="18"/>
      <c r="L3062" s="2"/>
    </row>
    <row r="3063" spans="11:12">
      <c r="K3063" s="18"/>
      <c r="L3063" s="2"/>
    </row>
    <row r="3064" spans="11:12">
      <c r="K3064" s="18"/>
      <c r="L3064" s="2"/>
    </row>
    <row r="3065" spans="11:12">
      <c r="K3065" s="18"/>
      <c r="L3065" s="2"/>
    </row>
    <row r="3066" spans="11:12">
      <c r="K3066" s="18"/>
      <c r="L3066" s="2"/>
    </row>
    <row r="3067" spans="11:12">
      <c r="K3067" s="18"/>
      <c r="L3067" s="2"/>
    </row>
    <row r="3068" spans="11:12">
      <c r="K3068" s="18"/>
      <c r="L3068" s="2"/>
    </row>
    <row r="3069" spans="11:12">
      <c r="K3069" s="18"/>
      <c r="L3069" s="2"/>
    </row>
    <row r="3070" spans="11:12">
      <c r="K3070" s="18"/>
      <c r="L3070" s="2"/>
    </row>
    <row r="3071" spans="11:12">
      <c r="K3071" s="18"/>
      <c r="L3071" s="2"/>
    </row>
    <row r="3072" spans="11:12">
      <c r="K3072" s="18"/>
      <c r="L3072" s="2"/>
    </row>
    <row r="3073" spans="11:12">
      <c r="K3073" s="18"/>
      <c r="L3073" s="2"/>
    </row>
    <row r="3074" spans="11:12">
      <c r="K3074" s="18"/>
      <c r="L3074" s="2"/>
    </row>
    <row r="3075" spans="11:12">
      <c r="K3075" s="18"/>
      <c r="L3075" s="2"/>
    </row>
    <row r="3076" spans="11:12">
      <c r="K3076" s="18"/>
      <c r="L3076" s="2"/>
    </row>
    <row r="3077" spans="11:12">
      <c r="K3077" s="18"/>
      <c r="L3077" s="2"/>
    </row>
    <row r="3078" spans="11:12">
      <c r="K3078" s="18"/>
      <c r="L3078" s="2"/>
    </row>
    <row r="3079" spans="11:12">
      <c r="K3079" s="18"/>
      <c r="L3079" s="2"/>
    </row>
    <row r="3080" spans="11:12">
      <c r="K3080" s="18"/>
      <c r="L3080" s="2"/>
    </row>
    <row r="3081" spans="11:12">
      <c r="K3081" s="18"/>
      <c r="L3081" s="2"/>
    </row>
    <row r="3082" spans="11:12">
      <c r="K3082" s="18"/>
      <c r="L3082" s="2"/>
    </row>
    <row r="3083" spans="11:12">
      <c r="K3083" s="18"/>
      <c r="L3083" s="2"/>
    </row>
    <row r="3084" spans="11:12">
      <c r="K3084" s="18"/>
      <c r="L3084" s="2"/>
    </row>
    <row r="3085" spans="11:12">
      <c r="K3085" s="18"/>
      <c r="L3085" s="2"/>
    </row>
    <row r="3086" spans="11:12">
      <c r="K3086" s="18"/>
      <c r="L3086" s="2"/>
    </row>
    <row r="3087" spans="11:12">
      <c r="K3087" s="18"/>
      <c r="L3087" s="2"/>
    </row>
    <row r="3088" spans="11:12">
      <c r="K3088" s="18"/>
      <c r="L3088" s="2"/>
    </row>
    <row r="3089" spans="11:12">
      <c r="K3089" s="18"/>
      <c r="L3089" s="2"/>
    </row>
    <row r="3090" spans="11:12">
      <c r="K3090" s="18"/>
      <c r="L3090" s="2"/>
    </row>
    <row r="3091" spans="11:12">
      <c r="K3091" s="18"/>
      <c r="L3091" s="2"/>
    </row>
    <row r="3092" spans="11:12">
      <c r="K3092" s="18"/>
      <c r="L3092" s="2"/>
    </row>
    <row r="3093" spans="11:12">
      <c r="K3093" s="18"/>
      <c r="L3093" s="2"/>
    </row>
    <row r="3094" spans="11:12">
      <c r="K3094" s="18"/>
      <c r="L3094" s="2"/>
    </row>
    <row r="3095" spans="11:12">
      <c r="K3095" s="18"/>
      <c r="L3095" s="2"/>
    </row>
    <row r="3096" spans="11:12">
      <c r="K3096" s="18"/>
      <c r="L3096" s="2"/>
    </row>
    <row r="3097" spans="11:12">
      <c r="K3097" s="18"/>
      <c r="L3097" s="2"/>
    </row>
    <row r="3098" spans="11:12">
      <c r="K3098" s="18"/>
      <c r="L3098" s="2"/>
    </row>
    <row r="3099" spans="11:12">
      <c r="K3099" s="18"/>
      <c r="L3099" s="2"/>
    </row>
    <row r="3100" spans="11:12">
      <c r="K3100" s="18"/>
      <c r="L3100" s="2"/>
    </row>
    <row r="3101" spans="11:12">
      <c r="K3101" s="18"/>
      <c r="L3101" s="2"/>
    </row>
    <row r="3102" spans="11:12">
      <c r="K3102" s="18"/>
      <c r="L3102" s="2"/>
    </row>
    <row r="3103" spans="11:12">
      <c r="K3103" s="18"/>
      <c r="L3103" s="2"/>
    </row>
    <row r="3104" spans="11:12">
      <c r="K3104" s="18"/>
      <c r="L3104" s="2"/>
    </row>
    <row r="3105" spans="11:12">
      <c r="K3105" s="18"/>
      <c r="L3105" s="2"/>
    </row>
    <row r="3106" spans="11:12">
      <c r="K3106" s="18"/>
      <c r="L3106" s="2"/>
    </row>
    <row r="3107" spans="11:12">
      <c r="K3107" s="18"/>
      <c r="L3107" s="2"/>
    </row>
    <row r="3108" spans="11:12">
      <c r="K3108" s="18"/>
      <c r="L3108" s="2"/>
    </row>
    <row r="3109" spans="11:12">
      <c r="K3109" s="18"/>
      <c r="L3109" s="2"/>
    </row>
    <row r="3110" spans="11:12">
      <c r="K3110" s="18"/>
      <c r="L3110" s="2"/>
    </row>
    <row r="3111" spans="11:12">
      <c r="K3111" s="18"/>
      <c r="L3111" s="2"/>
    </row>
    <row r="3112" spans="11:12">
      <c r="K3112" s="18"/>
      <c r="L3112" s="2"/>
    </row>
    <row r="3113" spans="11:12">
      <c r="K3113" s="18"/>
      <c r="L3113" s="2"/>
    </row>
    <row r="3114" spans="11:12">
      <c r="K3114" s="18"/>
      <c r="L3114" s="2"/>
    </row>
    <row r="3115" spans="11:12">
      <c r="K3115" s="18"/>
      <c r="L3115" s="2"/>
    </row>
    <row r="3116" spans="11:12">
      <c r="K3116" s="18"/>
      <c r="L3116" s="2"/>
    </row>
    <row r="3117" spans="11:12">
      <c r="K3117" s="18"/>
      <c r="L3117" s="2"/>
    </row>
    <row r="3118" spans="11:12">
      <c r="K3118" s="18"/>
      <c r="L3118" s="2"/>
    </row>
    <row r="3119" spans="11:12">
      <c r="K3119" s="18"/>
      <c r="L3119" s="2"/>
    </row>
    <row r="3120" spans="11:12">
      <c r="K3120" s="18"/>
      <c r="L3120" s="2"/>
    </row>
    <row r="3121" spans="11:12">
      <c r="K3121" s="18"/>
      <c r="L3121" s="2"/>
    </row>
    <row r="3122" spans="11:12">
      <c r="K3122" s="18"/>
      <c r="L3122" s="2"/>
    </row>
    <row r="3123" spans="11:12">
      <c r="K3123" s="18"/>
      <c r="L3123" s="2"/>
    </row>
    <row r="3124" spans="11:12">
      <c r="K3124" s="18"/>
      <c r="L3124" s="2"/>
    </row>
    <row r="3125" spans="11:12">
      <c r="K3125" s="18"/>
      <c r="L3125" s="2"/>
    </row>
    <row r="3126" spans="11:12">
      <c r="K3126" s="18"/>
      <c r="L3126" s="2"/>
    </row>
    <row r="3127" spans="11:12">
      <c r="K3127" s="18"/>
      <c r="L3127" s="2"/>
    </row>
    <row r="3128" spans="11:12">
      <c r="K3128" s="18"/>
      <c r="L3128" s="2"/>
    </row>
    <row r="3129" spans="11:12">
      <c r="K3129" s="18"/>
      <c r="L3129" s="2"/>
    </row>
    <row r="3130" spans="11:12">
      <c r="K3130" s="18"/>
      <c r="L3130" s="2"/>
    </row>
    <row r="3131" spans="11:12">
      <c r="K3131" s="18"/>
      <c r="L3131" s="2"/>
    </row>
    <row r="3132" spans="11:12">
      <c r="K3132" s="18"/>
      <c r="L3132" s="2"/>
    </row>
    <row r="3133" spans="11:12">
      <c r="K3133" s="18"/>
      <c r="L3133" s="2"/>
    </row>
    <row r="3134" spans="11:12">
      <c r="K3134" s="18"/>
      <c r="L3134" s="2"/>
    </row>
    <row r="3135" spans="11:12">
      <c r="K3135" s="18"/>
      <c r="L3135" s="2"/>
    </row>
    <row r="3136" spans="11:12">
      <c r="K3136" s="18"/>
      <c r="L3136" s="2"/>
    </row>
    <row r="3137" spans="11:12">
      <c r="K3137" s="18"/>
      <c r="L3137" s="2"/>
    </row>
    <row r="3138" spans="11:12">
      <c r="K3138" s="18"/>
      <c r="L3138" s="2"/>
    </row>
    <row r="3139" spans="11:12">
      <c r="K3139" s="18"/>
      <c r="L3139" s="2"/>
    </row>
    <row r="3140" spans="11:12">
      <c r="K3140" s="18"/>
      <c r="L3140" s="2"/>
    </row>
    <row r="3141" spans="11:12">
      <c r="K3141" s="18"/>
      <c r="L3141" s="2"/>
    </row>
    <row r="3142" spans="11:12">
      <c r="K3142" s="18"/>
      <c r="L3142" s="2"/>
    </row>
    <row r="3143" spans="11:12">
      <c r="K3143" s="18"/>
      <c r="L3143" s="2"/>
    </row>
    <row r="3144" spans="11:12">
      <c r="K3144" s="18"/>
      <c r="L3144" s="2"/>
    </row>
    <row r="3145" spans="11:12">
      <c r="K3145" s="18"/>
      <c r="L3145" s="2"/>
    </row>
    <row r="3146" spans="11:12">
      <c r="K3146" s="18"/>
      <c r="L3146" s="2"/>
    </row>
    <row r="3147" spans="11:12">
      <c r="K3147" s="18"/>
      <c r="L3147" s="2"/>
    </row>
    <row r="3148" spans="11:12">
      <c r="K3148" s="18"/>
      <c r="L3148" s="2"/>
    </row>
    <row r="3149" spans="11:12">
      <c r="K3149" s="18"/>
      <c r="L3149" s="2"/>
    </row>
    <row r="3150" spans="11:12">
      <c r="K3150" s="18"/>
      <c r="L3150" s="2"/>
    </row>
    <row r="3151" spans="11:12">
      <c r="K3151" s="18"/>
      <c r="L3151" s="2"/>
    </row>
    <row r="3152" spans="11:12">
      <c r="K3152" s="18"/>
      <c r="L3152" s="2"/>
    </row>
    <row r="3153" spans="11:12">
      <c r="K3153" s="18"/>
      <c r="L3153" s="2"/>
    </row>
    <row r="3154" spans="11:12">
      <c r="K3154" s="18"/>
      <c r="L3154" s="2"/>
    </row>
    <row r="3155" spans="11:12">
      <c r="K3155" s="18"/>
      <c r="L3155" s="2"/>
    </row>
    <row r="3156" spans="11:12">
      <c r="K3156" s="18"/>
      <c r="L3156" s="2"/>
    </row>
    <row r="3157" spans="11:12">
      <c r="K3157" s="18"/>
      <c r="L3157" s="2"/>
    </row>
    <row r="3158" spans="11:12">
      <c r="K3158" s="18"/>
      <c r="L3158" s="2"/>
    </row>
    <row r="3159" spans="11:12">
      <c r="K3159" s="18"/>
      <c r="L3159" s="2"/>
    </row>
    <row r="3160" spans="11:12">
      <c r="K3160" s="18"/>
      <c r="L3160" s="2"/>
    </row>
    <row r="3161" spans="11:12">
      <c r="K3161" s="18"/>
      <c r="L3161" s="2"/>
    </row>
    <row r="3162" spans="11:12">
      <c r="K3162" s="18"/>
      <c r="L3162" s="2"/>
    </row>
    <row r="3163" spans="11:12">
      <c r="K3163" s="18"/>
      <c r="L3163" s="2"/>
    </row>
    <row r="3164" spans="11:12">
      <c r="K3164" s="18"/>
      <c r="L3164" s="2"/>
    </row>
    <row r="3165" spans="11:12">
      <c r="K3165" s="18"/>
      <c r="L3165" s="2"/>
    </row>
    <row r="3166" spans="11:12">
      <c r="K3166" s="18"/>
      <c r="L3166" s="2"/>
    </row>
    <row r="3167" spans="11:12">
      <c r="K3167" s="18"/>
      <c r="L3167" s="2"/>
    </row>
    <row r="3168" spans="11:12">
      <c r="K3168" s="18"/>
      <c r="L3168" s="2"/>
    </row>
    <row r="3169" spans="11:12">
      <c r="K3169" s="18"/>
      <c r="L3169" s="2"/>
    </row>
    <row r="3170" spans="11:12">
      <c r="K3170" s="18"/>
      <c r="L3170" s="2"/>
    </row>
    <row r="3171" spans="11:12">
      <c r="K3171" s="18"/>
      <c r="L3171" s="2"/>
    </row>
    <row r="3172" spans="11:12">
      <c r="K3172" s="18"/>
      <c r="L3172" s="2"/>
    </row>
    <row r="3173" spans="11:12">
      <c r="K3173" s="18"/>
      <c r="L3173" s="2"/>
    </row>
    <row r="3174" spans="11:12">
      <c r="K3174" s="18"/>
      <c r="L3174" s="2"/>
    </row>
    <row r="3175" spans="11:12">
      <c r="K3175" s="18"/>
      <c r="L3175" s="2"/>
    </row>
    <row r="3176" spans="11:12">
      <c r="K3176" s="18"/>
      <c r="L3176" s="2"/>
    </row>
    <row r="3177" spans="11:12">
      <c r="K3177" s="18"/>
      <c r="L3177" s="2"/>
    </row>
    <row r="3178" spans="11:12">
      <c r="K3178" s="18"/>
      <c r="L3178" s="2"/>
    </row>
    <row r="3179" spans="11:12">
      <c r="K3179" s="18"/>
      <c r="L3179" s="2"/>
    </row>
    <row r="3180" spans="11:12">
      <c r="K3180" s="18"/>
      <c r="L3180" s="2"/>
    </row>
    <row r="3181" spans="11:12">
      <c r="K3181" s="18"/>
      <c r="L3181" s="2"/>
    </row>
    <row r="3182" spans="11:12">
      <c r="K3182" s="18"/>
      <c r="L3182" s="2"/>
    </row>
    <row r="3183" spans="11:12">
      <c r="K3183" s="18"/>
      <c r="L3183" s="2"/>
    </row>
    <row r="3184" spans="11:12">
      <c r="K3184" s="18"/>
      <c r="L3184" s="2"/>
    </row>
    <row r="3185" spans="11:12">
      <c r="K3185" s="18"/>
      <c r="L3185" s="2"/>
    </row>
    <row r="3186" spans="11:12">
      <c r="K3186" s="18"/>
      <c r="L3186" s="2"/>
    </row>
    <row r="3187" spans="11:12">
      <c r="K3187" s="18"/>
      <c r="L3187" s="2"/>
    </row>
    <row r="3188" spans="11:12">
      <c r="K3188" s="18"/>
      <c r="L3188" s="2"/>
    </row>
    <row r="3189" spans="11:12">
      <c r="K3189" s="18"/>
      <c r="L3189" s="2"/>
    </row>
    <row r="3190" spans="11:12">
      <c r="K3190" s="18"/>
      <c r="L3190" s="2"/>
    </row>
    <row r="3191" spans="11:12">
      <c r="K3191" s="18"/>
      <c r="L3191" s="2"/>
    </row>
    <row r="3192" spans="11:12">
      <c r="K3192" s="18"/>
      <c r="L3192" s="2"/>
    </row>
    <row r="3193" spans="11:12">
      <c r="K3193" s="18"/>
      <c r="L3193" s="2"/>
    </row>
    <row r="3194" spans="11:12">
      <c r="K3194" s="18"/>
      <c r="L3194" s="2"/>
    </row>
    <row r="3195" spans="11:12">
      <c r="K3195" s="18"/>
      <c r="L3195" s="2"/>
    </row>
    <row r="3196" spans="11:12">
      <c r="K3196" s="18"/>
      <c r="L3196" s="2"/>
    </row>
    <row r="3197" spans="11:12">
      <c r="K3197" s="18"/>
      <c r="L3197" s="2"/>
    </row>
    <row r="3198" spans="11:12">
      <c r="K3198" s="18"/>
      <c r="L3198" s="2"/>
    </row>
    <row r="3199" spans="11:12">
      <c r="K3199" s="18"/>
      <c r="L3199" s="2"/>
    </row>
    <row r="3200" spans="11:12">
      <c r="K3200" s="18"/>
      <c r="L3200" s="2"/>
    </row>
    <row r="3201" spans="11:12">
      <c r="K3201" s="18"/>
      <c r="L3201" s="2"/>
    </row>
    <row r="3202" spans="11:12">
      <c r="K3202" s="18"/>
      <c r="L3202" s="2"/>
    </row>
    <row r="3203" spans="11:12">
      <c r="K3203" s="18"/>
      <c r="L3203" s="2"/>
    </row>
    <row r="3204" spans="11:12">
      <c r="K3204" s="18"/>
      <c r="L3204" s="2"/>
    </row>
    <row r="3205" spans="11:12">
      <c r="K3205" s="18"/>
      <c r="L3205" s="2"/>
    </row>
    <row r="3206" spans="11:12">
      <c r="K3206" s="18"/>
      <c r="L3206" s="2"/>
    </row>
    <row r="3207" spans="11:12">
      <c r="K3207" s="18"/>
      <c r="L3207" s="2"/>
    </row>
    <row r="3208" spans="11:12">
      <c r="K3208" s="18"/>
      <c r="L3208" s="2"/>
    </row>
    <row r="3209" spans="11:12">
      <c r="K3209" s="18"/>
      <c r="L3209" s="2"/>
    </row>
    <row r="3210" spans="11:12">
      <c r="K3210" s="18"/>
      <c r="L3210" s="2"/>
    </row>
    <row r="3211" spans="11:12">
      <c r="K3211" s="18"/>
      <c r="L3211" s="2"/>
    </row>
    <row r="3212" spans="11:12">
      <c r="K3212" s="18"/>
      <c r="L3212" s="2"/>
    </row>
    <row r="3213" spans="11:12">
      <c r="K3213" s="18"/>
      <c r="L3213" s="2"/>
    </row>
    <row r="3214" spans="11:12">
      <c r="K3214" s="18"/>
      <c r="L3214" s="2"/>
    </row>
    <row r="3215" spans="11:12">
      <c r="K3215" s="18"/>
      <c r="L3215" s="2"/>
    </row>
    <row r="3216" spans="11:12">
      <c r="K3216" s="18"/>
      <c r="L3216" s="2"/>
    </row>
    <row r="3217" spans="11:12">
      <c r="K3217" s="18"/>
      <c r="L3217" s="2"/>
    </row>
    <row r="3218" spans="11:12">
      <c r="K3218" s="18"/>
      <c r="L3218" s="2"/>
    </row>
    <row r="3219" spans="11:12">
      <c r="K3219" s="18"/>
      <c r="L3219" s="2"/>
    </row>
    <row r="3220" spans="11:12">
      <c r="K3220" s="18"/>
      <c r="L3220" s="2"/>
    </row>
    <row r="3221" spans="11:12">
      <c r="K3221" s="18"/>
      <c r="L3221" s="2"/>
    </row>
    <row r="3222" spans="11:12">
      <c r="K3222" s="18"/>
      <c r="L3222" s="2"/>
    </row>
    <row r="3223" spans="11:12">
      <c r="K3223" s="18"/>
      <c r="L3223" s="2"/>
    </row>
    <row r="3224" spans="11:12">
      <c r="K3224" s="18"/>
      <c r="L3224" s="2"/>
    </row>
    <row r="3225" spans="11:12">
      <c r="K3225" s="18"/>
      <c r="L3225" s="2"/>
    </row>
    <row r="3226" spans="11:12">
      <c r="K3226" s="18"/>
      <c r="L3226" s="2"/>
    </row>
    <row r="3227" spans="11:12">
      <c r="K3227" s="18"/>
      <c r="L3227" s="2"/>
    </row>
    <row r="3228" spans="11:12">
      <c r="K3228" s="18"/>
      <c r="L3228" s="2"/>
    </row>
    <row r="3229" spans="11:12">
      <c r="K3229" s="18"/>
      <c r="L3229" s="2"/>
    </row>
    <row r="3230" spans="11:12">
      <c r="K3230" s="18"/>
      <c r="L3230" s="2"/>
    </row>
    <row r="3231" spans="11:12">
      <c r="K3231" s="18"/>
      <c r="L3231" s="2"/>
    </row>
    <row r="3232" spans="11:12">
      <c r="K3232" s="18"/>
      <c r="L3232" s="2"/>
    </row>
    <row r="3233" spans="11:12">
      <c r="K3233" s="18"/>
      <c r="L3233" s="2"/>
    </row>
    <row r="3234" spans="11:12">
      <c r="K3234" s="18"/>
      <c r="L3234" s="2"/>
    </row>
    <row r="3235" spans="11:12">
      <c r="K3235" s="18"/>
      <c r="L3235" s="2"/>
    </row>
    <row r="3236" spans="11:12">
      <c r="K3236" s="18"/>
      <c r="L3236" s="2"/>
    </row>
    <row r="3237" spans="11:12">
      <c r="K3237" s="18"/>
      <c r="L3237" s="2"/>
    </row>
    <row r="3238" spans="11:12">
      <c r="K3238" s="18"/>
      <c r="L3238" s="2"/>
    </row>
    <row r="3239" spans="11:12">
      <c r="K3239" s="18"/>
      <c r="L3239" s="2"/>
    </row>
    <row r="3240" spans="11:12">
      <c r="K3240" s="18"/>
      <c r="L3240" s="2"/>
    </row>
    <row r="3241" spans="11:12">
      <c r="K3241" s="18"/>
      <c r="L3241" s="2"/>
    </row>
    <row r="3242" spans="11:12">
      <c r="K3242" s="18"/>
      <c r="L3242" s="2"/>
    </row>
    <row r="3243" spans="11:12">
      <c r="K3243" s="18"/>
      <c r="L3243" s="2"/>
    </row>
    <row r="3244" spans="11:12">
      <c r="K3244" s="18"/>
      <c r="L3244" s="2"/>
    </row>
    <row r="3245" spans="11:12">
      <c r="K3245" s="18"/>
      <c r="L3245" s="2"/>
    </row>
    <row r="3246" spans="11:12">
      <c r="K3246" s="18"/>
      <c r="L3246" s="2"/>
    </row>
    <row r="3247" spans="11:12">
      <c r="K3247" s="18"/>
      <c r="L3247" s="2"/>
    </row>
    <row r="3248" spans="11:12">
      <c r="K3248" s="18"/>
      <c r="L3248" s="2"/>
    </row>
    <row r="3249" spans="11:12">
      <c r="K3249" s="18"/>
      <c r="L3249" s="2"/>
    </row>
    <row r="3250" spans="11:12">
      <c r="K3250" s="18"/>
      <c r="L3250" s="2"/>
    </row>
    <row r="3251" spans="11:12">
      <c r="K3251" s="18"/>
      <c r="L3251" s="2"/>
    </row>
    <row r="3252" spans="11:12">
      <c r="K3252" s="18"/>
      <c r="L3252" s="2"/>
    </row>
    <row r="3253" spans="11:12">
      <c r="K3253" s="18"/>
      <c r="L3253" s="2"/>
    </row>
    <row r="3254" spans="11:12">
      <c r="K3254" s="18"/>
      <c r="L3254" s="2"/>
    </row>
    <row r="3255" spans="11:12">
      <c r="K3255" s="18"/>
      <c r="L3255" s="2"/>
    </row>
    <row r="3256" spans="11:12">
      <c r="K3256" s="18"/>
      <c r="L3256" s="2"/>
    </row>
    <row r="3257" spans="11:12">
      <c r="K3257" s="18"/>
      <c r="L3257" s="2"/>
    </row>
    <row r="3258" spans="11:12">
      <c r="K3258" s="18"/>
      <c r="L3258" s="2"/>
    </row>
    <row r="3259" spans="11:12">
      <c r="K3259" s="18"/>
      <c r="L3259" s="2"/>
    </row>
    <row r="3260" spans="11:12">
      <c r="K3260" s="18"/>
      <c r="L3260" s="2"/>
    </row>
    <row r="3261" spans="11:12">
      <c r="K3261" s="18"/>
      <c r="L3261" s="2"/>
    </row>
    <row r="3262" spans="11:12">
      <c r="K3262" s="18"/>
      <c r="L3262" s="2"/>
    </row>
    <row r="3263" spans="11:12">
      <c r="K3263" s="18"/>
      <c r="L3263" s="2"/>
    </row>
    <row r="3264" spans="11:12">
      <c r="K3264" s="18"/>
      <c r="L3264" s="2"/>
    </row>
    <row r="3265" spans="11:12">
      <c r="K3265" s="18"/>
      <c r="L3265" s="2"/>
    </row>
    <row r="3266" spans="11:12">
      <c r="K3266" s="18"/>
      <c r="L3266" s="2"/>
    </row>
    <row r="3267" spans="11:12">
      <c r="K3267" s="18"/>
      <c r="L3267" s="2"/>
    </row>
    <row r="3268" spans="11:12">
      <c r="K3268" s="18"/>
      <c r="L3268" s="2"/>
    </row>
    <row r="3269" spans="11:12">
      <c r="K3269" s="18"/>
      <c r="L3269" s="2"/>
    </row>
    <row r="3270" spans="11:12">
      <c r="K3270" s="18"/>
      <c r="L3270" s="2"/>
    </row>
    <row r="3271" spans="11:12">
      <c r="K3271" s="18"/>
      <c r="L3271" s="2"/>
    </row>
    <row r="3272" spans="11:12">
      <c r="K3272" s="18"/>
      <c r="L3272" s="2"/>
    </row>
    <row r="3273" spans="11:12">
      <c r="K3273" s="18"/>
      <c r="L3273" s="2"/>
    </row>
    <row r="3274" spans="11:12">
      <c r="K3274" s="18"/>
      <c r="L3274" s="2"/>
    </row>
    <row r="3275" spans="11:12">
      <c r="K3275" s="18"/>
      <c r="L3275" s="2"/>
    </row>
    <row r="3276" spans="11:12">
      <c r="K3276" s="18"/>
      <c r="L3276" s="2"/>
    </row>
    <row r="3277" spans="11:12">
      <c r="K3277" s="18"/>
      <c r="L3277" s="2"/>
    </row>
    <row r="3278" spans="11:12">
      <c r="K3278" s="18"/>
      <c r="L3278" s="2"/>
    </row>
    <row r="3279" spans="11:12">
      <c r="K3279" s="18"/>
      <c r="L3279" s="2"/>
    </row>
    <row r="3280" spans="11:12">
      <c r="K3280" s="18"/>
      <c r="L3280" s="2"/>
    </row>
    <row r="3281" spans="11:12">
      <c r="K3281" s="18"/>
      <c r="L3281" s="2"/>
    </row>
    <row r="3282" spans="11:12">
      <c r="K3282" s="18"/>
      <c r="L3282" s="2"/>
    </row>
    <row r="3283" spans="11:12">
      <c r="K3283" s="18"/>
      <c r="L3283" s="2"/>
    </row>
    <row r="3284" spans="11:12">
      <c r="K3284" s="18"/>
      <c r="L3284" s="2"/>
    </row>
    <row r="3285" spans="11:12">
      <c r="K3285" s="18"/>
      <c r="L3285" s="2"/>
    </row>
    <row r="3286" spans="11:12">
      <c r="K3286" s="18"/>
      <c r="L3286" s="2"/>
    </row>
    <row r="3287" spans="11:12">
      <c r="K3287" s="18"/>
      <c r="L3287" s="2"/>
    </row>
    <row r="3288" spans="11:12">
      <c r="K3288" s="18"/>
      <c r="L3288" s="2"/>
    </row>
    <row r="3289" spans="11:12">
      <c r="K3289" s="18"/>
      <c r="L3289" s="2"/>
    </row>
    <row r="3290" spans="11:12">
      <c r="K3290" s="18"/>
      <c r="L3290" s="2"/>
    </row>
    <row r="3291" spans="11:12">
      <c r="K3291" s="18"/>
      <c r="L3291" s="2"/>
    </row>
    <row r="3292" spans="11:12">
      <c r="K3292" s="18"/>
      <c r="L3292" s="2"/>
    </row>
    <row r="3293" spans="11:12">
      <c r="K3293" s="18"/>
      <c r="L3293" s="2"/>
    </row>
    <row r="3294" spans="11:12">
      <c r="K3294" s="18"/>
      <c r="L3294" s="2"/>
    </row>
    <row r="3295" spans="11:12">
      <c r="K3295" s="18"/>
      <c r="L3295" s="2"/>
    </row>
    <row r="3296" spans="11:12">
      <c r="K3296" s="18"/>
      <c r="L3296" s="2"/>
    </row>
    <row r="3297" spans="11:12">
      <c r="K3297" s="18"/>
      <c r="L3297" s="2"/>
    </row>
    <row r="3298" spans="11:12">
      <c r="K3298" s="18"/>
      <c r="L3298" s="2"/>
    </row>
    <row r="3299" spans="11:12">
      <c r="K3299" s="18"/>
      <c r="L3299" s="2"/>
    </row>
    <row r="3300" spans="11:12">
      <c r="K3300" s="18"/>
      <c r="L3300" s="2"/>
    </row>
    <row r="3301" spans="11:12">
      <c r="K3301" s="18"/>
      <c r="L3301" s="2"/>
    </row>
    <row r="3302" spans="11:12">
      <c r="K3302" s="18"/>
      <c r="L3302" s="2"/>
    </row>
    <row r="3303" spans="11:12">
      <c r="K3303" s="18"/>
      <c r="L3303" s="2"/>
    </row>
    <row r="3304" spans="11:12">
      <c r="K3304" s="18"/>
      <c r="L3304" s="2"/>
    </row>
    <row r="3305" spans="11:12">
      <c r="K3305" s="18"/>
      <c r="L3305" s="2"/>
    </row>
    <row r="3306" spans="11:12">
      <c r="K3306" s="18"/>
      <c r="L3306" s="2"/>
    </row>
    <row r="3307" spans="11:12">
      <c r="K3307" s="18"/>
      <c r="L3307" s="2"/>
    </row>
    <row r="3308" spans="11:12">
      <c r="K3308" s="18"/>
      <c r="L3308" s="2"/>
    </row>
    <row r="3309" spans="11:12">
      <c r="K3309" s="18"/>
      <c r="L3309" s="2"/>
    </row>
    <row r="3310" spans="11:12">
      <c r="K3310" s="18"/>
      <c r="L3310" s="2"/>
    </row>
    <row r="3311" spans="11:12">
      <c r="K3311" s="18"/>
      <c r="L3311" s="2"/>
    </row>
    <row r="3312" spans="11:12">
      <c r="K3312" s="18"/>
      <c r="L3312" s="2"/>
    </row>
    <row r="3313" spans="11:12">
      <c r="K3313" s="18"/>
      <c r="L3313" s="2"/>
    </row>
    <row r="3314" spans="11:12">
      <c r="K3314" s="18"/>
      <c r="L3314" s="2"/>
    </row>
    <row r="3315" spans="11:12">
      <c r="K3315" s="18"/>
      <c r="L3315" s="2"/>
    </row>
    <row r="3316" spans="11:12">
      <c r="K3316" s="18"/>
      <c r="L3316" s="2"/>
    </row>
    <row r="3317" spans="11:12">
      <c r="K3317" s="18"/>
      <c r="L3317" s="2"/>
    </row>
    <row r="3318" spans="11:12">
      <c r="K3318" s="18"/>
      <c r="L3318" s="2"/>
    </row>
    <row r="3319" spans="11:12">
      <c r="K3319" s="18"/>
      <c r="L3319" s="2"/>
    </row>
    <row r="3320" spans="11:12">
      <c r="K3320" s="18"/>
      <c r="L3320" s="2"/>
    </row>
    <row r="3321" spans="11:12">
      <c r="K3321" s="18"/>
      <c r="L3321" s="2"/>
    </row>
    <row r="3322" spans="11:12">
      <c r="K3322" s="18"/>
      <c r="L3322" s="2"/>
    </row>
    <row r="3323" spans="11:12">
      <c r="K3323" s="18"/>
      <c r="L3323" s="2"/>
    </row>
    <row r="3324" spans="11:12">
      <c r="K3324" s="18"/>
      <c r="L3324" s="2"/>
    </row>
    <row r="3325" spans="11:12">
      <c r="K3325" s="18"/>
      <c r="L3325" s="2"/>
    </row>
    <row r="3326" spans="11:12">
      <c r="K3326" s="18"/>
      <c r="L3326" s="2"/>
    </row>
    <row r="3327" spans="11:12">
      <c r="K3327" s="18"/>
      <c r="L3327" s="2"/>
    </row>
    <row r="3328" spans="11:12">
      <c r="K3328" s="18"/>
      <c r="L3328" s="2"/>
    </row>
    <row r="3329" spans="11:12">
      <c r="K3329" s="18"/>
      <c r="L3329" s="2"/>
    </row>
    <row r="3330" spans="11:12">
      <c r="K3330" s="18"/>
      <c r="L3330" s="2"/>
    </row>
    <row r="3331" spans="11:12">
      <c r="K3331" s="18"/>
      <c r="L3331" s="2"/>
    </row>
    <row r="3332" spans="11:12">
      <c r="K3332" s="18"/>
      <c r="L3332" s="2"/>
    </row>
    <row r="3333" spans="11:12">
      <c r="K3333" s="18"/>
      <c r="L3333" s="2"/>
    </row>
    <row r="3334" spans="11:12">
      <c r="K3334" s="18"/>
      <c r="L3334" s="2"/>
    </row>
    <row r="3335" spans="11:12">
      <c r="K3335" s="18"/>
      <c r="L3335" s="2"/>
    </row>
    <row r="3336" spans="11:12">
      <c r="K3336" s="18"/>
      <c r="L3336" s="2"/>
    </row>
    <row r="3337" spans="11:12">
      <c r="K3337" s="18"/>
      <c r="L3337" s="2"/>
    </row>
    <row r="3338" spans="11:12">
      <c r="K3338" s="18"/>
      <c r="L3338" s="2"/>
    </row>
    <row r="3339" spans="11:12">
      <c r="K3339" s="18"/>
      <c r="L3339" s="2"/>
    </row>
    <row r="3340" spans="11:12">
      <c r="K3340" s="18"/>
      <c r="L3340" s="2"/>
    </row>
    <row r="3341" spans="11:12">
      <c r="K3341" s="18"/>
      <c r="L3341" s="2"/>
    </row>
    <row r="3342" spans="11:12">
      <c r="K3342" s="18"/>
      <c r="L3342" s="2"/>
    </row>
    <row r="3343" spans="11:12">
      <c r="K3343" s="18"/>
      <c r="L3343" s="2"/>
    </row>
    <row r="3344" spans="11:12">
      <c r="K3344" s="18"/>
      <c r="L3344" s="2"/>
    </row>
    <row r="3345" spans="11:12">
      <c r="K3345" s="18"/>
      <c r="L3345" s="2"/>
    </row>
    <row r="3346" spans="11:12">
      <c r="K3346" s="18"/>
      <c r="L3346" s="2"/>
    </row>
    <row r="3347" spans="11:12">
      <c r="K3347" s="18"/>
      <c r="L3347" s="2"/>
    </row>
    <row r="3348" spans="11:12">
      <c r="K3348" s="18"/>
      <c r="L3348" s="2"/>
    </row>
    <row r="3349" spans="11:12">
      <c r="K3349" s="18"/>
      <c r="L3349" s="2"/>
    </row>
    <row r="3350" spans="11:12">
      <c r="K3350" s="18"/>
      <c r="L3350" s="2"/>
    </row>
    <row r="3351" spans="11:12">
      <c r="K3351" s="18"/>
      <c r="L3351" s="2"/>
    </row>
    <row r="3352" spans="11:12">
      <c r="K3352" s="18"/>
      <c r="L3352" s="2"/>
    </row>
    <row r="3353" spans="11:12">
      <c r="K3353" s="18"/>
      <c r="L3353" s="2"/>
    </row>
    <row r="3354" spans="11:12">
      <c r="K3354" s="18"/>
      <c r="L3354" s="2"/>
    </row>
    <row r="3355" spans="11:12">
      <c r="K3355" s="18"/>
      <c r="L3355" s="2"/>
    </row>
    <row r="3356" spans="11:12">
      <c r="K3356" s="18"/>
      <c r="L3356" s="2"/>
    </row>
    <row r="3357" spans="11:12">
      <c r="K3357" s="18"/>
      <c r="L3357" s="2"/>
    </row>
    <row r="3358" spans="11:12">
      <c r="K3358" s="18"/>
      <c r="L3358" s="2"/>
    </row>
    <row r="3359" spans="11:12">
      <c r="K3359" s="18"/>
      <c r="L3359" s="2"/>
    </row>
    <row r="3360" spans="11:12">
      <c r="K3360" s="18"/>
      <c r="L3360" s="2"/>
    </row>
    <row r="3361" spans="11:12">
      <c r="K3361" s="18"/>
      <c r="L3361" s="2"/>
    </row>
    <row r="3362" spans="11:12">
      <c r="K3362" s="18"/>
      <c r="L3362" s="2"/>
    </row>
    <row r="3363" spans="11:12">
      <c r="K3363" s="18"/>
      <c r="L3363" s="2"/>
    </row>
    <row r="3364" spans="11:12">
      <c r="K3364" s="18"/>
      <c r="L3364" s="2"/>
    </row>
    <row r="3365" spans="11:12">
      <c r="K3365" s="18"/>
      <c r="L3365" s="2"/>
    </row>
    <row r="3366" spans="11:12">
      <c r="K3366" s="18"/>
      <c r="L3366" s="2"/>
    </row>
    <row r="3367" spans="11:12">
      <c r="K3367" s="18"/>
      <c r="L3367" s="2"/>
    </row>
    <row r="3368" spans="11:12">
      <c r="K3368" s="18"/>
      <c r="L3368" s="2"/>
    </row>
    <row r="3369" spans="11:12">
      <c r="K3369" s="18"/>
      <c r="L3369" s="2"/>
    </row>
    <row r="3370" spans="11:12">
      <c r="K3370" s="18"/>
      <c r="L3370" s="2"/>
    </row>
    <row r="3371" spans="11:12">
      <c r="K3371" s="18"/>
      <c r="L3371" s="2"/>
    </row>
    <row r="3372" spans="11:12">
      <c r="K3372" s="18"/>
      <c r="L3372" s="2"/>
    </row>
    <row r="3373" spans="11:12">
      <c r="K3373" s="18"/>
      <c r="L3373" s="2"/>
    </row>
    <row r="3374" spans="11:12">
      <c r="K3374" s="18"/>
      <c r="L3374" s="2"/>
    </row>
    <row r="3375" spans="11:12">
      <c r="K3375" s="18"/>
      <c r="L3375" s="2"/>
    </row>
    <row r="3376" spans="11:12">
      <c r="K3376" s="18"/>
      <c r="L3376" s="2"/>
    </row>
    <row r="3377" spans="11:12">
      <c r="K3377" s="18"/>
      <c r="L3377" s="2"/>
    </row>
    <row r="3378" spans="11:12">
      <c r="K3378" s="18"/>
      <c r="L3378" s="2"/>
    </row>
    <row r="3379" spans="11:12">
      <c r="K3379" s="18"/>
      <c r="L3379" s="2"/>
    </row>
    <row r="3380" spans="11:12">
      <c r="K3380" s="18"/>
      <c r="L3380" s="2"/>
    </row>
    <row r="3381" spans="11:12">
      <c r="K3381" s="18"/>
      <c r="L3381" s="2"/>
    </row>
    <row r="3382" spans="11:12">
      <c r="K3382" s="18"/>
      <c r="L3382" s="2"/>
    </row>
    <row r="3383" spans="11:12">
      <c r="K3383" s="18"/>
      <c r="L3383" s="2"/>
    </row>
    <row r="3384" spans="11:12">
      <c r="K3384" s="18"/>
      <c r="L3384" s="2"/>
    </row>
    <row r="3385" spans="11:12">
      <c r="K3385" s="18"/>
      <c r="L3385" s="2"/>
    </row>
    <row r="3386" spans="11:12">
      <c r="K3386" s="18"/>
      <c r="L3386" s="2"/>
    </row>
    <row r="3387" spans="11:12">
      <c r="K3387" s="18"/>
      <c r="L3387" s="2"/>
    </row>
    <row r="3388" spans="11:12">
      <c r="K3388" s="18"/>
      <c r="L3388" s="2"/>
    </row>
    <row r="3389" spans="11:12">
      <c r="K3389" s="18"/>
      <c r="L3389" s="2"/>
    </row>
    <row r="3390" spans="11:12">
      <c r="K3390" s="18"/>
      <c r="L3390" s="2"/>
    </row>
    <row r="3391" spans="11:12">
      <c r="K3391" s="18"/>
      <c r="L3391" s="2"/>
    </row>
    <row r="3392" spans="11:12">
      <c r="K3392" s="18"/>
      <c r="L3392" s="2"/>
    </row>
    <row r="3393" spans="11:12">
      <c r="K3393" s="18"/>
      <c r="L3393" s="2"/>
    </row>
    <row r="3394" spans="11:12">
      <c r="K3394" s="18"/>
      <c r="L3394" s="2"/>
    </row>
    <row r="3395" spans="11:12">
      <c r="K3395" s="18"/>
      <c r="L3395" s="2"/>
    </row>
    <row r="3396" spans="11:12">
      <c r="K3396" s="18"/>
      <c r="L3396" s="2"/>
    </row>
    <row r="3397" spans="11:12">
      <c r="K3397" s="18"/>
      <c r="L3397" s="2"/>
    </row>
    <row r="3398" spans="11:12">
      <c r="K3398" s="18"/>
      <c r="L3398" s="2"/>
    </row>
    <row r="3399" spans="11:12">
      <c r="K3399" s="18"/>
      <c r="L3399" s="2"/>
    </row>
    <row r="3400" spans="11:12">
      <c r="K3400" s="18"/>
      <c r="L3400" s="2"/>
    </row>
    <row r="3401" spans="11:12">
      <c r="K3401" s="18"/>
      <c r="L3401" s="2"/>
    </row>
    <row r="3402" spans="11:12">
      <c r="K3402" s="18"/>
      <c r="L3402" s="2"/>
    </row>
    <row r="3403" spans="11:12">
      <c r="K3403" s="18"/>
      <c r="L3403" s="2"/>
    </row>
    <row r="3404" spans="11:12">
      <c r="K3404" s="18"/>
      <c r="L3404" s="2"/>
    </row>
    <row r="3405" spans="11:12">
      <c r="K3405" s="18"/>
      <c r="L3405" s="2"/>
    </row>
    <row r="3406" spans="11:12">
      <c r="K3406" s="18"/>
      <c r="L3406" s="2"/>
    </row>
    <row r="3407" spans="11:12">
      <c r="K3407" s="18"/>
      <c r="L3407" s="2"/>
    </row>
    <row r="3408" spans="11:12">
      <c r="K3408" s="18"/>
      <c r="L3408" s="2"/>
    </row>
    <row r="3409" spans="11:12">
      <c r="K3409" s="18"/>
      <c r="L3409" s="2"/>
    </row>
    <row r="3410" spans="11:12">
      <c r="K3410" s="18"/>
      <c r="L3410" s="2"/>
    </row>
    <row r="3411" spans="11:12">
      <c r="K3411" s="18"/>
      <c r="L3411" s="2"/>
    </row>
    <row r="3412" spans="11:12">
      <c r="K3412" s="18"/>
      <c r="L3412" s="2"/>
    </row>
    <row r="3413" spans="11:12">
      <c r="K3413" s="18"/>
      <c r="L3413" s="2"/>
    </row>
    <row r="3414" spans="11:12">
      <c r="K3414" s="18"/>
      <c r="L3414" s="2"/>
    </row>
    <row r="3415" spans="11:12">
      <c r="K3415" s="18"/>
      <c r="L3415" s="2"/>
    </row>
    <row r="3416" spans="11:12">
      <c r="K3416" s="18"/>
      <c r="L3416" s="2"/>
    </row>
    <row r="3417" spans="11:12">
      <c r="K3417" s="18"/>
      <c r="L3417" s="2"/>
    </row>
    <row r="3418" spans="11:12">
      <c r="K3418" s="18"/>
      <c r="L3418" s="2"/>
    </row>
    <row r="3419" spans="11:12">
      <c r="K3419" s="18"/>
      <c r="L3419" s="2"/>
    </row>
    <row r="3420" spans="11:12">
      <c r="K3420" s="18"/>
      <c r="L3420" s="2"/>
    </row>
    <row r="3421" spans="11:12">
      <c r="K3421" s="18"/>
      <c r="L3421" s="2"/>
    </row>
    <row r="3422" spans="11:12">
      <c r="K3422" s="18"/>
      <c r="L3422" s="2"/>
    </row>
    <row r="3423" spans="11:12">
      <c r="K3423" s="18"/>
      <c r="L3423" s="2"/>
    </row>
    <row r="3424" spans="11:12">
      <c r="K3424" s="18"/>
      <c r="L3424" s="2"/>
    </row>
    <row r="3425" spans="11:12">
      <c r="K3425" s="18"/>
      <c r="L3425" s="2"/>
    </row>
    <row r="3426" spans="11:12">
      <c r="K3426" s="18"/>
      <c r="L3426" s="2"/>
    </row>
    <row r="3427" spans="11:12">
      <c r="K3427" s="18"/>
      <c r="L3427" s="2"/>
    </row>
    <row r="3428" spans="11:12">
      <c r="K3428" s="18"/>
      <c r="L3428" s="2"/>
    </row>
    <row r="3429" spans="11:12">
      <c r="K3429" s="18"/>
      <c r="L3429" s="2"/>
    </row>
    <row r="3430" spans="11:12">
      <c r="K3430" s="18"/>
      <c r="L3430" s="2"/>
    </row>
    <row r="3431" spans="11:12">
      <c r="K3431" s="18"/>
      <c r="L3431" s="2"/>
    </row>
    <row r="3432" spans="11:12">
      <c r="K3432" s="18"/>
      <c r="L3432" s="2"/>
    </row>
    <row r="3433" spans="11:12">
      <c r="K3433" s="18"/>
      <c r="L3433" s="2"/>
    </row>
    <row r="3434" spans="11:12">
      <c r="K3434" s="18"/>
      <c r="L3434" s="2"/>
    </row>
    <row r="3435" spans="11:12">
      <c r="K3435" s="18"/>
      <c r="L3435" s="2"/>
    </row>
    <row r="3436" spans="11:12">
      <c r="K3436" s="18"/>
      <c r="L3436" s="2"/>
    </row>
    <row r="3437" spans="11:12">
      <c r="K3437" s="18"/>
      <c r="L3437" s="2"/>
    </row>
    <row r="3438" spans="11:12">
      <c r="K3438" s="18"/>
      <c r="L3438" s="2"/>
    </row>
    <row r="3439" spans="11:12">
      <c r="K3439" s="18"/>
      <c r="L3439" s="2"/>
    </row>
    <row r="3440" spans="11:12">
      <c r="K3440" s="18"/>
      <c r="L3440" s="2"/>
    </row>
    <row r="3441" spans="11:12">
      <c r="K3441" s="18"/>
      <c r="L3441" s="2"/>
    </row>
    <row r="3442" spans="11:12">
      <c r="K3442" s="18"/>
      <c r="L3442" s="2"/>
    </row>
    <row r="3443" spans="11:12">
      <c r="K3443" s="18"/>
      <c r="L3443" s="2"/>
    </row>
    <row r="3444" spans="11:12">
      <c r="K3444" s="18"/>
      <c r="L3444" s="2"/>
    </row>
    <row r="3445" spans="11:12">
      <c r="K3445" s="18"/>
      <c r="L3445" s="2"/>
    </row>
    <row r="3446" spans="11:12">
      <c r="K3446" s="18"/>
      <c r="L3446" s="2"/>
    </row>
    <row r="3447" spans="11:12">
      <c r="K3447" s="18"/>
      <c r="L3447" s="2"/>
    </row>
    <row r="3448" spans="11:12">
      <c r="K3448" s="18"/>
      <c r="L3448" s="2"/>
    </row>
  </sheetData>
  <phoneticPr fontId="1" type="noConversion"/>
  <pageMargins left="0.7" right="0.7" top="0.75" bottom="0.75" header="0.3" footer="0.3"/>
  <ignoredErrors>
    <ignoredError sqref="Q2:R12 Q18:R28 R13:R17 R29:R33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5DD3-CFA5-934F-9CFF-599A33A80CC4}">
  <dimension ref="A1:M111"/>
  <sheetViews>
    <sheetView zoomScale="107" workbookViewId="0">
      <selection activeCell="B16" sqref="B16"/>
    </sheetView>
  </sheetViews>
  <sheetFormatPr baseColWidth="10" defaultRowHeight="16"/>
  <cols>
    <col min="1" max="1" width="10" style="1" bestFit="1" customWidth="1"/>
    <col min="2" max="3" width="21.6640625" style="1" bestFit="1" customWidth="1"/>
    <col min="4" max="4" width="11.6640625" style="1" bestFit="1" customWidth="1"/>
    <col min="5" max="5" width="31.33203125" style="1" bestFit="1" customWidth="1"/>
    <col min="6" max="6" width="18.83203125" style="1" bestFit="1" customWidth="1"/>
    <col min="7" max="7" width="9" style="1" bestFit="1" customWidth="1"/>
    <col min="8" max="8" width="12" style="1" bestFit="1" customWidth="1"/>
    <col min="9" max="9" width="12" style="1" customWidth="1"/>
    <col min="10" max="10" width="9.1640625" style="1" customWidth="1"/>
    <col min="11" max="11" width="7.6640625" style="1" customWidth="1"/>
    <col min="12" max="12" width="11.6640625" style="1" customWidth="1"/>
    <col min="13" max="13" width="12" style="1" customWidth="1"/>
    <col min="14" max="14" width="14.1640625" style="1" bestFit="1" customWidth="1"/>
    <col min="15" max="15" width="9.6640625" style="1" bestFit="1" customWidth="1"/>
    <col min="16" max="16" width="17.5" style="1" bestFit="1" customWidth="1"/>
    <col min="17" max="17" width="14.83203125" style="1" bestFit="1" customWidth="1"/>
    <col min="18" max="18" width="27.1640625" style="1" bestFit="1" customWidth="1"/>
    <col min="19" max="19" width="18" style="1" bestFit="1" customWidth="1"/>
    <col min="20" max="20" width="30.33203125" style="1" bestFit="1" customWidth="1"/>
    <col min="21" max="21" width="23.5" style="1" bestFit="1" customWidth="1"/>
    <col min="22" max="22" width="9.33203125" style="1" bestFit="1" customWidth="1"/>
    <col min="23" max="23" width="12" style="1" bestFit="1" customWidth="1"/>
    <col min="24" max="24" width="11.6640625" style="1" bestFit="1" customWidth="1"/>
    <col min="25" max="25" width="4.83203125" style="1" bestFit="1" customWidth="1"/>
    <col min="26" max="26" width="7.5" style="1" bestFit="1" customWidth="1"/>
    <col min="27" max="27" width="4.83203125" style="1" bestFit="1" customWidth="1"/>
    <col min="28" max="28" width="7.5" style="1" bestFit="1" customWidth="1"/>
    <col min="29" max="29" width="4.83203125" style="1" bestFit="1" customWidth="1"/>
    <col min="30" max="30" width="7.5" style="1" bestFit="1" customWidth="1"/>
    <col min="31" max="31" width="4.83203125" style="1" bestFit="1" customWidth="1"/>
    <col min="32" max="32" width="7.5" style="1" bestFit="1" customWidth="1"/>
    <col min="33" max="33" width="4.83203125" style="1" bestFit="1" customWidth="1"/>
    <col min="34" max="34" width="7.5" style="1" bestFit="1" customWidth="1"/>
    <col min="35" max="35" width="4.83203125" style="1" bestFit="1" customWidth="1"/>
    <col min="36" max="36" width="7.5" style="1" bestFit="1" customWidth="1"/>
    <col min="37" max="37" width="4.83203125" style="1" bestFit="1" customWidth="1"/>
    <col min="38" max="38" width="7.5" style="1" bestFit="1" customWidth="1"/>
    <col min="39" max="39" width="4.83203125" style="1" bestFit="1" customWidth="1"/>
    <col min="40" max="40" width="7.5" style="1" bestFit="1" customWidth="1"/>
    <col min="41" max="41" width="4.83203125" style="1" bestFit="1" customWidth="1"/>
    <col min="42" max="42" width="7.5" style="1" bestFit="1" customWidth="1"/>
    <col min="43" max="43" width="4.83203125" style="1" bestFit="1" customWidth="1"/>
    <col min="44" max="44" width="7.5" style="1" bestFit="1" customWidth="1"/>
    <col min="45" max="45" width="4.83203125" style="1" bestFit="1" customWidth="1"/>
    <col min="46" max="46" width="7.5" style="1" bestFit="1" customWidth="1"/>
    <col min="47" max="47" width="4.83203125" style="1" bestFit="1" customWidth="1"/>
    <col min="48" max="48" width="7.5" style="1" bestFit="1" customWidth="1"/>
    <col min="49" max="49" width="4.83203125" style="1" bestFit="1" customWidth="1"/>
    <col min="50" max="50" width="7.5" style="1" bestFit="1" customWidth="1"/>
    <col min="51" max="51" width="4.83203125" style="1" bestFit="1" customWidth="1"/>
    <col min="52" max="52" width="7.5" style="1" bestFit="1" customWidth="1"/>
    <col min="53" max="53" width="11.6640625" style="1" bestFit="1" customWidth="1"/>
    <col min="54" max="16384" width="10.83203125" style="1"/>
  </cols>
  <sheetData>
    <row r="1" spans="1:13">
      <c r="A1" s="1" t="s">
        <v>0</v>
      </c>
      <c r="B1" s="1" t="s">
        <v>34</v>
      </c>
      <c r="C1" s="1" t="s">
        <v>35</v>
      </c>
      <c r="D1" s="1" t="s">
        <v>6</v>
      </c>
      <c r="E1" s="1" t="s">
        <v>1</v>
      </c>
      <c r="F1" s="1" t="s">
        <v>42</v>
      </c>
      <c r="G1" s="1" t="s">
        <v>32</v>
      </c>
      <c r="H1" s="1" t="s">
        <v>31</v>
      </c>
      <c r="I1" s="1" t="s">
        <v>62</v>
      </c>
      <c r="J1" s="1" t="s">
        <v>33</v>
      </c>
    </row>
    <row r="2" spans="1:13">
      <c r="A2" s="1">
        <v>1</v>
      </c>
      <c r="B2" s="1" t="s">
        <v>123</v>
      </c>
      <c r="C2" s="1" t="s">
        <v>133</v>
      </c>
      <c r="E2" s="1" t="s">
        <v>168</v>
      </c>
      <c r="F2" s="1" t="s">
        <v>37</v>
      </c>
      <c r="G2" s="1">
        <v>1</v>
      </c>
      <c r="H2" s="1">
        <v>0</v>
      </c>
      <c r="I2" s="1">
        <v>0</v>
      </c>
      <c r="J2" s="1">
        <v>1</v>
      </c>
      <c r="M2" s="1" t="s">
        <v>37</v>
      </c>
    </row>
    <row r="3" spans="1:13">
      <c r="A3" s="1">
        <v>1</v>
      </c>
      <c r="B3" s="1" t="s">
        <v>123</v>
      </c>
      <c r="C3" s="1" t="s">
        <v>133</v>
      </c>
      <c r="E3" s="1" t="s">
        <v>169</v>
      </c>
      <c r="F3" s="1" t="s">
        <v>38</v>
      </c>
      <c r="G3" s="1">
        <v>1</v>
      </c>
      <c r="H3" s="1">
        <v>0</v>
      </c>
      <c r="I3" s="1">
        <v>0</v>
      </c>
      <c r="J3" s="1">
        <v>20</v>
      </c>
      <c r="M3" s="1" t="s">
        <v>38</v>
      </c>
    </row>
    <row r="4" spans="1:13">
      <c r="A4" s="1">
        <v>1</v>
      </c>
      <c r="B4" s="1" t="s">
        <v>123</v>
      </c>
      <c r="C4" s="1" t="s">
        <v>133</v>
      </c>
      <c r="E4" s="1" t="s">
        <v>169</v>
      </c>
      <c r="F4" s="1" t="s">
        <v>38</v>
      </c>
      <c r="G4" s="1">
        <v>1</v>
      </c>
      <c r="H4" s="1">
        <v>0</v>
      </c>
      <c r="I4" s="1">
        <v>0</v>
      </c>
      <c r="J4" s="1">
        <v>37</v>
      </c>
      <c r="M4" s="1" t="s">
        <v>39</v>
      </c>
    </row>
    <row r="5" spans="1:13">
      <c r="A5" s="1">
        <v>1</v>
      </c>
      <c r="B5" s="1" t="s">
        <v>123</v>
      </c>
      <c r="C5" s="1" t="s">
        <v>133</v>
      </c>
      <c r="E5" s="1" t="s">
        <v>143</v>
      </c>
      <c r="F5" s="1" t="s">
        <v>38</v>
      </c>
      <c r="G5" s="1">
        <v>1</v>
      </c>
      <c r="H5" s="1">
        <v>0</v>
      </c>
      <c r="I5" s="1">
        <v>0</v>
      </c>
      <c r="J5" s="1">
        <v>70</v>
      </c>
      <c r="M5" s="1" t="s">
        <v>36</v>
      </c>
    </row>
    <row r="6" spans="1:13">
      <c r="A6" s="1">
        <v>1</v>
      </c>
      <c r="B6" s="1" t="s">
        <v>133</v>
      </c>
      <c r="C6" s="1" t="s">
        <v>123</v>
      </c>
      <c r="E6" s="1" t="s">
        <v>168</v>
      </c>
      <c r="F6" s="1" t="s">
        <v>40</v>
      </c>
      <c r="G6" s="1">
        <v>1</v>
      </c>
      <c r="H6" s="1">
        <v>0</v>
      </c>
      <c r="I6" s="1">
        <v>0</v>
      </c>
      <c r="J6" s="1">
        <v>90</v>
      </c>
      <c r="M6" s="1" t="s">
        <v>40</v>
      </c>
    </row>
    <row r="7" spans="1:13">
      <c r="A7" s="1">
        <v>2</v>
      </c>
      <c r="B7" s="1" t="s">
        <v>121</v>
      </c>
      <c r="C7" s="1" t="s">
        <v>133</v>
      </c>
      <c r="E7" s="1" t="s">
        <v>170</v>
      </c>
      <c r="F7" s="1" t="s">
        <v>37</v>
      </c>
      <c r="G7" s="1">
        <v>1</v>
      </c>
      <c r="H7" s="1">
        <v>0</v>
      </c>
      <c r="I7" s="1">
        <v>0</v>
      </c>
      <c r="J7" s="1">
        <v>3</v>
      </c>
      <c r="M7" s="1" t="s">
        <v>41</v>
      </c>
    </row>
    <row r="8" spans="1:13">
      <c r="A8" s="1">
        <v>2</v>
      </c>
      <c r="B8" s="1" t="s">
        <v>121</v>
      </c>
      <c r="C8" s="1" t="s">
        <v>133</v>
      </c>
      <c r="E8" s="1" t="s">
        <v>171</v>
      </c>
      <c r="F8" s="1" t="s">
        <v>38</v>
      </c>
      <c r="G8" s="1">
        <v>1</v>
      </c>
      <c r="H8" s="1">
        <v>0</v>
      </c>
      <c r="I8" s="1">
        <v>0</v>
      </c>
      <c r="J8" s="1">
        <v>90</v>
      </c>
      <c r="M8" s="1" t="s">
        <v>12</v>
      </c>
    </row>
    <row r="9" spans="1:13">
      <c r="A9" s="1">
        <v>3</v>
      </c>
      <c r="B9" s="1" t="s">
        <v>134</v>
      </c>
      <c r="C9" s="1" t="s">
        <v>133</v>
      </c>
      <c r="E9" s="1" t="s">
        <v>172</v>
      </c>
      <c r="F9" s="1" t="s">
        <v>12</v>
      </c>
      <c r="G9" s="1">
        <v>1</v>
      </c>
      <c r="H9" s="1">
        <v>0</v>
      </c>
      <c r="I9" s="1">
        <v>0</v>
      </c>
      <c r="J9" s="1">
        <v>77</v>
      </c>
    </row>
    <row r="10" spans="1:13">
      <c r="A10" s="1">
        <v>4</v>
      </c>
      <c r="B10" s="1" t="s">
        <v>133</v>
      </c>
      <c r="C10" s="1" t="s">
        <v>135</v>
      </c>
      <c r="E10" s="1" t="s">
        <v>145</v>
      </c>
      <c r="F10" s="1" t="s">
        <v>37</v>
      </c>
      <c r="G10" s="1">
        <v>1</v>
      </c>
      <c r="H10" s="1">
        <v>0</v>
      </c>
      <c r="I10" s="1">
        <v>0</v>
      </c>
      <c r="J10" s="1">
        <v>55</v>
      </c>
    </row>
    <row r="11" spans="1:13">
      <c r="A11" s="1">
        <v>4</v>
      </c>
      <c r="B11" s="1" t="s">
        <v>135</v>
      </c>
      <c r="C11" s="1" t="s">
        <v>133</v>
      </c>
      <c r="E11" s="1" t="s">
        <v>173</v>
      </c>
      <c r="F11" s="1" t="s">
        <v>39</v>
      </c>
      <c r="G11" s="1">
        <v>1</v>
      </c>
      <c r="H11" s="1">
        <v>0</v>
      </c>
      <c r="I11" s="1">
        <v>0</v>
      </c>
      <c r="J11" s="1">
        <v>72</v>
      </c>
    </row>
    <row r="12" spans="1:13">
      <c r="A12" s="1">
        <v>4</v>
      </c>
      <c r="B12" s="1" t="s">
        <v>133</v>
      </c>
      <c r="C12" s="1" t="s">
        <v>135</v>
      </c>
      <c r="E12" s="1" t="s">
        <v>152</v>
      </c>
      <c r="F12" s="1" t="s">
        <v>36</v>
      </c>
      <c r="G12" s="1">
        <v>1</v>
      </c>
      <c r="H12" s="1">
        <v>0</v>
      </c>
      <c r="I12" s="1">
        <v>0</v>
      </c>
      <c r="J12" s="1">
        <v>90</v>
      </c>
    </row>
    <row r="13" spans="1:13">
      <c r="A13" s="1">
        <v>5</v>
      </c>
      <c r="B13" s="1" t="s">
        <v>122</v>
      </c>
      <c r="C13" s="1" t="s">
        <v>133</v>
      </c>
      <c r="E13" s="1" t="s">
        <v>174</v>
      </c>
      <c r="F13" s="1" t="s">
        <v>12</v>
      </c>
      <c r="G13" s="1">
        <v>1</v>
      </c>
      <c r="H13" s="1">
        <v>0</v>
      </c>
      <c r="I13" s="1">
        <v>0</v>
      </c>
      <c r="J13" s="1">
        <v>21</v>
      </c>
    </row>
    <row r="14" spans="1:13">
      <c r="A14" s="1">
        <v>6</v>
      </c>
      <c r="B14" s="1" t="s">
        <v>126</v>
      </c>
      <c r="C14" s="1" t="s">
        <v>133</v>
      </c>
      <c r="E14" s="1" t="s">
        <v>175</v>
      </c>
      <c r="F14" s="1" t="s">
        <v>37</v>
      </c>
      <c r="G14" s="1">
        <v>1</v>
      </c>
      <c r="H14" s="1">
        <v>0</v>
      </c>
      <c r="I14" s="1">
        <v>0</v>
      </c>
      <c r="J14" s="1">
        <v>45</v>
      </c>
    </row>
    <row r="15" spans="1:13">
      <c r="A15" s="1">
        <v>6</v>
      </c>
      <c r="B15" s="1" t="s">
        <v>126</v>
      </c>
      <c r="C15" s="1" t="s">
        <v>133</v>
      </c>
      <c r="E15" s="1" t="s">
        <v>176</v>
      </c>
      <c r="F15" s="1" t="s">
        <v>38</v>
      </c>
      <c r="G15" s="1">
        <v>1</v>
      </c>
      <c r="H15" s="1">
        <v>0</v>
      </c>
      <c r="I15" s="1">
        <v>0</v>
      </c>
      <c r="J15" s="1">
        <v>59</v>
      </c>
    </row>
    <row r="16" spans="1:13">
      <c r="A16" s="1">
        <v>7</v>
      </c>
      <c r="B16" s="1" t="s">
        <v>130</v>
      </c>
      <c r="C16" s="1" t="s">
        <v>133</v>
      </c>
      <c r="E16" s="1" t="s">
        <v>177</v>
      </c>
      <c r="F16" s="1" t="s">
        <v>37</v>
      </c>
      <c r="G16" s="1">
        <v>1</v>
      </c>
      <c r="H16" s="1">
        <v>0</v>
      </c>
      <c r="I16" s="1">
        <v>0</v>
      </c>
      <c r="J16" s="1">
        <v>15</v>
      </c>
    </row>
    <row r="17" spans="1:10">
      <c r="A17" s="1">
        <v>7</v>
      </c>
      <c r="B17" s="1" t="s">
        <v>133</v>
      </c>
      <c r="C17" s="1" t="s">
        <v>130</v>
      </c>
      <c r="E17" s="1" t="s">
        <v>145</v>
      </c>
      <c r="F17" s="1" t="s">
        <v>39</v>
      </c>
      <c r="G17" s="1">
        <v>1</v>
      </c>
      <c r="H17" s="1">
        <v>0</v>
      </c>
      <c r="I17" s="1">
        <v>0</v>
      </c>
      <c r="J17" s="1">
        <v>40</v>
      </c>
    </row>
    <row r="18" spans="1:10">
      <c r="A18" s="1">
        <v>7</v>
      </c>
      <c r="B18" s="1" t="s">
        <v>130</v>
      </c>
      <c r="C18" s="1" t="s">
        <v>133</v>
      </c>
      <c r="E18" s="1" t="s">
        <v>178</v>
      </c>
      <c r="F18" s="1" t="s">
        <v>36</v>
      </c>
      <c r="G18" s="1">
        <v>1</v>
      </c>
      <c r="H18" s="1">
        <v>1</v>
      </c>
      <c r="I18" s="1">
        <v>0</v>
      </c>
      <c r="J18" s="1">
        <v>90</v>
      </c>
    </row>
    <row r="19" spans="1:10">
      <c r="A19" s="1">
        <v>8</v>
      </c>
      <c r="B19" s="1" t="s">
        <v>128</v>
      </c>
      <c r="C19" s="1" t="s">
        <v>133</v>
      </c>
      <c r="E19" s="1" t="s">
        <v>179</v>
      </c>
      <c r="F19" s="1" t="s">
        <v>37</v>
      </c>
      <c r="G19" s="1">
        <v>1</v>
      </c>
      <c r="H19" s="1">
        <v>0</v>
      </c>
      <c r="I19" s="1">
        <v>0</v>
      </c>
      <c r="J19" s="1">
        <v>55</v>
      </c>
    </row>
    <row r="20" spans="1:10">
      <c r="A20" s="1">
        <v>8</v>
      </c>
      <c r="B20" s="1" t="s">
        <v>128</v>
      </c>
      <c r="C20" s="1" t="s">
        <v>133</v>
      </c>
      <c r="E20" s="1" t="s">
        <v>180</v>
      </c>
      <c r="F20" s="1" t="s">
        <v>38</v>
      </c>
      <c r="G20" s="1">
        <v>1</v>
      </c>
      <c r="H20" s="1">
        <v>0</v>
      </c>
      <c r="I20" s="1">
        <v>0</v>
      </c>
      <c r="J20" s="1">
        <v>60</v>
      </c>
    </row>
    <row r="21" spans="1:10">
      <c r="A21" s="1">
        <v>8</v>
      </c>
      <c r="B21" s="1" t="s">
        <v>128</v>
      </c>
      <c r="C21" s="1" t="s">
        <v>133</v>
      </c>
      <c r="E21" s="1" t="s">
        <v>181</v>
      </c>
      <c r="F21" s="1" t="s">
        <v>38</v>
      </c>
      <c r="G21" s="1">
        <v>1</v>
      </c>
      <c r="H21" s="1">
        <v>0</v>
      </c>
      <c r="I21" s="1">
        <v>0</v>
      </c>
      <c r="J21" s="1">
        <v>70</v>
      </c>
    </row>
    <row r="22" spans="1:10">
      <c r="A22" s="1">
        <v>8</v>
      </c>
      <c r="B22" s="1" t="s">
        <v>128</v>
      </c>
      <c r="C22" s="1" t="s">
        <v>133</v>
      </c>
      <c r="E22" s="1" t="s">
        <v>180</v>
      </c>
      <c r="F22" s="1" t="s">
        <v>38</v>
      </c>
      <c r="G22" s="1">
        <v>1</v>
      </c>
      <c r="H22" s="1">
        <v>0</v>
      </c>
      <c r="I22" s="1">
        <v>0</v>
      </c>
      <c r="J22" s="1">
        <v>86</v>
      </c>
    </row>
    <row r="23" spans="1:10">
      <c r="A23" s="1">
        <v>9</v>
      </c>
      <c r="B23" s="1" t="s">
        <v>127</v>
      </c>
      <c r="C23" s="1" t="s">
        <v>133</v>
      </c>
      <c r="E23" s="1" t="s">
        <v>182</v>
      </c>
      <c r="F23" s="1" t="s">
        <v>37</v>
      </c>
      <c r="G23" s="1">
        <v>1</v>
      </c>
      <c r="H23" s="1">
        <v>0</v>
      </c>
      <c r="I23" s="1">
        <v>0</v>
      </c>
      <c r="J23" s="1">
        <v>12</v>
      </c>
    </row>
    <row r="24" spans="1:10">
      <c r="A24" s="1">
        <v>9</v>
      </c>
      <c r="B24" s="1" t="s">
        <v>127</v>
      </c>
      <c r="C24" s="1" t="s">
        <v>133</v>
      </c>
      <c r="E24" s="1" t="s">
        <v>183</v>
      </c>
      <c r="F24" s="1" t="s">
        <v>38</v>
      </c>
      <c r="G24" s="1">
        <v>1</v>
      </c>
      <c r="H24" s="1">
        <v>0</v>
      </c>
      <c r="I24" s="1">
        <v>0</v>
      </c>
      <c r="J24" s="1">
        <v>31</v>
      </c>
    </row>
    <row r="25" spans="1:10">
      <c r="A25" s="1">
        <v>9</v>
      </c>
      <c r="B25" s="1" t="s">
        <v>127</v>
      </c>
      <c r="C25" s="1" t="s">
        <v>133</v>
      </c>
      <c r="E25" s="1" t="s">
        <v>184</v>
      </c>
      <c r="F25" s="1" t="s">
        <v>38</v>
      </c>
      <c r="G25" s="1">
        <v>1</v>
      </c>
      <c r="H25" s="1">
        <v>0</v>
      </c>
      <c r="I25" s="1">
        <v>0</v>
      </c>
      <c r="J25" s="1">
        <v>47</v>
      </c>
    </row>
    <row r="26" spans="1:10">
      <c r="A26" s="1">
        <v>9</v>
      </c>
      <c r="B26" s="1" t="s">
        <v>133</v>
      </c>
      <c r="C26" s="1" t="s">
        <v>127</v>
      </c>
      <c r="E26" s="1" t="s">
        <v>142</v>
      </c>
      <c r="F26" s="1" t="s">
        <v>40</v>
      </c>
      <c r="G26" s="1">
        <v>1</v>
      </c>
      <c r="H26" s="1">
        <v>0</v>
      </c>
      <c r="I26" s="1">
        <v>0</v>
      </c>
      <c r="J26" s="1">
        <v>86</v>
      </c>
    </row>
    <row r="27" spans="1:10">
      <c r="A27" s="1">
        <v>10</v>
      </c>
      <c r="B27" s="1" t="s">
        <v>133</v>
      </c>
      <c r="C27" s="1" t="s">
        <v>129</v>
      </c>
      <c r="E27" s="1" t="s">
        <v>144</v>
      </c>
      <c r="F27" s="1" t="s">
        <v>37</v>
      </c>
      <c r="G27" s="1">
        <v>1</v>
      </c>
      <c r="H27" s="1">
        <v>0</v>
      </c>
      <c r="I27" s="1">
        <v>0</v>
      </c>
      <c r="J27" s="1">
        <v>12</v>
      </c>
    </row>
    <row r="28" spans="1:10">
      <c r="A28" s="1">
        <v>10</v>
      </c>
      <c r="B28" s="1" t="s">
        <v>129</v>
      </c>
      <c r="C28" s="1" t="s">
        <v>133</v>
      </c>
      <c r="E28" s="1" t="s">
        <v>185</v>
      </c>
      <c r="F28" s="1" t="s">
        <v>39</v>
      </c>
      <c r="G28" s="1">
        <v>1</v>
      </c>
      <c r="H28" s="1">
        <v>0</v>
      </c>
      <c r="I28" s="1">
        <v>0</v>
      </c>
      <c r="J28" s="1">
        <v>44</v>
      </c>
    </row>
    <row r="29" spans="1:10">
      <c r="A29" s="1">
        <v>10</v>
      </c>
      <c r="B29" s="1" t="s">
        <v>133</v>
      </c>
      <c r="C29" s="1" t="s">
        <v>129</v>
      </c>
      <c r="E29" s="1" t="s">
        <v>147</v>
      </c>
      <c r="F29" s="1" t="s">
        <v>36</v>
      </c>
      <c r="G29" s="1">
        <v>1</v>
      </c>
      <c r="H29" s="1">
        <v>0</v>
      </c>
      <c r="I29" s="1">
        <v>0</v>
      </c>
      <c r="J29" s="1">
        <v>90</v>
      </c>
    </row>
    <row r="30" spans="1:10">
      <c r="A30" s="1">
        <v>11</v>
      </c>
      <c r="B30" s="1" t="s">
        <v>131</v>
      </c>
      <c r="C30" s="1" t="s">
        <v>133</v>
      </c>
      <c r="E30" s="1" t="s">
        <v>222</v>
      </c>
      <c r="F30" s="1" t="s">
        <v>37</v>
      </c>
      <c r="G30" s="1">
        <v>1</v>
      </c>
      <c r="H30" s="1">
        <v>0</v>
      </c>
      <c r="I30" s="1">
        <v>0</v>
      </c>
      <c r="J30" s="1">
        <v>3</v>
      </c>
    </row>
    <row r="31" spans="1:10">
      <c r="A31" s="1">
        <v>11</v>
      </c>
      <c r="B31" s="1" t="s">
        <v>131</v>
      </c>
      <c r="C31" s="1" t="s">
        <v>133</v>
      </c>
      <c r="E31" s="1" t="s">
        <v>223</v>
      </c>
      <c r="F31" s="1" t="s">
        <v>38</v>
      </c>
      <c r="G31" s="1">
        <v>1</v>
      </c>
      <c r="H31" s="1">
        <v>0</v>
      </c>
      <c r="I31" s="1">
        <v>0</v>
      </c>
      <c r="J31" s="1">
        <v>9</v>
      </c>
    </row>
    <row r="32" spans="1:10">
      <c r="A32" s="1">
        <v>11</v>
      </c>
      <c r="B32" s="1" t="s">
        <v>131</v>
      </c>
      <c r="C32" s="1" t="s">
        <v>133</v>
      </c>
      <c r="E32" s="1" t="s">
        <v>224</v>
      </c>
      <c r="F32" s="1" t="s">
        <v>38</v>
      </c>
      <c r="G32" s="1">
        <v>1</v>
      </c>
      <c r="H32" s="1">
        <v>0</v>
      </c>
      <c r="I32" s="1">
        <v>0</v>
      </c>
      <c r="J32" s="1">
        <v>12</v>
      </c>
    </row>
    <row r="33" spans="1:10">
      <c r="A33" s="1">
        <v>11</v>
      </c>
      <c r="B33" s="1" t="s">
        <v>131</v>
      </c>
      <c r="C33" s="1" t="s">
        <v>133</v>
      </c>
      <c r="E33" s="1" t="s">
        <v>225</v>
      </c>
      <c r="F33" s="1" t="s">
        <v>38</v>
      </c>
      <c r="G33" s="1">
        <v>1</v>
      </c>
      <c r="H33" s="1">
        <v>0</v>
      </c>
      <c r="I33" s="1">
        <v>0</v>
      </c>
      <c r="J33" s="1">
        <v>30</v>
      </c>
    </row>
    <row r="34" spans="1:10">
      <c r="A34" s="1">
        <v>11</v>
      </c>
      <c r="B34" s="1" t="s">
        <v>131</v>
      </c>
      <c r="C34" s="1" t="s">
        <v>133</v>
      </c>
      <c r="E34" s="1" t="s">
        <v>225</v>
      </c>
      <c r="F34" s="1" t="s">
        <v>38</v>
      </c>
      <c r="G34" s="1">
        <v>1</v>
      </c>
      <c r="H34" s="1">
        <v>0</v>
      </c>
      <c r="I34" s="1">
        <v>0</v>
      </c>
      <c r="J34" s="1">
        <v>31</v>
      </c>
    </row>
    <row r="35" spans="1:10">
      <c r="A35" s="1">
        <v>11</v>
      </c>
      <c r="B35" s="1" t="s">
        <v>131</v>
      </c>
      <c r="C35" s="1" t="s">
        <v>133</v>
      </c>
      <c r="E35" s="1" t="s">
        <v>222</v>
      </c>
      <c r="F35" s="1" t="s">
        <v>38</v>
      </c>
      <c r="G35" s="1">
        <v>1</v>
      </c>
      <c r="H35" s="1">
        <v>0</v>
      </c>
      <c r="I35" s="1">
        <v>0</v>
      </c>
      <c r="J35" s="1">
        <v>39</v>
      </c>
    </row>
    <row r="36" spans="1:10">
      <c r="A36" s="1">
        <v>11</v>
      </c>
      <c r="B36" s="1" t="s">
        <v>131</v>
      </c>
      <c r="C36" s="1" t="s">
        <v>133</v>
      </c>
      <c r="E36" s="1" t="s">
        <v>226</v>
      </c>
      <c r="F36" s="1" t="s">
        <v>38</v>
      </c>
      <c r="G36" s="1">
        <v>1</v>
      </c>
      <c r="H36" s="1">
        <v>1</v>
      </c>
      <c r="I36" s="1">
        <v>0</v>
      </c>
      <c r="J36" s="1">
        <v>45</v>
      </c>
    </row>
    <row r="37" spans="1:10">
      <c r="A37" s="1">
        <v>11</v>
      </c>
      <c r="B37" s="1" t="s">
        <v>131</v>
      </c>
      <c r="C37" s="1" t="s">
        <v>133</v>
      </c>
      <c r="E37" s="1" t="s">
        <v>223</v>
      </c>
      <c r="F37" s="1" t="s">
        <v>38</v>
      </c>
      <c r="G37" s="1">
        <v>1</v>
      </c>
      <c r="H37" s="1">
        <v>0</v>
      </c>
      <c r="I37" s="1">
        <v>0</v>
      </c>
      <c r="J37" s="1">
        <v>58</v>
      </c>
    </row>
    <row r="38" spans="1:10">
      <c r="A38" s="1">
        <v>12</v>
      </c>
      <c r="B38" s="1" t="s">
        <v>132</v>
      </c>
      <c r="C38" s="1" t="s">
        <v>133</v>
      </c>
      <c r="E38" s="1" t="s">
        <v>227</v>
      </c>
      <c r="F38" s="1" t="s">
        <v>37</v>
      </c>
      <c r="G38" s="1">
        <v>1</v>
      </c>
      <c r="H38" s="1">
        <v>0</v>
      </c>
      <c r="I38" s="1">
        <v>0</v>
      </c>
      <c r="J38" s="1">
        <v>27</v>
      </c>
    </row>
    <row r="39" spans="1:10">
      <c r="A39" s="1">
        <v>12</v>
      </c>
      <c r="B39" s="1" t="s">
        <v>132</v>
      </c>
      <c r="C39" s="1" t="s">
        <v>133</v>
      </c>
      <c r="E39" s="1" t="s">
        <v>228</v>
      </c>
      <c r="F39" s="1" t="s">
        <v>38</v>
      </c>
      <c r="G39" s="1">
        <v>1</v>
      </c>
      <c r="H39" s="1">
        <v>0</v>
      </c>
      <c r="I39" s="1">
        <v>0</v>
      </c>
      <c r="J39" s="1">
        <v>32</v>
      </c>
    </row>
    <row r="40" spans="1:10">
      <c r="A40" s="1">
        <v>12</v>
      </c>
      <c r="B40" s="1" t="s">
        <v>132</v>
      </c>
      <c r="C40" s="1" t="s">
        <v>133</v>
      </c>
      <c r="E40" s="1" t="s">
        <v>229</v>
      </c>
      <c r="F40" s="1" t="s">
        <v>38</v>
      </c>
      <c r="G40" s="1">
        <v>1</v>
      </c>
      <c r="H40" s="1">
        <v>0</v>
      </c>
      <c r="I40" s="1">
        <v>0</v>
      </c>
      <c r="J40" s="1">
        <v>34</v>
      </c>
    </row>
    <row r="41" spans="1:10">
      <c r="A41" s="1">
        <v>12</v>
      </c>
      <c r="B41" s="1" t="s">
        <v>133</v>
      </c>
      <c r="C41" s="1" t="s">
        <v>132</v>
      </c>
      <c r="E41" s="1" t="s">
        <v>152</v>
      </c>
      <c r="F41" s="1" t="s">
        <v>40</v>
      </c>
      <c r="G41" s="1">
        <v>1</v>
      </c>
      <c r="H41" s="1">
        <v>0</v>
      </c>
      <c r="I41" s="1">
        <v>0</v>
      </c>
      <c r="J41" s="1">
        <v>89</v>
      </c>
    </row>
    <row r="42" spans="1:10">
      <c r="A42" s="1">
        <v>12</v>
      </c>
      <c r="B42" s="1" t="s">
        <v>132</v>
      </c>
      <c r="C42" s="1" t="s">
        <v>133</v>
      </c>
      <c r="E42" s="1" t="s">
        <v>230</v>
      </c>
      <c r="F42" s="1" t="s">
        <v>38</v>
      </c>
      <c r="G42" s="1">
        <v>1</v>
      </c>
      <c r="H42" s="1">
        <v>0</v>
      </c>
      <c r="I42" s="1">
        <v>0</v>
      </c>
      <c r="J42" s="1">
        <v>90</v>
      </c>
    </row>
    <row r="43" spans="1:10">
      <c r="A43" s="1">
        <v>13</v>
      </c>
      <c r="B43" s="1" t="s">
        <v>125</v>
      </c>
      <c r="C43" s="1" t="s">
        <v>133</v>
      </c>
      <c r="E43" s="1" t="s">
        <v>231</v>
      </c>
      <c r="F43" s="1" t="s">
        <v>37</v>
      </c>
      <c r="G43" s="1">
        <v>1</v>
      </c>
      <c r="H43" s="1">
        <v>0</v>
      </c>
      <c r="I43" s="1">
        <v>0</v>
      </c>
      <c r="J43" s="1">
        <v>50</v>
      </c>
    </row>
    <row r="44" spans="1:10">
      <c r="A44" s="1">
        <v>13</v>
      </c>
      <c r="B44" s="1" t="s">
        <v>125</v>
      </c>
      <c r="C44" s="1" t="s">
        <v>133</v>
      </c>
      <c r="E44" s="1" t="s">
        <v>232</v>
      </c>
      <c r="F44" s="1" t="s">
        <v>38</v>
      </c>
      <c r="G44" s="1">
        <v>1</v>
      </c>
      <c r="H44" s="1">
        <v>0</v>
      </c>
      <c r="I44" s="1">
        <v>0</v>
      </c>
      <c r="J44" s="1">
        <v>52</v>
      </c>
    </row>
    <row r="45" spans="1:10">
      <c r="A45" s="1">
        <v>13</v>
      </c>
      <c r="B45" s="1" t="s">
        <v>125</v>
      </c>
      <c r="C45" s="1" t="s">
        <v>133</v>
      </c>
      <c r="E45" s="1" t="s">
        <v>233</v>
      </c>
      <c r="F45" s="1" t="s">
        <v>38</v>
      </c>
      <c r="G45" s="1">
        <v>1</v>
      </c>
      <c r="H45" s="1">
        <v>0</v>
      </c>
      <c r="I45" s="1">
        <v>0</v>
      </c>
      <c r="J45" s="1">
        <v>54</v>
      </c>
    </row>
    <row r="46" spans="1:10">
      <c r="A46" s="1">
        <v>13</v>
      </c>
      <c r="B46" s="1" t="s">
        <v>125</v>
      </c>
      <c r="C46" s="1" t="s">
        <v>133</v>
      </c>
      <c r="E46" s="1" t="s">
        <v>234</v>
      </c>
      <c r="F46" s="1" t="s">
        <v>38</v>
      </c>
      <c r="G46" s="1">
        <v>1</v>
      </c>
      <c r="H46" s="1">
        <v>0</v>
      </c>
      <c r="I46" s="1">
        <v>0</v>
      </c>
      <c r="J46" s="1">
        <v>56</v>
      </c>
    </row>
    <row r="47" spans="1:10">
      <c r="A47" s="1">
        <v>14</v>
      </c>
      <c r="B47" s="1" t="s">
        <v>124</v>
      </c>
      <c r="C47" s="1" t="s">
        <v>133</v>
      </c>
      <c r="E47" s="1" t="s">
        <v>235</v>
      </c>
      <c r="F47" s="1" t="s">
        <v>37</v>
      </c>
      <c r="G47" s="1">
        <v>1</v>
      </c>
      <c r="H47" s="1">
        <v>0</v>
      </c>
      <c r="I47" s="1">
        <v>0</v>
      </c>
      <c r="J47" s="1">
        <v>21</v>
      </c>
    </row>
    <row r="48" spans="1:10">
      <c r="A48" s="1">
        <v>14</v>
      </c>
      <c r="B48" s="1" t="s">
        <v>124</v>
      </c>
      <c r="C48" s="1" t="s">
        <v>133</v>
      </c>
      <c r="E48" s="1" t="s">
        <v>236</v>
      </c>
      <c r="F48" s="1" t="s">
        <v>38</v>
      </c>
      <c r="G48" s="1">
        <v>1</v>
      </c>
      <c r="H48" s="1">
        <v>0</v>
      </c>
      <c r="I48" s="1">
        <v>0</v>
      </c>
      <c r="J48" s="1">
        <v>86</v>
      </c>
    </row>
    <row r="49" spans="1:10">
      <c r="A49" s="1">
        <v>14</v>
      </c>
      <c r="B49" s="1" t="s">
        <v>133</v>
      </c>
      <c r="C49" s="1" t="s">
        <v>124</v>
      </c>
      <c r="E49" s="1" t="s">
        <v>152</v>
      </c>
      <c r="F49" s="1" t="s">
        <v>40</v>
      </c>
      <c r="G49" s="1">
        <v>1</v>
      </c>
      <c r="H49" s="1">
        <v>0</v>
      </c>
      <c r="I49" s="1">
        <v>0</v>
      </c>
      <c r="J49" s="1">
        <v>87</v>
      </c>
    </row>
    <row r="50" spans="1:10">
      <c r="A50" s="1">
        <v>14</v>
      </c>
      <c r="B50" s="1" t="s">
        <v>124</v>
      </c>
      <c r="C50" s="1" t="s">
        <v>133</v>
      </c>
      <c r="E50" s="1" t="s">
        <v>237</v>
      </c>
      <c r="F50" s="1" t="s">
        <v>38</v>
      </c>
      <c r="G50" s="1">
        <v>1</v>
      </c>
      <c r="H50" s="1">
        <v>0</v>
      </c>
      <c r="I50" s="1">
        <v>0</v>
      </c>
      <c r="J50" s="1">
        <v>90</v>
      </c>
    </row>
    <row r="51" spans="1:10">
      <c r="A51" s="1">
        <v>15</v>
      </c>
      <c r="B51" s="1" t="s">
        <v>136</v>
      </c>
      <c r="C51" s="1" t="s">
        <v>133</v>
      </c>
      <c r="E51" s="1" t="s">
        <v>238</v>
      </c>
      <c r="F51" s="1" t="s">
        <v>12</v>
      </c>
      <c r="G51" s="1">
        <v>1</v>
      </c>
      <c r="H51" s="1">
        <v>0</v>
      </c>
      <c r="I51" s="1">
        <v>0</v>
      </c>
      <c r="J51" s="1">
        <v>78</v>
      </c>
    </row>
    <row r="52" spans="1:10">
      <c r="A52" s="1">
        <v>16</v>
      </c>
      <c r="B52" s="1" t="s">
        <v>123</v>
      </c>
      <c r="C52" s="1" t="s">
        <v>133</v>
      </c>
      <c r="E52" s="1" t="s">
        <v>239</v>
      </c>
      <c r="F52" s="1" t="s">
        <v>37</v>
      </c>
      <c r="G52" s="1">
        <v>1</v>
      </c>
      <c r="H52" s="1">
        <v>0</v>
      </c>
      <c r="I52" s="1">
        <v>0</v>
      </c>
      <c r="J52" s="1">
        <v>19</v>
      </c>
    </row>
    <row r="53" spans="1:10">
      <c r="A53" s="1">
        <v>16</v>
      </c>
      <c r="B53" s="1" t="s">
        <v>123</v>
      </c>
      <c r="C53" s="1" t="s">
        <v>133</v>
      </c>
      <c r="E53" s="1" t="s">
        <v>240</v>
      </c>
      <c r="F53" s="1" t="s">
        <v>38</v>
      </c>
      <c r="G53" s="1">
        <v>1</v>
      </c>
      <c r="H53" s="1">
        <v>0</v>
      </c>
      <c r="I53" s="1">
        <v>0</v>
      </c>
      <c r="J53" s="1">
        <v>61</v>
      </c>
    </row>
    <row r="54" spans="1:10">
      <c r="A54" s="1">
        <v>16</v>
      </c>
      <c r="B54" s="1" t="s">
        <v>133</v>
      </c>
      <c r="C54" s="1" t="s">
        <v>123</v>
      </c>
      <c r="E54" s="1" t="s">
        <v>144</v>
      </c>
      <c r="F54" s="1" t="s">
        <v>40</v>
      </c>
      <c r="G54" s="1">
        <v>1</v>
      </c>
      <c r="H54" s="1">
        <v>1</v>
      </c>
      <c r="I54" s="1">
        <v>0</v>
      </c>
      <c r="J54" s="1">
        <v>75</v>
      </c>
    </row>
    <row r="55" spans="1:10">
      <c r="A55" s="1">
        <v>16</v>
      </c>
      <c r="B55" s="1" t="s">
        <v>133</v>
      </c>
      <c r="C55" s="1" t="s">
        <v>123</v>
      </c>
      <c r="E55" s="1" t="s">
        <v>152</v>
      </c>
      <c r="F55" s="1" t="s">
        <v>39</v>
      </c>
      <c r="G55" s="1">
        <v>1</v>
      </c>
      <c r="H55" s="1">
        <v>0</v>
      </c>
      <c r="I55" s="1">
        <v>0</v>
      </c>
      <c r="J55" s="1">
        <v>87</v>
      </c>
    </row>
    <row r="56" spans="1:10">
      <c r="A56" s="1">
        <v>17</v>
      </c>
      <c r="B56" s="1" t="s">
        <v>121</v>
      </c>
      <c r="C56" s="1" t="s">
        <v>133</v>
      </c>
      <c r="E56" s="1" t="s">
        <v>241</v>
      </c>
      <c r="F56" s="1" t="s">
        <v>12</v>
      </c>
      <c r="G56" s="1">
        <v>1</v>
      </c>
      <c r="H56" s="1">
        <v>0</v>
      </c>
      <c r="I56" s="1">
        <v>0</v>
      </c>
      <c r="J56" s="1">
        <v>36</v>
      </c>
    </row>
    <row r="57" spans="1:10">
      <c r="A57" s="1">
        <v>18</v>
      </c>
      <c r="B57" s="1" t="s">
        <v>134</v>
      </c>
      <c r="C57" s="1" t="s">
        <v>133</v>
      </c>
      <c r="E57" s="1" t="s">
        <v>242</v>
      </c>
      <c r="F57" s="1" t="s">
        <v>37</v>
      </c>
      <c r="G57" s="1">
        <v>1</v>
      </c>
      <c r="H57" s="1">
        <v>0</v>
      </c>
      <c r="I57" s="1">
        <v>0</v>
      </c>
      <c r="J57" s="1">
        <v>33</v>
      </c>
    </row>
    <row r="58" spans="1:10">
      <c r="A58" s="1">
        <v>18</v>
      </c>
      <c r="B58" s="1" t="s">
        <v>134</v>
      </c>
      <c r="C58" s="1" t="s">
        <v>133</v>
      </c>
      <c r="E58" s="1" t="s">
        <v>243</v>
      </c>
      <c r="F58" s="1" t="s">
        <v>38</v>
      </c>
      <c r="G58" s="1">
        <v>1</v>
      </c>
      <c r="H58" s="1">
        <v>0</v>
      </c>
      <c r="I58" s="1">
        <v>0</v>
      </c>
      <c r="J58" s="1">
        <v>63</v>
      </c>
    </row>
    <row r="59" spans="1:10">
      <c r="A59" s="1">
        <v>18</v>
      </c>
      <c r="B59" s="1" t="s">
        <v>133</v>
      </c>
      <c r="C59" s="1" t="s">
        <v>134</v>
      </c>
      <c r="E59" s="1" t="s">
        <v>166</v>
      </c>
      <c r="F59" s="1" t="s">
        <v>40</v>
      </c>
      <c r="G59" s="1">
        <v>1</v>
      </c>
      <c r="H59" s="1">
        <v>0</v>
      </c>
      <c r="I59" s="1">
        <v>0</v>
      </c>
      <c r="J59" s="1">
        <v>67</v>
      </c>
    </row>
    <row r="60" spans="1:10">
      <c r="A60" s="1">
        <v>19</v>
      </c>
      <c r="B60" s="1" t="s">
        <v>135</v>
      </c>
      <c r="C60" s="1" t="s">
        <v>133</v>
      </c>
      <c r="E60" s="1" t="s">
        <v>244</v>
      </c>
      <c r="F60" s="1" t="s">
        <v>37</v>
      </c>
      <c r="G60" s="1">
        <v>1</v>
      </c>
      <c r="H60" s="1">
        <v>0</v>
      </c>
      <c r="I60" s="1">
        <v>0</v>
      </c>
      <c r="J60" s="1">
        <v>54</v>
      </c>
    </row>
    <row r="61" spans="1:10">
      <c r="A61" s="1">
        <v>19</v>
      </c>
      <c r="B61" s="1" t="s">
        <v>135</v>
      </c>
      <c r="C61" s="1" t="s">
        <v>133</v>
      </c>
      <c r="E61" s="1" t="s">
        <v>245</v>
      </c>
      <c r="F61" s="1" t="s">
        <v>38</v>
      </c>
      <c r="G61" s="1">
        <v>1</v>
      </c>
      <c r="H61" s="1">
        <v>0</v>
      </c>
      <c r="I61" s="1">
        <v>0</v>
      </c>
      <c r="J61" s="1">
        <v>67</v>
      </c>
    </row>
    <row r="62" spans="1:10">
      <c r="A62" s="1">
        <v>19</v>
      </c>
      <c r="B62" s="1" t="s">
        <v>135</v>
      </c>
      <c r="C62" s="1" t="s">
        <v>133</v>
      </c>
      <c r="E62" s="1" t="s">
        <v>246</v>
      </c>
      <c r="F62" s="1" t="s">
        <v>38</v>
      </c>
      <c r="G62" s="1">
        <v>1</v>
      </c>
      <c r="H62" s="1">
        <v>0</v>
      </c>
      <c r="I62" s="1">
        <v>0</v>
      </c>
      <c r="J62" s="1">
        <v>90</v>
      </c>
    </row>
    <row r="63" spans="1:10">
      <c r="A63" s="1">
        <v>20</v>
      </c>
      <c r="B63" s="1" t="s">
        <v>133</v>
      </c>
      <c r="C63" s="1" t="s">
        <v>122</v>
      </c>
      <c r="E63" s="1" t="s">
        <v>162</v>
      </c>
      <c r="F63" s="1" t="s">
        <v>12</v>
      </c>
      <c r="G63" s="1">
        <v>1</v>
      </c>
      <c r="H63" s="1">
        <v>0</v>
      </c>
      <c r="I63" s="1">
        <v>0</v>
      </c>
      <c r="J63" s="1">
        <v>72</v>
      </c>
    </row>
    <row r="64" spans="1:10">
      <c r="A64" s="1">
        <v>21</v>
      </c>
      <c r="B64" s="1" t="s">
        <v>133</v>
      </c>
      <c r="C64" s="1" t="s">
        <v>126</v>
      </c>
      <c r="E64" s="1" t="s">
        <v>138</v>
      </c>
      <c r="F64" s="1" t="s">
        <v>37</v>
      </c>
      <c r="G64" s="1">
        <v>1</v>
      </c>
      <c r="H64" s="1">
        <v>0</v>
      </c>
      <c r="I64" s="1">
        <v>0</v>
      </c>
      <c r="J64" s="1">
        <v>17</v>
      </c>
    </row>
    <row r="65" spans="1:10">
      <c r="A65" s="1">
        <v>21</v>
      </c>
      <c r="B65" s="1" t="s">
        <v>126</v>
      </c>
      <c r="C65" s="1" t="s">
        <v>133</v>
      </c>
      <c r="E65" s="1" t="s">
        <v>247</v>
      </c>
      <c r="F65" s="1" t="s">
        <v>39</v>
      </c>
      <c r="G65" s="1">
        <v>1</v>
      </c>
      <c r="H65" s="1">
        <v>0</v>
      </c>
      <c r="I65" s="1">
        <v>0</v>
      </c>
      <c r="J65" s="1">
        <v>24</v>
      </c>
    </row>
    <row r="66" spans="1:10">
      <c r="A66" s="1">
        <v>21</v>
      </c>
      <c r="B66" s="1" t="s">
        <v>126</v>
      </c>
      <c r="C66" s="1" t="s">
        <v>133</v>
      </c>
      <c r="E66" s="1" t="s">
        <v>248</v>
      </c>
      <c r="F66" s="1" t="s">
        <v>36</v>
      </c>
      <c r="G66" s="1">
        <v>1</v>
      </c>
      <c r="H66" s="1">
        <v>0</v>
      </c>
      <c r="I66" s="1">
        <v>0</v>
      </c>
      <c r="J66" s="1">
        <v>33</v>
      </c>
    </row>
    <row r="67" spans="1:10">
      <c r="A67" s="1">
        <v>21</v>
      </c>
      <c r="B67" s="1" t="s">
        <v>126</v>
      </c>
      <c r="C67" s="1" t="s">
        <v>133</v>
      </c>
      <c r="E67" s="1" t="s">
        <v>249</v>
      </c>
      <c r="F67" s="1" t="s">
        <v>38</v>
      </c>
      <c r="G67" s="1">
        <v>1</v>
      </c>
      <c r="H67" s="1">
        <v>0</v>
      </c>
      <c r="I67" s="1">
        <v>0</v>
      </c>
      <c r="J67" s="1">
        <v>41</v>
      </c>
    </row>
    <row r="68" spans="1:10">
      <c r="A68" s="1">
        <v>21</v>
      </c>
      <c r="B68" s="1" t="s">
        <v>133</v>
      </c>
      <c r="C68" s="1" t="s">
        <v>126</v>
      </c>
      <c r="E68" s="1" t="s">
        <v>144</v>
      </c>
      <c r="F68" s="1" t="s">
        <v>40</v>
      </c>
      <c r="G68" s="1">
        <v>1</v>
      </c>
      <c r="H68" s="1">
        <v>0</v>
      </c>
      <c r="I68" s="1">
        <v>0</v>
      </c>
      <c r="J68" s="1">
        <v>48</v>
      </c>
    </row>
    <row r="69" spans="1:10">
      <c r="A69" s="1">
        <v>21</v>
      </c>
      <c r="B69" s="1" t="s">
        <v>126</v>
      </c>
      <c r="C69" s="1" t="s">
        <v>133</v>
      </c>
      <c r="E69" s="1" t="s">
        <v>250</v>
      </c>
      <c r="F69" s="1" t="s">
        <v>38</v>
      </c>
      <c r="G69" s="1">
        <v>1</v>
      </c>
      <c r="H69" s="1">
        <v>0</v>
      </c>
      <c r="I69" s="1">
        <v>0</v>
      </c>
      <c r="J69" s="1">
        <v>68</v>
      </c>
    </row>
    <row r="70" spans="1:10">
      <c r="A70" s="1">
        <v>21</v>
      </c>
      <c r="B70" s="1" t="s">
        <v>126</v>
      </c>
      <c r="C70" s="1" t="s">
        <v>133</v>
      </c>
      <c r="E70" s="1" t="s">
        <v>251</v>
      </c>
      <c r="F70" s="1" t="s">
        <v>38</v>
      </c>
      <c r="G70" s="1">
        <v>1</v>
      </c>
      <c r="H70" s="1">
        <v>0</v>
      </c>
      <c r="I70" s="1">
        <v>0</v>
      </c>
      <c r="J70" s="1">
        <v>74</v>
      </c>
    </row>
    <row r="71" spans="1:10">
      <c r="A71" s="1">
        <v>21</v>
      </c>
      <c r="B71" s="1" t="s">
        <v>126</v>
      </c>
      <c r="C71" s="1" t="s">
        <v>133</v>
      </c>
      <c r="E71" s="1" t="s">
        <v>250</v>
      </c>
      <c r="F71" s="1" t="s">
        <v>38</v>
      </c>
      <c r="G71" s="1">
        <v>1</v>
      </c>
      <c r="H71" s="1">
        <v>0</v>
      </c>
      <c r="I71" s="1">
        <v>0</v>
      </c>
      <c r="J71" s="1">
        <v>80</v>
      </c>
    </row>
    <row r="72" spans="1:10">
      <c r="A72" s="1">
        <v>21</v>
      </c>
      <c r="B72" s="1" t="s">
        <v>133</v>
      </c>
      <c r="C72" s="1" t="s">
        <v>126</v>
      </c>
      <c r="E72" s="1" t="s">
        <v>252</v>
      </c>
      <c r="F72" s="1" t="s">
        <v>40</v>
      </c>
      <c r="G72" s="1">
        <v>1</v>
      </c>
      <c r="H72" s="1">
        <v>0</v>
      </c>
      <c r="I72" s="1">
        <v>0</v>
      </c>
      <c r="J72" s="1">
        <v>83</v>
      </c>
    </row>
    <row r="73" spans="1:10">
      <c r="A73" s="1">
        <v>22</v>
      </c>
      <c r="B73" s="1" t="s">
        <v>133</v>
      </c>
      <c r="C73" s="1" t="s">
        <v>130</v>
      </c>
      <c r="E73" s="1" t="s">
        <v>165</v>
      </c>
      <c r="F73" s="1" t="s">
        <v>37</v>
      </c>
      <c r="G73" s="1">
        <v>1</v>
      </c>
      <c r="H73" s="1">
        <v>0</v>
      </c>
      <c r="I73" s="1">
        <v>0</v>
      </c>
      <c r="J73" s="1">
        <v>64</v>
      </c>
    </row>
    <row r="74" spans="1:10">
      <c r="A74" s="1">
        <v>22</v>
      </c>
      <c r="B74" s="1" t="s">
        <v>133</v>
      </c>
      <c r="C74" s="1" t="s">
        <v>130</v>
      </c>
      <c r="E74" s="1" t="s">
        <v>253</v>
      </c>
      <c r="F74" s="1" t="s">
        <v>38</v>
      </c>
      <c r="G74" s="1">
        <v>1</v>
      </c>
      <c r="H74" s="1">
        <v>0</v>
      </c>
      <c r="I74" s="1">
        <v>0</v>
      </c>
      <c r="J74" s="1">
        <v>71</v>
      </c>
    </row>
    <row r="75" spans="1:10">
      <c r="A75" s="1">
        <v>23</v>
      </c>
      <c r="B75" s="1" t="s">
        <v>128</v>
      </c>
      <c r="C75" s="1" t="s">
        <v>133</v>
      </c>
      <c r="E75" s="1" t="s">
        <v>181</v>
      </c>
      <c r="F75" s="1" t="s">
        <v>37</v>
      </c>
      <c r="G75" s="1">
        <v>1</v>
      </c>
      <c r="H75" s="1">
        <v>0</v>
      </c>
      <c r="I75" s="1">
        <v>0</v>
      </c>
      <c r="J75" s="1">
        <v>49</v>
      </c>
    </row>
    <row r="76" spans="1:10">
      <c r="A76" s="1">
        <v>23</v>
      </c>
      <c r="B76" s="1" t="s">
        <v>128</v>
      </c>
      <c r="C76" s="1" t="s">
        <v>133</v>
      </c>
      <c r="E76" s="1" t="s">
        <v>254</v>
      </c>
      <c r="F76" s="1" t="s">
        <v>38</v>
      </c>
      <c r="G76" s="1">
        <v>1</v>
      </c>
      <c r="H76" s="1">
        <v>0</v>
      </c>
      <c r="I76" s="1">
        <v>0</v>
      </c>
      <c r="J76" s="1">
        <v>87</v>
      </c>
    </row>
    <row r="77" spans="1:10">
      <c r="A77" s="1">
        <v>24</v>
      </c>
      <c r="B77" s="1" t="s">
        <v>127</v>
      </c>
      <c r="C77" s="1" t="s">
        <v>133</v>
      </c>
      <c r="E77" s="1" t="s">
        <v>255</v>
      </c>
      <c r="F77" s="1" t="s">
        <v>37</v>
      </c>
      <c r="G77" s="1">
        <v>1</v>
      </c>
      <c r="H77" s="1">
        <v>0</v>
      </c>
      <c r="I77" s="1">
        <v>0</v>
      </c>
      <c r="J77" s="1">
        <v>30</v>
      </c>
    </row>
    <row r="78" spans="1:10">
      <c r="A78" s="1">
        <v>24</v>
      </c>
      <c r="B78" s="1" t="s">
        <v>127</v>
      </c>
      <c r="C78" s="1" t="s">
        <v>133</v>
      </c>
      <c r="E78" s="1" t="s">
        <v>256</v>
      </c>
      <c r="F78" s="1" t="s">
        <v>38</v>
      </c>
      <c r="G78" s="1">
        <v>1</v>
      </c>
      <c r="H78" s="1">
        <v>0</v>
      </c>
      <c r="I78" s="1">
        <v>0</v>
      </c>
      <c r="J78" s="1">
        <v>37</v>
      </c>
    </row>
    <row r="79" spans="1:10">
      <c r="A79" s="1">
        <v>24</v>
      </c>
      <c r="B79" s="1" t="s">
        <v>133</v>
      </c>
      <c r="C79" s="1" t="s">
        <v>127</v>
      </c>
      <c r="E79" s="1" t="s">
        <v>198</v>
      </c>
      <c r="F79" s="1" t="s">
        <v>40</v>
      </c>
      <c r="G79" s="1">
        <v>1</v>
      </c>
      <c r="H79" s="1">
        <v>0</v>
      </c>
      <c r="I79" s="1">
        <v>0</v>
      </c>
      <c r="J79" s="1">
        <v>44</v>
      </c>
    </row>
    <row r="80" spans="1:10">
      <c r="A80" s="1">
        <v>24</v>
      </c>
      <c r="B80" s="1" t="s">
        <v>127</v>
      </c>
      <c r="C80" s="1" t="s">
        <v>133</v>
      </c>
      <c r="E80" s="1" t="s">
        <v>184</v>
      </c>
      <c r="F80" s="1" t="s">
        <v>38</v>
      </c>
      <c r="G80" s="1">
        <v>1</v>
      </c>
      <c r="H80" s="1">
        <v>0</v>
      </c>
      <c r="I80" s="1">
        <v>0</v>
      </c>
      <c r="J80" s="1">
        <v>59</v>
      </c>
    </row>
    <row r="81" spans="1:10">
      <c r="A81" s="1">
        <v>24</v>
      </c>
      <c r="B81" s="1" t="s">
        <v>127</v>
      </c>
      <c r="C81" s="1" t="s">
        <v>133</v>
      </c>
      <c r="E81" s="1" t="s">
        <v>257</v>
      </c>
      <c r="F81" s="1" t="s">
        <v>38</v>
      </c>
      <c r="G81" s="1">
        <v>1</v>
      </c>
      <c r="H81" s="1">
        <v>0</v>
      </c>
      <c r="I81" s="1">
        <v>0</v>
      </c>
      <c r="J81" s="1">
        <v>65</v>
      </c>
    </row>
    <row r="82" spans="1:10">
      <c r="A82" s="1">
        <v>25</v>
      </c>
      <c r="B82" s="1" t="s">
        <v>133</v>
      </c>
      <c r="C82" s="1" t="s">
        <v>129</v>
      </c>
      <c r="E82" s="1" t="s">
        <v>199</v>
      </c>
      <c r="F82" s="1" t="s">
        <v>37</v>
      </c>
      <c r="G82" s="1">
        <v>1</v>
      </c>
      <c r="H82" s="1">
        <v>0</v>
      </c>
      <c r="I82" s="1">
        <v>0</v>
      </c>
      <c r="J82" s="1">
        <v>21</v>
      </c>
    </row>
    <row r="83" spans="1:10">
      <c r="A83" s="1">
        <v>25</v>
      </c>
      <c r="B83" s="1" t="s">
        <v>129</v>
      </c>
      <c r="C83" s="1" t="s">
        <v>133</v>
      </c>
      <c r="E83" s="1" t="s">
        <v>185</v>
      </c>
      <c r="F83" s="1" t="s">
        <v>39</v>
      </c>
      <c r="G83" s="1">
        <v>1</v>
      </c>
      <c r="H83" s="1">
        <v>0</v>
      </c>
      <c r="I83" s="1">
        <v>0</v>
      </c>
      <c r="J83" s="1">
        <v>36</v>
      </c>
    </row>
    <row r="84" spans="1:10">
      <c r="A84" s="1">
        <v>25</v>
      </c>
      <c r="B84" s="1" t="s">
        <v>129</v>
      </c>
      <c r="C84" s="1" t="s">
        <v>133</v>
      </c>
      <c r="E84" s="1" t="s">
        <v>185</v>
      </c>
      <c r="F84" s="1" t="s">
        <v>36</v>
      </c>
      <c r="G84" s="1">
        <v>1</v>
      </c>
      <c r="H84" s="1">
        <v>0</v>
      </c>
      <c r="I84" s="1">
        <v>0</v>
      </c>
      <c r="J84" s="1">
        <v>45</v>
      </c>
    </row>
    <row r="85" spans="1:10">
      <c r="A85" s="1">
        <v>25</v>
      </c>
      <c r="B85" s="1" t="s">
        <v>129</v>
      </c>
      <c r="C85" s="1" t="s">
        <v>133</v>
      </c>
      <c r="E85" s="1" t="s">
        <v>258</v>
      </c>
      <c r="F85" s="1" t="s">
        <v>38</v>
      </c>
      <c r="G85" s="1">
        <v>1</v>
      </c>
      <c r="H85" s="1">
        <v>0</v>
      </c>
      <c r="I85" s="1">
        <v>0</v>
      </c>
      <c r="J85" s="1">
        <v>60</v>
      </c>
    </row>
    <row r="86" spans="1:10">
      <c r="A86" s="1">
        <v>26</v>
      </c>
      <c r="B86" s="1" t="s">
        <v>131</v>
      </c>
      <c r="C86" s="1" t="s">
        <v>133</v>
      </c>
      <c r="E86" s="1" t="s">
        <v>259</v>
      </c>
      <c r="F86" s="1" t="s">
        <v>37</v>
      </c>
      <c r="G86" s="1">
        <v>1</v>
      </c>
      <c r="H86" s="1">
        <v>0</v>
      </c>
      <c r="I86" s="1">
        <v>0</v>
      </c>
      <c r="J86" s="1">
        <v>10</v>
      </c>
    </row>
    <row r="87" spans="1:10">
      <c r="A87" s="1">
        <v>26</v>
      </c>
      <c r="B87" s="1" t="s">
        <v>133</v>
      </c>
      <c r="C87" s="1" t="s">
        <v>131</v>
      </c>
      <c r="E87" s="1" t="s">
        <v>150</v>
      </c>
      <c r="F87" s="1" t="s">
        <v>39</v>
      </c>
      <c r="G87" s="1">
        <v>1</v>
      </c>
      <c r="H87" s="1">
        <v>0</v>
      </c>
      <c r="I87" s="1">
        <v>0</v>
      </c>
      <c r="J87" s="1">
        <v>16</v>
      </c>
    </row>
    <row r="88" spans="1:10">
      <c r="A88" s="1">
        <v>26</v>
      </c>
      <c r="B88" s="1" t="s">
        <v>133</v>
      </c>
      <c r="C88" s="1" t="s">
        <v>131</v>
      </c>
      <c r="E88" s="1" t="s">
        <v>253</v>
      </c>
      <c r="F88" s="1" t="s">
        <v>36</v>
      </c>
      <c r="G88" s="1">
        <v>1</v>
      </c>
      <c r="H88" s="1">
        <v>0</v>
      </c>
      <c r="I88" s="1">
        <v>0</v>
      </c>
      <c r="J88" s="1">
        <v>33</v>
      </c>
    </row>
    <row r="89" spans="1:10">
      <c r="A89" s="1">
        <v>26</v>
      </c>
      <c r="B89" s="1" t="s">
        <v>133</v>
      </c>
      <c r="C89" s="1" t="s">
        <v>131</v>
      </c>
      <c r="E89" s="1" t="s">
        <v>159</v>
      </c>
      <c r="F89" s="1" t="s">
        <v>38</v>
      </c>
      <c r="G89" s="1">
        <v>1</v>
      </c>
      <c r="H89" s="1">
        <v>0</v>
      </c>
      <c r="I89" s="1">
        <v>0</v>
      </c>
      <c r="J89" s="1">
        <v>68</v>
      </c>
    </row>
    <row r="90" spans="1:10">
      <c r="A90" s="1">
        <v>26</v>
      </c>
      <c r="B90" s="1" t="s">
        <v>131</v>
      </c>
      <c r="C90" s="1" t="s">
        <v>133</v>
      </c>
      <c r="E90" s="1" t="s">
        <v>260</v>
      </c>
      <c r="F90" s="1" t="s">
        <v>40</v>
      </c>
      <c r="G90" s="1">
        <v>1</v>
      </c>
      <c r="H90" s="1">
        <v>0</v>
      </c>
      <c r="I90" s="1">
        <v>0</v>
      </c>
      <c r="J90" s="1">
        <v>75</v>
      </c>
    </row>
    <row r="91" spans="1:10">
      <c r="A91" s="1">
        <v>27</v>
      </c>
      <c r="B91" s="1" t="s">
        <v>132</v>
      </c>
      <c r="C91" s="1" t="s">
        <v>133</v>
      </c>
      <c r="E91" s="1" t="s">
        <v>261</v>
      </c>
      <c r="F91" s="1" t="s">
        <v>37</v>
      </c>
      <c r="G91" s="1">
        <v>1</v>
      </c>
      <c r="H91" s="1">
        <v>0</v>
      </c>
      <c r="I91" s="1">
        <v>0</v>
      </c>
      <c r="J91" s="1">
        <v>57</v>
      </c>
    </row>
    <row r="92" spans="1:10">
      <c r="A92" s="1">
        <v>27</v>
      </c>
      <c r="B92" s="1" t="s">
        <v>132</v>
      </c>
      <c r="C92" s="1" t="s">
        <v>133</v>
      </c>
      <c r="E92" s="1" t="s">
        <v>262</v>
      </c>
      <c r="F92" s="1" t="s">
        <v>38</v>
      </c>
      <c r="G92" s="1">
        <v>1</v>
      </c>
      <c r="H92" s="1">
        <v>0</v>
      </c>
      <c r="I92" s="1">
        <v>0</v>
      </c>
      <c r="J92" s="1">
        <v>66</v>
      </c>
    </row>
    <row r="93" spans="1:10">
      <c r="A93" s="1">
        <v>28</v>
      </c>
      <c r="B93" s="1" t="s">
        <v>125</v>
      </c>
      <c r="C93" s="1" t="s">
        <v>133</v>
      </c>
      <c r="E93" s="1" t="s">
        <v>263</v>
      </c>
      <c r="F93" s="1" t="s">
        <v>37</v>
      </c>
      <c r="G93" s="1">
        <v>1</v>
      </c>
      <c r="H93" s="1">
        <v>0</v>
      </c>
      <c r="I93" s="1">
        <v>0</v>
      </c>
      <c r="J93" s="1">
        <v>25</v>
      </c>
    </row>
    <row r="94" spans="1:10">
      <c r="A94" s="1">
        <v>28</v>
      </c>
      <c r="B94" s="1" t="s">
        <v>125</v>
      </c>
      <c r="C94" s="1" t="s">
        <v>133</v>
      </c>
      <c r="E94" s="1" t="s">
        <v>264</v>
      </c>
      <c r="F94" s="1" t="s">
        <v>38</v>
      </c>
      <c r="G94" s="1">
        <v>1</v>
      </c>
      <c r="H94" s="1">
        <v>0</v>
      </c>
      <c r="I94" s="1">
        <v>0</v>
      </c>
      <c r="J94" s="1">
        <v>81</v>
      </c>
    </row>
    <row r="95" spans="1:10">
      <c r="A95" s="1">
        <v>28</v>
      </c>
      <c r="B95" s="1" t="s">
        <v>125</v>
      </c>
      <c r="C95" s="1" t="s">
        <v>133</v>
      </c>
      <c r="E95" s="1" t="s">
        <v>265</v>
      </c>
      <c r="F95" s="1" t="s">
        <v>38</v>
      </c>
      <c r="G95" s="1">
        <v>1</v>
      </c>
      <c r="H95" s="1">
        <v>1</v>
      </c>
      <c r="I95" s="1">
        <v>0</v>
      </c>
      <c r="J95" s="1">
        <v>86</v>
      </c>
    </row>
    <row r="96" spans="1:10">
      <c r="A96" s="1">
        <v>29</v>
      </c>
      <c r="B96" s="1" t="s">
        <v>133</v>
      </c>
      <c r="C96" s="1" t="s">
        <v>124</v>
      </c>
      <c r="E96" s="1" t="s">
        <v>144</v>
      </c>
      <c r="F96" s="1" t="s">
        <v>37</v>
      </c>
      <c r="G96" s="1">
        <v>1</v>
      </c>
      <c r="H96" s="1">
        <v>0</v>
      </c>
      <c r="I96" s="1">
        <v>0</v>
      </c>
      <c r="J96" s="1">
        <v>4</v>
      </c>
    </row>
    <row r="97" spans="1:10">
      <c r="A97" s="1">
        <v>29</v>
      </c>
      <c r="B97" s="1" t="s">
        <v>133</v>
      </c>
      <c r="C97" s="1" t="s">
        <v>124</v>
      </c>
      <c r="E97" s="1" t="s">
        <v>156</v>
      </c>
      <c r="F97" s="1" t="s">
        <v>38</v>
      </c>
      <c r="G97" s="1">
        <v>1</v>
      </c>
      <c r="H97" s="1">
        <v>0</v>
      </c>
      <c r="I97" s="1">
        <v>0</v>
      </c>
      <c r="J97" s="1">
        <v>7</v>
      </c>
    </row>
    <row r="98" spans="1:10">
      <c r="A98" s="1">
        <v>29</v>
      </c>
      <c r="B98" s="1" t="s">
        <v>133</v>
      </c>
      <c r="C98" s="1" t="s">
        <v>124</v>
      </c>
      <c r="E98" s="1" t="s">
        <v>146</v>
      </c>
      <c r="F98" s="1" t="s">
        <v>38</v>
      </c>
      <c r="G98" s="1">
        <v>1</v>
      </c>
      <c r="H98" s="1">
        <v>0</v>
      </c>
      <c r="I98" s="1">
        <v>0</v>
      </c>
      <c r="J98" s="1">
        <v>29</v>
      </c>
    </row>
    <row r="99" spans="1:10">
      <c r="A99" s="1">
        <v>29</v>
      </c>
      <c r="B99" s="1" t="s">
        <v>124</v>
      </c>
      <c r="C99" s="1" t="s">
        <v>133</v>
      </c>
      <c r="E99" s="1" t="s">
        <v>235</v>
      </c>
      <c r="F99" s="1" t="s">
        <v>40</v>
      </c>
      <c r="G99" s="1">
        <v>1</v>
      </c>
      <c r="H99" s="1">
        <v>0</v>
      </c>
      <c r="I99" s="1">
        <v>0</v>
      </c>
      <c r="J99" s="1">
        <v>33</v>
      </c>
    </row>
    <row r="100" spans="1:10">
      <c r="A100" s="1">
        <v>29</v>
      </c>
      <c r="B100" s="1" t="s">
        <v>133</v>
      </c>
      <c r="C100" s="1" t="s">
        <v>124</v>
      </c>
      <c r="E100" s="1" t="s">
        <v>151</v>
      </c>
      <c r="F100" s="1" t="s">
        <v>38</v>
      </c>
      <c r="G100" s="1">
        <v>1</v>
      </c>
      <c r="H100" s="1">
        <v>0</v>
      </c>
      <c r="I100" s="1">
        <v>0</v>
      </c>
      <c r="J100" s="1">
        <v>62</v>
      </c>
    </row>
    <row r="101" spans="1:10">
      <c r="A101" s="1">
        <v>29</v>
      </c>
      <c r="B101" s="1" t="s">
        <v>124</v>
      </c>
      <c r="C101" s="1" t="s">
        <v>133</v>
      </c>
      <c r="E101" s="1" t="s">
        <v>266</v>
      </c>
      <c r="F101" s="1" t="s">
        <v>40</v>
      </c>
      <c r="G101" s="1">
        <v>1</v>
      </c>
      <c r="H101" s="1">
        <v>0</v>
      </c>
      <c r="I101" s="1">
        <v>0</v>
      </c>
      <c r="J101" s="1">
        <v>71</v>
      </c>
    </row>
    <row r="102" spans="1:10">
      <c r="A102" s="1">
        <v>29</v>
      </c>
      <c r="B102" s="1" t="s">
        <v>133</v>
      </c>
      <c r="C102" s="1" t="s">
        <v>124</v>
      </c>
      <c r="E102" s="1" t="s">
        <v>162</v>
      </c>
      <c r="F102" s="1" t="s">
        <v>38</v>
      </c>
      <c r="G102" s="1">
        <v>1</v>
      </c>
      <c r="H102" s="1">
        <v>0</v>
      </c>
      <c r="I102" s="1">
        <v>0</v>
      </c>
      <c r="J102" s="1">
        <v>80</v>
      </c>
    </row>
    <row r="103" spans="1:10">
      <c r="A103" s="1">
        <v>30</v>
      </c>
      <c r="B103" s="1" t="s">
        <v>136</v>
      </c>
      <c r="C103" s="1" t="s">
        <v>133</v>
      </c>
      <c r="E103" s="1" t="s">
        <v>267</v>
      </c>
      <c r="F103" s="1" t="s">
        <v>37</v>
      </c>
      <c r="G103" s="1">
        <v>1</v>
      </c>
      <c r="H103" s="1">
        <v>0</v>
      </c>
      <c r="I103" s="1">
        <v>0</v>
      </c>
      <c r="J103" s="1">
        <v>5</v>
      </c>
    </row>
    <row r="104" spans="1:10">
      <c r="A104" s="1">
        <v>30</v>
      </c>
      <c r="B104" s="1" t="s">
        <v>133</v>
      </c>
      <c r="C104" s="1" t="s">
        <v>136</v>
      </c>
      <c r="E104" s="1" t="s">
        <v>252</v>
      </c>
      <c r="F104" s="1" t="s">
        <v>39</v>
      </c>
      <c r="G104" s="1">
        <v>1</v>
      </c>
      <c r="H104" s="1">
        <v>0</v>
      </c>
      <c r="I104" s="1">
        <v>0</v>
      </c>
      <c r="J104" s="1">
        <v>23</v>
      </c>
    </row>
    <row r="105" spans="1:10">
      <c r="A105" s="1">
        <v>30</v>
      </c>
      <c r="B105" s="1" t="s">
        <v>136</v>
      </c>
      <c r="C105" s="1" t="s">
        <v>133</v>
      </c>
      <c r="E105" s="1" t="s">
        <v>268</v>
      </c>
      <c r="F105" s="1" t="s">
        <v>36</v>
      </c>
      <c r="G105" s="1">
        <v>1</v>
      </c>
      <c r="H105" s="1">
        <v>0</v>
      </c>
      <c r="I105" s="1">
        <v>0</v>
      </c>
      <c r="J105" s="1">
        <v>26</v>
      </c>
    </row>
    <row r="106" spans="1:10">
      <c r="A106" s="1">
        <v>30</v>
      </c>
      <c r="B106" s="1" t="s">
        <v>133</v>
      </c>
      <c r="C106" s="1" t="s">
        <v>136</v>
      </c>
      <c r="E106" s="1" t="s">
        <v>144</v>
      </c>
      <c r="F106" s="1" t="s">
        <v>39</v>
      </c>
      <c r="G106" s="1">
        <v>1</v>
      </c>
      <c r="H106" s="1">
        <v>0</v>
      </c>
      <c r="I106" s="1">
        <v>0</v>
      </c>
      <c r="J106" s="1">
        <v>47</v>
      </c>
    </row>
    <row r="107" spans="1:10">
      <c r="A107" s="1">
        <v>30</v>
      </c>
      <c r="B107" s="1" t="s">
        <v>133</v>
      </c>
      <c r="C107" s="1" t="s">
        <v>136</v>
      </c>
      <c r="E107" s="1" t="s">
        <v>269</v>
      </c>
      <c r="F107" s="1" t="s">
        <v>38</v>
      </c>
      <c r="G107" s="1">
        <v>1</v>
      </c>
      <c r="H107" s="1">
        <v>0</v>
      </c>
      <c r="I107" s="1">
        <v>0</v>
      </c>
      <c r="J107" s="1">
        <v>55</v>
      </c>
    </row>
    <row r="108" spans="1:10">
      <c r="A108" s="1">
        <v>30</v>
      </c>
      <c r="B108" s="1" t="s">
        <v>133</v>
      </c>
      <c r="C108" s="1" t="s">
        <v>136</v>
      </c>
      <c r="E108" s="1" t="s">
        <v>146</v>
      </c>
      <c r="F108" s="1" t="s">
        <v>38</v>
      </c>
      <c r="G108" s="1">
        <v>1</v>
      </c>
      <c r="H108" s="1">
        <v>0</v>
      </c>
      <c r="I108" s="1">
        <v>0</v>
      </c>
      <c r="J108" s="1">
        <v>74</v>
      </c>
    </row>
    <row r="109" spans="1:10">
      <c r="A109" s="1">
        <v>30</v>
      </c>
      <c r="B109" s="1" t="s">
        <v>133</v>
      </c>
      <c r="C109" s="1" t="s">
        <v>136</v>
      </c>
      <c r="E109" s="1" t="s">
        <v>165</v>
      </c>
      <c r="F109" s="1" t="s">
        <v>38</v>
      </c>
      <c r="G109" s="1">
        <v>1</v>
      </c>
      <c r="H109" s="1">
        <v>0</v>
      </c>
      <c r="I109" s="1">
        <v>0</v>
      </c>
      <c r="J109" s="1">
        <v>77</v>
      </c>
    </row>
    <row r="110" spans="1:10">
      <c r="A110" s="1">
        <v>30</v>
      </c>
      <c r="B110" s="1" t="s">
        <v>133</v>
      </c>
      <c r="C110" s="1" t="s">
        <v>136</v>
      </c>
      <c r="E110" s="1" t="s">
        <v>165</v>
      </c>
      <c r="F110" s="1" t="s">
        <v>38</v>
      </c>
      <c r="G110" s="1">
        <v>1</v>
      </c>
      <c r="H110" s="1">
        <v>0</v>
      </c>
      <c r="I110" s="1">
        <v>0</v>
      </c>
      <c r="J110" s="1">
        <v>79</v>
      </c>
    </row>
    <row r="111" spans="1:10">
      <c r="A111" s="1">
        <v>30</v>
      </c>
      <c r="B111" s="1" t="s">
        <v>133</v>
      </c>
      <c r="C111" s="1" t="s">
        <v>136</v>
      </c>
      <c r="E111" s="1" t="s">
        <v>162</v>
      </c>
      <c r="F111" s="1" t="s">
        <v>38</v>
      </c>
      <c r="G111" s="1">
        <v>1</v>
      </c>
      <c r="H111" s="1">
        <v>0</v>
      </c>
      <c r="I111" s="1">
        <v>0</v>
      </c>
      <c r="J111" s="1">
        <v>89</v>
      </c>
    </row>
  </sheetData>
  <sortState xmlns:xlrd2="http://schemas.microsoft.com/office/spreadsheetml/2017/richdata2" ref="L21:L28">
    <sortCondition ref="L21:L28"/>
  </sortState>
  <dataValidations count="1">
    <dataValidation type="list" allowBlank="1" showInputMessage="1" showErrorMessage="1" sqref="F2:F111" xr:uid="{5C8874EE-8385-924F-A4BE-A8CBCE3E1A2E}">
      <formula1>$M$2:$M$8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503D-E254-C644-B86B-7A5E7D06E44C}">
  <dimension ref="A1:S92"/>
  <sheetViews>
    <sheetView workbookViewId="0">
      <selection activeCell="C60" sqref="C60:C92"/>
    </sheetView>
  </sheetViews>
  <sheetFormatPr baseColWidth="10" defaultRowHeight="16"/>
  <cols>
    <col min="1" max="1" width="12.5" style="1" bestFit="1" customWidth="1"/>
    <col min="2" max="2" width="30.6640625" style="1" bestFit="1" customWidth="1"/>
    <col min="3" max="3" width="12.5" style="1" customWidth="1"/>
    <col min="4" max="4" width="29.1640625" style="1" bestFit="1" customWidth="1"/>
    <col min="5" max="5" width="11.6640625" style="1" bestFit="1" customWidth="1"/>
    <col min="6" max="6" width="29.1640625" style="1" bestFit="1" customWidth="1"/>
    <col min="7" max="7" width="19.1640625" style="1" bestFit="1" customWidth="1"/>
    <col min="8" max="8" width="21.6640625" style="1" bestFit="1" customWidth="1"/>
    <col min="9" max="9" width="24.33203125" style="1" bestFit="1" customWidth="1"/>
    <col min="10" max="10" width="30.6640625" style="1" bestFit="1" customWidth="1"/>
    <col min="11" max="12" width="21.6640625" style="1" bestFit="1" customWidth="1"/>
    <col min="13" max="13" width="24.33203125" style="1" bestFit="1" customWidth="1"/>
    <col min="14" max="14" width="30.6640625" style="1" bestFit="1" customWidth="1"/>
    <col min="15" max="15" width="12.83203125" style="1" bestFit="1" customWidth="1"/>
    <col min="16" max="16" width="9" style="1" bestFit="1" customWidth="1"/>
    <col min="17" max="17" width="18.6640625" style="1" bestFit="1" customWidth="1"/>
    <col min="18" max="18" width="19.1640625" style="1" bestFit="1" customWidth="1"/>
    <col min="19" max="19" width="30.6640625" style="1" bestFit="1" customWidth="1"/>
    <col min="20" max="20" width="20.83203125" style="1" bestFit="1" customWidth="1"/>
    <col min="21" max="21" width="20.33203125" style="1" bestFit="1" customWidth="1"/>
    <col min="22" max="22" width="14.6640625" style="1" bestFit="1" customWidth="1"/>
    <col min="23" max="23" width="16.33203125" style="1" bestFit="1" customWidth="1"/>
    <col min="24" max="24" width="23.33203125" style="1" bestFit="1" customWidth="1"/>
    <col min="25" max="25" width="18" style="1" bestFit="1" customWidth="1"/>
    <col min="26" max="26" width="12.83203125" style="1" bestFit="1" customWidth="1"/>
    <col min="27" max="16384" width="10.83203125" style="1"/>
  </cols>
  <sheetData>
    <row r="1" spans="1:19">
      <c r="A1" s="1" t="s">
        <v>0</v>
      </c>
      <c r="B1" s="1" t="s">
        <v>44</v>
      </c>
      <c r="C1" s="1" t="s">
        <v>29</v>
      </c>
      <c r="D1" s="1" t="s">
        <v>63</v>
      </c>
      <c r="E1" s="1" t="s">
        <v>6</v>
      </c>
      <c r="F1" s="1" t="s">
        <v>1</v>
      </c>
      <c r="G1" s="1" t="s">
        <v>7</v>
      </c>
      <c r="H1" s="1" t="s">
        <v>49</v>
      </c>
      <c r="I1" s="1" t="s">
        <v>50</v>
      </c>
      <c r="J1" s="1" t="s">
        <v>64</v>
      </c>
      <c r="K1" s="1" t="s">
        <v>47</v>
      </c>
      <c r="L1" s="1" t="s">
        <v>48</v>
      </c>
      <c r="M1" s="1" t="s">
        <v>51</v>
      </c>
      <c r="N1" s="1" t="s">
        <v>65</v>
      </c>
    </row>
    <row r="2" spans="1:19">
      <c r="A2" s="1">
        <v>2</v>
      </c>
      <c r="B2" s="1" t="str">
        <f>+CONCATENATE(Datos_General[[#This Row],[Eq.Local]], "-", Datos_General[[#This Row],[Eq.Visitante]])</f>
        <v>Salgueiriños C.F.-Conxo Santiago B</v>
      </c>
      <c r="C2" s="1" t="s">
        <v>133</v>
      </c>
      <c r="D2" s="1" t="s">
        <v>57</v>
      </c>
      <c r="E2" s="1">
        <v>0</v>
      </c>
      <c r="F2" s="1" t="s">
        <v>138</v>
      </c>
      <c r="G2" s="1">
        <v>1</v>
      </c>
      <c r="H2" s="1">
        <v>79</v>
      </c>
      <c r="I2" s="1" t="s">
        <v>43</v>
      </c>
      <c r="K2" s="13">
        <v>0</v>
      </c>
      <c r="L2" s="13">
        <v>0</v>
      </c>
      <c r="M2" s="13">
        <v>0</v>
      </c>
      <c r="N2" s="13">
        <v>0</v>
      </c>
      <c r="P2"/>
      <c r="S2" s="15" t="s">
        <v>64</v>
      </c>
    </row>
    <row r="3" spans="1:19">
      <c r="A3" s="1">
        <v>2</v>
      </c>
      <c r="B3" s="1" t="str">
        <f>+CONCATENATE(Datos_General[[#This Row],[Eq.Local]], "-", Datos_General[[#This Row],[Eq.Visitante]])</f>
        <v>Salgueiriños C.F.-Conxo Santiago B</v>
      </c>
      <c r="C3" s="1" t="s">
        <v>133</v>
      </c>
      <c r="D3" s="1" t="s">
        <v>57</v>
      </c>
      <c r="E3" s="1">
        <v>0</v>
      </c>
      <c r="F3" s="1" t="s">
        <v>144</v>
      </c>
      <c r="G3" s="1">
        <v>1</v>
      </c>
      <c r="H3" s="1">
        <v>90</v>
      </c>
      <c r="I3" s="1" t="s">
        <v>43</v>
      </c>
      <c r="K3" s="13">
        <v>0</v>
      </c>
      <c r="L3" s="13">
        <v>0</v>
      </c>
      <c r="M3" s="13">
        <v>0</v>
      </c>
      <c r="N3" s="13">
        <v>0</v>
      </c>
      <c r="P3"/>
      <c r="S3" s="14" t="s">
        <v>73</v>
      </c>
    </row>
    <row r="4" spans="1:19">
      <c r="A4" s="1">
        <v>3</v>
      </c>
      <c r="B4" s="1" t="s">
        <v>272</v>
      </c>
      <c r="C4" s="1" t="s">
        <v>133</v>
      </c>
      <c r="D4" s="1" t="s">
        <v>58</v>
      </c>
      <c r="E4" s="1">
        <v>0</v>
      </c>
      <c r="F4" s="1" t="s">
        <v>146</v>
      </c>
      <c r="G4" s="1">
        <v>1</v>
      </c>
      <c r="H4" s="1">
        <v>61</v>
      </c>
      <c r="I4" s="1" t="s">
        <v>13</v>
      </c>
      <c r="K4" s="13">
        <v>0</v>
      </c>
      <c r="L4" s="13">
        <v>0</v>
      </c>
      <c r="M4" s="13">
        <v>0</v>
      </c>
      <c r="N4" s="13">
        <v>0</v>
      </c>
      <c r="P4"/>
      <c r="S4" s="14" t="s">
        <v>72</v>
      </c>
    </row>
    <row r="5" spans="1:19">
      <c r="A5" s="1">
        <v>3</v>
      </c>
      <c r="B5" s="1" t="s">
        <v>272</v>
      </c>
      <c r="C5" s="1" t="s">
        <v>133</v>
      </c>
      <c r="D5" s="1" t="s">
        <v>58</v>
      </c>
      <c r="E5" s="1">
        <v>0</v>
      </c>
      <c r="F5" s="1" t="s">
        <v>138</v>
      </c>
      <c r="G5" s="1">
        <v>1</v>
      </c>
      <c r="H5" s="1">
        <v>75</v>
      </c>
      <c r="I5" s="1" t="s">
        <v>13</v>
      </c>
      <c r="K5" s="13">
        <v>0</v>
      </c>
      <c r="L5" s="13">
        <v>0</v>
      </c>
      <c r="M5" s="13">
        <v>0</v>
      </c>
      <c r="N5" s="13">
        <v>0</v>
      </c>
      <c r="P5"/>
      <c r="S5" s="16" t="s">
        <v>74</v>
      </c>
    </row>
    <row r="6" spans="1:19">
      <c r="A6" s="1">
        <v>4</v>
      </c>
      <c r="B6" s="1" t="s">
        <v>273</v>
      </c>
      <c r="C6" s="1" t="s">
        <v>133</v>
      </c>
      <c r="D6" s="1" t="s">
        <v>57</v>
      </c>
      <c r="E6" s="1">
        <v>0</v>
      </c>
      <c r="F6" s="1" t="s">
        <v>156</v>
      </c>
      <c r="G6" s="1">
        <v>1</v>
      </c>
      <c r="H6" s="1">
        <v>86</v>
      </c>
      <c r="I6" s="1" t="s">
        <v>13</v>
      </c>
      <c r="K6" s="13">
        <v>0</v>
      </c>
      <c r="L6" s="13">
        <v>0</v>
      </c>
      <c r="M6" s="13">
        <v>0</v>
      </c>
      <c r="N6" s="13">
        <v>0</v>
      </c>
      <c r="P6"/>
      <c r="S6" s="16" t="s">
        <v>80</v>
      </c>
    </row>
    <row r="7" spans="1:19">
      <c r="A7" s="1">
        <v>5</v>
      </c>
      <c r="B7" s="28" t="s">
        <v>270</v>
      </c>
      <c r="C7" s="1" t="s">
        <v>133</v>
      </c>
      <c r="D7" s="1" t="s">
        <v>57</v>
      </c>
      <c r="E7" s="1">
        <v>0</v>
      </c>
      <c r="F7" s="1" t="s">
        <v>154</v>
      </c>
      <c r="G7" s="1">
        <v>1</v>
      </c>
      <c r="H7" s="1">
        <v>39</v>
      </c>
      <c r="I7" s="1" t="s">
        <v>43</v>
      </c>
      <c r="K7" s="13">
        <v>0</v>
      </c>
      <c r="L7" s="13">
        <v>0</v>
      </c>
      <c r="M7" s="13">
        <v>0</v>
      </c>
      <c r="N7" s="13">
        <v>0</v>
      </c>
      <c r="P7"/>
      <c r="S7" s="14" t="s">
        <v>71</v>
      </c>
    </row>
    <row r="8" spans="1:19">
      <c r="A8" s="1">
        <v>5</v>
      </c>
      <c r="B8" s="28" t="s">
        <v>270</v>
      </c>
      <c r="C8" s="1" t="s">
        <v>133</v>
      </c>
      <c r="D8" s="1" t="s">
        <v>57</v>
      </c>
      <c r="E8" s="1">
        <v>0</v>
      </c>
      <c r="F8" s="1" t="s">
        <v>147</v>
      </c>
      <c r="G8" s="1">
        <v>1</v>
      </c>
      <c r="H8" s="1">
        <v>40</v>
      </c>
      <c r="I8" s="1" t="s">
        <v>43</v>
      </c>
      <c r="K8" s="13">
        <v>0</v>
      </c>
      <c r="L8" s="13">
        <v>0</v>
      </c>
      <c r="M8" s="13">
        <v>0</v>
      </c>
      <c r="N8" s="13">
        <v>0</v>
      </c>
      <c r="P8"/>
      <c r="S8" s="16" t="s">
        <v>79</v>
      </c>
    </row>
    <row r="9" spans="1:19">
      <c r="A9" s="1">
        <v>5</v>
      </c>
      <c r="B9" s="28" t="s">
        <v>270</v>
      </c>
      <c r="C9" s="1" t="s">
        <v>133</v>
      </c>
      <c r="D9" s="1" t="s">
        <v>58</v>
      </c>
      <c r="E9" s="1">
        <v>0</v>
      </c>
      <c r="F9" s="1" t="s">
        <v>140</v>
      </c>
      <c r="G9" s="1">
        <v>1</v>
      </c>
      <c r="H9" s="1">
        <v>55</v>
      </c>
      <c r="I9" s="1" t="s">
        <v>43</v>
      </c>
      <c r="K9" s="13">
        <v>0</v>
      </c>
      <c r="L9" s="13">
        <v>0</v>
      </c>
      <c r="M9" s="13">
        <v>0</v>
      </c>
      <c r="N9" s="13">
        <v>0</v>
      </c>
      <c r="P9"/>
      <c r="S9" s="16" t="s">
        <v>84</v>
      </c>
    </row>
    <row r="10" spans="1:19">
      <c r="A10" s="1">
        <v>5</v>
      </c>
      <c r="B10" s="28" t="s">
        <v>270</v>
      </c>
      <c r="C10" s="1" t="s">
        <v>133</v>
      </c>
      <c r="D10" s="1" t="s">
        <v>58</v>
      </c>
      <c r="E10" s="1">
        <v>0</v>
      </c>
      <c r="F10" s="1" t="s">
        <v>145</v>
      </c>
      <c r="G10" s="1">
        <v>1</v>
      </c>
      <c r="H10" s="1">
        <v>79</v>
      </c>
      <c r="I10" s="1" t="s">
        <v>43</v>
      </c>
      <c r="K10" s="13">
        <v>0</v>
      </c>
      <c r="L10" s="13">
        <v>0</v>
      </c>
      <c r="M10" s="13">
        <v>0</v>
      </c>
      <c r="N10" s="13">
        <v>0</v>
      </c>
      <c r="P10"/>
      <c r="S10" s="16" t="s">
        <v>78</v>
      </c>
    </row>
    <row r="11" spans="1:19">
      <c r="A11" s="1">
        <v>5</v>
      </c>
      <c r="B11" s="28" t="s">
        <v>270</v>
      </c>
      <c r="C11" s="1" t="s">
        <v>133</v>
      </c>
      <c r="D11" s="1" t="s">
        <v>58</v>
      </c>
      <c r="E11" s="1">
        <v>0</v>
      </c>
      <c r="F11" s="1" t="s">
        <v>156</v>
      </c>
      <c r="G11" s="1">
        <v>1</v>
      </c>
      <c r="H11" s="1">
        <v>89</v>
      </c>
      <c r="I11" s="1" t="s">
        <v>43</v>
      </c>
      <c r="K11" s="13">
        <v>0</v>
      </c>
      <c r="L11" s="13">
        <v>0</v>
      </c>
      <c r="M11" s="13">
        <v>0</v>
      </c>
      <c r="N11" s="13">
        <v>0</v>
      </c>
      <c r="P11"/>
      <c r="S11" s="16" t="s">
        <v>77</v>
      </c>
    </row>
    <row r="12" spans="1:19">
      <c r="A12" s="1">
        <v>6</v>
      </c>
      <c r="B12" s="1" t="s">
        <v>271</v>
      </c>
      <c r="C12" s="1" t="s">
        <v>133</v>
      </c>
      <c r="D12" s="1" t="s">
        <v>57</v>
      </c>
      <c r="E12" s="1">
        <v>0</v>
      </c>
      <c r="F12" s="1" t="s">
        <v>144</v>
      </c>
      <c r="G12" s="1">
        <v>1</v>
      </c>
      <c r="H12" s="1">
        <v>38</v>
      </c>
      <c r="I12" s="1" t="s">
        <v>43</v>
      </c>
      <c r="K12" s="13">
        <v>0</v>
      </c>
      <c r="L12" s="13">
        <v>0</v>
      </c>
      <c r="M12" s="13">
        <v>0</v>
      </c>
      <c r="N12" s="13">
        <v>0</v>
      </c>
      <c r="P12"/>
      <c r="S12" s="14" t="s">
        <v>81</v>
      </c>
    </row>
    <row r="13" spans="1:19">
      <c r="A13" s="1">
        <v>6</v>
      </c>
      <c r="B13" s="1" t="s">
        <v>271</v>
      </c>
      <c r="C13" s="1" t="s">
        <v>133</v>
      </c>
      <c r="D13" s="1" t="s">
        <v>57</v>
      </c>
      <c r="E13" s="1">
        <v>0</v>
      </c>
      <c r="F13" s="1" t="s">
        <v>145</v>
      </c>
      <c r="G13" s="1">
        <v>1</v>
      </c>
      <c r="H13" s="1">
        <v>51</v>
      </c>
      <c r="I13" s="1" t="s">
        <v>43</v>
      </c>
      <c r="K13" s="13">
        <v>0</v>
      </c>
      <c r="L13" s="13">
        <v>0</v>
      </c>
      <c r="M13" s="13">
        <v>0</v>
      </c>
      <c r="N13" s="13">
        <v>0</v>
      </c>
      <c r="P13"/>
    </row>
    <row r="14" spans="1:19">
      <c r="A14" s="1">
        <v>6</v>
      </c>
      <c r="B14" s="1" t="s">
        <v>271</v>
      </c>
      <c r="C14" s="1" t="s">
        <v>133</v>
      </c>
      <c r="D14" s="1" t="s">
        <v>57</v>
      </c>
      <c r="E14" s="1">
        <v>0</v>
      </c>
      <c r="F14" s="1" t="s">
        <v>138</v>
      </c>
      <c r="G14" s="1">
        <v>1</v>
      </c>
      <c r="H14" s="1">
        <v>77</v>
      </c>
      <c r="I14" s="1" t="s">
        <v>43</v>
      </c>
      <c r="K14" s="13">
        <v>0</v>
      </c>
      <c r="L14" s="13">
        <v>0</v>
      </c>
      <c r="M14" s="13">
        <v>0</v>
      </c>
      <c r="N14" s="13">
        <v>0</v>
      </c>
      <c r="P14"/>
      <c r="S14" s="17"/>
    </row>
    <row r="15" spans="1:19">
      <c r="A15" s="1">
        <v>7</v>
      </c>
      <c r="B15" s="1" t="s">
        <v>274</v>
      </c>
      <c r="C15" s="1" t="s">
        <v>133</v>
      </c>
      <c r="D15" s="1" t="s">
        <v>58</v>
      </c>
      <c r="E15" s="1">
        <v>0</v>
      </c>
      <c r="F15" s="1" t="s">
        <v>142</v>
      </c>
      <c r="G15" s="1">
        <v>1</v>
      </c>
      <c r="H15" s="1">
        <v>47</v>
      </c>
      <c r="I15" s="1" t="s">
        <v>13</v>
      </c>
      <c r="K15" s="13">
        <v>0</v>
      </c>
      <c r="L15" s="13">
        <v>0</v>
      </c>
      <c r="M15" s="13">
        <v>0</v>
      </c>
      <c r="N15" s="13">
        <v>0</v>
      </c>
      <c r="P15"/>
      <c r="S15" s="17"/>
    </row>
    <row r="16" spans="1:19">
      <c r="A16" s="1">
        <v>8</v>
      </c>
      <c r="B16" s="1" t="s">
        <v>276</v>
      </c>
      <c r="C16" s="1" t="s">
        <v>133</v>
      </c>
      <c r="D16" s="1" t="s">
        <v>57</v>
      </c>
      <c r="E16" s="1">
        <v>0</v>
      </c>
      <c r="F16" s="1" t="s">
        <v>275</v>
      </c>
      <c r="G16" s="1">
        <v>1</v>
      </c>
      <c r="H16" s="1">
        <v>43</v>
      </c>
      <c r="I16" s="1" t="s">
        <v>13</v>
      </c>
      <c r="K16" s="13">
        <v>0</v>
      </c>
      <c r="L16" s="13">
        <v>0</v>
      </c>
      <c r="M16" s="13">
        <v>0</v>
      </c>
      <c r="N16" s="13">
        <v>0</v>
      </c>
      <c r="P16"/>
      <c r="S16" s="17"/>
    </row>
    <row r="17" spans="1:19">
      <c r="A17" s="1">
        <v>8</v>
      </c>
      <c r="B17" s="1" t="s">
        <v>276</v>
      </c>
      <c r="C17" s="1" t="s">
        <v>133</v>
      </c>
      <c r="D17" s="1" t="s">
        <v>57</v>
      </c>
      <c r="E17" s="1">
        <v>0</v>
      </c>
      <c r="F17" s="1" t="s">
        <v>138</v>
      </c>
      <c r="G17" s="1">
        <v>1</v>
      </c>
      <c r="H17" s="1">
        <v>61</v>
      </c>
      <c r="I17" s="1" t="s">
        <v>43</v>
      </c>
      <c r="K17" s="13">
        <v>0</v>
      </c>
      <c r="L17" s="13">
        <v>0</v>
      </c>
      <c r="M17" s="13">
        <v>0</v>
      </c>
      <c r="N17" s="13">
        <v>0</v>
      </c>
      <c r="P17"/>
      <c r="S17" s="17"/>
    </row>
    <row r="18" spans="1:19">
      <c r="A18" s="1">
        <v>9</v>
      </c>
      <c r="B18" s="1" t="s">
        <v>277</v>
      </c>
      <c r="C18" s="1" t="s">
        <v>133</v>
      </c>
      <c r="D18" s="1" t="s">
        <v>58</v>
      </c>
      <c r="E18" s="1">
        <v>0</v>
      </c>
      <c r="F18" s="1" t="s">
        <v>156</v>
      </c>
      <c r="G18" s="1">
        <v>1</v>
      </c>
      <c r="H18" s="1">
        <v>10</v>
      </c>
      <c r="I18" s="1" t="s">
        <v>13</v>
      </c>
      <c r="K18" s="13">
        <v>0</v>
      </c>
      <c r="L18" s="13">
        <v>0</v>
      </c>
      <c r="M18" s="13">
        <v>0</v>
      </c>
      <c r="N18" s="13">
        <v>0</v>
      </c>
      <c r="P18"/>
      <c r="S18" s="17"/>
    </row>
    <row r="19" spans="1:19">
      <c r="A19" s="1">
        <v>10</v>
      </c>
      <c r="B19" s="1" t="s">
        <v>279</v>
      </c>
      <c r="C19" s="1" t="s">
        <v>133</v>
      </c>
      <c r="D19" s="1" t="s">
        <v>57</v>
      </c>
      <c r="E19" s="1">
        <v>0</v>
      </c>
      <c r="F19" s="1" t="s">
        <v>278</v>
      </c>
      <c r="G19" s="1">
        <v>1</v>
      </c>
      <c r="H19" s="1">
        <v>31</v>
      </c>
      <c r="I19" s="1" t="s">
        <v>12</v>
      </c>
      <c r="K19" s="13">
        <v>0</v>
      </c>
      <c r="L19" s="13">
        <v>0</v>
      </c>
      <c r="M19" s="13">
        <v>0</v>
      </c>
      <c r="N19" s="13">
        <v>0</v>
      </c>
      <c r="S19" s="17"/>
    </row>
    <row r="20" spans="1:19">
      <c r="A20" s="1">
        <v>10</v>
      </c>
      <c r="B20" s="1" t="s">
        <v>279</v>
      </c>
      <c r="C20" s="1" t="s">
        <v>133</v>
      </c>
      <c r="D20" s="1" t="s">
        <v>57</v>
      </c>
      <c r="E20" s="1">
        <v>0</v>
      </c>
      <c r="F20" s="1" t="s">
        <v>140</v>
      </c>
      <c r="G20" s="1">
        <v>1</v>
      </c>
      <c r="H20" s="1">
        <v>75</v>
      </c>
      <c r="I20" s="1" t="s">
        <v>13</v>
      </c>
      <c r="K20" s="13">
        <v>0</v>
      </c>
      <c r="L20" s="13">
        <v>0</v>
      </c>
      <c r="M20" s="13">
        <v>0</v>
      </c>
      <c r="N20" s="13">
        <v>0</v>
      </c>
      <c r="S20" s="17"/>
    </row>
    <row r="21" spans="1:19">
      <c r="A21" s="1">
        <v>10</v>
      </c>
      <c r="B21" s="10" t="s">
        <v>279</v>
      </c>
      <c r="C21" s="1" t="s">
        <v>133</v>
      </c>
      <c r="D21" s="1" t="s">
        <v>57</v>
      </c>
      <c r="E21" s="1">
        <v>0</v>
      </c>
      <c r="F21" s="1" t="s">
        <v>150</v>
      </c>
      <c r="G21" s="10">
        <v>1</v>
      </c>
      <c r="H21" s="10">
        <v>85</v>
      </c>
      <c r="I21" s="1" t="s">
        <v>13</v>
      </c>
      <c r="K21" s="13">
        <v>0</v>
      </c>
      <c r="L21" s="13">
        <v>0</v>
      </c>
      <c r="M21" s="13">
        <v>0</v>
      </c>
      <c r="N21" s="13">
        <v>0</v>
      </c>
      <c r="S21" s="17"/>
    </row>
    <row r="22" spans="1:19">
      <c r="A22" s="1">
        <v>10</v>
      </c>
      <c r="B22" s="1" t="s">
        <v>279</v>
      </c>
      <c r="C22" s="1" t="s">
        <v>133</v>
      </c>
      <c r="D22" s="1" t="s">
        <v>57</v>
      </c>
      <c r="E22" s="1">
        <v>0</v>
      </c>
      <c r="F22" s="1" t="s">
        <v>147</v>
      </c>
      <c r="G22" s="1">
        <v>1</v>
      </c>
      <c r="H22" s="1">
        <v>89</v>
      </c>
      <c r="I22" s="1" t="s">
        <v>13</v>
      </c>
      <c r="K22" s="13">
        <v>0</v>
      </c>
      <c r="L22" s="13">
        <v>0</v>
      </c>
      <c r="M22" s="13">
        <v>0</v>
      </c>
      <c r="N22" s="13">
        <v>0</v>
      </c>
      <c r="S22" s="17"/>
    </row>
    <row r="23" spans="1:19">
      <c r="A23" s="1">
        <v>11</v>
      </c>
      <c r="B23" s="1" t="s">
        <v>280</v>
      </c>
      <c r="C23" s="1" t="s">
        <v>133</v>
      </c>
      <c r="D23" s="1" t="s">
        <v>58</v>
      </c>
      <c r="E23" s="1">
        <v>0</v>
      </c>
      <c r="F23" s="1" t="s">
        <v>143</v>
      </c>
      <c r="G23" s="1">
        <v>1</v>
      </c>
      <c r="H23" s="1">
        <v>75</v>
      </c>
      <c r="I23" s="1" t="s">
        <v>43</v>
      </c>
      <c r="K23" s="13">
        <v>0</v>
      </c>
      <c r="L23" s="13">
        <v>0</v>
      </c>
      <c r="M23" s="13">
        <v>0</v>
      </c>
      <c r="N23" s="13">
        <v>0</v>
      </c>
      <c r="S23" s="17"/>
    </row>
    <row r="24" spans="1:19">
      <c r="A24" s="1">
        <v>11</v>
      </c>
      <c r="B24" s="1" t="s">
        <v>280</v>
      </c>
      <c r="C24" s="1" t="s">
        <v>133</v>
      </c>
      <c r="D24" s="1" t="s">
        <v>58</v>
      </c>
      <c r="E24" s="1">
        <v>0</v>
      </c>
      <c r="F24" s="1" t="s">
        <v>163</v>
      </c>
      <c r="G24" s="1">
        <v>1</v>
      </c>
      <c r="H24" s="1">
        <v>77</v>
      </c>
      <c r="I24" s="1" t="s">
        <v>43</v>
      </c>
      <c r="K24" s="13">
        <v>0</v>
      </c>
      <c r="L24" s="13">
        <v>0</v>
      </c>
      <c r="M24" s="13">
        <v>0</v>
      </c>
      <c r="N24" s="13">
        <v>0</v>
      </c>
      <c r="S24" s="17"/>
    </row>
    <row r="25" spans="1:19">
      <c r="A25" s="1">
        <v>12</v>
      </c>
      <c r="B25" s="1" t="s">
        <v>281</v>
      </c>
      <c r="C25" s="1" t="s">
        <v>133</v>
      </c>
      <c r="D25" s="1" t="s">
        <v>57</v>
      </c>
      <c r="E25" s="1">
        <v>0</v>
      </c>
      <c r="F25" s="1" t="s">
        <v>165</v>
      </c>
      <c r="G25" s="1">
        <v>1</v>
      </c>
      <c r="H25" s="1">
        <v>46</v>
      </c>
      <c r="I25" s="1" t="s">
        <v>43</v>
      </c>
      <c r="K25" s="13">
        <v>0</v>
      </c>
      <c r="L25" s="13">
        <v>0</v>
      </c>
      <c r="M25" s="13">
        <v>0</v>
      </c>
      <c r="N25" s="13">
        <v>0</v>
      </c>
      <c r="S25" s="17"/>
    </row>
    <row r="26" spans="1:19">
      <c r="A26" s="1">
        <v>12</v>
      </c>
      <c r="B26" s="10" t="s">
        <v>281</v>
      </c>
      <c r="C26" s="1" t="s">
        <v>133</v>
      </c>
      <c r="D26" s="1" t="s">
        <v>57</v>
      </c>
      <c r="E26" s="1">
        <v>0</v>
      </c>
      <c r="F26" s="1" t="s">
        <v>144</v>
      </c>
      <c r="G26" s="1">
        <v>1</v>
      </c>
      <c r="H26" s="1">
        <v>76</v>
      </c>
      <c r="I26" s="1" t="s">
        <v>43</v>
      </c>
      <c r="K26" s="13">
        <v>0</v>
      </c>
      <c r="L26" s="13">
        <v>0</v>
      </c>
      <c r="M26" s="13">
        <v>0</v>
      </c>
      <c r="N26" s="13">
        <v>0</v>
      </c>
      <c r="S26" s="17"/>
    </row>
    <row r="27" spans="1:19">
      <c r="A27" s="1">
        <v>13</v>
      </c>
      <c r="B27" s="10" t="s">
        <v>282</v>
      </c>
      <c r="C27" s="1" t="s">
        <v>133</v>
      </c>
      <c r="D27" s="1" t="s">
        <v>58</v>
      </c>
      <c r="E27" s="1">
        <v>0</v>
      </c>
      <c r="F27" s="1" t="s">
        <v>142</v>
      </c>
      <c r="G27" s="1">
        <v>1</v>
      </c>
      <c r="H27" s="1">
        <v>60</v>
      </c>
      <c r="I27" s="1" t="s">
        <v>43</v>
      </c>
      <c r="K27" s="13">
        <v>0</v>
      </c>
      <c r="L27" s="13">
        <v>0</v>
      </c>
      <c r="M27" s="13">
        <v>0</v>
      </c>
      <c r="N27" s="13">
        <v>0</v>
      </c>
      <c r="S27" s="17"/>
    </row>
    <row r="28" spans="1:19">
      <c r="A28" s="1">
        <v>14</v>
      </c>
      <c r="B28" s="1" t="s">
        <v>283</v>
      </c>
      <c r="C28" s="1" t="s">
        <v>133</v>
      </c>
      <c r="D28" s="1" t="s">
        <v>57</v>
      </c>
      <c r="E28" s="1">
        <v>0</v>
      </c>
      <c r="F28" s="1" t="s">
        <v>154</v>
      </c>
      <c r="G28" s="1">
        <v>1</v>
      </c>
      <c r="H28" s="1">
        <v>54</v>
      </c>
      <c r="I28" s="1" t="s">
        <v>43</v>
      </c>
      <c r="K28" s="13">
        <v>0</v>
      </c>
      <c r="L28" s="13">
        <v>0</v>
      </c>
      <c r="M28" s="13">
        <v>0</v>
      </c>
      <c r="N28" s="13">
        <v>0</v>
      </c>
      <c r="S28" s="17"/>
    </row>
    <row r="29" spans="1:19">
      <c r="A29" s="1">
        <v>15</v>
      </c>
      <c r="B29" s="1" t="s">
        <v>285</v>
      </c>
      <c r="C29" s="1" t="s">
        <v>133</v>
      </c>
      <c r="D29" s="1" t="s">
        <v>58</v>
      </c>
      <c r="E29" s="1">
        <v>0</v>
      </c>
      <c r="F29" s="1" t="s">
        <v>140</v>
      </c>
      <c r="G29" s="1">
        <v>1</v>
      </c>
      <c r="H29" s="1">
        <v>38</v>
      </c>
      <c r="I29" s="1" t="s">
        <v>13</v>
      </c>
      <c r="K29" s="13">
        <v>0</v>
      </c>
      <c r="L29" s="13">
        <v>0</v>
      </c>
      <c r="M29" s="13">
        <v>0</v>
      </c>
      <c r="N29" s="13">
        <v>0</v>
      </c>
      <c r="S29" s="17"/>
    </row>
    <row r="30" spans="1:19">
      <c r="A30" s="1">
        <v>15</v>
      </c>
      <c r="B30" s="1" t="s">
        <v>285</v>
      </c>
      <c r="C30" s="1" t="s">
        <v>133</v>
      </c>
      <c r="D30" s="1" t="s">
        <v>58</v>
      </c>
      <c r="E30" s="1">
        <v>0</v>
      </c>
      <c r="F30" s="1" t="s">
        <v>275</v>
      </c>
      <c r="G30" s="1">
        <v>1</v>
      </c>
      <c r="H30" s="1">
        <v>54</v>
      </c>
      <c r="I30" s="1" t="s">
        <v>13</v>
      </c>
      <c r="K30" s="13">
        <v>0</v>
      </c>
      <c r="L30" s="13">
        <v>0</v>
      </c>
      <c r="M30" s="13">
        <v>0</v>
      </c>
      <c r="N30" s="13">
        <v>0</v>
      </c>
      <c r="S30" s="17"/>
    </row>
    <row r="31" spans="1:19">
      <c r="A31" s="1">
        <v>15</v>
      </c>
      <c r="B31" s="1" t="s">
        <v>285</v>
      </c>
      <c r="C31" s="1" t="s">
        <v>133</v>
      </c>
      <c r="D31" s="1" t="s">
        <v>58</v>
      </c>
      <c r="E31" s="1">
        <v>0</v>
      </c>
      <c r="F31" s="1" t="s">
        <v>144</v>
      </c>
      <c r="G31" s="1">
        <v>1</v>
      </c>
      <c r="H31" s="1">
        <v>57</v>
      </c>
      <c r="I31" s="1" t="s">
        <v>13</v>
      </c>
      <c r="K31" s="13">
        <v>0</v>
      </c>
      <c r="L31" s="13">
        <v>0</v>
      </c>
      <c r="M31" s="13">
        <v>0</v>
      </c>
      <c r="N31" s="13">
        <v>0</v>
      </c>
      <c r="S31" s="17"/>
    </row>
    <row r="32" spans="1:19">
      <c r="A32" s="1">
        <v>15</v>
      </c>
      <c r="B32" s="10" t="s">
        <v>285</v>
      </c>
      <c r="C32" s="10" t="s">
        <v>133</v>
      </c>
      <c r="D32" s="10" t="s">
        <v>58</v>
      </c>
      <c r="E32" s="10">
        <v>0</v>
      </c>
      <c r="F32" s="10" t="s">
        <v>146</v>
      </c>
      <c r="G32" s="1">
        <v>1</v>
      </c>
      <c r="H32" s="1">
        <v>77</v>
      </c>
      <c r="I32" s="1" t="s">
        <v>13</v>
      </c>
      <c r="K32" s="13">
        <v>0</v>
      </c>
      <c r="L32" s="13">
        <v>0</v>
      </c>
      <c r="M32" s="13">
        <v>0</v>
      </c>
      <c r="N32" s="13">
        <v>0</v>
      </c>
      <c r="S32" s="17"/>
    </row>
    <row r="33" spans="1:19">
      <c r="A33" s="1">
        <v>15</v>
      </c>
      <c r="B33" s="1" t="s">
        <v>285</v>
      </c>
      <c r="C33" s="1" t="s">
        <v>133</v>
      </c>
      <c r="D33" s="1" t="s">
        <v>58</v>
      </c>
      <c r="E33" s="1">
        <v>0</v>
      </c>
      <c r="F33" s="1" t="s">
        <v>152</v>
      </c>
      <c r="G33" s="1">
        <v>1</v>
      </c>
      <c r="H33" s="1">
        <v>84</v>
      </c>
      <c r="I33" s="1" t="s">
        <v>43</v>
      </c>
      <c r="K33" s="13">
        <v>0</v>
      </c>
      <c r="L33" s="13">
        <v>0</v>
      </c>
      <c r="M33" s="13">
        <v>0</v>
      </c>
      <c r="N33" s="13">
        <v>0</v>
      </c>
      <c r="S33" s="17"/>
    </row>
    <row r="34" spans="1:19">
      <c r="A34" s="1">
        <v>15</v>
      </c>
      <c r="B34" s="10" t="s">
        <v>285</v>
      </c>
      <c r="C34" s="10" t="s">
        <v>133</v>
      </c>
      <c r="D34" s="10" t="s">
        <v>58</v>
      </c>
      <c r="E34" s="10">
        <v>0</v>
      </c>
      <c r="F34" s="10" t="s">
        <v>146</v>
      </c>
      <c r="G34" s="1">
        <v>1</v>
      </c>
      <c r="H34" s="1">
        <v>90</v>
      </c>
      <c r="I34" s="1" t="s">
        <v>43</v>
      </c>
      <c r="K34" s="13">
        <v>0</v>
      </c>
      <c r="L34" s="13">
        <v>0</v>
      </c>
      <c r="M34" s="13">
        <v>0</v>
      </c>
      <c r="N34" s="13">
        <v>0</v>
      </c>
      <c r="S34" s="17"/>
    </row>
    <row r="35" spans="1:19">
      <c r="A35" s="1">
        <v>16</v>
      </c>
      <c r="B35" s="1" t="s">
        <v>286</v>
      </c>
      <c r="C35" s="1" t="s">
        <v>133</v>
      </c>
      <c r="D35" s="1" t="s">
        <v>57</v>
      </c>
      <c r="E35" s="1">
        <v>0</v>
      </c>
      <c r="F35" s="1" t="s">
        <v>138</v>
      </c>
      <c r="G35" s="1">
        <v>1</v>
      </c>
      <c r="H35" s="1">
        <v>33</v>
      </c>
      <c r="I35" s="1" t="s">
        <v>43</v>
      </c>
      <c r="K35" s="13">
        <v>0</v>
      </c>
      <c r="L35" s="13">
        <v>0</v>
      </c>
      <c r="M35" s="13">
        <v>0</v>
      </c>
      <c r="N35" s="13">
        <v>0</v>
      </c>
      <c r="S35" s="17"/>
    </row>
    <row r="36" spans="1:19">
      <c r="A36" s="1">
        <v>17</v>
      </c>
      <c r="B36" s="1" t="s">
        <v>287</v>
      </c>
      <c r="C36" s="1" t="s">
        <v>133</v>
      </c>
      <c r="D36" s="1" t="s">
        <v>58</v>
      </c>
      <c r="E36" s="1">
        <v>0</v>
      </c>
      <c r="F36" s="1" t="s">
        <v>144</v>
      </c>
      <c r="G36" s="1">
        <v>1</v>
      </c>
      <c r="H36" s="1">
        <v>53</v>
      </c>
      <c r="I36" s="1" t="s">
        <v>43</v>
      </c>
      <c r="K36" s="13">
        <v>0</v>
      </c>
      <c r="L36" s="13">
        <v>0</v>
      </c>
      <c r="M36" s="13">
        <v>0</v>
      </c>
      <c r="N36" s="13">
        <v>0</v>
      </c>
      <c r="S36" s="17"/>
    </row>
    <row r="37" spans="1:19">
      <c r="A37" s="1">
        <v>17</v>
      </c>
      <c r="B37" s="1" t="s">
        <v>287</v>
      </c>
      <c r="C37" s="1" t="s">
        <v>133</v>
      </c>
      <c r="D37" s="1" t="s">
        <v>58</v>
      </c>
      <c r="E37" s="1">
        <v>0</v>
      </c>
      <c r="F37" s="1" t="s">
        <v>156</v>
      </c>
      <c r="G37" s="1">
        <v>1</v>
      </c>
      <c r="H37" s="1">
        <v>73</v>
      </c>
      <c r="I37" s="1" t="s">
        <v>43</v>
      </c>
      <c r="K37" s="13">
        <v>0</v>
      </c>
      <c r="L37" s="13">
        <v>0</v>
      </c>
      <c r="M37" s="13">
        <v>0</v>
      </c>
      <c r="N37" s="13">
        <v>0</v>
      </c>
      <c r="S37" s="17"/>
    </row>
    <row r="38" spans="1:19">
      <c r="A38" s="1">
        <v>18</v>
      </c>
      <c r="B38" s="1" t="s">
        <v>288</v>
      </c>
      <c r="C38" s="1" t="s">
        <v>133</v>
      </c>
      <c r="D38" s="1" t="s">
        <v>57</v>
      </c>
      <c r="F38" s="1" t="s">
        <v>199</v>
      </c>
      <c r="G38" s="1">
        <v>1</v>
      </c>
      <c r="H38" s="1">
        <v>27</v>
      </c>
      <c r="I38" s="1" t="s">
        <v>13</v>
      </c>
      <c r="K38" s="13">
        <v>0</v>
      </c>
      <c r="L38" s="13">
        <v>0</v>
      </c>
      <c r="M38" s="13">
        <v>0</v>
      </c>
      <c r="N38" s="13">
        <v>0</v>
      </c>
      <c r="S38" s="17"/>
    </row>
    <row r="39" spans="1:19">
      <c r="A39" s="1">
        <v>18</v>
      </c>
      <c r="B39" s="1" t="s">
        <v>288</v>
      </c>
      <c r="C39" s="1" t="s">
        <v>133</v>
      </c>
      <c r="D39" s="1" t="s">
        <v>57</v>
      </c>
      <c r="F39" s="1" t="s">
        <v>140</v>
      </c>
      <c r="G39" s="1">
        <v>1</v>
      </c>
      <c r="H39" s="1">
        <v>90</v>
      </c>
      <c r="I39" s="1" t="s">
        <v>43</v>
      </c>
      <c r="K39" s="13">
        <v>0</v>
      </c>
      <c r="L39" s="13">
        <v>0</v>
      </c>
      <c r="M39" s="13">
        <v>0</v>
      </c>
      <c r="N39" s="13">
        <v>0</v>
      </c>
      <c r="S39" s="17"/>
    </row>
    <row r="40" spans="1:19">
      <c r="A40" s="1">
        <v>19</v>
      </c>
      <c r="B40" s="10" t="s">
        <v>289</v>
      </c>
      <c r="C40" s="10" t="s">
        <v>133</v>
      </c>
      <c r="D40" s="10" t="s">
        <v>58</v>
      </c>
      <c r="E40" s="10"/>
      <c r="F40" s="10" t="s">
        <v>142</v>
      </c>
      <c r="G40" s="1">
        <v>1</v>
      </c>
      <c r="H40" s="1">
        <v>27</v>
      </c>
      <c r="I40" s="1" t="s">
        <v>13</v>
      </c>
      <c r="K40" s="13">
        <v>0</v>
      </c>
      <c r="L40" s="13">
        <v>0</v>
      </c>
      <c r="M40" s="13">
        <v>0</v>
      </c>
      <c r="N40" s="13">
        <v>0</v>
      </c>
      <c r="S40" s="17"/>
    </row>
    <row r="41" spans="1:19">
      <c r="A41" s="1">
        <v>19</v>
      </c>
      <c r="B41" s="10" t="s">
        <v>289</v>
      </c>
      <c r="C41" s="10" t="s">
        <v>133</v>
      </c>
      <c r="D41" s="10" t="s">
        <v>58</v>
      </c>
      <c r="E41" s="10"/>
      <c r="F41" s="10" t="s">
        <v>142</v>
      </c>
      <c r="G41" s="1">
        <v>1</v>
      </c>
      <c r="H41" s="1">
        <v>66</v>
      </c>
      <c r="I41" s="1" t="s">
        <v>43</v>
      </c>
      <c r="K41" s="13">
        <v>0</v>
      </c>
      <c r="L41" s="13">
        <v>0</v>
      </c>
      <c r="M41" s="13">
        <v>0</v>
      </c>
      <c r="N41" s="13">
        <v>0</v>
      </c>
      <c r="S41" s="17"/>
    </row>
    <row r="42" spans="1:19">
      <c r="A42" s="1">
        <v>19</v>
      </c>
      <c r="B42" s="1" t="s">
        <v>289</v>
      </c>
      <c r="C42" s="1" t="s">
        <v>133</v>
      </c>
      <c r="D42" s="1" t="s">
        <v>58</v>
      </c>
      <c r="F42" s="1" t="s">
        <v>163</v>
      </c>
      <c r="G42" s="1">
        <v>1</v>
      </c>
      <c r="H42" s="1">
        <v>70</v>
      </c>
      <c r="I42" s="1" t="s">
        <v>43</v>
      </c>
      <c r="K42" s="13">
        <v>0</v>
      </c>
      <c r="L42" s="13">
        <v>0</v>
      </c>
      <c r="M42" s="13">
        <v>0</v>
      </c>
      <c r="N42" s="13">
        <v>0</v>
      </c>
      <c r="S42" s="17"/>
    </row>
    <row r="43" spans="1:19">
      <c r="A43" s="1">
        <v>20</v>
      </c>
      <c r="B43" s="1" t="s">
        <v>290</v>
      </c>
      <c r="C43" s="1" t="s">
        <v>133</v>
      </c>
      <c r="D43" s="1" t="s">
        <v>57</v>
      </c>
      <c r="F43" s="1" t="s">
        <v>252</v>
      </c>
      <c r="G43" s="1">
        <v>1</v>
      </c>
      <c r="H43" s="1">
        <v>27</v>
      </c>
      <c r="I43" s="1" t="s">
        <v>13</v>
      </c>
      <c r="K43" s="13">
        <v>0</v>
      </c>
      <c r="L43" s="13">
        <v>0</v>
      </c>
      <c r="M43" s="13">
        <v>0</v>
      </c>
      <c r="N43" s="13">
        <v>0</v>
      </c>
      <c r="S43" s="17"/>
    </row>
    <row r="44" spans="1:19">
      <c r="A44" s="1">
        <v>20</v>
      </c>
      <c r="B44" s="1" t="s">
        <v>290</v>
      </c>
      <c r="C44" s="1" t="s">
        <v>133</v>
      </c>
      <c r="D44" s="1" t="s">
        <v>57</v>
      </c>
      <c r="F44" s="1" t="s">
        <v>162</v>
      </c>
      <c r="G44" s="1">
        <v>1</v>
      </c>
      <c r="H44" s="1">
        <v>62</v>
      </c>
      <c r="I44" s="1" t="s">
        <v>13</v>
      </c>
      <c r="K44" s="13">
        <v>0</v>
      </c>
      <c r="L44" s="13">
        <v>0</v>
      </c>
      <c r="M44" s="13">
        <v>0</v>
      </c>
      <c r="N44" s="13">
        <v>0</v>
      </c>
      <c r="S44" s="17"/>
    </row>
    <row r="45" spans="1:19">
      <c r="A45" s="1">
        <v>20</v>
      </c>
      <c r="B45" s="1" t="s">
        <v>290</v>
      </c>
      <c r="C45" s="1" t="s">
        <v>133</v>
      </c>
      <c r="D45" s="1" t="s">
        <v>57</v>
      </c>
      <c r="F45" s="1" t="s">
        <v>166</v>
      </c>
      <c r="G45" s="1">
        <v>1</v>
      </c>
      <c r="H45" s="1">
        <v>74</v>
      </c>
      <c r="I45" s="1" t="s">
        <v>43</v>
      </c>
      <c r="K45" s="13">
        <v>0</v>
      </c>
      <c r="L45" s="13">
        <v>0</v>
      </c>
      <c r="M45" s="13">
        <v>0</v>
      </c>
      <c r="N45" s="13">
        <v>0</v>
      </c>
      <c r="S45" s="17"/>
    </row>
    <row r="46" spans="1:19">
      <c r="A46" s="1">
        <v>20</v>
      </c>
      <c r="B46" s="1" t="s">
        <v>290</v>
      </c>
      <c r="C46" s="1" t="s">
        <v>133</v>
      </c>
      <c r="D46" s="1" t="s">
        <v>57</v>
      </c>
      <c r="F46" s="1" t="s">
        <v>150</v>
      </c>
      <c r="G46" s="1">
        <v>1</v>
      </c>
      <c r="H46" s="1">
        <v>75</v>
      </c>
      <c r="I46" s="1" t="s">
        <v>43</v>
      </c>
      <c r="K46" s="13">
        <v>0</v>
      </c>
      <c r="L46" s="13">
        <v>0</v>
      </c>
      <c r="M46" s="13">
        <v>0</v>
      </c>
      <c r="N46" s="13">
        <v>0</v>
      </c>
      <c r="S46" s="17"/>
    </row>
    <row r="47" spans="1:19">
      <c r="A47" s="1">
        <v>20</v>
      </c>
      <c r="B47" s="1" t="s">
        <v>290</v>
      </c>
      <c r="C47" s="1" t="s">
        <v>133</v>
      </c>
      <c r="D47" s="1" t="s">
        <v>57</v>
      </c>
      <c r="F47" s="1" t="s">
        <v>275</v>
      </c>
      <c r="G47" s="1">
        <v>1</v>
      </c>
      <c r="H47" s="1">
        <v>90</v>
      </c>
      <c r="I47" s="1" t="s">
        <v>43</v>
      </c>
      <c r="K47" s="13">
        <v>0</v>
      </c>
      <c r="L47" s="13">
        <v>0</v>
      </c>
      <c r="M47" s="13">
        <v>0</v>
      </c>
      <c r="N47" s="13">
        <v>0</v>
      </c>
      <c r="S47" s="17"/>
    </row>
    <row r="48" spans="1:19">
      <c r="A48" s="1">
        <v>21</v>
      </c>
      <c r="B48" s="1" t="s">
        <v>291</v>
      </c>
      <c r="C48" s="1" t="s">
        <v>133</v>
      </c>
      <c r="D48" s="1" t="s">
        <v>58</v>
      </c>
      <c r="F48" s="1" t="s">
        <v>140</v>
      </c>
      <c r="G48" s="1">
        <v>1</v>
      </c>
      <c r="H48" s="1">
        <v>72</v>
      </c>
      <c r="I48" s="1" t="s">
        <v>43</v>
      </c>
      <c r="K48" s="13">
        <v>0</v>
      </c>
      <c r="L48" s="13">
        <v>0</v>
      </c>
      <c r="M48" s="13">
        <v>0</v>
      </c>
      <c r="N48" s="13">
        <v>0</v>
      </c>
      <c r="S48" s="17"/>
    </row>
    <row r="49" spans="1:14">
      <c r="A49" s="1">
        <v>22</v>
      </c>
      <c r="B49" s="1" t="s">
        <v>292</v>
      </c>
      <c r="C49" s="1" t="s">
        <v>133</v>
      </c>
      <c r="D49" s="1" t="s">
        <v>57</v>
      </c>
      <c r="F49" s="1" t="s">
        <v>163</v>
      </c>
      <c r="G49" s="1">
        <v>1</v>
      </c>
      <c r="H49" s="1">
        <v>75</v>
      </c>
      <c r="I49" s="1" t="s">
        <v>43</v>
      </c>
      <c r="K49" s="13">
        <v>0</v>
      </c>
      <c r="L49" s="13">
        <v>0</v>
      </c>
      <c r="M49" s="13">
        <v>0</v>
      </c>
      <c r="N49" s="13">
        <v>0</v>
      </c>
    </row>
    <row r="50" spans="1:14">
      <c r="A50" s="1">
        <v>23</v>
      </c>
      <c r="B50" s="1" t="s">
        <v>293</v>
      </c>
      <c r="C50" s="1" t="s">
        <v>133</v>
      </c>
      <c r="D50" s="1" t="s">
        <v>58</v>
      </c>
      <c r="F50" s="1" t="s">
        <v>198</v>
      </c>
      <c r="G50" s="1">
        <v>1</v>
      </c>
      <c r="H50" s="1">
        <v>28</v>
      </c>
      <c r="I50" s="1" t="s">
        <v>13</v>
      </c>
      <c r="K50" s="13">
        <v>0</v>
      </c>
      <c r="L50" s="13">
        <v>0</v>
      </c>
      <c r="M50" s="13">
        <v>0</v>
      </c>
      <c r="N50" s="13">
        <v>0</v>
      </c>
    </row>
    <row r="51" spans="1:14">
      <c r="A51" s="1">
        <v>23</v>
      </c>
      <c r="B51" s="1" t="s">
        <v>293</v>
      </c>
      <c r="C51" s="1" t="s">
        <v>133</v>
      </c>
      <c r="D51" s="1" t="s">
        <v>58</v>
      </c>
      <c r="F51" s="1" t="s">
        <v>162</v>
      </c>
      <c r="G51" s="1">
        <v>1</v>
      </c>
      <c r="H51" s="1">
        <v>29</v>
      </c>
      <c r="I51" s="1" t="s">
        <v>13</v>
      </c>
      <c r="K51" s="13">
        <v>0</v>
      </c>
      <c r="L51" s="13">
        <v>0</v>
      </c>
      <c r="M51" s="13">
        <v>0</v>
      </c>
      <c r="N51" s="13">
        <v>0</v>
      </c>
    </row>
    <row r="52" spans="1:14">
      <c r="A52" s="1">
        <v>24</v>
      </c>
      <c r="B52" s="1" t="s">
        <v>294</v>
      </c>
      <c r="C52" s="1" t="s">
        <v>133</v>
      </c>
      <c r="D52" s="1" t="s">
        <v>57</v>
      </c>
      <c r="F52" s="1" t="s">
        <v>142</v>
      </c>
      <c r="G52" s="1">
        <v>1</v>
      </c>
      <c r="H52" s="1">
        <v>38</v>
      </c>
      <c r="I52" s="1" t="s">
        <v>43</v>
      </c>
      <c r="K52" s="13">
        <v>0</v>
      </c>
      <c r="L52" s="13">
        <v>0</v>
      </c>
      <c r="M52" s="13">
        <v>0</v>
      </c>
      <c r="N52" s="13">
        <v>0</v>
      </c>
    </row>
    <row r="53" spans="1:14">
      <c r="A53" s="1">
        <v>27</v>
      </c>
      <c r="B53" s="1" t="s">
        <v>295</v>
      </c>
      <c r="C53" s="1" t="s">
        <v>133</v>
      </c>
      <c r="D53" s="1" t="s">
        <v>58</v>
      </c>
      <c r="F53" s="1" t="s">
        <v>138</v>
      </c>
      <c r="G53" s="1">
        <v>1</v>
      </c>
      <c r="H53" s="1">
        <v>61</v>
      </c>
      <c r="I53" s="1" t="s">
        <v>43</v>
      </c>
      <c r="K53" s="13">
        <v>0</v>
      </c>
      <c r="L53" s="13">
        <v>0</v>
      </c>
      <c r="M53" s="13">
        <v>0</v>
      </c>
      <c r="N53" s="13">
        <v>0</v>
      </c>
    </row>
    <row r="54" spans="1:14">
      <c r="A54" s="1">
        <v>27</v>
      </c>
      <c r="B54" s="1" t="s">
        <v>295</v>
      </c>
      <c r="C54" s="1" t="s">
        <v>133</v>
      </c>
      <c r="D54" s="1" t="s">
        <v>58</v>
      </c>
      <c r="F54" s="1" t="s">
        <v>146</v>
      </c>
      <c r="G54" s="1">
        <v>1</v>
      </c>
      <c r="H54" s="1">
        <v>67</v>
      </c>
      <c r="I54" s="1" t="s">
        <v>43</v>
      </c>
      <c r="K54" s="13">
        <v>0</v>
      </c>
      <c r="L54" s="13">
        <v>0</v>
      </c>
      <c r="M54" s="13">
        <v>0</v>
      </c>
      <c r="N54" s="13">
        <v>0</v>
      </c>
    </row>
    <row r="55" spans="1:14">
      <c r="A55" s="1">
        <v>28</v>
      </c>
      <c r="B55" s="1" t="s">
        <v>296</v>
      </c>
      <c r="C55" s="1" t="s">
        <v>133</v>
      </c>
      <c r="D55" s="1" t="s">
        <v>57</v>
      </c>
      <c r="F55" s="1" t="s">
        <v>198</v>
      </c>
      <c r="G55" s="1">
        <v>1</v>
      </c>
      <c r="H55" s="1">
        <v>49</v>
      </c>
      <c r="I55" s="1" t="s">
        <v>43</v>
      </c>
      <c r="K55" s="13">
        <v>0</v>
      </c>
      <c r="L55" s="13">
        <v>0</v>
      </c>
      <c r="M55" s="13">
        <v>0</v>
      </c>
      <c r="N55" s="13">
        <v>0</v>
      </c>
    </row>
    <row r="56" spans="1:14">
      <c r="A56" s="1">
        <v>28</v>
      </c>
      <c r="B56" s="1" t="s">
        <v>296</v>
      </c>
      <c r="C56" s="1" t="s">
        <v>133</v>
      </c>
      <c r="D56" s="1" t="s">
        <v>57</v>
      </c>
      <c r="F56" s="1" t="s">
        <v>146</v>
      </c>
      <c r="G56" s="1">
        <v>1</v>
      </c>
      <c r="H56" s="1">
        <v>63</v>
      </c>
      <c r="I56" s="1" t="s">
        <v>43</v>
      </c>
      <c r="K56" s="13">
        <v>0</v>
      </c>
      <c r="L56" s="13">
        <v>0</v>
      </c>
      <c r="M56" s="13">
        <v>0</v>
      </c>
      <c r="N56" s="13">
        <v>0</v>
      </c>
    </row>
    <row r="57" spans="1:14">
      <c r="A57" s="1">
        <v>30</v>
      </c>
      <c r="B57" s="1" t="s">
        <v>297</v>
      </c>
      <c r="C57" s="1" t="s">
        <v>133</v>
      </c>
      <c r="D57" s="1" t="s">
        <v>57</v>
      </c>
      <c r="F57" s="1" t="s">
        <v>162</v>
      </c>
      <c r="G57" s="1">
        <v>1</v>
      </c>
      <c r="H57" s="1">
        <v>40</v>
      </c>
      <c r="I57" s="1" t="s">
        <v>43</v>
      </c>
      <c r="K57" s="13">
        <v>0</v>
      </c>
      <c r="L57" s="13">
        <v>0</v>
      </c>
      <c r="M57" s="13">
        <v>0</v>
      </c>
      <c r="N57" s="13">
        <v>0</v>
      </c>
    </row>
    <row r="58" spans="1:14">
      <c r="A58" s="1">
        <v>30</v>
      </c>
      <c r="B58" s="1" t="s">
        <v>297</v>
      </c>
      <c r="C58" s="1" t="s">
        <v>133</v>
      </c>
      <c r="D58" s="1" t="s">
        <v>57</v>
      </c>
      <c r="F58" s="1" t="s">
        <v>156</v>
      </c>
      <c r="G58" s="1">
        <v>1</v>
      </c>
      <c r="H58" s="1">
        <v>51</v>
      </c>
      <c r="I58" s="1" t="s">
        <v>13</v>
      </c>
      <c r="K58" s="13">
        <v>0</v>
      </c>
      <c r="L58" s="13">
        <v>0</v>
      </c>
      <c r="M58" s="13">
        <v>0</v>
      </c>
      <c r="N58" s="13">
        <v>0</v>
      </c>
    </row>
    <row r="59" spans="1:14">
      <c r="A59" s="1">
        <v>31</v>
      </c>
      <c r="B59" s="1" t="s">
        <v>297</v>
      </c>
      <c r="C59" s="1" t="s">
        <v>133</v>
      </c>
      <c r="D59" s="1" t="s">
        <v>57</v>
      </c>
      <c r="F59" s="1" t="s">
        <v>144</v>
      </c>
      <c r="G59" s="1">
        <v>1</v>
      </c>
      <c r="H59" s="1">
        <v>58</v>
      </c>
      <c r="I59" s="1" t="s">
        <v>12</v>
      </c>
      <c r="K59" s="13">
        <v>0</v>
      </c>
      <c r="L59" s="13">
        <v>0</v>
      </c>
      <c r="M59" s="13">
        <v>0</v>
      </c>
      <c r="N59" s="13">
        <v>0</v>
      </c>
    </row>
    <row r="60" spans="1:14">
      <c r="K60" s="13">
        <v>0</v>
      </c>
      <c r="L60" s="13">
        <v>0</v>
      </c>
      <c r="M60" s="13">
        <v>0</v>
      </c>
      <c r="N60" s="13">
        <v>0</v>
      </c>
    </row>
    <row r="61" spans="1:14">
      <c r="K61" s="13">
        <v>0</v>
      </c>
      <c r="L61" s="13">
        <v>0</v>
      </c>
      <c r="M61" s="13">
        <v>0</v>
      </c>
      <c r="N61" s="13">
        <v>0</v>
      </c>
    </row>
    <row r="62" spans="1:14">
      <c r="K62" s="13">
        <v>0</v>
      </c>
      <c r="L62" s="13">
        <v>0</v>
      </c>
      <c r="M62" s="13">
        <v>0</v>
      </c>
      <c r="N62" s="13">
        <v>0</v>
      </c>
    </row>
    <row r="63" spans="1:14">
      <c r="K63" s="13">
        <v>0</v>
      </c>
      <c r="L63" s="13">
        <v>0</v>
      </c>
      <c r="M63" s="13">
        <v>0</v>
      </c>
      <c r="N63" s="13">
        <v>0</v>
      </c>
    </row>
    <row r="64" spans="1:14">
      <c r="K64" s="13">
        <v>0</v>
      </c>
      <c r="L64" s="13">
        <v>0</v>
      </c>
      <c r="M64" s="13">
        <v>0</v>
      </c>
      <c r="N64" s="13">
        <v>0</v>
      </c>
    </row>
    <row r="65" spans="11:14">
      <c r="K65" s="13">
        <v>0</v>
      </c>
      <c r="L65" s="13">
        <v>0</v>
      </c>
      <c r="M65" s="13">
        <v>0</v>
      </c>
      <c r="N65" s="13">
        <v>0</v>
      </c>
    </row>
    <row r="66" spans="11:14">
      <c r="K66" s="13">
        <v>0</v>
      </c>
      <c r="L66" s="13">
        <v>0</v>
      </c>
      <c r="M66" s="13">
        <v>0</v>
      </c>
      <c r="N66" s="13">
        <v>0</v>
      </c>
    </row>
    <row r="67" spans="11:14">
      <c r="K67" s="13">
        <v>0</v>
      </c>
      <c r="L67" s="13">
        <v>0</v>
      </c>
      <c r="M67" s="13">
        <v>0</v>
      </c>
      <c r="N67" s="13">
        <v>0</v>
      </c>
    </row>
    <row r="68" spans="11:14">
      <c r="K68" s="13">
        <v>0</v>
      </c>
      <c r="L68" s="13">
        <v>0</v>
      </c>
      <c r="M68" s="13">
        <v>0</v>
      </c>
      <c r="N68" s="13">
        <v>0</v>
      </c>
    </row>
    <row r="69" spans="11:14">
      <c r="K69" s="13">
        <v>0</v>
      </c>
      <c r="L69" s="13">
        <v>0</v>
      </c>
      <c r="M69" s="13">
        <v>0</v>
      </c>
      <c r="N69" s="13">
        <v>0</v>
      </c>
    </row>
    <row r="70" spans="11:14">
      <c r="K70" s="13">
        <v>0</v>
      </c>
      <c r="L70" s="13">
        <v>0</v>
      </c>
      <c r="M70" s="13">
        <v>0</v>
      </c>
      <c r="N70" s="13">
        <v>0</v>
      </c>
    </row>
    <row r="71" spans="11:14">
      <c r="K71" s="13">
        <v>0</v>
      </c>
      <c r="L71" s="13">
        <v>0</v>
      </c>
      <c r="M71" s="13">
        <v>0</v>
      </c>
      <c r="N71" s="13">
        <v>0</v>
      </c>
    </row>
    <row r="72" spans="11:14">
      <c r="K72" s="13">
        <v>0</v>
      </c>
      <c r="L72" s="13">
        <v>0</v>
      </c>
      <c r="M72" s="13">
        <v>0</v>
      </c>
      <c r="N72" s="13">
        <v>0</v>
      </c>
    </row>
    <row r="73" spans="11:14">
      <c r="K73" s="13">
        <v>0</v>
      </c>
      <c r="L73" s="13">
        <v>0</v>
      </c>
      <c r="M73" s="13">
        <v>0</v>
      </c>
      <c r="N73" s="13">
        <v>0</v>
      </c>
    </row>
    <row r="74" spans="11:14">
      <c r="K74" s="13">
        <v>0</v>
      </c>
      <c r="L74" s="13">
        <v>0</v>
      </c>
      <c r="M74" s="13">
        <v>0</v>
      </c>
      <c r="N74" s="13">
        <v>0</v>
      </c>
    </row>
    <row r="75" spans="11:14">
      <c r="K75" s="13">
        <v>0</v>
      </c>
      <c r="L75" s="13">
        <v>0</v>
      </c>
      <c r="M75" s="13">
        <v>0</v>
      </c>
      <c r="N75" s="13">
        <v>0</v>
      </c>
    </row>
    <row r="76" spans="11:14">
      <c r="K76" s="13">
        <v>0</v>
      </c>
      <c r="L76" s="13">
        <v>0</v>
      </c>
      <c r="M76" s="13">
        <v>0</v>
      </c>
      <c r="N76" s="13">
        <v>0</v>
      </c>
    </row>
    <row r="77" spans="11:14">
      <c r="K77" s="13">
        <v>0</v>
      </c>
      <c r="L77" s="13">
        <v>0</v>
      </c>
      <c r="M77" s="13">
        <v>0</v>
      </c>
      <c r="N77" s="13">
        <v>0</v>
      </c>
    </row>
    <row r="78" spans="11:14">
      <c r="K78" s="13">
        <v>0</v>
      </c>
      <c r="L78" s="13">
        <v>0</v>
      </c>
      <c r="M78" s="13">
        <v>0</v>
      </c>
      <c r="N78" s="13">
        <v>0</v>
      </c>
    </row>
    <row r="79" spans="11:14">
      <c r="K79" s="13">
        <v>0</v>
      </c>
      <c r="L79" s="13">
        <v>0</v>
      </c>
      <c r="M79" s="13">
        <v>0</v>
      </c>
      <c r="N79" s="13">
        <v>0</v>
      </c>
    </row>
    <row r="80" spans="11:14">
      <c r="K80" s="13">
        <v>0</v>
      </c>
      <c r="L80" s="13">
        <v>0</v>
      </c>
      <c r="M80" s="13">
        <v>0</v>
      </c>
      <c r="N80" s="13">
        <v>0</v>
      </c>
    </row>
    <row r="81" spans="11:14">
      <c r="K81" s="13">
        <v>0</v>
      </c>
      <c r="L81" s="13">
        <v>0</v>
      </c>
      <c r="M81" s="13">
        <v>0</v>
      </c>
      <c r="N81" s="13">
        <v>0</v>
      </c>
    </row>
    <row r="82" spans="11:14">
      <c r="K82" s="13">
        <v>0</v>
      </c>
      <c r="L82" s="13">
        <v>0</v>
      </c>
      <c r="M82" s="13">
        <v>0</v>
      </c>
      <c r="N82" s="13">
        <v>0</v>
      </c>
    </row>
    <row r="83" spans="11:14">
      <c r="K83" s="13">
        <v>0</v>
      </c>
      <c r="L83" s="13">
        <v>0</v>
      </c>
      <c r="M83" s="13">
        <v>0</v>
      </c>
      <c r="N83" s="13">
        <v>0</v>
      </c>
    </row>
    <row r="84" spans="11:14">
      <c r="K84" s="13">
        <v>0</v>
      </c>
      <c r="L84" s="13">
        <v>0</v>
      </c>
      <c r="M84" s="13">
        <v>0</v>
      </c>
      <c r="N84" s="13">
        <v>0</v>
      </c>
    </row>
    <row r="85" spans="11:14">
      <c r="K85" s="13">
        <v>0</v>
      </c>
      <c r="L85" s="13">
        <v>0</v>
      </c>
      <c r="M85" s="13">
        <v>0</v>
      </c>
      <c r="N85" s="13">
        <v>0</v>
      </c>
    </row>
    <row r="86" spans="11:14">
      <c r="K86" s="13">
        <v>0</v>
      </c>
      <c r="L86" s="13">
        <v>0</v>
      </c>
      <c r="M86" s="13">
        <v>0</v>
      </c>
      <c r="N86" s="13">
        <v>0</v>
      </c>
    </row>
    <row r="87" spans="11:14">
      <c r="K87" s="13">
        <v>0</v>
      </c>
      <c r="L87" s="13">
        <v>0</v>
      </c>
      <c r="M87" s="13">
        <v>0</v>
      </c>
      <c r="N87" s="13">
        <v>0</v>
      </c>
    </row>
    <row r="88" spans="11:14">
      <c r="K88" s="13">
        <v>0</v>
      </c>
      <c r="L88" s="13">
        <v>0</v>
      </c>
      <c r="M88" s="13">
        <v>0</v>
      </c>
      <c r="N88" s="13">
        <v>0</v>
      </c>
    </row>
    <row r="89" spans="11:14">
      <c r="K89" s="13">
        <v>0</v>
      </c>
      <c r="L89" s="13">
        <v>0</v>
      </c>
      <c r="M89" s="13">
        <v>0</v>
      </c>
      <c r="N89" s="13">
        <v>0</v>
      </c>
    </row>
    <row r="90" spans="11:14">
      <c r="K90" s="13">
        <v>0</v>
      </c>
      <c r="L90" s="13">
        <v>0</v>
      </c>
      <c r="M90" s="13">
        <v>0</v>
      </c>
      <c r="N90" s="13">
        <v>0</v>
      </c>
    </row>
    <row r="91" spans="11:14">
      <c r="K91" s="13">
        <v>0</v>
      </c>
      <c r="L91" s="13">
        <v>0</v>
      </c>
      <c r="M91" s="13">
        <v>0</v>
      </c>
      <c r="N91" s="13">
        <v>0</v>
      </c>
    </row>
    <row r="92" spans="11:14">
      <c r="K92" s="13">
        <v>0</v>
      </c>
      <c r="L92" s="13">
        <v>0</v>
      </c>
      <c r="M92" s="13">
        <v>0</v>
      </c>
      <c r="N92" s="13">
        <v>0</v>
      </c>
    </row>
  </sheetData>
  <sortState xmlns:xlrd2="http://schemas.microsoft.com/office/spreadsheetml/2017/richdata2" ref="S3:S12">
    <sortCondition ref="S3:S12"/>
  </sortState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1496-CCA2-8E49-BB2B-00170DF6F6C4}">
  <dimension ref="A1:K18"/>
  <sheetViews>
    <sheetView workbookViewId="0">
      <selection activeCell="F5" sqref="F5:F92"/>
    </sheetView>
  </sheetViews>
  <sheetFormatPr baseColWidth="10" defaultRowHeight="16"/>
  <cols>
    <col min="1" max="1" width="12.5" style="1" bestFit="1" customWidth="1"/>
    <col min="2" max="2" width="27.1640625" style="1" bestFit="1" customWidth="1"/>
    <col min="3" max="3" width="12.5" style="1" customWidth="1"/>
    <col min="4" max="4" width="19.1640625" style="1" bestFit="1" customWidth="1"/>
    <col min="5" max="5" width="11.6640625" style="1" bestFit="1" customWidth="1"/>
    <col min="6" max="6" width="27.83203125" style="8" bestFit="1" customWidth="1"/>
    <col min="7" max="7" width="19.1640625" style="1" bestFit="1" customWidth="1"/>
    <col min="8" max="8" width="21.6640625" style="1" bestFit="1" customWidth="1"/>
    <col min="9" max="10" width="24.33203125" style="1" bestFit="1" customWidth="1"/>
    <col min="11" max="11" width="9" style="1" bestFit="1" customWidth="1"/>
    <col min="12" max="12" width="18.6640625" style="1" bestFit="1" customWidth="1"/>
    <col min="13" max="13" width="19.1640625" style="1" bestFit="1" customWidth="1"/>
    <col min="14" max="14" width="20.83203125" style="1" bestFit="1" customWidth="1"/>
    <col min="15" max="15" width="20.33203125" style="1" bestFit="1" customWidth="1"/>
    <col min="16" max="16" width="14.6640625" style="1" bestFit="1" customWidth="1"/>
    <col min="17" max="17" width="16.33203125" style="1" bestFit="1" customWidth="1"/>
    <col min="18" max="18" width="23.33203125" style="1" bestFit="1" customWidth="1"/>
    <col min="19" max="19" width="18" style="1" bestFit="1" customWidth="1"/>
    <col min="20" max="20" width="12.83203125" style="1" bestFit="1" customWidth="1"/>
    <col min="21" max="16384" width="10.83203125" style="1"/>
  </cols>
  <sheetData>
    <row r="1" spans="1:11">
      <c r="A1" s="1" t="s">
        <v>0</v>
      </c>
      <c r="B1" s="1" t="s">
        <v>44</v>
      </c>
      <c r="C1" s="1" t="s">
        <v>29</v>
      </c>
      <c r="D1" s="1" t="s">
        <v>63</v>
      </c>
      <c r="E1" s="1" t="s">
        <v>6</v>
      </c>
      <c r="F1" s="1" t="s">
        <v>1</v>
      </c>
      <c r="G1" s="1" t="s">
        <v>8</v>
      </c>
      <c r="H1" s="1" t="s">
        <v>85</v>
      </c>
      <c r="I1" s="1" t="s">
        <v>87</v>
      </c>
      <c r="J1" s="1" t="s">
        <v>86</v>
      </c>
    </row>
    <row r="2" spans="1:11" ht="17">
      <c r="A2" s="1">
        <v>14</v>
      </c>
      <c r="B2" s="1" t="s">
        <v>283</v>
      </c>
      <c r="C2" s="1" t="s">
        <v>133</v>
      </c>
      <c r="D2" s="1" t="s">
        <v>57</v>
      </c>
      <c r="F2" s="8" t="s">
        <v>148</v>
      </c>
      <c r="G2" s="1">
        <v>1</v>
      </c>
      <c r="H2" s="1">
        <v>90</v>
      </c>
      <c r="I2" s="1" t="s">
        <v>43</v>
      </c>
      <c r="J2" s="13" t="s">
        <v>284</v>
      </c>
      <c r="K2"/>
    </row>
    <row r="3" spans="1:11" ht="17">
      <c r="A3" s="1">
        <v>15</v>
      </c>
      <c r="B3" s="1" t="s">
        <v>285</v>
      </c>
      <c r="C3" s="1" t="s">
        <v>133</v>
      </c>
      <c r="D3" s="1" t="s">
        <v>58</v>
      </c>
      <c r="F3" s="1" t="s">
        <v>138</v>
      </c>
      <c r="G3" s="1">
        <v>1</v>
      </c>
      <c r="H3" s="1">
        <v>87</v>
      </c>
      <c r="I3" s="1" t="s">
        <v>43</v>
      </c>
      <c r="J3" s="13" t="s">
        <v>284</v>
      </c>
      <c r="K3"/>
    </row>
    <row r="4" spans="1:11" ht="17">
      <c r="A4" s="1">
        <v>15</v>
      </c>
      <c r="B4" s="1" t="s">
        <v>285</v>
      </c>
      <c r="C4" s="1" t="s">
        <v>133</v>
      </c>
      <c r="D4" s="1" t="s">
        <v>58</v>
      </c>
      <c r="F4" s="1" t="s">
        <v>154</v>
      </c>
      <c r="G4" s="1">
        <v>1</v>
      </c>
      <c r="H4" s="1">
        <v>90</v>
      </c>
      <c r="I4" s="1" t="s">
        <v>43</v>
      </c>
      <c r="J4" s="13" t="s">
        <v>284</v>
      </c>
      <c r="K4"/>
    </row>
    <row r="5" spans="1:11">
      <c r="K5"/>
    </row>
    <row r="6" spans="1:11">
      <c r="K6"/>
    </row>
    <row r="7" spans="1:11">
      <c r="K7"/>
    </row>
    <row r="8" spans="1:11">
      <c r="K8"/>
    </row>
    <row r="9" spans="1:11">
      <c r="K9"/>
    </row>
    <row r="10" spans="1:11">
      <c r="K10"/>
    </row>
    <row r="11" spans="1:11">
      <c r="K11"/>
    </row>
    <row r="12" spans="1:11">
      <c r="K12"/>
    </row>
    <row r="13" spans="1:11">
      <c r="K13"/>
    </row>
    <row r="14" spans="1:11">
      <c r="K14"/>
    </row>
    <row r="15" spans="1:11">
      <c r="K15"/>
    </row>
    <row r="16" spans="1:11">
      <c r="K16"/>
    </row>
    <row r="17" spans="11:11">
      <c r="K17"/>
    </row>
    <row r="18" spans="11:11">
      <c r="K1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B7CA-0889-E542-B512-0931101F181C}">
  <dimension ref="A1:H479"/>
  <sheetViews>
    <sheetView tabSelected="1" zoomScale="139" workbookViewId="0">
      <selection activeCell="B2" sqref="B2"/>
    </sheetView>
  </sheetViews>
  <sheetFormatPr baseColWidth="10" defaultRowHeight="16"/>
  <cols>
    <col min="1" max="1" width="15.5" style="1" bestFit="1" customWidth="1"/>
    <col min="2" max="2" width="11.6640625" style="1" bestFit="1" customWidth="1"/>
    <col min="3" max="3" width="32.1640625" style="1" bestFit="1" customWidth="1"/>
    <col min="4" max="4" width="14.33203125" style="1" bestFit="1" customWidth="1"/>
    <col min="5" max="5" width="20.1640625" style="1" bestFit="1" customWidth="1"/>
    <col min="6" max="6" width="19" style="1" bestFit="1" customWidth="1"/>
    <col min="7" max="7" width="21.33203125" style="1" bestFit="1" customWidth="1"/>
    <col min="8" max="16384" width="10.83203125" style="1"/>
  </cols>
  <sheetData>
    <row r="1" spans="1:8">
      <c r="A1" s="29" t="s">
        <v>29</v>
      </c>
      <c r="B1" s="29" t="s">
        <v>309</v>
      </c>
      <c r="C1" s="29" t="s">
        <v>1</v>
      </c>
      <c r="D1" s="29" t="s">
        <v>30</v>
      </c>
      <c r="E1" s="29" t="s">
        <v>102</v>
      </c>
      <c r="F1" s="29" t="s">
        <v>103</v>
      </c>
      <c r="G1" s="29" t="s">
        <v>66</v>
      </c>
      <c r="H1" s="29" t="s">
        <v>119</v>
      </c>
    </row>
    <row r="2" spans="1:8">
      <c r="A2" s="30" t="s">
        <v>133</v>
      </c>
      <c r="B2" s="30">
        <v>1</v>
      </c>
      <c r="C2" s="30" t="s">
        <v>137</v>
      </c>
      <c r="D2" s="31"/>
      <c r="E2" s="30" t="s">
        <v>298</v>
      </c>
      <c r="F2" s="31" t="s">
        <v>298</v>
      </c>
      <c r="G2" s="31"/>
      <c r="H2" s="30">
        <v>2009</v>
      </c>
    </row>
    <row r="3" spans="1:8">
      <c r="A3" s="30" t="s">
        <v>133</v>
      </c>
      <c r="B3" s="30">
        <v>2</v>
      </c>
      <c r="C3" s="30" t="s">
        <v>138</v>
      </c>
      <c r="D3" s="31"/>
      <c r="E3" s="30" t="s">
        <v>306</v>
      </c>
      <c r="F3" s="31" t="s">
        <v>305</v>
      </c>
      <c r="G3" s="31"/>
      <c r="H3" s="30">
        <v>2009</v>
      </c>
    </row>
    <row r="4" spans="1:8">
      <c r="A4" s="30" t="s">
        <v>133</v>
      </c>
      <c r="B4" s="30">
        <v>23</v>
      </c>
      <c r="C4" s="30" t="s">
        <v>139</v>
      </c>
      <c r="D4" s="31"/>
      <c r="E4" s="30" t="s">
        <v>307</v>
      </c>
      <c r="F4" s="31" t="s">
        <v>305</v>
      </c>
      <c r="G4" s="31"/>
      <c r="H4" s="30">
        <v>2009</v>
      </c>
    </row>
    <row r="5" spans="1:8">
      <c r="A5" s="30" t="s">
        <v>133</v>
      </c>
      <c r="B5" s="30">
        <v>4</v>
      </c>
      <c r="C5" s="30" t="s">
        <v>140</v>
      </c>
      <c r="D5" s="31"/>
      <c r="E5" s="30" t="s">
        <v>299</v>
      </c>
      <c r="F5" s="31" t="s">
        <v>305</v>
      </c>
      <c r="G5" s="31"/>
      <c r="H5" s="30">
        <v>2009</v>
      </c>
    </row>
    <row r="6" spans="1:8">
      <c r="A6" s="30" t="s">
        <v>133</v>
      </c>
      <c r="B6" s="30">
        <v>24</v>
      </c>
      <c r="C6" s="30" t="s">
        <v>141</v>
      </c>
      <c r="D6" s="31"/>
      <c r="E6" s="30" t="s">
        <v>299</v>
      </c>
      <c r="F6" s="31" t="s">
        <v>305</v>
      </c>
      <c r="G6" s="31"/>
      <c r="H6" s="30">
        <v>2009</v>
      </c>
    </row>
    <row r="7" spans="1:8">
      <c r="A7" s="30" t="s">
        <v>133</v>
      </c>
      <c r="B7" s="30">
        <v>6</v>
      </c>
      <c r="C7" s="30" t="s">
        <v>142</v>
      </c>
      <c r="D7" s="31"/>
      <c r="E7" s="30" t="s">
        <v>300</v>
      </c>
      <c r="F7" s="31" t="s">
        <v>308</v>
      </c>
      <c r="G7" s="31"/>
      <c r="H7" s="30">
        <v>2009</v>
      </c>
    </row>
    <row r="8" spans="1:8">
      <c r="A8" s="30" t="s">
        <v>133</v>
      </c>
      <c r="B8" s="30">
        <v>22</v>
      </c>
      <c r="C8" s="30" t="s">
        <v>143</v>
      </c>
      <c r="D8" s="31"/>
      <c r="E8" s="30" t="s">
        <v>301</v>
      </c>
      <c r="F8" s="31" t="s">
        <v>302</v>
      </c>
      <c r="G8" s="31"/>
      <c r="H8" s="30">
        <v>2009</v>
      </c>
    </row>
    <row r="9" spans="1:8">
      <c r="A9" s="30" t="s">
        <v>133</v>
      </c>
      <c r="B9" s="30">
        <v>3</v>
      </c>
      <c r="C9" s="30" t="s">
        <v>144</v>
      </c>
      <c r="D9" s="31"/>
      <c r="E9" s="30" t="s">
        <v>307</v>
      </c>
      <c r="F9" s="31" t="s">
        <v>305</v>
      </c>
      <c r="G9" s="31"/>
      <c r="H9" s="30">
        <v>2009</v>
      </c>
    </row>
    <row r="10" spans="1:8">
      <c r="A10" s="30" t="s">
        <v>133</v>
      </c>
      <c r="B10" s="30">
        <v>21</v>
      </c>
      <c r="C10" s="30" t="s">
        <v>145</v>
      </c>
      <c r="D10" s="31"/>
      <c r="E10" s="30" t="s">
        <v>302</v>
      </c>
      <c r="F10" s="31" t="s">
        <v>302</v>
      </c>
      <c r="G10" s="31"/>
      <c r="H10" s="30">
        <v>2008</v>
      </c>
    </row>
    <row r="11" spans="1:8">
      <c r="A11" s="30" t="s">
        <v>133</v>
      </c>
      <c r="B11" s="30">
        <v>8</v>
      </c>
      <c r="C11" s="30" t="s">
        <v>146</v>
      </c>
      <c r="D11" s="31"/>
      <c r="E11" s="30" t="s">
        <v>303</v>
      </c>
      <c r="F11" s="31" t="s">
        <v>308</v>
      </c>
      <c r="G11" s="31"/>
      <c r="H11" s="30">
        <v>2009</v>
      </c>
    </row>
    <row r="12" spans="1:8">
      <c r="A12" s="30" t="s">
        <v>133</v>
      </c>
      <c r="B12" s="30">
        <v>20</v>
      </c>
      <c r="C12" s="30" t="s">
        <v>147</v>
      </c>
      <c r="D12" s="31"/>
      <c r="E12" s="30" t="s">
        <v>301</v>
      </c>
      <c r="F12" s="31" t="s">
        <v>302</v>
      </c>
      <c r="G12" s="31"/>
      <c r="H12" s="30">
        <v>2008</v>
      </c>
    </row>
    <row r="13" spans="1:8">
      <c r="A13" s="30" t="s">
        <v>133</v>
      </c>
      <c r="B13" s="30">
        <v>13</v>
      </c>
      <c r="C13" s="30" t="s">
        <v>148</v>
      </c>
      <c r="D13" s="31"/>
      <c r="E13" s="30" t="s">
        <v>298</v>
      </c>
      <c r="F13" s="31" t="s">
        <v>298</v>
      </c>
      <c r="G13" s="31"/>
      <c r="H13" s="30">
        <v>2009</v>
      </c>
    </row>
    <row r="14" spans="1:8">
      <c r="A14" s="30" t="s">
        <v>133</v>
      </c>
      <c r="B14" s="30">
        <v>25</v>
      </c>
      <c r="C14" s="30" t="s">
        <v>149</v>
      </c>
      <c r="D14" s="31"/>
      <c r="E14" s="30" t="s">
        <v>301</v>
      </c>
      <c r="F14" s="31" t="s">
        <v>302</v>
      </c>
      <c r="G14" s="31"/>
      <c r="H14" s="30">
        <v>2009</v>
      </c>
    </row>
    <row r="15" spans="1:8">
      <c r="A15" s="30" t="s">
        <v>133</v>
      </c>
      <c r="B15" s="30">
        <v>19</v>
      </c>
      <c r="C15" s="30" t="s">
        <v>150</v>
      </c>
      <c r="D15" s="31"/>
      <c r="E15" s="30" t="s">
        <v>306</v>
      </c>
      <c r="F15" s="31" t="s">
        <v>305</v>
      </c>
      <c r="G15" s="31"/>
      <c r="H15" s="30">
        <v>2009</v>
      </c>
    </row>
    <row r="16" spans="1:8">
      <c r="A16" s="30" t="s">
        <v>133</v>
      </c>
      <c r="B16" s="30">
        <v>18</v>
      </c>
      <c r="C16" s="30" t="s">
        <v>151</v>
      </c>
      <c r="D16" s="31"/>
      <c r="E16" s="30" t="s">
        <v>301</v>
      </c>
      <c r="F16" s="31" t="s">
        <v>302</v>
      </c>
      <c r="G16" s="31"/>
      <c r="H16" s="30">
        <v>2009</v>
      </c>
    </row>
    <row r="17" spans="1:8">
      <c r="A17" s="30" t="s">
        <v>133</v>
      </c>
      <c r="B17" s="30">
        <v>9</v>
      </c>
      <c r="C17" s="30" t="s">
        <v>152</v>
      </c>
      <c r="D17" s="31"/>
      <c r="E17" s="30" t="s">
        <v>302</v>
      </c>
      <c r="F17" s="31" t="s">
        <v>302</v>
      </c>
      <c r="G17" s="31"/>
      <c r="H17" s="30">
        <v>2009</v>
      </c>
    </row>
    <row r="18" spans="1:8">
      <c r="A18" s="30" t="s">
        <v>133</v>
      </c>
      <c r="B18" s="30">
        <v>26</v>
      </c>
      <c r="C18" s="30" t="s">
        <v>154</v>
      </c>
      <c r="D18" s="31"/>
      <c r="E18" s="30" t="s">
        <v>306</v>
      </c>
      <c r="F18" s="31" t="s">
        <v>305</v>
      </c>
      <c r="G18" s="31"/>
      <c r="H18" s="30">
        <v>2009</v>
      </c>
    </row>
    <row r="19" spans="1:8">
      <c r="A19" s="30" t="s">
        <v>133</v>
      </c>
      <c r="B19" s="30">
        <v>27</v>
      </c>
      <c r="C19" s="30" t="s">
        <v>155</v>
      </c>
      <c r="D19" s="31"/>
      <c r="E19" s="30" t="s">
        <v>301</v>
      </c>
      <c r="F19" s="31" t="s">
        <v>302</v>
      </c>
      <c r="G19" s="31"/>
      <c r="H19" s="30">
        <v>2007</v>
      </c>
    </row>
    <row r="20" spans="1:8">
      <c r="A20" s="30" t="s">
        <v>133</v>
      </c>
      <c r="B20" s="30">
        <v>7</v>
      </c>
      <c r="C20" s="30" t="s">
        <v>156</v>
      </c>
      <c r="D20" s="31"/>
      <c r="E20" s="30" t="s">
        <v>301</v>
      </c>
      <c r="F20" s="31" t="s">
        <v>302</v>
      </c>
      <c r="G20" s="31"/>
      <c r="H20" s="30">
        <v>2007</v>
      </c>
    </row>
    <row r="21" spans="1:8">
      <c r="A21" s="30" t="s">
        <v>133</v>
      </c>
      <c r="B21" s="30">
        <v>17</v>
      </c>
      <c r="C21" s="30" t="s">
        <v>159</v>
      </c>
      <c r="D21" s="31"/>
      <c r="E21" s="30" t="s">
        <v>301</v>
      </c>
      <c r="F21" s="31" t="s">
        <v>302</v>
      </c>
      <c r="G21" s="31"/>
      <c r="H21" s="30">
        <v>2009</v>
      </c>
    </row>
    <row r="22" spans="1:8">
      <c r="A22" s="30" t="s">
        <v>133</v>
      </c>
      <c r="B22" s="30">
        <v>5</v>
      </c>
      <c r="C22" s="30" t="s">
        <v>162</v>
      </c>
      <c r="D22" s="31"/>
      <c r="E22" s="30" t="s">
        <v>299</v>
      </c>
      <c r="F22" s="31" t="s">
        <v>305</v>
      </c>
      <c r="G22" s="31"/>
      <c r="H22" s="30">
        <v>2007</v>
      </c>
    </row>
    <row r="23" spans="1:8" ht="17" customHeight="1">
      <c r="A23" s="30" t="s">
        <v>133</v>
      </c>
      <c r="B23" s="30">
        <v>16</v>
      </c>
      <c r="C23" s="30" t="s">
        <v>163</v>
      </c>
      <c r="D23" s="31"/>
      <c r="E23" s="30" t="s">
        <v>307</v>
      </c>
      <c r="F23" s="31" t="s">
        <v>305</v>
      </c>
      <c r="G23" s="31"/>
      <c r="H23" s="30">
        <v>2009</v>
      </c>
    </row>
    <row r="24" spans="1:8" ht="16" customHeight="1">
      <c r="A24" s="30" t="s">
        <v>133</v>
      </c>
      <c r="B24" s="30">
        <v>28</v>
      </c>
      <c r="C24" s="30" t="s">
        <v>164</v>
      </c>
      <c r="D24" s="31"/>
      <c r="E24" s="30" t="s">
        <v>299</v>
      </c>
      <c r="F24" s="31" t="s">
        <v>305</v>
      </c>
      <c r="G24" s="31"/>
      <c r="H24" s="30">
        <v>2010</v>
      </c>
    </row>
    <row r="25" spans="1:8" ht="16" customHeight="1">
      <c r="A25" s="30" t="s">
        <v>133</v>
      </c>
      <c r="B25" s="30">
        <v>10</v>
      </c>
      <c r="C25" s="30" t="s">
        <v>165</v>
      </c>
      <c r="D25" s="31"/>
      <c r="E25" s="30" t="s">
        <v>303</v>
      </c>
      <c r="F25" s="31" t="s">
        <v>308</v>
      </c>
      <c r="G25" s="31"/>
      <c r="H25" s="30">
        <v>2009</v>
      </c>
    </row>
    <row r="26" spans="1:8">
      <c r="A26" s="30" t="s">
        <v>133</v>
      </c>
      <c r="B26" s="30">
        <v>15</v>
      </c>
      <c r="C26" s="30" t="s">
        <v>166</v>
      </c>
      <c r="D26" s="31"/>
      <c r="E26" s="30" t="s">
        <v>304</v>
      </c>
      <c r="F26" s="31" t="s">
        <v>308</v>
      </c>
      <c r="G26" s="31"/>
      <c r="H26" s="30">
        <v>2009</v>
      </c>
    </row>
    <row r="27" spans="1:8" ht="17" customHeight="1">
      <c r="A27" s="30" t="s">
        <v>133</v>
      </c>
      <c r="B27" s="30">
        <v>12</v>
      </c>
      <c r="C27" s="30" t="s">
        <v>194</v>
      </c>
      <c r="D27" s="31"/>
      <c r="E27" s="30" t="s">
        <v>302</v>
      </c>
      <c r="F27" s="31" t="s">
        <v>302</v>
      </c>
      <c r="G27" s="31"/>
      <c r="H27" s="30">
        <v>2007</v>
      </c>
    </row>
    <row r="28" spans="1:8" ht="16" customHeight="1">
      <c r="A28" s="30" t="s">
        <v>133</v>
      </c>
      <c r="B28" s="30">
        <v>11</v>
      </c>
      <c r="C28" s="30" t="s">
        <v>198</v>
      </c>
      <c r="D28" s="31"/>
      <c r="E28" s="30" t="s">
        <v>301</v>
      </c>
      <c r="F28" s="31" t="s">
        <v>302</v>
      </c>
      <c r="G28" s="31"/>
      <c r="H28" s="30">
        <v>2009</v>
      </c>
    </row>
    <row r="29" spans="1:8" ht="16" customHeight="1">
      <c r="A29" s="30" t="s">
        <v>133</v>
      </c>
      <c r="B29" s="30">
        <v>14</v>
      </c>
      <c r="C29" s="30" t="s">
        <v>199</v>
      </c>
      <c r="D29" s="31"/>
      <c r="E29" s="30" t="s">
        <v>306</v>
      </c>
      <c r="F29" s="31" t="s">
        <v>305</v>
      </c>
      <c r="G29" s="31"/>
      <c r="H29" s="30">
        <v>2007</v>
      </c>
    </row>
    <row r="30" spans="1:8" ht="17" customHeight="1">
      <c r="A30" s="30" t="s">
        <v>133</v>
      </c>
      <c r="B30" s="30">
        <v>29</v>
      </c>
      <c r="C30" s="30" t="s">
        <v>202</v>
      </c>
      <c r="D30" s="31"/>
      <c r="E30" s="30" t="s">
        <v>301</v>
      </c>
      <c r="F30" s="31" t="s">
        <v>302</v>
      </c>
      <c r="G30" s="31"/>
      <c r="H30" s="30">
        <v>2010</v>
      </c>
    </row>
    <row r="31" spans="1:8" ht="16" customHeight="1">
      <c r="A31" s="30" t="s">
        <v>133</v>
      </c>
      <c r="B31" s="30">
        <v>33</v>
      </c>
      <c r="C31" s="30" t="s">
        <v>205</v>
      </c>
      <c r="D31" s="31"/>
      <c r="E31" s="30" t="s">
        <v>304</v>
      </c>
      <c r="F31" s="31" t="s">
        <v>308</v>
      </c>
      <c r="G31" s="31"/>
      <c r="H31" s="30">
        <v>2008</v>
      </c>
    </row>
    <row r="32" spans="1:8" ht="16" customHeight="1">
      <c r="A32" s="30" t="s">
        <v>133</v>
      </c>
      <c r="B32" s="30">
        <v>32</v>
      </c>
      <c r="C32" s="30" t="s">
        <v>206</v>
      </c>
      <c r="D32" s="31"/>
      <c r="E32" s="30" t="s">
        <v>303</v>
      </c>
      <c r="F32" s="31" t="s">
        <v>308</v>
      </c>
      <c r="G32" s="31"/>
      <c r="H32" s="30">
        <v>2010</v>
      </c>
    </row>
    <row r="33" spans="1:8" ht="17" customHeight="1">
      <c r="A33" s="30" t="s">
        <v>133</v>
      </c>
      <c r="B33" s="30">
        <v>31</v>
      </c>
      <c r="C33" s="30" t="s">
        <v>207</v>
      </c>
      <c r="D33" s="31"/>
      <c r="E33" s="30" t="s">
        <v>301</v>
      </c>
      <c r="F33" s="31" t="s">
        <v>302</v>
      </c>
      <c r="G33" s="31"/>
      <c r="H33" s="30">
        <v>2008</v>
      </c>
    </row>
    <row r="34" spans="1:8" ht="16" customHeight="1">
      <c r="A34" s="30" t="s">
        <v>133</v>
      </c>
      <c r="B34" s="30">
        <v>30</v>
      </c>
      <c r="C34" s="30" t="s">
        <v>208</v>
      </c>
      <c r="D34" s="31"/>
      <c r="E34" s="30" t="s">
        <v>303</v>
      </c>
      <c r="F34" s="31" t="s">
        <v>308</v>
      </c>
      <c r="G34" s="31"/>
      <c r="H34" s="30">
        <v>2010</v>
      </c>
    </row>
    <row r="35" spans="1:8" ht="16" customHeight="1"/>
    <row r="36" spans="1:8" ht="17" customHeight="1"/>
    <row r="37" spans="1:8" ht="16" customHeight="1"/>
    <row r="38" spans="1:8" ht="16" customHeight="1"/>
    <row r="39" spans="1:8" ht="17" customHeight="1"/>
    <row r="40" spans="1:8" ht="16" customHeight="1"/>
    <row r="41" spans="1:8" ht="16" customHeight="1"/>
    <row r="42" spans="1:8" ht="17" customHeight="1"/>
    <row r="43" spans="1:8" ht="16" customHeight="1"/>
    <row r="44" spans="1:8" ht="16" customHeight="1"/>
    <row r="45" spans="1:8" ht="17" customHeight="1"/>
    <row r="46" spans="1:8" ht="16" customHeight="1"/>
    <row r="47" spans="1:8" ht="16" customHeight="1"/>
    <row r="48" spans="1:8" ht="17" customHeight="1"/>
    <row r="49" spans="1:8" ht="16" customHeight="1"/>
    <row r="50" spans="1:8" ht="16" customHeight="1"/>
    <row r="51" spans="1:8" ht="17" customHeight="1"/>
    <row r="52" spans="1:8" ht="16" customHeight="1"/>
    <row r="53" spans="1:8" ht="16" customHeight="1"/>
    <row r="55" spans="1:8" ht="17" customHeight="1"/>
    <row r="56" spans="1:8" ht="16" customHeight="1"/>
    <row r="57" spans="1:8" ht="16" customHeight="1"/>
    <row r="58" spans="1:8" ht="17" customHeight="1">
      <c r="A58"/>
      <c r="B58"/>
      <c r="C58"/>
      <c r="D58"/>
      <c r="E58"/>
      <c r="F58"/>
      <c r="G58"/>
      <c r="H58"/>
    </row>
    <row r="59" spans="1:8" ht="16" customHeight="1">
      <c r="A59"/>
      <c r="B59"/>
      <c r="C59"/>
      <c r="D59"/>
      <c r="E59"/>
      <c r="F59"/>
      <c r="G59"/>
      <c r="H59"/>
    </row>
    <row r="60" spans="1:8" ht="16" customHeight="1">
      <c r="A60"/>
      <c r="B60"/>
      <c r="C60"/>
      <c r="D60"/>
      <c r="E60"/>
      <c r="F60"/>
      <c r="G60"/>
      <c r="H60"/>
    </row>
    <row r="61" spans="1:8" ht="17" customHeight="1">
      <c r="A61"/>
      <c r="B61"/>
      <c r="C61"/>
      <c r="D61"/>
      <c r="E61"/>
      <c r="F61"/>
      <c r="G61"/>
      <c r="H61"/>
    </row>
    <row r="62" spans="1:8" ht="16" customHeight="1">
      <c r="A62"/>
      <c r="B62"/>
      <c r="C62"/>
      <c r="D62"/>
      <c r="E62"/>
      <c r="F62"/>
      <c r="G62"/>
      <c r="H62"/>
    </row>
    <row r="63" spans="1:8" ht="16" customHeight="1">
      <c r="A63"/>
      <c r="B63"/>
      <c r="C63"/>
      <c r="D63"/>
      <c r="E63"/>
      <c r="F63"/>
      <c r="G63"/>
      <c r="H63"/>
    </row>
    <row r="64" spans="1:8" ht="17" customHeight="1">
      <c r="A64"/>
      <c r="B64"/>
      <c r="C64"/>
      <c r="D64"/>
      <c r="E64"/>
      <c r="F64"/>
      <c r="G64"/>
      <c r="H64"/>
    </row>
    <row r="65" spans="1:8" ht="16" customHeight="1">
      <c r="A65"/>
      <c r="B65"/>
      <c r="C65"/>
      <c r="D65"/>
      <c r="E65"/>
      <c r="F65"/>
      <c r="G65"/>
      <c r="H65"/>
    </row>
    <row r="66" spans="1:8" ht="16" customHeight="1">
      <c r="A66"/>
      <c r="B66"/>
      <c r="C66"/>
      <c r="D66"/>
      <c r="E66"/>
      <c r="F66"/>
      <c r="G66"/>
      <c r="H66"/>
    </row>
    <row r="67" spans="1:8" ht="17" customHeight="1">
      <c r="A67"/>
      <c r="B67"/>
      <c r="C67"/>
      <c r="D67"/>
      <c r="E67"/>
      <c r="F67"/>
      <c r="G67"/>
      <c r="H67"/>
    </row>
    <row r="68" spans="1:8" ht="16" customHeight="1">
      <c r="A68"/>
      <c r="B68"/>
      <c r="C68"/>
      <c r="D68"/>
      <c r="E68"/>
      <c r="F68"/>
      <c r="G68"/>
      <c r="H68"/>
    </row>
    <row r="69" spans="1:8" ht="16" customHeight="1">
      <c r="A69"/>
      <c r="B69"/>
      <c r="C69"/>
      <c r="D69"/>
      <c r="E69"/>
      <c r="F69"/>
      <c r="G69"/>
      <c r="H69"/>
    </row>
    <row r="70" spans="1:8" ht="17" customHeight="1">
      <c r="A70"/>
      <c r="B70"/>
      <c r="C70"/>
      <c r="D70"/>
      <c r="E70"/>
      <c r="F70"/>
      <c r="G70"/>
      <c r="H70"/>
    </row>
    <row r="71" spans="1:8" ht="16" customHeight="1">
      <c r="A71"/>
      <c r="B71"/>
      <c r="C71"/>
      <c r="D71"/>
      <c r="E71"/>
      <c r="F71"/>
      <c r="G71"/>
      <c r="H71"/>
    </row>
    <row r="72" spans="1:8" ht="16" customHeight="1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 ht="17" customHeight="1">
      <c r="A74"/>
      <c r="B74"/>
      <c r="C74"/>
      <c r="D74"/>
      <c r="E74"/>
      <c r="F74"/>
      <c r="G74"/>
      <c r="H74"/>
    </row>
    <row r="75" spans="1:8" ht="16" customHeight="1">
      <c r="A75"/>
      <c r="B75"/>
      <c r="C75"/>
      <c r="D75"/>
      <c r="E75"/>
      <c r="F75"/>
      <c r="G75"/>
      <c r="H75"/>
    </row>
    <row r="76" spans="1:8" ht="16" customHeight="1">
      <c r="A76"/>
      <c r="B76"/>
      <c r="C76"/>
      <c r="D76"/>
      <c r="E76"/>
      <c r="F76"/>
      <c r="G76"/>
      <c r="H76"/>
    </row>
    <row r="77" spans="1:8" ht="17" customHeight="1">
      <c r="A77"/>
      <c r="B77"/>
      <c r="C77"/>
      <c r="D77"/>
      <c r="E77"/>
      <c r="F77"/>
      <c r="G77"/>
      <c r="H77"/>
    </row>
    <row r="78" spans="1:8" ht="16" customHeight="1">
      <c r="A78"/>
      <c r="B78"/>
      <c r="C78"/>
      <c r="D78"/>
      <c r="E78"/>
      <c r="F78"/>
      <c r="G78"/>
      <c r="H78"/>
    </row>
    <row r="79" spans="1:8" ht="16" customHeight="1">
      <c r="A79"/>
      <c r="B79"/>
      <c r="C79"/>
      <c r="D79"/>
      <c r="E79"/>
      <c r="F79"/>
      <c r="G79"/>
      <c r="H79"/>
    </row>
    <row r="80" spans="1:8" ht="17" customHeight="1">
      <c r="A80"/>
      <c r="B80"/>
      <c r="C80"/>
      <c r="D80"/>
      <c r="E80"/>
      <c r="F80"/>
      <c r="G80"/>
      <c r="H80"/>
    </row>
    <row r="81" spans="1:8" ht="16" customHeight="1">
      <c r="A81"/>
      <c r="B81"/>
      <c r="C81"/>
      <c r="D81"/>
      <c r="E81"/>
      <c r="F81"/>
      <c r="G81"/>
      <c r="H81"/>
    </row>
    <row r="82" spans="1:8" ht="16" customHeight="1">
      <c r="A82"/>
      <c r="B82"/>
      <c r="C82"/>
      <c r="D82"/>
      <c r="E82"/>
      <c r="F82"/>
      <c r="G82"/>
      <c r="H82"/>
    </row>
    <row r="83" spans="1:8" ht="17" customHeight="1">
      <c r="A83"/>
      <c r="B83"/>
      <c r="C83"/>
      <c r="D83"/>
      <c r="E83"/>
      <c r="F83"/>
      <c r="G83"/>
      <c r="H83"/>
    </row>
    <row r="84" spans="1:8" ht="16" customHeight="1">
      <c r="A84"/>
      <c r="B84"/>
      <c r="C84"/>
      <c r="D84"/>
      <c r="E84"/>
      <c r="F84"/>
      <c r="G84"/>
      <c r="H84"/>
    </row>
    <row r="85" spans="1:8" ht="16" customHeight="1">
      <c r="A85"/>
      <c r="B85"/>
      <c r="C85"/>
      <c r="D85"/>
      <c r="E85"/>
      <c r="F85"/>
      <c r="G85"/>
      <c r="H85"/>
    </row>
    <row r="86" spans="1:8" ht="17" customHeight="1">
      <c r="A86"/>
      <c r="B86"/>
      <c r="C86"/>
      <c r="D86"/>
      <c r="E86"/>
      <c r="F86"/>
      <c r="G86"/>
      <c r="H86"/>
    </row>
    <row r="87" spans="1:8" ht="16" customHeight="1">
      <c r="A87"/>
      <c r="B87"/>
      <c r="C87"/>
      <c r="D87"/>
      <c r="E87"/>
      <c r="F87"/>
      <c r="G87"/>
      <c r="H87"/>
    </row>
    <row r="88" spans="1:8" ht="16" customHeight="1">
      <c r="A88"/>
      <c r="B88"/>
      <c r="C88"/>
      <c r="D88"/>
      <c r="E88"/>
      <c r="F88"/>
      <c r="G88"/>
      <c r="H88"/>
    </row>
    <row r="89" spans="1:8" ht="17" customHeight="1">
      <c r="A89"/>
      <c r="B89"/>
      <c r="C89"/>
      <c r="D89"/>
      <c r="E89"/>
      <c r="F89"/>
      <c r="G89"/>
      <c r="H89"/>
    </row>
    <row r="90" spans="1:8" ht="16" customHeight="1">
      <c r="A90"/>
      <c r="B90"/>
      <c r="C90"/>
      <c r="D90"/>
      <c r="E90"/>
      <c r="F90"/>
      <c r="G90"/>
      <c r="H90"/>
    </row>
    <row r="91" spans="1:8" ht="16" customHeight="1">
      <c r="A91"/>
      <c r="B91"/>
      <c r="C91"/>
      <c r="D91"/>
      <c r="E91"/>
      <c r="F91"/>
      <c r="G91"/>
      <c r="H91"/>
    </row>
    <row r="92" spans="1:8" ht="17" customHeight="1">
      <c r="A92"/>
      <c r="B92"/>
      <c r="C92"/>
      <c r="D92"/>
      <c r="E92"/>
      <c r="F92"/>
      <c r="G92"/>
      <c r="H92"/>
    </row>
    <row r="93" spans="1:8" ht="16" customHeight="1">
      <c r="A93"/>
      <c r="B93"/>
      <c r="C93"/>
      <c r="D93"/>
      <c r="E93"/>
      <c r="F93"/>
      <c r="G93"/>
      <c r="H93"/>
    </row>
    <row r="94" spans="1:8" ht="16" customHeight="1">
      <c r="A94"/>
      <c r="B94"/>
      <c r="C94"/>
      <c r="D94"/>
      <c r="E94"/>
      <c r="F94"/>
      <c r="G94"/>
      <c r="H94"/>
    </row>
    <row r="95" spans="1:8">
      <c r="A95"/>
      <c r="B95"/>
      <c r="C95"/>
      <c r="D95"/>
      <c r="E95"/>
      <c r="F95"/>
      <c r="G95"/>
      <c r="H95"/>
    </row>
    <row r="96" spans="1:8">
      <c r="A96"/>
      <c r="B96"/>
      <c r="C96"/>
      <c r="D96"/>
      <c r="E96"/>
      <c r="F96"/>
      <c r="G96"/>
      <c r="H96"/>
    </row>
    <row r="97" spans="1:8">
      <c r="A97"/>
      <c r="B97"/>
      <c r="C97"/>
      <c r="D97"/>
      <c r="E97"/>
      <c r="F97"/>
      <c r="G97"/>
      <c r="H97"/>
    </row>
    <row r="98" spans="1:8">
      <c r="A98"/>
      <c r="B98"/>
      <c r="C98"/>
      <c r="D98"/>
      <c r="E98"/>
      <c r="F98"/>
      <c r="G98"/>
      <c r="H98"/>
    </row>
    <row r="99" spans="1:8">
      <c r="A99"/>
      <c r="B99"/>
      <c r="C99"/>
      <c r="D99"/>
      <c r="E99"/>
      <c r="F99"/>
      <c r="G99"/>
      <c r="H99"/>
    </row>
    <row r="100" spans="1:8">
      <c r="A100"/>
      <c r="B100"/>
      <c r="C100"/>
      <c r="D100"/>
      <c r="E100"/>
      <c r="F100"/>
      <c r="G100"/>
      <c r="H100"/>
    </row>
    <row r="101" spans="1:8">
      <c r="A101"/>
      <c r="B101"/>
      <c r="C101"/>
      <c r="D101"/>
      <c r="E101"/>
      <c r="F101"/>
      <c r="G101"/>
      <c r="H101"/>
    </row>
    <row r="102" spans="1:8">
      <c r="A102"/>
      <c r="B102"/>
      <c r="C102"/>
      <c r="D102"/>
      <c r="E102"/>
      <c r="F102"/>
      <c r="G102"/>
      <c r="H102"/>
    </row>
    <row r="103" spans="1:8">
      <c r="A103"/>
      <c r="B103"/>
      <c r="C103"/>
      <c r="D103"/>
      <c r="E103"/>
      <c r="F103"/>
      <c r="G103"/>
      <c r="H103"/>
    </row>
    <row r="104" spans="1:8">
      <c r="A104"/>
      <c r="B104"/>
      <c r="C104"/>
      <c r="D104"/>
      <c r="E104"/>
      <c r="F104"/>
      <c r="G104"/>
      <c r="H104"/>
    </row>
    <row r="105" spans="1:8">
      <c r="A105"/>
      <c r="B105"/>
      <c r="C105"/>
      <c r="D105"/>
      <c r="E105"/>
      <c r="F105"/>
      <c r="G105"/>
      <c r="H105"/>
    </row>
    <row r="106" spans="1:8">
      <c r="A106"/>
      <c r="B106"/>
      <c r="C106"/>
      <c r="D106"/>
      <c r="E106"/>
      <c r="F106"/>
      <c r="G106"/>
      <c r="H106"/>
    </row>
    <row r="107" spans="1:8">
      <c r="A107"/>
      <c r="B107"/>
      <c r="C107"/>
      <c r="D107"/>
      <c r="E107"/>
      <c r="F107"/>
      <c r="G107"/>
      <c r="H107"/>
    </row>
    <row r="108" spans="1:8">
      <c r="A108"/>
      <c r="B108"/>
      <c r="C108"/>
      <c r="D108"/>
      <c r="E108"/>
      <c r="F108"/>
      <c r="G108"/>
      <c r="H108"/>
    </row>
    <row r="109" spans="1:8">
      <c r="A109"/>
      <c r="B109"/>
      <c r="C109"/>
      <c r="D109"/>
      <c r="E109"/>
      <c r="F109"/>
      <c r="G109"/>
      <c r="H109"/>
    </row>
    <row r="110" spans="1:8">
      <c r="A110"/>
      <c r="B110"/>
      <c r="C110"/>
      <c r="D110"/>
      <c r="E110"/>
      <c r="F110"/>
      <c r="G110"/>
      <c r="H110"/>
    </row>
    <row r="111" spans="1:8">
      <c r="A111"/>
      <c r="B111"/>
      <c r="C111"/>
      <c r="D111"/>
      <c r="E111"/>
      <c r="F111"/>
      <c r="G111"/>
      <c r="H111"/>
    </row>
    <row r="112" spans="1:8">
      <c r="A112"/>
      <c r="B112"/>
      <c r="C112"/>
      <c r="D112"/>
      <c r="E112"/>
      <c r="F112"/>
      <c r="G112"/>
      <c r="H112"/>
    </row>
    <row r="113" spans="1:8">
      <c r="A113"/>
      <c r="B113"/>
      <c r="C113"/>
      <c r="D113"/>
      <c r="E113"/>
      <c r="F113"/>
      <c r="G113"/>
      <c r="H113"/>
    </row>
    <row r="114" spans="1:8">
      <c r="A114"/>
      <c r="B114"/>
      <c r="C114"/>
      <c r="D114"/>
      <c r="E114"/>
      <c r="F114"/>
      <c r="G114"/>
      <c r="H114"/>
    </row>
    <row r="115" spans="1:8">
      <c r="A115"/>
      <c r="B115"/>
      <c r="C115"/>
      <c r="D115"/>
      <c r="E115"/>
      <c r="F115"/>
      <c r="G115"/>
      <c r="H115"/>
    </row>
    <row r="116" spans="1:8">
      <c r="A116"/>
      <c r="B116"/>
      <c r="C116"/>
      <c r="D116"/>
      <c r="E116"/>
      <c r="F116"/>
      <c r="G116"/>
      <c r="H116"/>
    </row>
    <row r="117" spans="1:8">
      <c r="A117"/>
      <c r="B117"/>
      <c r="C117"/>
      <c r="D117"/>
      <c r="E117"/>
      <c r="F117"/>
      <c r="G117"/>
      <c r="H117"/>
    </row>
    <row r="118" spans="1:8">
      <c r="A118"/>
      <c r="B118"/>
      <c r="C118"/>
      <c r="D118"/>
      <c r="E118"/>
      <c r="F118"/>
      <c r="G118"/>
      <c r="H118"/>
    </row>
    <row r="119" spans="1:8">
      <c r="A119"/>
      <c r="B119"/>
      <c r="C119"/>
      <c r="D119"/>
      <c r="E119"/>
      <c r="F119"/>
      <c r="G119"/>
      <c r="H119"/>
    </row>
    <row r="120" spans="1:8">
      <c r="A120"/>
      <c r="B120"/>
      <c r="C120"/>
      <c r="D120"/>
      <c r="E120"/>
      <c r="F120"/>
      <c r="G120"/>
      <c r="H120"/>
    </row>
    <row r="121" spans="1:8">
      <c r="A121"/>
      <c r="B121"/>
      <c r="C121"/>
      <c r="D121"/>
      <c r="E121"/>
      <c r="F121"/>
      <c r="G121"/>
      <c r="H121"/>
    </row>
    <row r="122" spans="1:8">
      <c r="A122"/>
      <c r="B122"/>
      <c r="C122"/>
      <c r="D122"/>
      <c r="E122"/>
      <c r="F122"/>
      <c r="G122"/>
      <c r="H122"/>
    </row>
    <row r="123" spans="1:8">
      <c r="A123"/>
      <c r="B123"/>
      <c r="C123"/>
      <c r="D123"/>
      <c r="E123"/>
      <c r="F123"/>
      <c r="G123"/>
      <c r="H123"/>
    </row>
    <row r="124" spans="1:8">
      <c r="A124"/>
      <c r="B124"/>
      <c r="C124"/>
      <c r="D124"/>
      <c r="E124"/>
      <c r="F124"/>
      <c r="G124"/>
      <c r="H124"/>
    </row>
    <row r="125" spans="1:8">
      <c r="A125"/>
      <c r="B125"/>
      <c r="C125"/>
      <c r="D125"/>
      <c r="E125"/>
      <c r="F125"/>
      <c r="G125"/>
      <c r="H125"/>
    </row>
    <row r="126" spans="1:8">
      <c r="A126"/>
      <c r="B126"/>
      <c r="C126"/>
      <c r="D126"/>
      <c r="E126"/>
      <c r="F126"/>
      <c r="G126"/>
      <c r="H126"/>
    </row>
    <row r="127" spans="1:8">
      <c r="A127"/>
      <c r="B127"/>
      <c r="C127"/>
      <c r="D127"/>
      <c r="E127"/>
      <c r="F127"/>
      <c r="G127"/>
      <c r="H127"/>
    </row>
    <row r="128" spans="1:8">
      <c r="A128"/>
      <c r="B128"/>
      <c r="C128"/>
      <c r="D128"/>
      <c r="E128"/>
      <c r="F128"/>
      <c r="G128"/>
      <c r="H128"/>
    </row>
    <row r="129" spans="1:8">
      <c r="A129"/>
      <c r="B129"/>
      <c r="C129"/>
      <c r="D129"/>
      <c r="E129"/>
      <c r="F129"/>
      <c r="G129"/>
      <c r="H129"/>
    </row>
    <row r="130" spans="1:8">
      <c r="A130"/>
      <c r="B130"/>
      <c r="C130"/>
      <c r="D130"/>
      <c r="E130"/>
      <c r="F130"/>
      <c r="G130"/>
      <c r="H130"/>
    </row>
    <row r="131" spans="1:8">
      <c r="A131"/>
      <c r="B131"/>
      <c r="C131"/>
      <c r="D131"/>
      <c r="E131"/>
      <c r="F131"/>
      <c r="G131"/>
      <c r="H131"/>
    </row>
    <row r="132" spans="1:8">
      <c r="A132"/>
      <c r="B132"/>
      <c r="C132"/>
      <c r="D132"/>
      <c r="E132"/>
      <c r="F132"/>
      <c r="G132"/>
      <c r="H132"/>
    </row>
    <row r="133" spans="1:8">
      <c r="A133"/>
      <c r="B133"/>
      <c r="C133"/>
      <c r="D133"/>
      <c r="E133"/>
      <c r="F133"/>
      <c r="G133"/>
      <c r="H133"/>
    </row>
    <row r="134" spans="1:8">
      <c r="A134"/>
      <c r="B134"/>
      <c r="C134"/>
      <c r="D134"/>
      <c r="E134"/>
      <c r="F134"/>
      <c r="G134"/>
      <c r="H134"/>
    </row>
    <row r="135" spans="1:8">
      <c r="A135"/>
      <c r="B135"/>
      <c r="C135"/>
      <c r="D135"/>
      <c r="E135"/>
      <c r="F135"/>
      <c r="G135"/>
      <c r="H135"/>
    </row>
    <row r="136" spans="1:8">
      <c r="A136"/>
      <c r="B136"/>
      <c r="C136"/>
      <c r="D136"/>
      <c r="E136"/>
      <c r="F136"/>
      <c r="G136"/>
      <c r="H136"/>
    </row>
    <row r="137" spans="1:8">
      <c r="A137"/>
      <c r="B137"/>
      <c r="C137"/>
      <c r="D137"/>
      <c r="E137"/>
      <c r="F137"/>
      <c r="G137"/>
      <c r="H137"/>
    </row>
    <row r="138" spans="1:8">
      <c r="A138"/>
      <c r="B138"/>
      <c r="C138"/>
      <c r="D138"/>
      <c r="E138"/>
      <c r="F138"/>
      <c r="G138"/>
      <c r="H138"/>
    </row>
    <row r="139" spans="1:8">
      <c r="A139"/>
      <c r="B139"/>
      <c r="C139"/>
      <c r="D139"/>
      <c r="E139"/>
      <c r="F139"/>
      <c r="G139"/>
      <c r="H139"/>
    </row>
    <row r="140" spans="1:8">
      <c r="A140"/>
      <c r="B140"/>
      <c r="C140"/>
      <c r="D140"/>
      <c r="E140"/>
      <c r="F140"/>
      <c r="G140"/>
      <c r="H140"/>
    </row>
    <row r="141" spans="1:8">
      <c r="A141"/>
      <c r="B141"/>
      <c r="C141"/>
      <c r="D141"/>
      <c r="E141"/>
      <c r="F141"/>
      <c r="G141"/>
      <c r="H141"/>
    </row>
    <row r="142" spans="1:8">
      <c r="A142"/>
      <c r="B142"/>
      <c r="C142"/>
      <c r="D142"/>
      <c r="E142"/>
      <c r="F142"/>
      <c r="G142"/>
      <c r="H142"/>
    </row>
    <row r="143" spans="1:8">
      <c r="A143"/>
      <c r="B143"/>
      <c r="C143"/>
      <c r="D143"/>
      <c r="E143"/>
      <c r="F143"/>
      <c r="G143"/>
      <c r="H143"/>
    </row>
    <row r="144" spans="1:8">
      <c r="A144"/>
      <c r="B144"/>
      <c r="C144"/>
      <c r="D144"/>
      <c r="E144"/>
      <c r="F144"/>
      <c r="G144"/>
      <c r="H144"/>
    </row>
    <row r="145" spans="1:8">
      <c r="A145"/>
      <c r="B145"/>
      <c r="C145"/>
      <c r="D145"/>
      <c r="E145"/>
      <c r="F145"/>
      <c r="G145"/>
      <c r="H145"/>
    </row>
    <row r="146" spans="1:8">
      <c r="A146"/>
      <c r="B146"/>
      <c r="C146"/>
      <c r="D146"/>
      <c r="E146"/>
      <c r="F146"/>
      <c r="G146"/>
      <c r="H146"/>
    </row>
    <row r="147" spans="1:8">
      <c r="A147"/>
      <c r="B147"/>
      <c r="C147"/>
      <c r="D147"/>
      <c r="E147"/>
      <c r="F147"/>
      <c r="G147"/>
      <c r="H147"/>
    </row>
    <row r="148" spans="1:8">
      <c r="A148"/>
      <c r="B148"/>
      <c r="C148"/>
      <c r="D148"/>
      <c r="E148"/>
      <c r="F148"/>
      <c r="G148"/>
      <c r="H148"/>
    </row>
    <row r="149" spans="1:8">
      <c r="A149"/>
      <c r="B149"/>
      <c r="C149"/>
      <c r="D149"/>
      <c r="E149"/>
      <c r="F149"/>
      <c r="G149"/>
      <c r="H149"/>
    </row>
    <row r="150" spans="1:8">
      <c r="A150"/>
      <c r="B150"/>
      <c r="C150"/>
      <c r="D150"/>
      <c r="E150"/>
      <c r="F150"/>
      <c r="G150"/>
      <c r="H150"/>
    </row>
    <row r="151" spans="1:8">
      <c r="A151"/>
      <c r="B151"/>
      <c r="C151"/>
      <c r="D151"/>
      <c r="E151"/>
      <c r="F151"/>
      <c r="G151"/>
      <c r="H151"/>
    </row>
    <row r="152" spans="1:8">
      <c r="A152"/>
      <c r="B152"/>
      <c r="C152"/>
      <c r="D152"/>
      <c r="E152"/>
      <c r="F152"/>
      <c r="G152"/>
      <c r="H152"/>
    </row>
    <row r="153" spans="1:8">
      <c r="A153"/>
      <c r="B153"/>
      <c r="C153"/>
      <c r="D153"/>
      <c r="E153"/>
      <c r="F153"/>
      <c r="G153"/>
      <c r="H153"/>
    </row>
    <row r="154" spans="1:8">
      <c r="A154"/>
      <c r="B154"/>
      <c r="C154"/>
      <c r="D154"/>
      <c r="E154"/>
      <c r="F154"/>
      <c r="G154"/>
      <c r="H154"/>
    </row>
    <row r="155" spans="1:8">
      <c r="A155"/>
      <c r="B155"/>
      <c r="C155"/>
      <c r="D155"/>
      <c r="E155"/>
      <c r="F155"/>
      <c r="G155"/>
      <c r="H155"/>
    </row>
    <row r="156" spans="1:8">
      <c r="A156"/>
      <c r="B156"/>
      <c r="C156"/>
      <c r="D156"/>
      <c r="E156"/>
      <c r="F156"/>
      <c r="G156"/>
      <c r="H156"/>
    </row>
    <row r="157" spans="1:8">
      <c r="A157"/>
      <c r="B157"/>
      <c r="C157"/>
      <c r="D157"/>
      <c r="E157"/>
      <c r="F157"/>
      <c r="G157"/>
      <c r="H157"/>
    </row>
    <row r="158" spans="1:8">
      <c r="A158"/>
      <c r="B158"/>
      <c r="C158"/>
      <c r="D158"/>
      <c r="E158"/>
      <c r="F158"/>
      <c r="G158"/>
      <c r="H158"/>
    </row>
    <row r="159" spans="1:8">
      <c r="A159"/>
      <c r="B159"/>
      <c r="C159"/>
      <c r="D159"/>
      <c r="E159"/>
      <c r="F159"/>
      <c r="G159"/>
      <c r="H159"/>
    </row>
    <row r="160" spans="1:8">
      <c r="A160"/>
      <c r="B160"/>
      <c r="C160"/>
      <c r="D160"/>
      <c r="E160"/>
      <c r="F160"/>
      <c r="G160"/>
      <c r="H160"/>
    </row>
    <row r="161" spans="1:8">
      <c r="A161"/>
      <c r="B161"/>
      <c r="C161"/>
      <c r="D161"/>
      <c r="E161"/>
      <c r="F161"/>
      <c r="G161"/>
      <c r="H161"/>
    </row>
    <row r="162" spans="1:8">
      <c r="A162"/>
      <c r="B162"/>
      <c r="C162"/>
      <c r="D162"/>
      <c r="E162"/>
      <c r="F162"/>
      <c r="G162"/>
      <c r="H162"/>
    </row>
    <row r="163" spans="1:8">
      <c r="A163"/>
      <c r="B163"/>
      <c r="C163"/>
      <c r="D163"/>
      <c r="E163"/>
      <c r="F163"/>
      <c r="G163"/>
      <c r="H163"/>
    </row>
    <row r="164" spans="1:8">
      <c r="A164"/>
      <c r="B164"/>
      <c r="C164"/>
      <c r="D164"/>
      <c r="E164"/>
      <c r="F164"/>
      <c r="G164"/>
      <c r="H164"/>
    </row>
    <row r="165" spans="1:8">
      <c r="A165"/>
      <c r="B165"/>
      <c r="C165"/>
      <c r="D165"/>
      <c r="E165"/>
      <c r="F165"/>
      <c r="G165"/>
      <c r="H165"/>
    </row>
    <row r="166" spans="1:8">
      <c r="A166"/>
      <c r="B166"/>
      <c r="C166"/>
      <c r="D166"/>
      <c r="E166"/>
      <c r="F166"/>
      <c r="G166"/>
      <c r="H166"/>
    </row>
    <row r="167" spans="1:8">
      <c r="A167"/>
      <c r="B167"/>
      <c r="C167"/>
      <c r="D167"/>
      <c r="E167"/>
      <c r="F167"/>
      <c r="G167"/>
      <c r="H167"/>
    </row>
    <row r="168" spans="1:8">
      <c r="A168"/>
      <c r="B168"/>
      <c r="C168"/>
      <c r="D168"/>
      <c r="E168"/>
      <c r="F168"/>
      <c r="G168"/>
      <c r="H168"/>
    </row>
    <row r="169" spans="1:8">
      <c r="A169"/>
      <c r="B169"/>
      <c r="C169"/>
      <c r="D169"/>
      <c r="E169"/>
      <c r="F169"/>
      <c r="G169"/>
      <c r="H169"/>
    </row>
    <row r="170" spans="1:8">
      <c r="A170"/>
      <c r="B170"/>
      <c r="C170"/>
      <c r="D170"/>
      <c r="E170"/>
      <c r="F170"/>
      <c r="G170"/>
      <c r="H170"/>
    </row>
    <row r="171" spans="1:8">
      <c r="A171"/>
      <c r="B171"/>
      <c r="C171"/>
      <c r="D171"/>
      <c r="E171"/>
      <c r="F171"/>
      <c r="G171"/>
      <c r="H171"/>
    </row>
    <row r="172" spans="1:8">
      <c r="A172"/>
      <c r="B172"/>
      <c r="C172"/>
      <c r="D172"/>
      <c r="E172"/>
      <c r="F172"/>
      <c r="G172"/>
      <c r="H172"/>
    </row>
    <row r="173" spans="1:8">
      <c r="A173"/>
      <c r="B173"/>
      <c r="C173"/>
      <c r="D173"/>
      <c r="E173"/>
      <c r="F173"/>
      <c r="G173"/>
      <c r="H173"/>
    </row>
    <row r="174" spans="1:8">
      <c r="A174"/>
      <c r="B174"/>
      <c r="C174"/>
      <c r="D174"/>
      <c r="E174"/>
      <c r="F174"/>
      <c r="G174"/>
      <c r="H174"/>
    </row>
    <row r="175" spans="1:8">
      <c r="A175"/>
      <c r="B175"/>
      <c r="C175"/>
      <c r="D175"/>
      <c r="E175"/>
      <c r="F175"/>
      <c r="G175"/>
      <c r="H175"/>
    </row>
    <row r="176" spans="1:8">
      <c r="A176"/>
      <c r="B176"/>
      <c r="C176"/>
      <c r="D176"/>
      <c r="E176"/>
      <c r="F176"/>
      <c r="G176"/>
      <c r="H176"/>
    </row>
    <row r="177" spans="1:8">
      <c r="A177"/>
      <c r="B177"/>
      <c r="C177"/>
      <c r="D177"/>
      <c r="E177"/>
      <c r="F177"/>
      <c r="G177"/>
      <c r="H177"/>
    </row>
    <row r="178" spans="1:8">
      <c r="A178"/>
      <c r="B178"/>
      <c r="C178"/>
      <c r="D178"/>
      <c r="E178"/>
      <c r="F178"/>
      <c r="G178"/>
      <c r="H178"/>
    </row>
    <row r="179" spans="1:8">
      <c r="A179"/>
      <c r="B179"/>
      <c r="C179"/>
      <c r="D179"/>
      <c r="E179"/>
      <c r="F179"/>
      <c r="G179"/>
      <c r="H179"/>
    </row>
    <row r="180" spans="1:8">
      <c r="A180"/>
      <c r="B180"/>
      <c r="C180"/>
      <c r="D180"/>
      <c r="E180"/>
      <c r="F180"/>
      <c r="G180"/>
      <c r="H180"/>
    </row>
    <row r="181" spans="1:8">
      <c r="A181"/>
      <c r="B181"/>
      <c r="C181"/>
      <c r="D181"/>
      <c r="E181"/>
      <c r="F181"/>
      <c r="G181"/>
      <c r="H181"/>
    </row>
    <row r="182" spans="1:8">
      <c r="A182"/>
      <c r="B182"/>
      <c r="C182"/>
      <c r="D182"/>
      <c r="E182"/>
      <c r="F182"/>
      <c r="G182"/>
      <c r="H182"/>
    </row>
    <row r="183" spans="1:8">
      <c r="A183"/>
      <c r="B183"/>
      <c r="C183"/>
      <c r="D183"/>
      <c r="E183"/>
      <c r="F183"/>
      <c r="G183"/>
      <c r="H183"/>
    </row>
    <row r="184" spans="1:8">
      <c r="A184"/>
      <c r="B184"/>
      <c r="C184"/>
      <c r="D184"/>
      <c r="E184"/>
      <c r="F184"/>
      <c r="G184"/>
      <c r="H184"/>
    </row>
    <row r="185" spans="1:8">
      <c r="A185"/>
      <c r="B185"/>
      <c r="C185"/>
      <c r="D185"/>
      <c r="E185"/>
      <c r="F185"/>
      <c r="G185"/>
      <c r="H185"/>
    </row>
    <row r="186" spans="1:8">
      <c r="A186"/>
      <c r="B186"/>
      <c r="C186"/>
      <c r="D186"/>
      <c r="E186"/>
      <c r="F186"/>
      <c r="G186"/>
      <c r="H186"/>
    </row>
    <row r="187" spans="1:8">
      <c r="A187"/>
      <c r="B187"/>
      <c r="C187"/>
      <c r="D187"/>
      <c r="E187"/>
      <c r="F187"/>
      <c r="G187"/>
      <c r="H187"/>
    </row>
    <row r="188" spans="1:8">
      <c r="A188"/>
      <c r="B188"/>
      <c r="C188"/>
      <c r="D188"/>
      <c r="E188"/>
      <c r="F188"/>
      <c r="G188"/>
      <c r="H188"/>
    </row>
    <row r="189" spans="1:8">
      <c r="A189"/>
      <c r="B189"/>
      <c r="C189"/>
      <c r="D189"/>
      <c r="E189"/>
      <c r="F189"/>
      <c r="G189"/>
      <c r="H189"/>
    </row>
    <row r="190" spans="1:8">
      <c r="A190"/>
      <c r="B190"/>
      <c r="C190"/>
      <c r="D190"/>
      <c r="E190"/>
      <c r="F190"/>
      <c r="G190"/>
      <c r="H190"/>
    </row>
    <row r="191" spans="1:8">
      <c r="A191"/>
      <c r="B191"/>
      <c r="C191"/>
      <c r="D191"/>
      <c r="E191"/>
      <c r="F191"/>
      <c r="G191"/>
      <c r="H191"/>
    </row>
    <row r="192" spans="1:8">
      <c r="A192"/>
      <c r="B192"/>
      <c r="C192"/>
      <c r="D192"/>
      <c r="E192"/>
      <c r="F192"/>
      <c r="G192"/>
      <c r="H192"/>
    </row>
    <row r="193" spans="1:8">
      <c r="A193"/>
      <c r="B193"/>
      <c r="C193"/>
      <c r="D193"/>
      <c r="E193"/>
      <c r="F193"/>
      <c r="G193"/>
      <c r="H193"/>
    </row>
    <row r="194" spans="1:8">
      <c r="A194"/>
      <c r="B194"/>
      <c r="C194"/>
      <c r="D194"/>
      <c r="E194"/>
      <c r="F194"/>
      <c r="G194"/>
      <c r="H194"/>
    </row>
    <row r="195" spans="1:8">
      <c r="A195"/>
      <c r="B195"/>
      <c r="C195"/>
      <c r="D195"/>
      <c r="E195"/>
      <c r="F195"/>
      <c r="G195"/>
      <c r="H195"/>
    </row>
    <row r="196" spans="1:8">
      <c r="A196"/>
      <c r="B196"/>
      <c r="C196"/>
      <c r="D196"/>
      <c r="E196"/>
      <c r="F196"/>
      <c r="G196"/>
      <c r="H196"/>
    </row>
    <row r="197" spans="1:8">
      <c r="A197"/>
      <c r="B197"/>
      <c r="C197"/>
      <c r="D197"/>
      <c r="E197"/>
      <c r="F197"/>
      <c r="G197"/>
      <c r="H197"/>
    </row>
    <row r="198" spans="1:8">
      <c r="A198"/>
      <c r="B198"/>
      <c r="C198"/>
      <c r="D198"/>
      <c r="E198"/>
      <c r="F198"/>
      <c r="G198"/>
      <c r="H198"/>
    </row>
    <row r="199" spans="1:8">
      <c r="A199"/>
      <c r="B199"/>
      <c r="C199"/>
      <c r="D199"/>
      <c r="E199"/>
      <c r="F199"/>
      <c r="G199"/>
      <c r="H199"/>
    </row>
    <row r="200" spans="1:8">
      <c r="A200"/>
      <c r="B200"/>
      <c r="C200"/>
      <c r="D200"/>
      <c r="E200"/>
      <c r="F200"/>
      <c r="G200"/>
      <c r="H200"/>
    </row>
    <row r="201" spans="1:8">
      <c r="A201"/>
      <c r="B201"/>
      <c r="C201"/>
      <c r="D201"/>
      <c r="E201"/>
      <c r="F201"/>
      <c r="G201"/>
      <c r="H201"/>
    </row>
    <row r="202" spans="1:8">
      <c r="A202"/>
      <c r="B202"/>
      <c r="C202"/>
      <c r="D202"/>
      <c r="E202"/>
      <c r="F202"/>
      <c r="G202"/>
      <c r="H202"/>
    </row>
    <row r="203" spans="1:8">
      <c r="A203"/>
      <c r="B203"/>
      <c r="C203"/>
      <c r="D203"/>
      <c r="E203"/>
      <c r="F203"/>
      <c r="G203"/>
      <c r="H203"/>
    </row>
    <row r="204" spans="1:8">
      <c r="A204"/>
      <c r="B204"/>
      <c r="C204"/>
      <c r="D204"/>
      <c r="E204"/>
      <c r="F204"/>
      <c r="G204"/>
      <c r="H204"/>
    </row>
    <row r="205" spans="1:8">
      <c r="A205"/>
      <c r="B205"/>
      <c r="C205"/>
      <c r="D205"/>
      <c r="E205"/>
      <c r="F205"/>
      <c r="G205"/>
      <c r="H205"/>
    </row>
    <row r="206" spans="1:8">
      <c r="A206"/>
      <c r="B206"/>
      <c r="C206"/>
      <c r="D206"/>
      <c r="E206"/>
      <c r="F206"/>
      <c r="G206"/>
      <c r="H206"/>
    </row>
    <row r="207" spans="1:8">
      <c r="A207"/>
      <c r="B207"/>
      <c r="C207"/>
      <c r="D207"/>
      <c r="E207"/>
      <c r="F207"/>
      <c r="G207"/>
      <c r="H207"/>
    </row>
    <row r="208" spans="1:8">
      <c r="A208"/>
      <c r="B208"/>
      <c r="C208"/>
      <c r="D208"/>
      <c r="E208"/>
      <c r="F208"/>
      <c r="G208"/>
      <c r="H208"/>
    </row>
    <row r="209" spans="1:8">
      <c r="A209"/>
      <c r="B209"/>
      <c r="C209"/>
      <c r="D209"/>
      <c r="E209"/>
      <c r="F209"/>
      <c r="G209"/>
      <c r="H209"/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  <row r="243" spans="1:8">
      <c r="A243"/>
      <c r="B243"/>
      <c r="C243"/>
      <c r="D243"/>
      <c r="E243"/>
      <c r="F243"/>
      <c r="G243"/>
      <c r="H243"/>
    </row>
    <row r="244" spans="1:8">
      <c r="A244"/>
      <c r="B244"/>
      <c r="C244"/>
      <c r="D244"/>
      <c r="E244"/>
      <c r="F244"/>
      <c r="G244"/>
      <c r="H244"/>
    </row>
    <row r="245" spans="1:8">
      <c r="A245"/>
      <c r="B245"/>
      <c r="C245"/>
      <c r="D245"/>
      <c r="E245"/>
      <c r="F245"/>
      <c r="G245"/>
      <c r="H245"/>
    </row>
    <row r="246" spans="1:8">
      <c r="A246"/>
      <c r="B246"/>
      <c r="C246"/>
      <c r="D246"/>
      <c r="E246"/>
      <c r="F246"/>
      <c r="G246"/>
      <c r="H246"/>
    </row>
    <row r="247" spans="1:8">
      <c r="A247"/>
      <c r="B247"/>
      <c r="C247"/>
      <c r="D247"/>
      <c r="E247"/>
      <c r="F247"/>
      <c r="G247"/>
      <c r="H247"/>
    </row>
    <row r="248" spans="1:8">
      <c r="A248"/>
      <c r="B248"/>
      <c r="C248"/>
      <c r="D248"/>
      <c r="E248"/>
      <c r="F248"/>
      <c r="G248"/>
      <c r="H248"/>
    </row>
    <row r="249" spans="1:8">
      <c r="A249"/>
      <c r="B249"/>
      <c r="C249"/>
      <c r="D249"/>
      <c r="E249"/>
      <c r="F249"/>
      <c r="G249"/>
      <c r="H249"/>
    </row>
    <row r="250" spans="1:8">
      <c r="A250"/>
      <c r="B250"/>
      <c r="C250"/>
      <c r="D250"/>
      <c r="E250"/>
      <c r="F250"/>
      <c r="G250"/>
      <c r="H250"/>
    </row>
    <row r="251" spans="1:8">
      <c r="A251"/>
      <c r="B251"/>
      <c r="C251"/>
      <c r="D251"/>
      <c r="E251"/>
      <c r="F251"/>
      <c r="G251"/>
      <c r="H251"/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  <row r="255" spans="1:8">
      <c r="A255"/>
      <c r="B255"/>
      <c r="C255"/>
      <c r="D255"/>
      <c r="E255"/>
      <c r="F255"/>
      <c r="G255"/>
      <c r="H255"/>
    </row>
    <row r="256" spans="1:8">
      <c r="A256"/>
      <c r="B256"/>
      <c r="C256"/>
      <c r="D256"/>
      <c r="E256"/>
      <c r="F256"/>
      <c r="G256"/>
      <c r="H256"/>
    </row>
    <row r="257" spans="1:8">
      <c r="A257"/>
      <c r="B257"/>
      <c r="C257"/>
      <c r="D257"/>
      <c r="E257"/>
      <c r="F257"/>
      <c r="G257"/>
      <c r="H257"/>
    </row>
    <row r="258" spans="1:8">
      <c r="A258"/>
      <c r="B258"/>
      <c r="C258"/>
      <c r="D258"/>
      <c r="E258"/>
      <c r="F258"/>
      <c r="G258"/>
      <c r="H258"/>
    </row>
    <row r="259" spans="1:8">
      <c r="A259"/>
      <c r="B259"/>
      <c r="C259"/>
      <c r="D259"/>
      <c r="E259"/>
      <c r="F259"/>
      <c r="G259"/>
      <c r="H259"/>
    </row>
    <row r="260" spans="1:8">
      <c r="A260"/>
      <c r="B260"/>
      <c r="C260"/>
      <c r="D260"/>
      <c r="E260"/>
      <c r="F260"/>
      <c r="G260"/>
      <c r="H260"/>
    </row>
    <row r="261" spans="1:8">
      <c r="A261"/>
      <c r="B261"/>
      <c r="C261"/>
      <c r="D261"/>
      <c r="E261"/>
      <c r="F261"/>
      <c r="G261"/>
      <c r="H261"/>
    </row>
    <row r="262" spans="1:8">
      <c r="A262"/>
      <c r="B262"/>
      <c r="C262"/>
      <c r="D262"/>
      <c r="E262"/>
      <c r="F262"/>
      <c r="G262"/>
      <c r="H262"/>
    </row>
    <row r="263" spans="1:8">
      <c r="A263"/>
      <c r="B263"/>
      <c r="C263"/>
      <c r="D263"/>
      <c r="E263"/>
      <c r="F263"/>
      <c r="G263"/>
      <c r="H263"/>
    </row>
    <row r="264" spans="1:8">
      <c r="A264"/>
      <c r="B264"/>
      <c r="C264"/>
      <c r="D264"/>
      <c r="E264"/>
      <c r="F264"/>
      <c r="G264"/>
      <c r="H264"/>
    </row>
    <row r="265" spans="1:8">
      <c r="A265"/>
      <c r="B265"/>
      <c r="C265"/>
      <c r="D265"/>
      <c r="E265"/>
      <c r="F265"/>
      <c r="G265"/>
      <c r="H265"/>
    </row>
    <row r="266" spans="1:8">
      <c r="A266"/>
      <c r="B266"/>
      <c r="C266"/>
      <c r="D266"/>
      <c r="E266"/>
      <c r="F266"/>
      <c r="G266"/>
      <c r="H266"/>
    </row>
    <row r="267" spans="1:8">
      <c r="A267"/>
      <c r="B267"/>
      <c r="C267"/>
      <c r="D267"/>
      <c r="E267"/>
      <c r="F267"/>
      <c r="G267"/>
      <c r="H267"/>
    </row>
    <row r="268" spans="1:8">
      <c r="A268"/>
      <c r="B268"/>
      <c r="C268"/>
      <c r="D268"/>
      <c r="E268"/>
      <c r="F268"/>
      <c r="G268"/>
      <c r="H268"/>
    </row>
    <row r="269" spans="1:8">
      <c r="A269"/>
      <c r="B269"/>
      <c r="C269"/>
      <c r="D269"/>
      <c r="E269"/>
      <c r="F269"/>
      <c r="G269"/>
      <c r="H269"/>
    </row>
    <row r="270" spans="1:8">
      <c r="A270"/>
      <c r="B270"/>
      <c r="C270"/>
      <c r="D270"/>
      <c r="E270"/>
      <c r="F270"/>
      <c r="G270"/>
      <c r="H270"/>
    </row>
    <row r="271" spans="1:8">
      <c r="A271"/>
      <c r="B271"/>
      <c r="C271"/>
      <c r="D271"/>
      <c r="E271"/>
      <c r="F271"/>
      <c r="G271"/>
      <c r="H271"/>
    </row>
    <row r="272" spans="1:8">
      <c r="A272"/>
      <c r="B272"/>
      <c r="C272"/>
      <c r="D272"/>
      <c r="E272"/>
      <c r="F272"/>
      <c r="G272"/>
      <c r="H272"/>
    </row>
    <row r="273" spans="1:8">
      <c r="A273"/>
      <c r="B273"/>
      <c r="C273"/>
      <c r="D273"/>
      <c r="E273"/>
      <c r="F273"/>
      <c r="G273"/>
      <c r="H273"/>
    </row>
    <row r="274" spans="1:8">
      <c r="A274"/>
      <c r="B274"/>
      <c r="C274"/>
      <c r="D274"/>
      <c r="E274"/>
      <c r="F274"/>
      <c r="G274"/>
      <c r="H274"/>
    </row>
    <row r="275" spans="1:8">
      <c r="A275"/>
      <c r="B275"/>
      <c r="C275"/>
      <c r="D275"/>
      <c r="E275"/>
      <c r="F275"/>
      <c r="G275"/>
      <c r="H275"/>
    </row>
    <row r="276" spans="1:8">
      <c r="A276"/>
      <c r="B276"/>
      <c r="C276"/>
      <c r="D276"/>
      <c r="E276"/>
      <c r="F276"/>
      <c r="G276"/>
      <c r="H276"/>
    </row>
    <row r="277" spans="1:8">
      <c r="A277"/>
      <c r="B277"/>
      <c r="C277"/>
      <c r="D277"/>
      <c r="E277"/>
      <c r="F277"/>
      <c r="G277"/>
      <c r="H277"/>
    </row>
    <row r="278" spans="1:8">
      <c r="A278"/>
      <c r="B278"/>
      <c r="C278"/>
      <c r="D278"/>
      <c r="E278"/>
      <c r="F278"/>
      <c r="G278"/>
      <c r="H278"/>
    </row>
    <row r="279" spans="1:8">
      <c r="A279"/>
      <c r="B279"/>
      <c r="C279"/>
      <c r="D279"/>
      <c r="E279"/>
      <c r="F279"/>
      <c r="G279"/>
      <c r="H279"/>
    </row>
    <row r="280" spans="1:8">
      <c r="A280"/>
      <c r="B280"/>
      <c r="C280"/>
      <c r="D280"/>
      <c r="E280"/>
      <c r="F280"/>
      <c r="G280"/>
      <c r="H280"/>
    </row>
    <row r="281" spans="1:8">
      <c r="A281"/>
      <c r="B281"/>
      <c r="C281"/>
      <c r="D281"/>
      <c r="E281"/>
      <c r="F281"/>
      <c r="G281"/>
      <c r="H281"/>
    </row>
    <row r="282" spans="1:8">
      <c r="A282"/>
      <c r="B282"/>
      <c r="C282"/>
      <c r="D282"/>
      <c r="E282"/>
      <c r="F282"/>
      <c r="G282"/>
      <c r="H282"/>
    </row>
    <row r="283" spans="1:8">
      <c r="A283"/>
      <c r="B283"/>
      <c r="C283"/>
      <c r="D283"/>
      <c r="E283"/>
      <c r="F283"/>
      <c r="G283"/>
      <c r="H283"/>
    </row>
    <row r="284" spans="1:8">
      <c r="A284"/>
      <c r="B284"/>
      <c r="C284"/>
      <c r="D284"/>
      <c r="E284"/>
      <c r="F284"/>
      <c r="G284"/>
      <c r="H284"/>
    </row>
    <row r="285" spans="1:8">
      <c r="A285"/>
      <c r="B285"/>
      <c r="C285"/>
      <c r="D285"/>
      <c r="E285"/>
      <c r="F285"/>
      <c r="G285"/>
      <c r="H285"/>
    </row>
    <row r="286" spans="1:8">
      <c r="A286"/>
      <c r="B286"/>
      <c r="C286"/>
      <c r="D286"/>
      <c r="E286"/>
      <c r="F286"/>
      <c r="G286"/>
      <c r="H286"/>
    </row>
    <row r="287" spans="1:8">
      <c r="A287"/>
      <c r="B287"/>
      <c r="C287"/>
      <c r="D287"/>
      <c r="E287"/>
      <c r="F287"/>
      <c r="G287"/>
      <c r="H287"/>
    </row>
    <row r="288" spans="1:8">
      <c r="A288"/>
      <c r="B288"/>
      <c r="C288"/>
      <c r="D288"/>
      <c r="E288"/>
      <c r="F288"/>
      <c r="G288"/>
      <c r="H288"/>
    </row>
    <row r="289" spans="1:8">
      <c r="A289"/>
      <c r="B289"/>
      <c r="C289"/>
      <c r="D289"/>
      <c r="E289"/>
      <c r="F289"/>
      <c r="G289"/>
      <c r="H289"/>
    </row>
    <row r="290" spans="1:8">
      <c r="A290"/>
      <c r="B290"/>
      <c r="C290"/>
      <c r="D290"/>
      <c r="E290"/>
      <c r="F290"/>
      <c r="G290"/>
      <c r="H290"/>
    </row>
    <row r="291" spans="1:8">
      <c r="A291"/>
      <c r="B291"/>
      <c r="C291"/>
      <c r="D291"/>
      <c r="E291"/>
      <c r="F291"/>
      <c r="G291"/>
      <c r="H291"/>
    </row>
    <row r="292" spans="1:8">
      <c r="A292"/>
      <c r="B292"/>
      <c r="C292"/>
      <c r="D292"/>
      <c r="E292"/>
      <c r="F292"/>
      <c r="G292"/>
      <c r="H292"/>
    </row>
    <row r="293" spans="1:8">
      <c r="A293"/>
      <c r="B293"/>
      <c r="C293"/>
      <c r="D293"/>
      <c r="E293"/>
      <c r="F293"/>
      <c r="G293"/>
      <c r="H293"/>
    </row>
    <row r="294" spans="1:8">
      <c r="A294"/>
      <c r="B294"/>
      <c r="C294"/>
      <c r="D294"/>
      <c r="E294"/>
      <c r="F294"/>
      <c r="G294"/>
      <c r="H294"/>
    </row>
    <row r="295" spans="1:8">
      <c r="A295"/>
      <c r="B295"/>
      <c r="C295"/>
      <c r="D295"/>
      <c r="E295"/>
      <c r="F295"/>
      <c r="G295"/>
      <c r="H295"/>
    </row>
    <row r="296" spans="1:8">
      <c r="A296"/>
      <c r="B296"/>
      <c r="C296"/>
      <c r="D296"/>
      <c r="E296"/>
      <c r="F296"/>
      <c r="G296"/>
      <c r="H296"/>
    </row>
    <row r="297" spans="1:8">
      <c r="A297"/>
      <c r="B297"/>
      <c r="C297"/>
      <c r="D297"/>
      <c r="E297"/>
      <c r="F297"/>
      <c r="G297"/>
      <c r="H297"/>
    </row>
    <row r="298" spans="1:8">
      <c r="A298"/>
      <c r="B298"/>
      <c r="C298"/>
      <c r="D298"/>
      <c r="E298"/>
      <c r="F298"/>
      <c r="G298"/>
      <c r="H298"/>
    </row>
    <row r="299" spans="1:8">
      <c r="A299"/>
      <c r="B299"/>
      <c r="C299"/>
      <c r="D299"/>
      <c r="E299"/>
      <c r="F299"/>
      <c r="G299"/>
      <c r="H299"/>
    </row>
    <row r="300" spans="1:8">
      <c r="A300"/>
      <c r="B300"/>
      <c r="C300"/>
      <c r="D300"/>
      <c r="E300"/>
      <c r="F300"/>
      <c r="G300"/>
      <c r="H300"/>
    </row>
    <row r="301" spans="1:8">
      <c r="A301"/>
      <c r="B301"/>
      <c r="C301"/>
      <c r="D301"/>
      <c r="E301"/>
      <c r="F301"/>
      <c r="G301"/>
      <c r="H301"/>
    </row>
    <row r="302" spans="1:8">
      <c r="A302"/>
      <c r="B302"/>
      <c r="C302"/>
      <c r="D302"/>
      <c r="E302"/>
      <c r="F302"/>
      <c r="G302"/>
      <c r="H302"/>
    </row>
    <row r="303" spans="1:8">
      <c r="A303"/>
      <c r="B303"/>
      <c r="C303"/>
      <c r="D303"/>
      <c r="E303"/>
      <c r="F303"/>
      <c r="G303"/>
      <c r="H303"/>
    </row>
    <row r="304" spans="1:8">
      <c r="A304"/>
      <c r="B304"/>
      <c r="C304"/>
      <c r="D304"/>
      <c r="E304"/>
      <c r="F304"/>
      <c r="G304"/>
      <c r="H304"/>
    </row>
    <row r="305" spans="1:8">
      <c r="A305"/>
      <c r="B305"/>
      <c r="C305"/>
      <c r="D305"/>
      <c r="E305"/>
      <c r="F305"/>
      <c r="G305"/>
      <c r="H305"/>
    </row>
    <row r="306" spans="1:8">
      <c r="A306"/>
      <c r="B306"/>
      <c r="C306"/>
      <c r="D306"/>
      <c r="E306"/>
      <c r="F306"/>
      <c r="G306"/>
      <c r="H306"/>
    </row>
    <row r="307" spans="1:8">
      <c r="A307"/>
      <c r="B307"/>
      <c r="C307"/>
      <c r="D307"/>
      <c r="E307"/>
      <c r="F307"/>
      <c r="G307"/>
      <c r="H307"/>
    </row>
    <row r="308" spans="1:8">
      <c r="A308"/>
      <c r="B308"/>
      <c r="C308"/>
      <c r="D308"/>
      <c r="E308"/>
      <c r="F308"/>
      <c r="G308"/>
      <c r="H308"/>
    </row>
    <row r="309" spans="1:8">
      <c r="A309"/>
      <c r="B309"/>
      <c r="C309"/>
      <c r="D309"/>
      <c r="E309"/>
      <c r="F309"/>
      <c r="G309"/>
      <c r="H309"/>
    </row>
    <row r="310" spans="1:8">
      <c r="A310"/>
      <c r="B310"/>
      <c r="C310"/>
      <c r="D310"/>
      <c r="E310"/>
      <c r="F310"/>
      <c r="G310"/>
      <c r="H310"/>
    </row>
    <row r="311" spans="1:8">
      <c r="A311"/>
      <c r="B311"/>
      <c r="C311"/>
      <c r="D311"/>
      <c r="E311"/>
      <c r="F311"/>
      <c r="G311"/>
      <c r="H311"/>
    </row>
    <row r="312" spans="1:8">
      <c r="A312"/>
      <c r="B312"/>
      <c r="C312"/>
      <c r="D312"/>
      <c r="E312"/>
      <c r="F312"/>
      <c r="G312"/>
      <c r="H312"/>
    </row>
    <row r="313" spans="1:8">
      <c r="A313"/>
      <c r="B313"/>
      <c r="C313"/>
      <c r="D313"/>
      <c r="E313"/>
      <c r="F313"/>
      <c r="G313"/>
      <c r="H313"/>
    </row>
    <row r="314" spans="1:8">
      <c r="A314"/>
      <c r="B314"/>
      <c r="C314"/>
      <c r="D314"/>
      <c r="E314"/>
      <c r="F314"/>
      <c r="G314"/>
      <c r="H314"/>
    </row>
    <row r="315" spans="1:8">
      <c r="A315"/>
      <c r="B315"/>
      <c r="C315"/>
      <c r="D315"/>
      <c r="E315"/>
      <c r="F315"/>
      <c r="G315"/>
      <c r="H315"/>
    </row>
    <row r="316" spans="1:8">
      <c r="A316"/>
      <c r="B316"/>
      <c r="C316"/>
      <c r="D316"/>
      <c r="E316"/>
      <c r="F316"/>
      <c r="G316"/>
      <c r="H316"/>
    </row>
    <row r="317" spans="1:8">
      <c r="A317"/>
      <c r="B317"/>
      <c r="C317"/>
      <c r="D317"/>
      <c r="E317"/>
      <c r="F317"/>
      <c r="G317"/>
      <c r="H317"/>
    </row>
    <row r="318" spans="1:8">
      <c r="A318"/>
      <c r="B318"/>
      <c r="C318"/>
      <c r="D318"/>
      <c r="E318"/>
      <c r="F318"/>
      <c r="G318"/>
      <c r="H318"/>
    </row>
    <row r="319" spans="1:8">
      <c r="A319"/>
      <c r="B319"/>
      <c r="C319"/>
      <c r="D319"/>
      <c r="E319"/>
      <c r="F319"/>
      <c r="G319"/>
      <c r="H319"/>
    </row>
    <row r="320" spans="1:8">
      <c r="A320"/>
      <c r="B320"/>
      <c r="C320"/>
      <c r="D320"/>
      <c r="E320"/>
      <c r="F320"/>
      <c r="G320"/>
      <c r="H320"/>
    </row>
    <row r="321" spans="1:8">
      <c r="A321"/>
      <c r="B321"/>
      <c r="C321"/>
      <c r="D321"/>
      <c r="E321"/>
      <c r="F321"/>
      <c r="G321"/>
      <c r="H321"/>
    </row>
    <row r="322" spans="1:8">
      <c r="A322"/>
      <c r="B322"/>
      <c r="C322"/>
      <c r="D322"/>
      <c r="E322"/>
      <c r="F322"/>
      <c r="G322"/>
      <c r="H322"/>
    </row>
    <row r="323" spans="1:8">
      <c r="A323"/>
      <c r="B323"/>
      <c r="C323"/>
      <c r="D323"/>
      <c r="E323"/>
      <c r="F323"/>
      <c r="G323"/>
      <c r="H323"/>
    </row>
    <row r="324" spans="1:8">
      <c r="A324"/>
      <c r="B324"/>
      <c r="C324"/>
      <c r="D324"/>
      <c r="E324"/>
      <c r="F324"/>
      <c r="G324"/>
      <c r="H324"/>
    </row>
    <row r="325" spans="1:8">
      <c r="A325"/>
      <c r="B325"/>
      <c r="C325"/>
      <c r="D325"/>
      <c r="E325"/>
      <c r="F325"/>
      <c r="G325"/>
      <c r="H325"/>
    </row>
    <row r="326" spans="1:8">
      <c r="A326"/>
      <c r="B326"/>
      <c r="C326"/>
      <c r="D326"/>
      <c r="E326"/>
      <c r="F326"/>
      <c r="G326"/>
      <c r="H326"/>
    </row>
    <row r="327" spans="1:8">
      <c r="A327"/>
      <c r="B327"/>
      <c r="C327"/>
      <c r="D327"/>
      <c r="E327"/>
      <c r="F327"/>
      <c r="G327"/>
      <c r="H327"/>
    </row>
    <row r="328" spans="1:8">
      <c r="A328"/>
      <c r="B328"/>
      <c r="C328"/>
      <c r="D328"/>
      <c r="E328"/>
      <c r="F328"/>
      <c r="G328"/>
      <c r="H328"/>
    </row>
    <row r="329" spans="1:8">
      <c r="A329"/>
      <c r="B329"/>
      <c r="C329"/>
      <c r="D329"/>
      <c r="E329"/>
      <c r="F329"/>
      <c r="G329"/>
      <c r="H329"/>
    </row>
    <row r="330" spans="1:8">
      <c r="A330"/>
      <c r="B330"/>
      <c r="C330"/>
      <c r="D330"/>
      <c r="E330"/>
      <c r="F330"/>
      <c r="G330"/>
      <c r="H330"/>
    </row>
    <row r="331" spans="1:8">
      <c r="A331"/>
      <c r="B331"/>
      <c r="C331"/>
      <c r="D331"/>
      <c r="E331"/>
      <c r="F331"/>
      <c r="G331"/>
      <c r="H331"/>
    </row>
    <row r="332" spans="1:8">
      <c r="A332"/>
      <c r="B332"/>
      <c r="C332"/>
      <c r="D332"/>
      <c r="E332"/>
      <c r="F332"/>
      <c r="G332"/>
      <c r="H332"/>
    </row>
    <row r="333" spans="1:8">
      <c r="A333"/>
      <c r="B333"/>
      <c r="C333"/>
      <c r="D333"/>
      <c r="E333"/>
      <c r="F333"/>
      <c r="G333"/>
      <c r="H333"/>
    </row>
    <row r="334" spans="1:8">
      <c r="A334"/>
      <c r="B334"/>
      <c r="C334"/>
      <c r="D334"/>
      <c r="E334"/>
      <c r="F334"/>
      <c r="G334"/>
      <c r="H334"/>
    </row>
    <row r="335" spans="1:8">
      <c r="A335"/>
      <c r="B335"/>
      <c r="C335"/>
      <c r="D335"/>
      <c r="E335"/>
      <c r="F335"/>
      <c r="G335"/>
      <c r="H335"/>
    </row>
    <row r="336" spans="1:8">
      <c r="A336"/>
      <c r="B336"/>
      <c r="C336"/>
      <c r="D336"/>
      <c r="E336"/>
      <c r="F336"/>
      <c r="G336"/>
      <c r="H336"/>
    </row>
    <row r="337" spans="1:8">
      <c r="A337"/>
      <c r="B337"/>
      <c r="C337"/>
      <c r="D337"/>
      <c r="E337"/>
      <c r="F337"/>
      <c r="G337"/>
      <c r="H337"/>
    </row>
    <row r="338" spans="1:8">
      <c r="A338"/>
      <c r="B338"/>
      <c r="C338"/>
      <c r="D338"/>
      <c r="E338"/>
      <c r="F338"/>
      <c r="G338"/>
      <c r="H338"/>
    </row>
    <row r="339" spans="1:8">
      <c r="A339"/>
      <c r="B339"/>
      <c r="C339"/>
      <c r="D339"/>
      <c r="E339"/>
      <c r="F339"/>
      <c r="G339"/>
      <c r="H339"/>
    </row>
    <row r="340" spans="1:8">
      <c r="A340"/>
      <c r="B340"/>
      <c r="C340"/>
      <c r="D340"/>
      <c r="E340"/>
      <c r="F340"/>
      <c r="G340"/>
      <c r="H340"/>
    </row>
    <row r="341" spans="1:8">
      <c r="A341"/>
      <c r="B341"/>
      <c r="C341"/>
      <c r="D341"/>
      <c r="E341"/>
      <c r="F341"/>
      <c r="G341"/>
      <c r="H341"/>
    </row>
    <row r="342" spans="1:8">
      <c r="A342"/>
      <c r="B342"/>
      <c r="C342"/>
      <c r="D342"/>
      <c r="E342"/>
      <c r="F342"/>
      <c r="G342"/>
      <c r="H342"/>
    </row>
    <row r="343" spans="1:8">
      <c r="A343"/>
      <c r="B343"/>
      <c r="C343"/>
      <c r="D343"/>
      <c r="E343"/>
      <c r="F343"/>
      <c r="G343"/>
      <c r="H343"/>
    </row>
    <row r="344" spans="1:8">
      <c r="A344"/>
      <c r="B344"/>
      <c r="C344"/>
      <c r="D344"/>
      <c r="E344"/>
      <c r="F344"/>
      <c r="G344"/>
      <c r="H344"/>
    </row>
    <row r="345" spans="1:8">
      <c r="A345"/>
      <c r="B345"/>
      <c r="C345"/>
      <c r="D345"/>
      <c r="E345"/>
      <c r="F345"/>
      <c r="G345"/>
      <c r="H345"/>
    </row>
    <row r="346" spans="1:8">
      <c r="A346"/>
      <c r="B346"/>
      <c r="C346"/>
      <c r="D346"/>
      <c r="E346"/>
      <c r="F346"/>
      <c r="G346"/>
      <c r="H346"/>
    </row>
    <row r="347" spans="1:8">
      <c r="A347"/>
      <c r="B347"/>
      <c r="C347"/>
      <c r="D347"/>
      <c r="E347"/>
      <c r="F347"/>
      <c r="G347"/>
      <c r="H347"/>
    </row>
    <row r="348" spans="1:8">
      <c r="A348"/>
      <c r="B348"/>
      <c r="C348"/>
      <c r="D348"/>
      <c r="E348"/>
      <c r="F348"/>
      <c r="G348"/>
      <c r="H348"/>
    </row>
    <row r="349" spans="1:8">
      <c r="A349"/>
      <c r="B349"/>
      <c r="C349"/>
      <c r="D349"/>
      <c r="E349"/>
      <c r="F349"/>
      <c r="G349"/>
      <c r="H349"/>
    </row>
    <row r="350" spans="1:8">
      <c r="A350"/>
      <c r="B350"/>
      <c r="C350"/>
      <c r="D350"/>
      <c r="E350"/>
      <c r="F350"/>
      <c r="G350"/>
      <c r="H350"/>
    </row>
    <row r="351" spans="1:8">
      <c r="A351"/>
      <c r="B351"/>
      <c r="C351"/>
      <c r="D351"/>
      <c r="E351"/>
      <c r="F351"/>
      <c r="G351"/>
      <c r="H351"/>
    </row>
    <row r="352" spans="1:8">
      <c r="A352"/>
      <c r="B352"/>
      <c r="C352"/>
      <c r="D352"/>
      <c r="E352"/>
      <c r="F352"/>
      <c r="G352"/>
      <c r="H352"/>
    </row>
    <row r="353" spans="1:8">
      <c r="A353"/>
      <c r="B353"/>
      <c r="C353"/>
      <c r="D353"/>
      <c r="E353"/>
      <c r="F353"/>
      <c r="G353"/>
      <c r="H353"/>
    </row>
    <row r="354" spans="1:8">
      <c r="A354"/>
      <c r="B354"/>
      <c r="C354"/>
      <c r="D354"/>
      <c r="E354"/>
      <c r="F354"/>
      <c r="G354"/>
      <c r="H354"/>
    </row>
    <row r="355" spans="1:8">
      <c r="A355"/>
      <c r="B355"/>
      <c r="C355"/>
      <c r="D355"/>
      <c r="E355"/>
      <c r="F355"/>
      <c r="G355"/>
      <c r="H355"/>
    </row>
    <row r="356" spans="1:8">
      <c r="A356"/>
      <c r="B356"/>
      <c r="C356"/>
      <c r="D356"/>
      <c r="E356"/>
      <c r="F356"/>
      <c r="G356"/>
      <c r="H356"/>
    </row>
    <row r="357" spans="1:8">
      <c r="A357"/>
      <c r="B357"/>
      <c r="C357"/>
      <c r="D357"/>
      <c r="E357"/>
      <c r="F357"/>
      <c r="G357"/>
      <c r="H357"/>
    </row>
    <row r="358" spans="1:8">
      <c r="A358"/>
      <c r="B358"/>
      <c r="C358"/>
      <c r="D358"/>
      <c r="E358"/>
      <c r="F358"/>
      <c r="G358"/>
      <c r="H358"/>
    </row>
    <row r="359" spans="1:8">
      <c r="A359"/>
      <c r="B359"/>
      <c r="C359"/>
      <c r="D359"/>
      <c r="E359"/>
      <c r="F359"/>
      <c r="G359"/>
      <c r="H359"/>
    </row>
    <row r="360" spans="1:8">
      <c r="A360"/>
      <c r="B360"/>
      <c r="C360"/>
      <c r="D360"/>
      <c r="E360"/>
      <c r="F360"/>
      <c r="G360"/>
      <c r="H360"/>
    </row>
    <row r="361" spans="1:8">
      <c r="A361"/>
      <c r="B361"/>
      <c r="C361"/>
      <c r="D361"/>
      <c r="E361"/>
      <c r="F361"/>
      <c r="G361"/>
      <c r="H361"/>
    </row>
    <row r="362" spans="1:8">
      <c r="A362"/>
      <c r="B362"/>
      <c r="C362"/>
      <c r="D362"/>
      <c r="E362"/>
      <c r="F362"/>
      <c r="G362"/>
      <c r="H362"/>
    </row>
    <row r="363" spans="1:8">
      <c r="A363"/>
      <c r="B363"/>
      <c r="C363"/>
      <c r="D363"/>
      <c r="E363"/>
      <c r="F363"/>
      <c r="G363"/>
      <c r="H363"/>
    </row>
    <row r="364" spans="1:8">
      <c r="A364"/>
      <c r="B364"/>
      <c r="C364"/>
      <c r="D364"/>
      <c r="E364"/>
      <c r="F364"/>
      <c r="G364"/>
      <c r="H364"/>
    </row>
    <row r="365" spans="1:8">
      <c r="A365"/>
      <c r="B365"/>
      <c r="C365"/>
      <c r="D365"/>
      <c r="E365"/>
      <c r="F365"/>
      <c r="G365"/>
      <c r="H365"/>
    </row>
    <row r="366" spans="1:8">
      <c r="A366"/>
      <c r="B366"/>
      <c r="C366"/>
      <c r="D366"/>
      <c r="E366"/>
      <c r="F366"/>
      <c r="G366"/>
      <c r="H366"/>
    </row>
    <row r="367" spans="1:8">
      <c r="A367"/>
      <c r="B367"/>
      <c r="C367"/>
      <c r="D367"/>
      <c r="E367"/>
      <c r="F367"/>
      <c r="G367"/>
      <c r="H367"/>
    </row>
    <row r="368" spans="1:8">
      <c r="A368"/>
      <c r="B368"/>
      <c r="C368"/>
      <c r="D368"/>
      <c r="E368"/>
      <c r="F368"/>
      <c r="G368"/>
      <c r="H368"/>
    </row>
    <row r="369" spans="1:8">
      <c r="A369"/>
      <c r="B369"/>
      <c r="C369"/>
      <c r="D369"/>
      <c r="E369"/>
      <c r="F369"/>
      <c r="G369"/>
      <c r="H369"/>
    </row>
    <row r="370" spans="1:8">
      <c r="A370"/>
      <c r="B370"/>
      <c r="C370"/>
      <c r="D370"/>
      <c r="E370"/>
      <c r="F370"/>
      <c r="G370"/>
      <c r="H370"/>
    </row>
    <row r="371" spans="1:8">
      <c r="A371"/>
      <c r="B371"/>
      <c r="C371"/>
      <c r="D371"/>
      <c r="E371"/>
      <c r="F371"/>
      <c r="G371"/>
      <c r="H371"/>
    </row>
    <row r="372" spans="1:8">
      <c r="A372"/>
      <c r="B372"/>
      <c r="C372"/>
      <c r="D372"/>
      <c r="E372"/>
      <c r="F372"/>
      <c r="G372"/>
      <c r="H372"/>
    </row>
    <row r="373" spans="1:8">
      <c r="A373"/>
      <c r="B373"/>
      <c r="C373"/>
      <c r="D373"/>
      <c r="E373"/>
      <c r="F373"/>
      <c r="G373"/>
      <c r="H373"/>
    </row>
    <row r="374" spans="1:8">
      <c r="A374"/>
      <c r="B374"/>
      <c r="C374"/>
      <c r="D374"/>
      <c r="E374"/>
      <c r="F374"/>
      <c r="G374"/>
      <c r="H374"/>
    </row>
    <row r="375" spans="1:8">
      <c r="A375"/>
      <c r="B375"/>
      <c r="C375"/>
      <c r="D375"/>
      <c r="E375"/>
      <c r="F375"/>
      <c r="G375"/>
      <c r="H375"/>
    </row>
    <row r="376" spans="1:8">
      <c r="A376"/>
      <c r="B376"/>
      <c r="C376"/>
      <c r="D376"/>
      <c r="E376"/>
      <c r="F376"/>
      <c r="G376"/>
      <c r="H376"/>
    </row>
    <row r="377" spans="1:8">
      <c r="A377"/>
      <c r="B377"/>
      <c r="C377"/>
      <c r="D377"/>
      <c r="E377"/>
      <c r="F377"/>
      <c r="G377"/>
      <c r="H377"/>
    </row>
    <row r="378" spans="1:8">
      <c r="A378"/>
      <c r="B378"/>
      <c r="C378"/>
      <c r="D378"/>
      <c r="E378"/>
      <c r="F378"/>
      <c r="G378"/>
      <c r="H378"/>
    </row>
    <row r="379" spans="1:8">
      <c r="A379"/>
      <c r="B379"/>
      <c r="C379"/>
      <c r="D379"/>
      <c r="E379"/>
      <c r="F379"/>
      <c r="G379"/>
      <c r="H379"/>
    </row>
    <row r="380" spans="1:8">
      <c r="A380"/>
      <c r="B380"/>
      <c r="C380"/>
      <c r="D380"/>
      <c r="E380"/>
      <c r="F380"/>
      <c r="G380"/>
      <c r="H380"/>
    </row>
    <row r="381" spans="1:8">
      <c r="A381"/>
      <c r="B381"/>
      <c r="C381"/>
      <c r="D381"/>
      <c r="E381"/>
      <c r="F381"/>
      <c r="G381"/>
      <c r="H381"/>
    </row>
    <row r="382" spans="1:8">
      <c r="A382"/>
      <c r="B382"/>
      <c r="C382"/>
      <c r="D382"/>
      <c r="E382"/>
      <c r="F382"/>
      <c r="G382"/>
      <c r="H382"/>
    </row>
    <row r="383" spans="1:8">
      <c r="A383"/>
      <c r="B383"/>
      <c r="C383"/>
      <c r="D383"/>
      <c r="E383"/>
      <c r="F383"/>
      <c r="G383"/>
      <c r="H383"/>
    </row>
    <row r="384" spans="1:8">
      <c r="A384"/>
      <c r="B384"/>
      <c r="C384"/>
      <c r="D384"/>
      <c r="E384"/>
      <c r="F384"/>
      <c r="G384"/>
      <c r="H384"/>
    </row>
    <row r="385" spans="1:8">
      <c r="A385"/>
      <c r="B385"/>
      <c r="C385"/>
      <c r="D385"/>
      <c r="E385"/>
      <c r="F385"/>
      <c r="G385"/>
      <c r="H385"/>
    </row>
    <row r="386" spans="1:8">
      <c r="A386"/>
      <c r="B386"/>
      <c r="C386"/>
      <c r="D386"/>
      <c r="E386"/>
      <c r="F386"/>
      <c r="G386"/>
      <c r="H386"/>
    </row>
    <row r="387" spans="1:8">
      <c r="A387"/>
      <c r="B387"/>
      <c r="C387"/>
      <c r="D387"/>
      <c r="E387"/>
      <c r="F387"/>
      <c r="G387"/>
      <c r="H387"/>
    </row>
    <row r="388" spans="1:8">
      <c r="A388"/>
      <c r="B388"/>
      <c r="C388"/>
      <c r="D388"/>
      <c r="E388"/>
      <c r="F388"/>
      <c r="G388"/>
      <c r="H388"/>
    </row>
    <row r="389" spans="1:8">
      <c r="A389"/>
      <c r="B389"/>
      <c r="C389"/>
      <c r="D389"/>
      <c r="E389"/>
      <c r="F389"/>
      <c r="G389"/>
      <c r="H389"/>
    </row>
    <row r="390" spans="1:8">
      <c r="A390"/>
      <c r="B390"/>
      <c r="C390"/>
      <c r="D390"/>
      <c r="E390"/>
      <c r="F390"/>
      <c r="G390"/>
      <c r="H390"/>
    </row>
    <row r="391" spans="1:8">
      <c r="A391"/>
      <c r="B391"/>
      <c r="C391"/>
      <c r="D391"/>
      <c r="E391"/>
      <c r="F391"/>
      <c r="G391"/>
      <c r="H391"/>
    </row>
    <row r="392" spans="1:8">
      <c r="A392"/>
      <c r="B392"/>
      <c r="C392"/>
      <c r="D392"/>
      <c r="E392"/>
      <c r="F392"/>
      <c r="G392"/>
      <c r="H392"/>
    </row>
    <row r="393" spans="1:8">
      <c r="A393"/>
      <c r="B393"/>
      <c r="C393"/>
      <c r="D393"/>
      <c r="E393"/>
      <c r="F393"/>
      <c r="G393"/>
      <c r="H393"/>
    </row>
    <row r="394" spans="1:8">
      <c r="A394"/>
      <c r="B394"/>
      <c r="C394"/>
      <c r="D394"/>
      <c r="E394"/>
      <c r="F394"/>
      <c r="G394"/>
      <c r="H394"/>
    </row>
    <row r="395" spans="1:8">
      <c r="A395"/>
      <c r="B395"/>
      <c r="C395"/>
      <c r="D395"/>
      <c r="E395"/>
      <c r="F395"/>
      <c r="G395"/>
      <c r="H395"/>
    </row>
    <row r="396" spans="1:8">
      <c r="A396"/>
      <c r="B396"/>
      <c r="C396"/>
      <c r="D396"/>
      <c r="E396"/>
      <c r="F396"/>
      <c r="G396"/>
      <c r="H396"/>
    </row>
    <row r="397" spans="1:8">
      <c r="A397"/>
      <c r="B397"/>
      <c r="C397"/>
      <c r="D397"/>
      <c r="E397"/>
      <c r="F397"/>
      <c r="G397"/>
      <c r="H397"/>
    </row>
    <row r="398" spans="1:8">
      <c r="A398"/>
      <c r="B398"/>
      <c r="C398"/>
      <c r="D398"/>
      <c r="E398"/>
      <c r="F398"/>
      <c r="G398"/>
      <c r="H398"/>
    </row>
    <row r="399" spans="1:8">
      <c r="A399"/>
      <c r="B399"/>
      <c r="C399"/>
      <c r="D399"/>
      <c r="E399"/>
      <c r="F399"/>
      <c r="G399"/>
      <c r="H399"/>
    </row>
    <row r="400" spans="1:8">
      <c r="A400"/>
      <c r="B400"/>
      <c r="C400"/>
      <c r="D400"/>
      <c r="E400"/>
      <c r="F400"/>
      <c r="G400"/>
      <c r="H400"/>
    </row>
    <row r="401" spans="1:8">
      <c r="A401"/>
      <c r="B401"/>
      <c r="C401"/>
      <c r="D401"/>
      <c r="E401"/>
      <c r="F401"/>
      <c r="G401"/>
      <c r="H401"/>
    </row>
    <row r="402" spans="1:8">
      <c r="A402"/>
      <c r="B402"/>
      <c r="C402"/>
      <c r="D402"/>
      <c r="E402"/>
      <c r="F402"/>
      <c r="G402"/>
      <c r="H402"/>
    </row>
    <row r="403" spans="1:8">
      <c r="A403"/>
      <c r="B403"/>
      <c r="C403"/>
      <c r="D403"/>
      <c r="E403"/>
      <c r="F403"/>
      <c r="G403"/>
      <c r="H403"/>
    </row>
    <row r="404" spans="1:8">
      <c r="A404"/>
      <c r="B404"/>
      <c r="C404"/>
      <c r="D404"/>
      <c r="E404"/>
      <c r="F404"/>
      <c r="G404"/>
      <c r="H404"/>
    </row>
    <row r="405" spans="1:8">
      <c r="A405"/>
      <c r="B405"/>
      <c r="C405"/>
      <c r="D405"/>
      <c r="E405"/>
      <c r="F405"/>
      <c r="G405"/>
      <c r="H405"/>
    </row>
    <row r="406" spans="1:8">
      <c r="A406"/>
      <c r="B406"/>
      <c r="C406"/>
      <c r="D406"/>
      <c r="E406"/>
      <c r="F406"/>
      <c r="G406"/>
      <c r="H406"/>
    </row>
    <row r="407" spans="1:8">
      <c r="A407"/>
      <c r="B407"/>
      <c r="C407"/>
      <c r="D407"/>
      <c r="E407"/>
      <c r="F407"/>
      <c r="G407"/>
      <c r="H407"/>
    </row>
    <row r="408" spans="1:8">
      <c r="A408"/>
      <c r="B408"/>
      <c r="C408"/>
      <c r="D408"/>
      <c r="E408"/>
      <c r="F408"/>
      <c r="G408"/>
      <c r="H408"/>
    </row>
    <row r="409" spans="1:8">
      <c r="A409"/>
      <c r="B409"/>
      <c r="C409"/>
      <c r="D409"/>
      <c r="E409"/>
      <c r="F409"/>
      <c r="G409"/>
      <c r="H409"/>
    </row>
    <row r="410" spans="1:8">
      <c r="A410"/>
      <c r="B410"/>
      <c r="C410"/>
      <c r="D410"/>
      <c r="E410"/>
      <c r="F410"/>
      <c r="G410"/>
      <c r="H410"/>
    </row>
    <row r="411" spans="1:8">
      <c r="A411"/>
      <c r="B411"/>
      <c r="C411"/>
      <c r="D411"/>
      <c r="E411"/>
      <c r="F411"/>
      <c r="G411"/>
      <c r="H411"/>
    </row>
    <row r="412" spans="1:8">
      <c r="A412"/>
      <c r="B412"/>
      <c r="C412"/>
      <c r="D412"/>
      <c r="E412"/>
      <c r="F412"/>
      <c r="G412"/>
      <c r="H412"/>
    </row>
    <row r="413" spans="1:8">
      <c r="A413"/>
      <c r="B413"/>
      <c r="C413"/>
      <c r="D413"/>
      <c r="E413"/>
      <c r="F413"/>
      <c r="G413"/>
      <c r="H413"/>
    </row>
    <row r="414" spans="1:8">
      <c r="A414"/>
      <c r="B414"/>
      <c r="C414"/>
      <c r="D414"/>
      <c r="E414"/>
      <c r="F414"/>
      <c r="G414"/>
      <c r="H414"/>
    </row>
    <row r="415" spans="1:8">
      <c r="A415"/>
      <c r="B415"/>
      <c r="C415"/>
      <c r="D415"/>
      <c r="E415"/>
      <c r="F415"/>
      <c r="G415"/>
      <c r="H415"/>
    </row>
    <row r="416" spans="1:8">
      <c r="A416"/>
      <c r="B416"/>
      <c r="C416"/>
      <c r="D416"/>
      <c r="E416"/>
      <c r="F416"/>
      <c r="G416"/>
      <c r="H416"/>
    </row>
    <row r="417" spans="1:8">
      <c r="A417"/>
      <c r="B417"/>
      <c r="C417"/>
      <c r="D417"/>
      <c r="E417"/>
      <c r="F417"/>
      <c r="G417"/>
      <c r="H417"/>
    </row>
    <row r="418" spans="1:8">
      <c r="A418"/>
      <c r="B418"/>
      <c r="C418"/>
      <c r="D418"/>
      <c r="E418"/>
      <c r="F418"/>
      <c r="G418"/>
      <c r="H418"/>
    </row>
    <row r="419" spans="1:8">
      <c r="A419"/>
      <c r="B419"/>
      <c r="C419"/>
      <c r="D419"/>
      <c r="E419"/>
      <c r="F419"/>
      <c r="G419"/>
      <c r="H419"/>
    </row>
    <row r="420" spans="1:8">
      <c r="A420"/>
      <c r="B420"/>
      <c r="C420"/>
      <c r="D420"/>
      <c r="E420"/>
      <c r="F420"/>
      <c r="G420"/>
      <c r="H420"/>
    </row>
    <row r="421" spans="1:8">
      <c r="A421"/>
      <c r="B421"/>
      <c r="C421"/>
      <c r="D421"/>
      <c r="E421"/>
      <c r="F421"/>
      <c r="G421"/>
      <c r="H421"/>
    </row>
    <row r="422" spans="1:8">
      <c r="A422"/>
      <c r="B422"/>
      <c r="C422"/>
      <c r="D422"/>
      <c r="E422"/>
      <c r="F422"/>
      <c r="G422"/>
      <c r="H422"/>
    </row>
    <row r="423" spans="1:8">
      <c r="A423"/>
      <c r="B423"/>
      <c r="C423"/>
      <c r="D423"/>
      <c r="E423"/>
      <c r="F423"/>
      <c r="G423"/>
      <c r="H423"/>
    </row>
    <row r="424" spans="1:8">
      <c r="A424"/>
      <c r="B424"/>
      <c r="C424"/>
      <c r="D424"/>
      <c r="E424"/>
      <c r="F424"/>
      <c r="G424"/>
      <c r="H424"/>
    </row>
    <row r="425" spans="1:8">
      <c r="A425"/>
      <c r="B425"/>
      <c r="C425"/>
      <c r="D425"/>
      <c r="E425"/>
      <c r="F425"/>
      <c r="G425"/>
      <c r="H425"/>
    </row>
    <row r="426" spans="1:8">
      <c r="A426"/>
      <c r="B426"/>
      <c r="C426"/>
      <c r="D426"/>
      <c r="E426"/>
      <c r="F426"/>
      <c r="G426"/>
      <c r="H426"/>
    </row>
    <row r="427" spans="1:8">
      <c r="A427"/>
      <c r="B427"/>
      <c r="C427"/>
      <c r="D427"/>
      <c r="E427"/>
      <c r="F427"/>
      <c r="G427"/>
      <c r="H427"/>
    </row>
    <row r="428" spans="1:8">
      <c r="A428"/>
      <c r="B428"/>
      <c r="C428"/>
      <c r="D428"/>
      <c r="E428"/>
      <c r="F428"/>
      <c r="G428"/>
      <c r="H428"/>
    </row>
    <row r="429" spans="1:8">
      <c r="A429"/>
      <c r="B429"/>
      <c r="C429"/>
      <c r="D429"/>
      <c r="E429"/>
      <c r="F429"/>
      <c r="G429"/>
      <c r="H429"/>
    </row>
    <row r="430" spans="1:8">
      <c r="A430"/>
      <c r="B430"/>
      <c r="C430"/>
      <c r="D430"/>
      <c r="E430"/>
      <c r="F430"/>
      <c r="G430"/>
      <c r="H430"/>
    </row>
    <row r="431" spans="1:8">
      <c r="A431"/>
      <c r="B431"/>
      <c r="C431"/>
      <c r="D431"/>
      <c r="E431"/>
      <c r="F431"/>
      <c r="G431"/>
      <c r="H431"/>
    </row>
    <row r="432" spans="1:8">
      <c r="A432"/>
      <c r="B432"/>
      <c r="C432"/>
      <c r="D432"/>
      <c r="E432"/>
      <c r="F432"/>
      <c r="G432"/>
      <c r="H432"/>
    </row>
    <row r="433" spans="1:8">
      <c r="A433"/>
      <c r="B433"/>
      <c r="C433"/>
      <c r="D433"/>
      <c r="E433"/>
      <c r="F433"/>
      <c r="G433"/>
      <c r="H433"/>
    </row>
    <row r="434" spans="1:8">
      <c r="A434"/>
      <c r="B434"/>
      <c r="C434"/>
      <c r="D434"/>
      <c r="E434"/>
      <c r="F434"/>
      <c r="G434"/>
      <c r="H434"/>
    </row>
    <row r="435" spans="1:8">
      <c r="A435"/>
      <c r="B435"/>
      <c r="C435"/>
      <c r="D435"/>
      <c r="E435"/>
      <c r="F435"/>
      <c r="G435"/>
      <c r="H435"/>
    </row>
    <row r="436" spans="1:8">
      <c r="A436"/>
      <c r="B436"/>
      <c r="C436"/>
      <c r="D436"/>
      <c r="E436"/>
      <c r="F436"/>
      <c r="G436"/>
      <c r="H436"/>
    </row>
    <row r="437" spans="1:8">
      <c r="A437"/>
      <c r="B437"/>
      <c r="C437"/>
      <c r="D437"/>
      <c r="E437"/>
      <c r="F437"/>
      <c r="G437"/>
      <c r="H437"/>
    </row>
    <row r="438" spans="1:8">
      <c r="A438"/>
      <c r="B438"/>
      <c r="C438"/>
      <c r="D438"/>
      <c r="E438"/>
      <c r="F438"/>
      <c r="G438"/>
      <c r="H438"/>
    </row>
    <row r="439" spans="1:8">
      <c r="A439"/>
      <c r="B439"/>
      <c r="C439"/>
      <c r="D439"/>
      <c r="E439"/>
      <c r="F439"/>
      <c r="G439"/>
      <c r="H439"/>
    </row>
    <row r="440" spans="1:8">
      <c r="A440"/>
      <c r="B440"/>
      <c r="C440"/>
      <c r="D440"/>
      <c r="E440"/>
      <c r="F440"/>
      <c r="G440"/>
      <c r="H440"/>
    </row>
    <row r="441" spans="1:8">
      <c r="A441"/>
      <c r="B441"/>
      <c r="C441"/>
      <c r="D441"/>
      <c r="E441"/>
      <c r="F441"/>
      <c r="G441"/>
      <c r="H441"/>
    </row>
    <row r="442" spans="1:8">
      <c r="A442"/>
      <c r="B442"/>
      <c r="C442"/>
      <c r="D442"/>
      <c r="E442"/>
      <c r="F442"/>
      <c r="G442"/>
      <c r="H442"/>
    </row>
    <row r="443" spans="1:8">
      <c r="A443"/>
      <c r="B443"/>
      <c r="C443"/>
      <c r="D443"/>
      <c r="E443"/>
      <c r="F443"/>
      <c r="G443"/>
      <c r="H443"/>
    </row>
    <row r="444" spans="1:8">
      <c r="A444"/>
      <c r="B444"/>
      <c r="C444"/>
      <c r="D444"/>
      <c r="E444"/>
      <c r="F444"/>
      <c r="G444"/>
      <c r="H444"/>
    </row>
    <row r="445" spans="1:8">
      <c r="A445"/>
      <c r="B445"/>
      <c r="C445"/>
      <c r="D445"/>
      <c r="E445"/>
      <c r="F445"/>
      <c r="G445"/>
      <c r="H445"/>
    </row>
    <row r="446" spans="1:8">
      <c r="A446"/>
      <c r="B446"/>
      <c r="C446"/>
      <c r="D446"/>
      <c r="E446"/>
      <c r="F446"/>
      <c r="G446"/>
      <c r="H446"/>
    </row>
    <row r="447" spans="1:8">
      <c r="A447"/>
      <c r="B447"/>
      <c r="C447"/>
      <c r="D447"/>
      <c r="E447"/>
      <c r="F447"/>
      <c r="G447"/>
      <c r="H447"/>
    </row>
    <row r="448" spans="1:8">
      <c r="A448"/>
      <c r="B448"/>
      <c r="C448"/>
      <c r="D448"/>
      <c r="E448"/>
      <c r="F448"/>
      <c r="G448"/>
      <c r="H448"/>
    </row>
    <row r="449" spans="1:8">
      <c r="A449"/>
      <c r="B449"/>
      <c r="C449"/>
      <c r="D449"/>
      <c r="E449"/>
      <c r="F449"/>
      <c r="G449"/>
      <c r="H449"/>
    </row>
    <row r="450" spans="1:8">
      <c r="A450"/>
      <c r="B450"/>
      <c r="C450"/>
      <c r="D450"/>
      <c r="E450"/>
      <c r="F450"/>
      <c r="G450"/>
      <c r="H450"/>
    </row>
    <row r="451" spans="1:8">
      <c r="A451"/>
      <c r="B451"/>
      <c r="C451"/>
      <c r="D451"/>
      <c r="E451"/>
      <c r="F451"/>
      <c r="G451"/>
      <c r="H451"/>
    </row>
    <row r="452" spans="1:8">
      <c r="A452"/>
      <c r="B452"/>
      <c r="C452"/>
      <c r="D452"/>
      <c r="E452"/>
      <c r="F452"/>
      <c r="G452"/>
      <c r="H452"/>
    </row>
    <row r="453" spans="1:8">
      <c r="A453"/>
      <c r="B453"/>
      <c r="C453"/>
      <c r="D453"/>
      <c r="E453"/>
      <c r="F453"/>
      <c r="G453"/>
      <c r="H453"/>
    </row>
    <row r="454" spans="1:8">
      <c r="A454"/>
      <c r="B454"/>
      <c r="C454"/>
      <c r="D454"/>
      <c r="E454"/>
      <c r="F454"/>
      <c r="G454"/>
      <c r="H454"/>
    </row>
    <row r="455" spans="1:8">
      <c r="A455"/>
      <c r="B455"/>
      <c r="C455"/>
      <c r="D455"/>
      <c r="E455"/>
      <c r="F455"/>
      <c r="G455"/>
      <c r="H455"/>
    </row>
    <row r="456" spans="1:8">
      <c r="A456"/>
      <c r="B456"/>
      <c r="C456"/>
      <c r="D456"/>
      <c r="E456"/>
      <c r="F456"/>
      <c r="G456"/>
      <c r="H456"/>
    </row>
    <row r="457" spans="1:8">
      <c r="A457"/>
      <c r="B457"/>
      <c r="C457"/>
      <c r="D457"/>
      <c r="E457"/>
      <c r="F457"/>
      <c r="G457"/>
      <c r="H457"/>
    </row>
    <row r="458" spans="1:8">
      <c r="A458"/>
      <c r="B458"/>
      <c r="C458"/>
      <c r="D458"/>
      <c r="E458"/>
      <c r="F458"/>
      <c r="G458"/>
      <c r="H458"/>
    </row>
    <row r="459" spans="1:8">
      <c r="A459"/>
      <c r="B459"/>
      <c r="C459"/>
      <c r="D459"/>
      <c r="E459"/>
      <c r="F459"/>
      <c r="G459"/>
      <c r="H459"/>
    </row>
    <row r="460" spans="1:8">
      <c r="A460"/>
      <c r="B460"/>
      <c r="C460"/>
      <c r="D460"/>
      <c r="E460"/>
      <c r="F460"/>
      <c r="G460"/>
      <c r="H460"/>
    </row>
    <row r="461" spans="1:8">
      <c r="A461"/>
      <c r="B461"/>
      <c r="C461"/>
      <c r="D461"/>
      <c r="E461"/>
      <c r="F461"/>
      <c r="G461"/>
      <c r="H461"/>
    </row>
    <row r="462" spans="1:8">
      <c r="A462"/>
      <c r="B462"/>
      <c r="C462"/>
      <c r="D462"/>
      <c r="E462"/>
      <c r="F462"/>
      <c r="G462"/>
      <c r="H462"/>
    </row>
    <row r="463" spans="1:8">
      <c r="A463"/>
      <c r="B463"/>
      <c r="C463"/>
      <c r="D463"/>
      <c r="E463"/>
      <c r="F463"/>
      <c r="G463"/>
      <c r="H463"/>
    </row>
    <row r="464" spans="1:8">
      <c r="A464"/>
      <c r="B464"/>
      <c r="C464"/>
      <c r="D464"/>
      <c r="E464"/>
      <c r="F464"/>
      <c r="G464"/>
      <c r="H464"/>
    </row>
    <row r="465" spans="1:8">
      <c r="A465"/>
      <c r="B465"/>
      <c r="C465"/>
      <c r="D465"/>
      <c r="E465"/>
      <c r="F465"/>
      <c r="G465"/>
      <c r="H465"/>
    </row>
    <row r="466" spans="1:8">
      <c r="A466"/>
      <c r="B466"/>
      <c r="C466"/>
      <c r="D466"/>
      <c r="E466"/>
      <c r="F466"/>
      <c r="G466"/>
      <c r="H466"/>
    </row>
    <row r="467" spans="1:8">
      <c r="A467"/>
      <c r="B467"/>
      <c r="C467"/>
      <c r="D467"/>
      <c r="E467"/>
      <c r="F467"/>
      <c r="G467"/>
      <c r="H467"/>
    </row>
    <row r="468" spans="1:8">
      <c r="A468"/>
      <c r="B468"/>
      <c r="C468"/>
      <c r="D468"/>
      <c r="E468"/>
      <c r="F468"/>
      <c r="G468"/>
      <c r="H468"/>
    </row>
    <row r="469" spans="1:8">
      <c r="A469"/>
      <c r="B469"/>
      <c r="C469"/>
      <c r="D469"/>
      <c r="E469"/>
      <c r="F469"/>
      <c r="G469"/>
      <c r="H469"/>
    </row>
    <row r="470" spans="1:8">
      <c r="A470"/>
      <c r="B470"/>
      <c r="C470"/>
      <c r="D470"/>
      <c r="E470"/>
      <c r="F470"/>
      <c r="G470"/>
      <c r="H470"/>
    </row>
    <row r="471" spans="1:8">
      <c r="A471"/>
      <c r="B471"/>
      <c r="C471"/>
      <c r="D471"/>
      <c r="E471"/>
      <c r="F471"/>
      <c r="G471"/>
      <c r="H471"/>
    </row>
    <row r="472" spans="1:8">
      <c r="A472"/>
      <c r="B472"/>
      <c r="C472"/>
      <c r="D472"/>
      <c r="E472"/>
      <c r="F472"/>
      <c r="G472"/>
      <c r="H472"/>
    </row>
    <row r="473" spans="1:8">
      <c r="A473"/>
      <c r="B473"/>
      <c r="C473"/>
      <c r="D473"/>
      <c r="E473"/>
      <c r="F473"/>
      <c r="G473"/>
      <c r="H473"/>
    </row>
    <row r="474" spans="1:8">
      <c r="A474"/>
      <c r="B474"/>
      <c r="C474"/>
      <c r="D474"/>
      <c r="E474"/>
      <c r="F474"/>
      <c r="G474"/>
      <c r="H474"/>
    </row>
    <row r="475" spans="1:8">
      <c r="A475"/>
      <c r="B475"/>
      <c r="C475"/>
      <c r="D475"/>
      <c r="E475"/>
      <c r="F475"/>
      <c r="G475"/>
      <c r="H475"/>
    </row>
    <row r="476" spans="1:8">
      <c r="A476"/>
      <c r="B476"/>
      <c r="C476"/>
      <c r="D476"/>
      <c r="E476"/>
      <c r="F476"/>
      <c r="G476"/>
      <c r="H476"/>
    </row>
    <row r="477" spans="1:8">
      <c r="A477"/>
      <c r="B477"/>
      <c r="C477"/>
      <c r="D477"/>
      <c r="E477"/>
      <c r="F477"/>
      <c r="G477"/>
      <c r="H477"/>
    </row>
    <row r="478" spans="1:8">
      <c r="A478"/>
      <c r="B478"/>
      <c r="C478"/>
      <c r="D478"/>
      <c r="E478"/>
      <c r="F478"/>
      <c r="G478"/>
      <c r="H478"/>
    </row>
    <row r="479" spans="1:8">
      <c r="A479"/>
      <c r="B479"/>
      <c r="C479"/>
      <c r="D479"/>
      <c r="E479"/>
      <c r="F479"/>
      <c r="G479"/>
      <c r="H479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FD2C-0628-254A-BD6F-27B790D46286}">
  <dimension ref="A1:XEK481"/>
  <sheetViews>
    <sheetView zoomScaleNormal="100" workbookViewId="0">
      <selection activeCell="C21" sqref="C21"/>
    </sheetView>
  </sheetViews>
  <sheetFormatPr baseColWidth="10" defaultRowHeight="19"/>
  <cols>
    <col min="1" max="2" width="14.83203125" style="19" bestFit="1" customWidth="1"/>
    <col min="3" max="3" width="27.6640625" style="19" bestFit="1" customWidth="1"/>
    <col min="4" max="4" width="13.83203125" style="19" bestFit="1" customWidth="1"/>
    <col min="5" max="5" width="21" style="19" bestFit="1" customWidth="1"/>
    <col min="6" max="6" width="21.5" style="19" bestFit="1" customWidth="1"/>
    <col min="7" max="7" width="24" style="19" bestFit="1" customWidth="1"/>
    <col min="8" max="8" width="21" style="19" bestFit="1" customWidth="1"/>
    <col min="9" max="9" width="21.6640625" style="19" bestFit="1" customWidth="1"/>
    <col min="10" max="10" width="22" style="19" bestFit="1" customWidth="1"/>
    <col min="11" max="11" width="24.5" style="19" bestFit="1" customWidth="1"/>
    <col min="12" max="13" width="3.1640625" style="19" bestFit="1" customWidth="1"/>
    <col min="14" max="14" width="11.83203125" style="19" bestFit="1" customWidth="1"/>
    <col min="15" max="16384" width="10.83203125" style="19"/>
  </cols>
  <sheetData>
    <row r="1" spans="1:21">
      <c r="A1" s="19" t="s">
        <v>0</v>
      </c>
      <c r="B1" s="19" t="s">
        <v>186</v>
      </c>
      <c r="C1" s="25" t="s">
        <v>29</v>
      </c>
      <c r="D1" s="25" t="s">
        <v>120</v>
      </c>
      <c r="E1" s="25" t="s">
        <v>187</v>
      </c>
      <c r="F1" s="25" t="s">
        <v>188</v>
      </c>
      <c r="G1" s="25" t="s">
        <v>189</v>
      </c>
      <c r="H1" s="25" t="s">
        <v>190</v>
      </c>
      <c r="I1" s="25" t="s">
        <v>191</v>
      </c>
      <c r="J1" s="25" t="s">
        <v>192</v>
      </c>
      <c r="K1" s="25" t="s">
        <v>193</v>
      </c>
      <c r="L1" s="19" t="s">
        <v>212</v>
      </c>
      <c r="M1" s="19" t="s">
        <v>213</v>
      </c>
      <c r="N1" s="19" t="s">
        <v>214</v>
      </c>
      <c r="O1" s="19" t="s">
        <v>215</v>
      </c>
      <c r="P1" s="19" t="s">
        <v>216</v>
      </c>
      <c r="Q1" s="19" t="s">
        <v>217</v>
      </c>
      <c r="R1" s="19" t="s">
        <v>218</v>
      </c>
      <c r="S1" s="19" t="s">
        <v>219</v>
      </c>
      <c r="T1" s="19" t="s">
        <v>220</v>
      </c>
      <c r="U1" s="19" t="s">
        <v>221</v>
      </c>
    </row>
    <row r="2" spans="1:21">
      <c r="A2" s="19">
        <v>1</v>
      </c>
      <c r="B2" s="20">
        <v>1</v>
      </c>
      <c r="C2" s="20" t="s">
        <v>121</v>
      </c>
      <c r="D2" s="20">
        <v>3</v>
      </c>
      <c r="E2" s="20">
        <v>1</v>
      </c>
      <c r="F2" s="20">
        <v>1</v>
      </c>
      <c r="G2" s="20">
        <v>0</v>
      </c>
      <c r="H2" s="20">
        <v>0</v>
      </c>
      <c r="I2" s="20">
        <v>5</v>
      </c>
      <c r="J2" s="20">
        <v>1</v>
      </c>
      <c r="K2" s="20">
        <v>4</v>
      </c>
    </row>
    <row r="3" spans="1:21">
      <c r="A3" s="19">
        <v>1</v>
      </c>
      <c r="B3" s="20">
        <v>2</v>
      </c>
      <c r="C3" s="20" t="s">
        <v>122</v>
      </c>
      <c r="D3" s="20">
        <v>3</v>
      </c>
      <c r="E3" s="20">
        <v>1</v>
      </c>
      <c r="F3" s="20">
        <v>1</v>
      </c>
      <c r="G3" s="20">
        <v>0</v>
      </c>
      <c r="H3" s="20">
        <v>0</v>
      </c>
      <c r="I3" s="20">
        <v>5</v>
      </c>
      <c r="J3" s="20">
        <v>2</v>
      </c>
      <c r="K3" s="20">
        <v>3</v>
      </c>
    </row>
    <row r="4" spans="1:21">
      <c r="A4" s="19">
        <v>1</v>
      </c>
      <c r="B4" s="21">
        <v>3</v>
      </c>
      <c r="C4" s="21" t="s">
        <v>123</v>
      </c>
      <c r="D4" s="20">
        <v>3</v>
      </c>
      <c r="E4" s="20">
        <v>1</v>
      </c>
      <c r="F4" s="20">
        <v>1</v>
      </c>
      <c r="G4" s="20">
        <v>0</v>
      </c>
      <c r="H4" s="20">
        <v>0</v>
      </c>
      <c r="I4" s="20">
        <v>4</v>
      </c>
      <c r="J4" s="20">
        <v>1</v>
      </c>
      <c r="K4" s="20">
        <v>3</v>
      </c>
    </row>
    <row r="5" spans="1:21">
      <c r="A5" s="19">
        <v>1</v>
      </c>
      <c r="B5" s="20">
        <v>4</v>
      </c>
      <c r="C5" s="20" t="s">
        <v>124</v>
      </c>
      <c r="D5" s="20">
        <v>3</v>
      </c>
      <c r="E5" s="20">
        <v>1</v>
      </c>
      <c r="F5" s="20">
        <v>1</v>
      </c>
      <c r="G5" s="20">
        <v>0</v>
      </c>
      <c r="H5" s="20">
        <v>0</v>
      </c>
      <c r="I5" s="20">
        <v>3</v>
      </c>
      <c r="J5" s="20">
        <v>0</v>
      </c>
      <c r="K5" s="20">
        <v>3</v>
      </c>
    </row>
    <row r="6" spans="1:21">
      <c r="A6" s="19">
        <v>1</v>
      </c>
      <c r="B6" s="20">
        <v>5</v>
      </c>
      <c r="C6" s="20" t="s">
        <v>125</v>
      </c>
      <c r="D6" s="20">
        <v>3</v>
      </c>
      <c r="E6" s="20">
        <v>1</v>
      </c>
      <c r="F6" s="20">
        <v>1</v>
      </c>
      <c r="G6" s="20">
        <v>0</v>
      </c>
      <c r="H6" s="20">
        <v>0</v>
      </c>
      <c r="I6" s="20">
        <v>3</v>
      </c>
      <c r="J6" s="20">
        <v>0</v>
      </c>
      <c r="K6" s="20">
        <v>3</v>
      </c>
    </row>
    <row r="7" spans="1:21">
      <c r="A7" s="19">
        <v>1</v>
      </c>
      <c r="B7" s="20">
        <v>6</v>
      </c>
      <c r="C7" s="20" t="s">
        <v>126</v>
      </c>
      <c r="D7" s="20">
        <v>3</v>
      </c>
      <c r="E7" s="20">
        <v>1</v>
      </c>
      <c r="F7" s="20">
        <v>1</v>
      </c>
      <c r="G7" s="20">
        <v>0</v>
      </c>
      <c r="H7" s="20">
        <v>0</v>
      </c>
      <c r="I7" s="20">
        <v>1</v>
      </c>
      <c r="J7" s="20">
        <v>0</v>
      </c>
      <c r="K7" s="20">
        <v>1</v>
      </c>
    </row>
    <row r="8" spans="1:21">
      <c r="A8" s="19">
        <v>1</v>
      </c>
      <c r="B8" s="20">
        <v>7</v>
      </c>
      <c r="C8" s="20" t="s">
        <v>127</v>
      </c>
      <c r="D8" s="20">
        <v>1</v>
      </c>
      <c r="E8" s="20">
        <v>1</v>
      </c>
      <c r="F8" s="20">
        <v>0</v>
      </c>
      <c r="G8" s="20">
        <v>1</v>
      </c>
      <c r="H8" s="20">
        <v>0</v>
      </c>
      <c r="I8" s="20">
        <v>0</v>
      </c>
      <c r="J8" s="20">
        <v>0</v>
      </c>
      <c r="K8" s="20">
        <v>0</v>
      </c>
    </row>
    <row r="9" spans="1:21">
      <c r="A9" s="19">
        <v>1</v>
      </c>
      <c r="B9" s="20">
        <v>8</v>
      </c>
      <c r="C9" s="20" t="s">
        <v>128</v>
      </c>
      <c r="D9" s="20">
        <v>1</v>
      </c>
      <c r="E9" s="20">
        <v>1</v>
      </c>
      <c r="F9" s="20">
        <v>0</v>
      </c>
      <c r="G9" s="20">
        <v>1</v>
      </c>
      <c r="H9" s="20">
        <v>0</v>
      </c>
      <c r="I9" s="20">
        <v>0</v>
      </c>
      <c r="J9" s="20">
        <v>0</v>
      </c>
      <c r="K9" s="20">
        <v>0</v>
      </c>
    </row>
    <row r="10" spans="1:21">
      <c r="A10" s="19">
        <v>1</v>
      </c>
      <c r="B10" s="20">
        <v>9</v>
      </c>
      <c r="C10" s="20" t="s">
        <v>129</v>
      </c>
      <c r="D10" s="20">
        <v>1</v>
      </c>
      <c r="E10" s="20">
        <v>1</v>
      </c>
      <c r="F10" s="20">
        <v>0</v>
      </c>
      <c r="G10" s="20">
        <v>1</v>
      </c>
      <c r="H10" s="20">
        <v>0</v>
      </c>
      <c r="I10" s="20">
        <v>0</v>
      </c>
      <c r="J10" s="20">
        <v>0</v>
      </c>
      <c r="K10" s="20">
        <v>0</v>
      </c>
    </row>
    <row r="11" spans="1:21">
      <c r="A11" s="19">
        <v>1</v>
      </c>
      <c r="B11" s="20">
        <v>10</v>
      </c>
      <c r="C11" s="20" t="s">
        <v>130</v>
      </c>
      <c r="D11" s="20">
        <v>1</v>
      </c>
      <c r="E11" s="20">
        <v>1</v>
      </c>
      <c r="F11" s="20">
        <v>0</v>
      </c>
      <c r="G11" s="20">
        <v>1</v>
      </c>
      <c r="H11" s="20">
        <v>0</v>
      </c>
      <c r="I11" s="20">
        <v>0</v>
      </c>
      <c r="J11" s="20">
        <v>0</v>
      </c>
      <c r="K11" s="20">
        <v>0</v>
      </c>
    </row>
    <row r="12" spans="1:21">
      <c r="A12" s="19">
        <v>1</v>
      </c>
      <c r="B12" s="20">
        <v>11</v>
      </c>
      <c r="C12" s="20" t="s">
        <v>131</v>
      </c>
      <c r="D12" s="20">
        <v>0</v>
      </c>
      <c r="E12" s="20">
        <v>1</v>
      </c>
      <c r="F12" s="20">
        <v>0</v>
      </c>
      <c r="G12" s="20">
        <v>0</v>
      </c>
      <c r="H12" s="20">
        <v>1</v>
      </c>
      <c r="I12" s="20">
        <v>0</v>
      </c>
      <c r="J12" s="20">
        <v>1</v>
      </c>
      <c r="K12" s="20">
        <v>-1</v>
      </c>
    </row>
    <row r="13" spans="1:21">
      <c r="A13" s="19">
        <v>1</v>
      </c>
      <c r="B13" s="20">
        <v>12</v>
      </c>
      <c r="C13" s="20" t="s">
        <v>132</v>
      </c>
      <c r="D13" s="20">
        <v>0</v>
      </c>
      <c r="E13" s="20">
        <v>1</v>
      </c>
      <c r="F13" s="20">
        <v>0</v>
      </c>
      <c r="G13" s="20">
        <v>0</v>
      </c>
      <c r="H13" s="20">
        <v>1</v>
      </c>
      <c r="I13" s="20">
        <v>2</v>
      </c>
      <c r="J13" s="20">
        <v>5</v>
      </c>
      <c r="K13" s="20">
        <v>-3</v>
      </c>
    </row>
    <row r="14" spans="1:21">
      <c r="A14" s="19">
        <v>1</v>
      </c>
      <c r="B14" s="20">
        <v>13</v>
      </c>
      <c r="C14" s="20" t="s">
        <v>133</v>
      </c>
      <c r="D14" s="20">
        <v>0</v>
      </c>
      <c r="E14" s="20">
        <v>1</v>
      </c>
      <c r="F14" s="20">
        <v>0</v>
      </c>
      <c r="G14" s="20">
        <v>0</v>
      </c>
      <c r="H14" s="20">
        <v>1</v>
      </c>
      <c r="I14" s="20">
        <v>1</v>
      </c>
      <c r="J14" s="20">
        <v>4</v>
      </c>
      <c r="K14" s="20">
        <v>-3</v>
      </c>
    </row>
    <row r="15" spans="1:21">
      <c r="A15" s="19">
        <v>1</v>
      </c>
      <c r="B15" s="20">
        <v>14</v>
      </c>
      <c r="C15" s="20" t="s">
        <v>134</v>
      </c>
      <c r="D15" s="20">
        <v>0</v>
      </c>
      <c r="E15" s="20">
        <v>1</v>
      </c>
      <c r="F15" s="20">
        <v>0</v>
      </c>
      <c r="G15" s="20">
        <v>0</v>
      </c>
      <c r="H15" s="20">
        <v>1</v>
      </c>
      <c r="I15" s="20">
        <v>0</v>
      </c>
      <c r="J15" s="20">
        <v>3</v>
      </c>
      <c r="K15" s="20">
        <v>-3</v>
      </c>
    </row>
    <row r="16" spans="1:21">
      <c r="A16" s="19">
        <v>1</v>
      </c>
      <c r="B16" s="20">
        <v>15</v>
      </c>
      <c r="C16" s="20" t="s">
        <v>135</v>
      </c>
      <c r="D16" s="20">
        <v>0</v>
      </c>
      <c r="E16" s="20">
        <v>1</v>
      </c>
      <c r="F16" s="20">
        <v>0</v>
      </c>
      <c r="G16" s="20">
        <v>0</v>
      </c>
      <c r="H16" s="20">
        <v>1</v>
      </c>
      <c r="I16" s="20">
        <v>0</v>
      </c>
      <c r="J16" s="20">
        <v>3</v>
      </c>
      <c r="K16" s="20">
        <v>-3</v>
      </c>
    </row>
    <row r="17" spans="1:11">
      <c r="A17" s="19">
        <v>1</v>
      </c>
      <c r="B17" s="20">
        <v>16</v>
      </c>
      <c r="C17" s="20" t="s">
        <v>136</v>
      </c>
      <c r="D17" s="20">
        <v>0</v>
      </c>
      <c r="E17" s="20">
        <v>1</v>
      </c>
      <c r="F17" s="20">
        <v>0</v>
      </c>
      <c r="G17" s="20">
        <v>0</v>
      </c>
      <c r="H17" s="20">
        <v>1</v>
      </c>
      <c r="I17" s="20">
        <v>1</v>
      </c>
      <c r="J17" s="20">
        <v>5</v>
      </c>
      <c r="K17" s="20">
        <v>-4</v>
      </c>
    </row>
    <row r="18" spans="1:11">
      <c r="A18" s="19">
        <v>2</v>
      </c>
      <c r="B18" s="20">
        <v>1</v>
      </c>
      <c r="C18" s="20" t="s">
        <v>121</v>
      </c>
      <c r="D18" s="20">
        <v>6</v>
      </c>
      <c r="E18" s="20">
        <v>2</v>
      </c>
      <c r="F18" s="20">
        <v>2</v>
      </c>
      <c r="G18" s="20">
        <v>0</v>
      </c>
      <c r="H18" s="20">
        <v>0</v>
      </c>
      <c r="I18" s="20">
        <v>7</v>
      </c>
      <c r="J18" s="20">
        <v>1</v>
      </c>
      <c r="K18" s="20">
        <v>6</v>
      </c>
    </row>
    <row r="19" spans="1:11">
      <c r="A19" s="19">
        <v>2</v>
      </c>
      <c r="B19" s="20">
        <v>2</v>
      </c>
      <c r="C19" s="20" t="s">
        <v>124</v>
      </c>
      <c r="D19" s="20">
        <v>6</v>
      </c>
      <c r="E19" s="20">
        <v>2</v>
      </c>
      <c r="F19" s="20">
        <v>2</v>
      </c>
      <c r="G19" s="20">
        <v>0</v>
      </c>
      <c r="H19" s="20">
        <v>0</v>
      </c>
      <c r="I19" s="20">
        <v>5</v>
      </c>
      <c r="J19" s="20">
        <v>0</v>
      </c>
      <c r="K19" s="20">
        <v>5</v>
      </c>
    </row>
    <row r="20" spans="1:11">
      <c r="A20" s="19">
        <v>2</v>
      </c>
      <c r="B20" s="20">
        <v>3</v>
      </c>
      <c r="C20" s="20" t="s">
        <v>130</v>
      </c>
      <c r="D20" s="20">
        <v>4</v>
      </c>
      <c r="E20" s="20">
        <v>2</v>
      </c>
      <c r="F20" s="20">
        <v>1</v>
      </c>
      <c r="G20" s="20">
        <v>1</v>
      </c>
      <c r="H20" s="20">
        <v>0</v>
      </c>
      <c r="I20" s="20">
        <v>4</v>
      </c>
      <c r="J20" s="20">
        <v>0</v>
      </c>
      <c r="K20" s="20">
        <v>4</v>
      </c>
    </row>
    <row r="21" spans="1:11">
      <c r="A21" s="19">
        <v>2</v>
      </c>
      <c r="B21" s="20">
        <v>4</v>
      </c>
      <c r="C21" s="20" t="s">
        <v>123</v>
      </c>
      <c r="D21" s="20">
        <v>4</v>
      </c>
      <c r="E21" s="20">
        <v>2</v>
      </c>
      <c r="F21" s="20">
        <v>1</v>
      </c>
      <c r="G21" s="20">
        <v>1</v>
      </c>
      <c r="H21" s="20">
        <v>0</v>
      </c>
      <c r="I21" s="20">
        <v>7</v>
      </c>
      <c r="J21" s="20">
        <v>4</v>
      </c>
      <c r="K21" s="20">
        <v>3</v>
      </c>
    </row>
    <row r="22" spans="1:11">
      <c r="A22" s="19">
        <v>2</v>
      </c>
      <c r="B22" s="20">
        <v>5</v>
      </c>
      <c r="C22" s="20" t="s">
        <v>122</v>
      </c>
      <c r="D22" s="20">
        <v>4</v>
      </c>
      <c r="E22" s="20">
        <v>2</v>
      </c>
      <c r="F22" s="20">
        <v>1</v>
      </c>
      <c r="G22" s="20">
        <v>1</v>
      </c>
      <c r="H22" s="20">
        <v>0</v>
      </c>
      <c r="I22" s="20">
        <v>7</v>
      </c>
      <c r="J22" s="20">
        <v>4</v>
      </c>
      <c r="K22" s="20">
        <v>3</v>
      </c>
    </row>
    <row r="23" spans="1:11">
      <c r="A23" s="19">
        <v>2</v>
      </c>
      <c r="B23" s="20">
        <v>6</v>
      </c>
      <c r="C23" s="20" t="s">
        <v>125</v>
      </c>
      <c r="D23" s="20">
        <v>4</v>
      </c>
      <c r="E23" s="20">
        <v>2</v>
      </c>
      <c r="F23" s="20">
        <v>1</v>
      </c>
      <c r="G23" s="20">
        <v>1</v>
      </c>
      <c r="H23" s="20">
        <v>0</v>
      </c>
      <c r="I23" s="20">
        <v>5</v>
      </c>
      <c r="J23" s="20">
        <v>2</v>
      </c>
      <c r="K23" s="20">
        <v>3</v>
      </c>
    </row>
    <row r="24" spans="1:11">
      <c r="A24" s="19">
        <v>2</v>
      </c>
      <c r="B24" s="20">
        <v>7</v>
      </c>
      <c r="C24" s="20" t="s">
        <v>129</v>
      </c>
      <c r="D24" s="20">
        <v>4</v>
      </c>
      <c r="E24" s="20">
        <v>2</v>
      </c>
      <c r="F24" s="20">
        <v>1</v>
      </c>
      <c r="G24" s="20">
        <v>1</v>
      </c>
      <c r="H24" s="20">
        <v>0</v>
      </c>
      <c r="I24" s="20">
        <v>1</v>
      </c>
      <c r="J24" s="20">
        <v>0</v>
      </c>
      <c r="K24" s="20">
        <v>1</v>
      </c>
    </row>
    <row r="25" spans="1:11" ht="16" customHeight="1">
      <c r="A25" s="19">
        <v>2</v>
      </c>
      <c r="B25" s="20">
        <v>8</v>
      </c>
      <c r="C25" s="20" t="s">
        <v>126</v>
      </c>
      <c r="D25" s="20">
        <v>3</v>
      </c>
      <c r="E25" s="20">
        <v>2</v>
      </c>
      <c r="F25" s="20">
        <v>1</v>
      </c>
      <c r="G25" s="20">
        <v>0</v>
      </c>
      <c r="H25" s="20">
        <v>1</v>
      </c>
      <c r="I25" s="20">
        <v>3</v>
      </c>
      <c r="J25" s="20">
        <v>3</v>
      </c>
      <c r="K25" s="20">
        <v>0</v>
      </c>
    </row>
    <row r="26" spans="1:11" ht="16" customHeight="1">
      <c r="A26" s="19">
        <v>2</v>
      </c>
      <c r="B26" s="20">
        <v>9</v>
      </c>
      <c r="C26" s="20" t="s">
        <v>132</v>
      </c>
      <c r="D26" s="20">
        <v>3</v>
      </c>
      <c r="E26" s="20">
        <v>2</v>
      </c>
      <c r="F26" s="20">
        <v>1</v>
      </c>
      <c r="G26" s="20">
        <v>0</v>
      </c>
      <c r="H26" s="20">
        <v>1</v>
      </c>
      <c r="I26" s="20">
        <v>5</v>
      </c>
      <c r="J26" s="20">
        <v>7</v>
      </c>
      <c r="K26" s="20">
        <v>-2</v>
      </c>
    </row>
    <row r="27" spans="1:11" ht="16" customHeight="1">
      <c r="A27" s="19">
        <v>2</v>
      </c>
      <c r="B27" s="20">
        <v>10</v>
      </c>
      <c r="C27" s="20" t="s">
        <v>134</v>
      </c>
      <c r="D27" s="20">
        <v>3</v>
      </c>
      <c r="E27" s="20">
        <v>2</v>
      </c>
      <c r="F27" s="20">
        <v>1</v>
      </c>
      <c r="G27" s="20">
        <v>0</v>
      </c>
      <c r="H27" s="20">
        <v>1</v>
      </c>
      <c r="I27" s="20">
        <v>2</v>
      </c>
      <c r="J27" s="20">
        <v>4</v>
      </c>
      <c r="K27" s="20">
        <v>-2</v>
      </c>
    </row>
    <row r="28" spans="1:11" ht="16" customHeight="1">
      <c r="A28" s="19">
        <v>2</v>
      </c>
      <c r="B28" s="20">
        <v>11</v>
      </c>
      <c r="C28" s="20" t="s">
        <v>127</v>
      </c>
      <c r="D28" s="20">
        <v>2</v>
      </c>
      <c r="E28" s="20">
        <v>2</v>
      </c>
      <c r="F28" s="20">
        <v>0</v>
      </c>
      <c r="G28" s="20">
        <v>2</v>
      </c>
      <c r="H28" s="20">
        <v>0</v>
      </c>
      <c r="I28" s="20">
        <v>3</v>
      </c>
      <c r="J28" s="20">
        <v>3</v>
      </c>
      <c r="K28" s="20">
        <v>0</v>
      </c>
    </row>
    <row r="29" spans="1:11" ht="16" customHeight="1">
      <c r="A29" s="19">
        <v>2</v>
      </c>
      <c r="B29" s="20">
        <v>12</v>
      </c>
      <c r="C29" s="20" t="s">
        <v>128</v>
      </c>
      <c r="D29" s="20">
        <v>1</v>
      </c>
      <c r="E29" s="20">
        <v>2</v>
      </c>
      <c r="F29" s="20">
        <v>0</v>
      </c>
      <c r="G29" s="20">
        <v>1</v>
      </c>
      <c r="H29" s="20">
        <v>1</v>
      </c>
      <c r="I29" s="20">
        <v>0</v>
      </c>
      <c r="J29" s="20">
        <v>1</v>
      </c>
      <c r="K29" s="20">
        <v>-1</v>
      </c>
    </row>
    <row r="30" spans="1:11" ht="16" customHeight="1">
      <c r="A30" s="19">
        <v>2</v>
      </c>
      <c r="B30" s="20">
        <v>13</v>
      </c>
      <c r="C30" s="20" t="s">
        <v>136</v>
      </c>
      <c r="D30" s="20">
        <v>0</v>
      </c>
      <c r="E30" s="20">
        <v>2</v>
      </c>
      <c r="F30" s="20">
        <v>0</v>
      </c>
      <c r="G30" s="20">
        <v>0</v>
      </c>
      <c r="H30" s="20">
        <v>2</v>
      </c>
      <c r="I30" s="20">
        <v>2</v>
      </c>
      <c r="J30" s="20">
        <v>7</v>
      </c>
      <c r="K30" s="20">
        <v>-5</v>
      </c>
    </row>
    <row r="31" spans="1:11" ht="16" customHeight="1">
      <c r="A31" s="19">
        <v>2</v>
      </c>
      <c r="B31" s="20">
        <v>14</v>
      </c>
      <c r="C31" s="20" t="s">
        <v>133</v>
      </c>
      <c r="D31" s="20">
        <v>0</v>
      </c>
      <c r="E31" s="20">
        <v>2</v>
      </c>
      <c r="F31" s="20">
        <v>0</v>
      </c>
      <c r="G31" s="20">
        <v>0</v>
      </c>
      <c r="H31" s="20">
        <v>2</v>
      </c>
      <c r="I31" s="20">
        <v>1</v>
      </c>
      <c r="J31" s="20">
        <v>6</v>
      </c>
      <c r="K31" s="20">
        <v>-5</v>
      </c>
    </row>
    <row r="32" spans="1:11" ht="16" customHeight="1">
      <c r="A32" s="19">
        <v>2</v>
      </c>
      <c r="B32" s="20">
        <v>15</v>
      </c>
      <c r="C32" s="20" t="s">
        <v>135</v>
      </c>
      <c r="D32" s="20">
        <v>0</v>
      </c>
      <c r="E32" s="20">
        <v>2</v>
      </c>
      <c r="F32" s="20">
        <v>0</v>
      </c>
      <c r="G32" s="20">
        <v>0</v>
      </c>
      <c r="H32" s="20">
        <v>2</v>
      </c>
      <c r="I32" s="20">
        <v>0</v>
      </c>
      <c r="J32" s="20">
        <v>5</v>
      </c>
      <c r="K32" s="20">
        <v>-5</v>
      </c>
    </row>
    <row r="33" spans="1:1021 1030:2043 2052:3065 3074:7167 7176:8189 8198:9211 9220:10233 10242:14335 14344:15357 15366:16365" ht="16" customHeight="1">
      <c r="A33" s="19">
        <v>2</v>
      </c>
      <c r="B33" s="20">
        <v>16</v>
      </c>
      <c r="C33" s="20" t="s">
        <v>131</v>
      </c>
      <c r="D33" s="20">
        <v>0</v>
      </c>
      <c r="E33" s="20">
        <v>2</v>
      </c>
      <c r="F33" s="20">
        <v>0</v>
      </c>
      <c r="G33" s="20">
        <v>0</v>
      </c>
      <c r="H33" s="20">
        <v>2</v>
      </c>
      <c r="I33" s="20">
        <v>0</v>
      </c>
      <c r="J33" s="20">
        <v>5</v>
      </c>
      <c r="K33" s="20">
        <v>-5</v>
      </c>
    </row>
    <row r="34" spans="1:1021 1030:2043 2052:3065 3074:7167 7176:8189 8198:9211 9220:10233 10242:14335 14344:15357 15366:16365" ht="16" customHeight="1">
      <c r="A34" s="19">
        <v>3</v>
      </c>
      <c r="B34" s="21">
        <v>1</v>
      </c>
      <c r="C34" s="20" t="s">
        <v>121</v>
      </c>
      <c r="D34" s="20">
        <v>9</v>
      </c>
      <c r="E34" s="20">
        <v>3</v>
      </c>
      <c r="F34" s="20">
        <v>3</v>
      </c>
      <c r="G34" s="20">
        <v>0</v>
      </c>
      <c r="H34" s="20">
        <v>0</v>
      </c>
      <c r="I34" s="20">
        <v>10</v>
      </c>
      <c r="J34" s="20">
        <v>2</v>
      </c>
      <c r="K34" s="20">
        <v>8</v>
      </c>
    </row>
    <row r="35" spans="1:1021 1030:2043 2052:3065 3074:7167 7176:8189 8198:9211 9220:10233 10242:14335 14344:15357 15366:16365" ht="16" customHeight="1">
      <c r="A35" s="19">
        <v>3</v>
      </c>
      <c r="B35" s="21">
        <v>2</v>
      </c>
      <c r="C35" s="20" t="s">
        <v>122</v>
      </c>
      <c r="D35" s="20">
        <v>7</v>
      </c>
      <c r="E35" s="20">
        <v>3</v>
      </c>
      <c r="F35" s="20">
        <v>2</v>
      </c>
      <c r="G35" s="20">
        <v>1</v>
      </c>
      <c r="H35" s="20">
        <v>0</v>
      </c>
      <c r="I35" s="20">
        <v>10</v>
      </c>
      <c r="J35" s="20">
        <v>5</v>
      </c>
      <c r="K35" s="20">
        <v>5</v>
      </c>
    </row>
    <row r="36" spans="1:1021 1030:2043 2052:3065 3074:7167 7176:8189 8198:9211 9220:10233 10242:14335 14344:15357 15366:16365" ht="16" customHeight="1">
      <c r="A36" s="19">
        <v>3</v>
      </c>
      <c r="B36" s="21">
        <v>3</v>
      </c>
      <c r="C36" s="20" t="s">
        <v>125</v>
      </c>
      <c r="D36" s="20">
        <v>7</v>
      </c>
      <c r="E36" s="20">
        <v>3</v>
      </c>
      <c r="F36" s="20">
        <v>2</v>
      </c>
      <c r="G36" s="20">
        <v>1</v>
      </c>
      <c r="H36" s="20">
        <v>0</v>
      </c>
      <c r="I36" s="20">
        <v>7</v>
      </c>
      <c r="J36" s="20">
        <v>2</v>
      </c>
      <c r="K36" s="20">
        <v>5</v>
      </c>
    </row>
    <row r="37" spans="1:1021 1030:2043 2052:3065 3074:7167 7176:8189 8198:9211 9220:10233 10242:14335 14344:15357 15366:16365" s="20" customFormat="1" ht="16" customHeight="1">
      <c r="A37" s="19">
        <v>3</v>
      </c>
      <c r="B37" s="21">
        <v>4</v>
      </c>
      <c r="C37" s="20" t="s">
        <v>129</v>
      </c>
      <c r="D37" s="20">
        <v>7</v>
      </c>
      <c r="E37" s="20">
        <v>3</v>
      </c>
      <c r="F37" s="20">
        <v>2</v>
      </c>
      <c r="G37" s="20">
        <v>1</v>
      </c>
      <c r="H37" s="20">
        <v>0</v>
      </c>
      <c r="I37" s="20">
        <v>5</v>
      </c>
      <c r="J37" s="20">
        <v>0</v>
      </c>
      <c r="K37" s="20">
        <v>5</v>
      </c>
      <c r="L37" s="27"/>
      <c r="M37" s="19"/>
      <c r="V37" s="19"/>
      <c r="W37" s="19"/>
      <c r="X37" s="19"/>
      <c r="Y37" s="19"/>
      <c r="Z37" s="21"/>
      <c r="AA37" s="19"/>
      <c r="AJ37" s="19"/>
      <c r="AK37" s="19"/>
      <c r="AL37" s="19"/>
      <c r="AM37" s="19"/>
      <c r="AN37" s="21"/>
      <c r="AO37" s="19"/>
      <c r="AX37" s="19"/>
      <c r="AY37" s="19"/>
      <c r="AZ37" s="19"/>
      <c r="BA37" s="19"/>
      <c r="BB37" s="21"/>
      <c r="BC37" s="19"/>
      <c r="BL37" s="19"/>
      <c r="BM37" s="19"/>
      <c r="BN37" s="19"/>
      <c r="BO37" s="19"/>
      <c r="BP37" s="21"/>
      <c r="BQ37" s="19"/>
      <c r="BZ37" s="19"/>
      <c r="CA37" s="19"/>
      <c r="CB37" s="19"/>
      <c r="CC37" s="19"/>
      <c r="CD37" s="21"/>
      <c r="CE37" s="19"/>
      <c r="CN37" s="19"/>
      <c r="CO37" s="19"/>
      <c r="CP37" s="19"/>
      <c r="CQ37" s="19"/>
      <c r="CR37" s="21"/>
      <c r="CS37" s="19"/>
      <c r="DB37" s="19"/>
      <c r="DC37" s="19"/>
      <c r="DD37" s="19"/>
      <c r="DE37" s="19"/>
      <c r="DF37" s="21"/>
      <c r="DG37" s="19"/>
      <c r="DP37" s="19"/>
      <c r="DQ37" s="19"/>
      <c r="DR37" s="19"/>
      <c r="DS37" s="19"/>
      <c r="DT37" s="21"/>
      <c r="DU37" s="19"/>
      <c r="ED37" s="19"/>
      <c r="EE37" s="19"/>
      <c r="EF37" s="19"/>
      <c r="EG37" s="19"/>
      <c r="EH37" s="21"/>
      <c r="EI37" s="19"/>
      <c r="ER37" s="19"/>
      <c r="ES37" s="19"/>
      <c r="ET37" s="19"/>
      <c r="EU37" s="19"/>
      <c r="EV37" s="21"/>
      <c r="EW37" s="19"/>
      <c r="FF37" s="19"/>
      <c r="FG37" s="19"/>
      <c r="FH37" s="19"/>
      <c r="FI37" s="19"/>
      <c r="FJ37" s="21"/>
      <c r="FK37" s="19"/>
      <c r="FT37" s="19"/>
      <c r="FU37" s="19"/>
      <c r="FV37" s="19"/>
      <c r="FW37" s="19"/>
      <c r="FX37" s="21"/>
      <c r="FY37" s="19"/>
      <c r="GH37" s="19"/>
      <c r="GI37" s="19"/>
      <c r="GJ37" s="19"/>
      <c r="GK37" s="19"/>
      <c r="GL37" s="21"/>
      <c r="GM37" s="19"/>
      <c r="GV37" s="19"/>
      <c r="GW37" s="19"/>
      <c r="GX37" s="19"/>
      <c r="GY37" s="19"/>
      <c r="GZ37" s="21"/>
      <c r="HA37" s="19"/>
      <c r="HJ37" s="19"/>
      <c r="HK37" s="19"/>
      <c r="HL37" s="19"/>
      <c r="HM37" s="19"/>
      <c r="HN37" s="21"/>
      <c r="HO37" s="19"/>
      <c r="HX37" s="19"/>
      <c r="HY37" s="19"/>
      <c r="HZ37" s="19"/>
      <c r="IA37" s="19"/>
      <c r="IB37" s="21"/>
      <c r="IC37" s="19"/>
      <c r="IL37" s="19"/>
      <c r="IM37" s="19"/>
      <c r="IN37" s="19"/>
      <c r="IO37" s="19"/>
      <c r="IP37" s="21"/>
      <c r="IQ37" s="19"/>
      <c r="IZ37" s="19"/>
      <c r="JA37" s="19"/>
      <c r="JB37" s="19"/>
      <c r="JC37" s="19"/>
      <c r="JD37" s="21"/>
      <c r="JE37" s="19"/>
      <c r="JN37" s="19"/>
      <c r="JO37" s="19"/>
      <c r="JP37" s="19"/>
      <c r="JQ37" s="19"/>
      <c r="JR37" s="21"/>
      <c r="JS37" s="19"/>
      <c r="KB37" s="19"/>
      <c r="KC37" s="19"/>
      <c r="KD37" s="19"/>
      <c r="KE37" s="19"/>
      <c r="KF37" s="21"/>
      <c r="KG37" s="19"/>
      <c r="KP37" s="19"/>
      <c r="KQ37" s="19"/>
      <c r="KR37" s="19"/>
      <c r="KS37" s="19"/>
      <c r="KT37" s="21"/>
      <c r="KU37" s="19"/>
      <c r="LD37" s="19"/>
      <c r="LE37" s="19"/>
      <c r="LF37" s="19"/>
      <c r="LG37" s="19"/>
      <c r="LH37" s="21"/>
      <c r="LI37" s="19"/>
      <c r="LR37" s="19"/>
      <c r="LS37" s="19"/>
      <c r="LT37" s="19"/>
      <c r="LU37" s="19"/>
      <c r="LV37" s="21"/>
      <c r="LW37" s="19"/>
      <c r="MF37" s="19"/>
      <c r="MG37" s="19"/>
      <c r="MH37" s="19"/>
      <c r="MI37" s="19"/>
      <c r="MJ37" s="21"/>
      <c r="MK37" s="19"/>
      <c r="MT37" s="19"/>
      <c r="MU37" s="19"/>
      <c r="MV37" s="19"/>
      <c r="MW37" s="19"/>
      <c r="MX37" s="21"/>
      <c r="MY37" s="19"/>
      <c r="NH37" s="19"/>
      <c r="NI37" s="19"/>
      <c r="NJ37" s="19"/>
      <c r="NK37" s="19"/>
      <c r="NL37" s="21"/>
      <c r="NM37" s="19"/>
      <c r="NV37" s="19"/>
      <c r="NW37" s="19"/>
      <c r="NX37" s="19"/>
      <c r="NY37" s="19"/>
      <c r="NZ37" s="21"/>
      <c r="OA37" s="19"/>
      <c r="OJ37" s="19"/>
      <c r="OK37" s="19"/>
      <c r="OL37" s="19"/>
      <c r="OM37" s="19"/>
      <c r="ON37" s="21"/>
      <c r="OO37" s="19"/>
      <c r="OX37" s="19"/>
      <c r="OY37" s="19"/>
      <c r="OZ37" s="19"/>
      <c r="PA37" s="19"/>
      <c r="PB37" s="21"/>
      <c r="PC37" s="19"/>
      <c r="PL37" s="19"/>
      <c r="PM37" s="19"/>
      <c r="PN37" s="19"/>
      <c r="PO37" s="19"/>
      <c r="PP37" s="21"/>
      <c r="PQ37" s="19"/>
      <c r="PZ37" s="19"/>
      <c r="QA37" s="19"/>
      <c r="QB37" s="19"/>
      <c r="QC37" s="19"/>
      <c r="QD37" s="21"/>
      <c r="QE37" s="19"/>
      <c r="QN37" s="19"/>
      <c r="QO37" s="19"/>
      <c r="QP37" s="19"/>
      <c r="QQ37" s="19"/>
      <c r="QR37" s="21"/>
      <c r="QS37" s="19"/>
      <c r="RB37" s="19"/>
      <c r="RC37" s="19"/>
      <c r="RD37" s="19"/>
      <c r="RE37" s="19"/>
      <c r="RF37" s="21"/>
      <c r="RG37" s="19"/>
      <c r="RP37" s="19"/>
      <c r="RQ37" s="19"/>
      <c r="RR37" s="19"/>
      <c r="RS37" s="19"/>
      <c r="RT37" s="21"/>
      <c r="RU37" s="19"/>
      <c r="SD37" s="19"/>
      <c r="SE37" s="19"/>
      <c r="SF37" s="19"/>
      <c r="SG37" s="19"/>
      <c r="SH37" s="21"/>
      <c r="SI37" s="19"/>
      <c r="SR37" s="19"/>
      <c r="SS37" s="19"/>
      <c r="ST37" s="19"/>
      <c r="SU37" s="19"/>
      <c r="SV37" s="21"/>
      <c r="SW37" s="19"/>
      <c r="TF37" s="19"/>
      <c r="TG37" s="19"/>
      <c r="TH37" s="19"/>
      <c r="TI37" s="19"/>
      <c r="TJ37" s="21"/>
      <c r="TK37" s="19"/>
      <c r="TT37" s="19"/>
      <c r="TU37" s="19"/>
      <c r="TV37" s="19"/>
      <c r="TW37" s="19"/>
      <c r="TX37" s="21"/>
      <c r="TY37" s="19"/>
      <c r="UH37" s="19"/>
      <c r="UI37" s="19"/>
      <c r="UJ37" s="19"/>
      <c r="UK37" s="19"/>
      <c r="UL37" s="21"/>
      <c r="UM37" s="19"/>
      <c r="UV37" s="19"/>
      <c r="UW37" s="19"/>
      <c r="UX37" s="19"/>
      <c r="UY37" s="19"/>
      <c r="UZ37" s="21"/>
      <c r="VA37" s="19"/>
      <c r="VJ37" s="19"/>
      <c r="VK37" s="19"/>
      <c r="VL37" s="19"/>
      <c r="VM37" s="19"/>
      <c r="VN37" s="21"/>
      <c r="VO37" s="19"/>
      <c r="VX37" s="19"/>
      <c r="VY37" s="19"/>
      <c r="VZ37" s="19"/>
      <c r="WA37" s="19"/>
      <c r="WB37" s="21"/>
      <c r="WC37" s="19"/>
      <c r="WL37" s="19"/>
      <c r="WM37" s="19"/>
      <c r="WN37" s="19"/>
      <c r="WO37" s="19"/>
      <c r="WP37" s="21"/>
      <c r="WQ37" s="19"/>
      <c r="WZ37" s="19"/>
      <c r="XA37" s="19"/>
      <c r="XB37" s="19"/>
      <c r="XC37" s="19"/>
      <c r="XD37" s="21"/>
      <c r="XE37" s="19"/>
      <c r="XN37" s="19"/>
      <c r="XO37" s="19"/>
      <c r="XP37" s="19"/>
      <c r="XQ37" s="19"/>
      <c r="XR37" s="21"/>
      <c r="XS37" s="19"/>
      <c r="YB37" s="19"/>
      <c r="YC37" s="19"/>
      <c r="YD37" s="19"/>
      <c r="YE37" s="19"/>
      <c r="YF37" s="21"/>
      <c r="YG37" s="19"/>
      <c r="YP37" s="19"/>
      <c r="YQ37" s="19"/>
      <c r="YR37" s="19"/>
      <c r="YS37" s="19"/>
      <c r="YT37" s="21"/>
      <c r="YU37" s="19"/>
      <c r="ZD37" s="19"/>
      <c r="ZE37" s="19"/>
      <c r="ZF37" s="19"/>
      <c r="ZG37" s="19"/>
      <c r="ZH37" s="21"/>
      <c r="ZI37" s="19"/>
      <c r="ZR37" s="19"/>
      <c r="ZS37" s="19"/>
      <c r="ZT37" s="19"/>
      <c r="ZU37" s="19"/>
      <c r="ZV37" s="21"/>
      <c r="ZW37" s="19"/>
      <c r="AAF37" s="19"/>
      <c r="AAG37" s="19"/>
      <c r="AAH37" s="19"/>
      <c r="AAI37" s="19"/>
      <c r="AAJ37" s="21"/>
      <c r="AAK37" s="19"/>
      <c r="AAT37" s="19"/>
      <c r="AAU37" s="19"/>
      <c r="AAV37" s="19"/>
      <c r="AAW37" s="19"/>
      <c r="AAX37" s="21"/>
      <c r="AAY37" s="19"/>
      <c r="ABH37" s="19"/>
      <c r="ABI37" s="19"/>
      <c r="ABJ37" s="19"/>
      <c r="ABK37" s="19"/>
      <c r="ABL37" s="21"/>
      <c r="ABM37" s="19"/>
      <c r="ABV37" s="19"/>
      <c r="ABW37" s="19"/>
      <c r="ABX37" s="19"/>
      <c r="ABY37" s="19"/>
      <c r="ABZ37" s="21"/>
      <c r="ACA37" s="19"/>
      <c r="ACJ37" s="19"/>
      <c r="ACK37" s="19"/>
      <c r="ACL37" s="19"/>
      <c r="ACM37" s="19"/>
      <c r="ACN37" s="21"/>
      <c r="ACO37" s="19"/>
      <c r="ACX37" s="19"/>
      <c r="ACY37" s="19"/>
      <c r="ACZ37" s="19"/>
      <c r="ADA37" s="19"/>
      <c r="ADB37" s="21"/>
      <c r="ADC37" s="19"/>
      <c r="ADL37" s="19"/>
      <c r="ADM37" s="19"/>
      <c r="ADN37" s="19"/>
      <c r="ADO37" s="19"/>
      <c r="ADP37" s="21"/>
      <c r="ADQ37" s="19"/>
      <c r="ADZ37" s="19"/>
      <c r="AEA37" s="19"/>
      <c r="AEB37" s="19"/>
      <c r="AEC37" s="19"/>
      <c r="AED37" s="21"/>
      <c r="AEE37" s="19"/>
      <c r="AEN37" s="19"/>
      <c r="AEO37" s="19"/>
      <c r="AEP37" s="19"/>
      <c r="AEQ37" s="19"/>
      <c r="AER37" s="21"/>
      <c r="AES37" s="19"/>
      <c r="AFB37" s="19"/>
      <c r="AFC37" s="19"/>
      <c r="AFD37" s="19"/>
      <c r="AFE37" s="19"/>
      <c r="AFF37" s="21"/>
      <c r="AFG37" s="19"/>
      <c r="AFP37" s="19"/>
      <c r="AFQ37" s="19"/>
      <c r="AFR37" s="19"/>
      <c r="AFS37" s="19"/>
      <c r="AFT37" s="21"/>
      <c r="AFU37" s="19"/>
      <c r="AGD37" s="19"/>
      <c r="AGE37" s="19"/>
      <c r="AGF37" s="19"/>
      <c r="AGG37" s="19"/>
      <c r="AGH37" s="21"/>
      <c r="AGI37" s="19"/>
      <c r="AGR37" s="19"/>
      <c r="AGS37" s="19"/>
      <c r="AGT37" s="19"/>
      <c r="AGU37" s="19"/>
      <c r="AGV37" s="21"/>
      <c r="AGW37" s="19"/>
      <c r="AHF37" s="19"/>
      <c r="AHG37" s="19"/>
      <c r="AHH37" s="19"/>
      <c r="AHI37" s="19"/>
      <c r="AHJ37" s="21"/>
      <c r="AHK37" s="19"/>
      <c r="AHT37" s="19"/>
      <c r="AHU37" s="19"/>
      <c r="AHV37" s="19"/>
      <c r="AHW37" s="19"/>
      <c r="AHX37" s="21"/>
      <c r="AHY37" s="19"/>
      <c r="AIH37" s="19"/>
      <c r="AII37" s="19"/>
      <c r="AIJ37" s="19"/>
      <c r="AIK37" s="19"/>
      <c r="AIL37" s="21"/>
      <c r="AIM37" s="19"/>
      <c r="AIV37" s="19"/>
      <c r="AIW37" s="19"/>
      <c r="AIX37" s="19"/>
      <c r="AIY37" s="19"/>
      <c r="AIZ37" s="21"/>
      <c r="AJA37" s="19"/>
      <c r="AJJ37" s="19"/>
      <c r="AJK37" s="19"/>
      <c r="AJL37" s="19"/>
      <c r="AJM37" s="19"/>
      <c r="AJN37" s="21"/>
      <c r="AJO37" s="19"/>
      <c r="AJX37" s="19"/>
      <c r="AJY37" s="19"/>
      <c r="AJZ37" s="19"/>
      <c r="AKA37" s="19"/>
      <c r="AKB37" s="21"/>
      <c r="AKC37" s="19"/>
      <c r="AKL37" s="19"/>
      <c r="AKM37" s="19"/>
      <c r="AKN37" s="19"/>
      <c r="AKO37" s="19"/>
      <c r="AKP37" s="21"/>
      <c r="AKQ37" s="19"/>
      <c r="AKZ37" s="19"/>
      <c r="ALA37" s="19"/>
      <c r="ALB37" s="19"/>
      <c r="ALC37" s="19"/>
      <c r="ALD37" s="21"/>
      <c r="ALE37" s="19"/>
      <c r="ALN37" s="19"/>
      <c r="ALO37" s="19"/>
      <c r="ALP37" s="19"/>
      <c r="ALQ37" s="19"/>
      <c r="ALR37" s="21"/>
      <c r="ALS37" s="19"/>
      <c r="AMB37" s="19"/>
      <c r="AMC37" s="19"/>
      <c r="AMD37" s="19"/>
      <c r="AME37" s="19"/>
      <c r="AMF37" s="21"/>
      <c r="AMG37" s="19"/>
      <c r="AMP37" s="19"/>
      <c r="AMQ37" s="19"/>
      <c r="AMR37" s="19"/>
      <c r="AMS37" s="19"/>
      <c r="AMT37" s="21"/>
      <c r="AMU37" s="19"/>
      <c r="AND37" s="19"/>
      <c r="ANE37" s="19"/>
      <c r="ANF37" s="19"/>
      <c r="ANG37" s="19"/>
      <c r="ANH37" s="21"/>
      <c r="ANI37" s="19"/>
      <c r="ANR37" s="19"/>
      <c r="ANS37" s="19"/>
      <c r="ANT37" s="19"/>
      <c r="ANU37" s="19"/>
      <c r="ANV37" s="21"/>
      <c r="ANW37" s="19"/>
      <c r="AOF37" s="19"/>
      <c r="AOG37" s="19"/>
      <c r="AOH37" s="19"/>
      <c r="AOI37" s="19"/>
      <c r="AOJ37" s="21"/>
      <c r="AOK37" s="19"/>
      <c r="AOT37" s="19"/>
      <c r="AOU37" s="19"/>
      <c r="AOV37" s="19"/>
      <c r="AOW37" s="19"/>
      <c r="AOX37" s="21"/>
      <c r="AOY37" s="19"/>
      <c r="APH37" s="19"/>
      <c r="API37" s="19"/>
      <c r="APJ37" s="19"/>
      <c r="APK37" s="19"/>
      <c r="APL37" s="21"/>
      <c r="APM37" s="19"/>
      <c r="APV37" s="19"/>
      <c r="APW37" s="19"/>
      <c r="APX37" s="19"/>
      <c r="APY37" s="19"/>
      <c r="APZ37" s="21"/>
      <c r="AQA37" s="19"/>
      <c r="AQJ37" s="19"/>
      <c r="AQK37" s="19"/>
      <c r="AQL37" s="19"/>
      <c r="AQM37" s="19"/>
      <c r="AQN37" s="21"/>
      <c r="AQO37" s="19"/>
      <c r="AQX37" s="19"/>
      <c r="AQY37" s="19"/>
      <c r="AQZ37" s="19"/>
      <c r="ARA37" s="19"/>
      <c r="ARB37" s="21"/>
      <c r="ARC37" s="19"/>
      <c r="ARL37" s="19"/>
      <c r="ARM37" s="19"/>
      <c r="ARN37" s="19"/>
      <c r="ARO37" s="19"/>
      <c r="ARP37" s="21"/>
      <c r="ARQ37" s="19"/>
      <c r="ARZ37" s="19"/>
      <c r="ASA37" s="19"/>
      <c r="ASB37" s="19"/>
      <c r="ASC37" s="19"/>
      <c r="ASD37" s="21"/>
      <c r="ASE37" s="19"/>
      <c r="ASN37" s="19"/>
      <c r="ASO37" s="19"/>
      <c r="ASP37" s="19"/>
      <c r="ASQ37" s="19"/>
      <c r="ASR37" s="21"/>
      <c r="ASS37" s="19"/>
      <c r="ATB37" s="19"/>
      <c r="ATC37" s="19"/>
      <c r="ATD37" s="19"/>
      <c r="ATE37" s="19"/>
      <c r="ATF37" s="21"/>
      <c r="ATG37" s="19"/>
      <c r="ATP37" s="19"/>
      <c r="ATQ37" s="19"/>
      <c r="ATR37" s="19"/>
      <c r="ATS37" s="19"/>
      <c r="ATT37" s="21"/>
      <c r="ATU37" s="19"/>
      <c r="AUD37" s="19"/>
      <c r="AUE37" s="19"/>
      <c r="AUF37" s="19"/>
      <c r="AUG37" s="19"/>
      <c r="AUH37" s="21"/>
      <c r="AUI37" s="19"/>
      <c r="AUR37" s="19"/>
      <c r="AUS37" s="19"/>
      <c r="AUT37" s="19"/>
      <c r="AUU37" s="19"/>
      <c r="AUV37" s="21"/>
      <c r="AUW37" s="19"/>
      <c r="AVF37" s="19"/>
      <c r="AVG37" s="19"/>
      <c r="AVH37" s="19"/>
      <c r="AVI37" s="19"/>
      <c r="AVJ37" s="21"/>
      <c r="AVK37" s="19"/>
      <c r="AVT37" s="19"/>
      <c r="AVU37" s="19"/>
      <c r="AVV37" s="19"/>
      <c r="AVW37" s="19"/>
      <c r="AVX37" s="21"/>
      <c r="AVY37" s="19"/>
      <c r="AWH37" s="19"/>
      <c r="AWI37" s="19"/>
      <c r="AWJ37" s="19"/>
      <c r="AWK37" s="19"/>
      <c r="AWL37" s="21"/>
      <c r="AWM37" s="19"/>
      <c r="AWV37" s="19"/>
      <c r="AWW37" s="19"/>
      <c r="AWX37" s="19"/>
      <c r="AWY37" s="19"/>
      <c r="AWZ37" s="21"/>
      <c r="AXA37" s="19"/>
      <c r="AXJ37" s="19"/>
      <c r="AXK37" s="19"/>
      <c r="AXL37" s="19"/>
      <c r="AXM37" s="19"/>
      <c r="AXN37" s="21"/>
      <c r="AXO37" s="19"/>
      <c r="AXX37" s="19"/>
      <c r="AXY37" s="19"/>
      <c r="AXZ37" s="19"/>
      <c r="AYA37" s="19"/>
      <c r="AYB37" s="21"/>
      <c r="AYC37" s="19"/>
      <c r="AYL37" s="19"/>
      <c r="AYM37" s="19"/>
      <c r="AYN37" s="19"/>
      <c r="AYO37" s="19"/>
      <c r="AYP37" s="21"/>
      <c r="AYQ37" s="19"/>
      <c r="AYZ37" s="19"/>
      <c r="AZA37" s="19"/>
      <c r="AZB37" s="19"/>
      <c r="AZC37" s="19"/>
      <c r="AZD37" s="21"/>
      <c r="AZE37" s="19"/>
      <c r="AZN37" s="19"/>
      <c r="AZO37" s="19"/>
      <c r="AZP37" s="19"/>
      <c r="AZQ37" s="19"/>
      <c r="AZR37" s="21"/>
      <c r="AZS37" s="19"/>
      <c r="BAB37" s="19"/>
      <c r="BAC37" s="19"/>
      <c r="BAD37" s="19"/>
      <c r="BAE37" s="19"/>
      <c r="BAF37" s="21"/>
      <c r="BAG37" s="19"/>
      <c r="BAP37" s="19"/>
      <c r="BAQ37" s="19"/>
      <c r="BAR37" s="19"/>
      <c r="BAS37" s="19"/>
      <c r="BAT37" s="21"/>
      <c r="BAU37" s="19"/>
      <c r="BBD37" s="19"/>
      <c r="BBE37" s="19"/>
      <c r="BBF37" s="19"/>
      <c r="BBG37" s="19"/>
      <c r="BBH37" s="21"/>
      <c r="BBI37" s="19"/>
      <c r="BBR37" s="19"/>
      <c r="BBS37" s="19"/>
      <c r="BBT37" s="19"/>
      <c r="BBU37" s="19"/>
      <c r="BBV37" s="21"/>
      <c r="BBW37" s="19"/>
      <c r="BCF37" s="19"/>
      <c r="BCG37" s="19"/>
      <c r="BCH37" s="19"/>
      <c r="BCI37" s="19"/>
      <c r="BCJ37" s="21"/>
      <c r="BCK37" s="19"/>
      <c r="BCT37" s="19"/>
      <c r="BCU37" s="19"/>
      <c r="BCV37" s="19"/>
      <c r="BCW37" s="19"/>
      <c r="BCX37" s="21"/>
      <c r="BCY37" s="19"/>
      <c r="BDH37" s="19"/>
      <c r="BDI37" s="19"/>
      <c r="BDJ37" s="19"/>
      <c r="BDK37" s="19"/>
      <c r="BDL37" s="21"/>
      <c r="BDM37" s="19"/>
      <c r="BDV37" s="19"/>
      <c r="BDW37" s="19"/>
      <c r="BDX37" s="19"/>
      <c r="BDY37" s="19"/>
      <c r="BDZ37" s="21"/>
      <c r="BEA37" s="19"/>
      <c r="BEJ37" s="19"/>
      <c r="BEK37" s="19"/>
      <c r="BEL37" s="19"/>
      <c r="BEM37" s="19"/>
      <c r="BEN37" s="21"/>
      <c r="BEO37" s="19"/>
      <c r="BEX37" s="19"/>
      <c r="BEY37" s="19"/>
      <c r="BEZ37" s="19"/>
      <c r="BFA37" s="19"/>
      <c r="BFB37" s="21"/>
      <c r="BFC37" s="19"/>
      <c r="BFL37" s="19"/>
      <c r="BFM37" s="19"/>
      <c r="BFN37" s="19"/>
      <c r="BFO37" s="19"/>
      <c r="BFP37" s="21"/>
      <c r="BFQ37" s="19"/>
      <c r="BFZ37" s="19"/>
      <c r="BGA37" s="19"/>
      <c r="BGB37" s="19"/>
      <c r="BGC37" s="19"/>
      <c r="BGD37" s="21"/>
      <c r="BGE37" s="19"/>
      <c r="BGN37" s="19"/>
      <c r="BGO37" s="19"/>
      <c r="BGP37" s="19"/>
      <c r="BGQ37" s="19"/>
      <c r="BGR37" s="21"/>
      <c r="BGS37" s="19"/>
      <c r="BHB37" s="19"/>
      <c r="BHC37" s="19"/>
      <c r="BHD37" s="19"/>
      <c r="BHE37" s="19"/>
      <c r="BHF37" s="21"/>
      <c r="BHG37" s="19"/>
      <c r="BHP37" s="19"/>
      <c r="BHQ37" s="19"/>
      <c r="BHR37" s="19"/>
      <c r="BHS37" s="19"/>
      <c r="BHT37" s="21"/>
      <c r="BHU37" s="19"/>
      <c r="BID37" s="19"/>
      <c r="BIE37" s="19"/>
      <c r="BIF37" s="19"/>
      <c r="BIG37" s="19"/>
      <c r="BIH37" s="21"/>
      <c r="BII37" s="19"/>
      <c r="BIR37" s="19"/>
      <c r="BIS37" s="19"/>
      <c r="BIT37" s="19"/>
      <c r="BIU37" s="19"/>
      <c r="BIV37" s="21"/>
      <c r="BIW37" s="19"/>
      <c r="BJF37" s="19"/>
      <c r="BJG37" s="19"/>
      <c r="BJH37" s="19"/>
      <c r="BJI37" s="19"/>
      <c r="BJJ37" s="21"/>
      <c r="BJK37" s="19"/>
      <c r="BJT37" s="19"/>
      <c r="BJU37" s="19"/>
      <c r="BJV37" s="19"/>
      <c r="BJW37" s="19"/>
      <c r="BJX37" s="21"/>
      <c r="BJY37" s="19"/>
      <c r="BKH37" s="19"/>
      <c r="BKI37" s="19"/>
      <c r="BKJ37" s="19"/>
      <c r="BKK37" s="19"/>
      <c r="BKL37" s="21"/>
      <c r="BKM37" s="19"/>
      <c r="BKV37" s="19"/>
      <c r="BKW37" s="19"/>
      <c r="BKX37" s="19"/>
      <c r="BKY37" s="19"/>
      <c r="BKZ37" s="21"/>
      <c r="BLA37" s="19"/>
      <c r="BLJ37" s="19"/>
      <c r="BLK37" s="19"/>
      <c r="BLL37" s="19"/>
      <c r="BLM37" s="19"/>
      <c r="BLN37" s="21"/>
      <c r="BLO37" s="19"/>
      <c r="BLX37" s="19"/>
      <c r="BLY37" s="19"/>
      <c r="BLZ37" s="19"/>
      <c r="BMA37" s="19"/>
      <c r="BMB37" s="21"/>
      <c r="BMC37" s="19"/>
      <c r="BML37" s="19"/>
      <c r="BMM37" s="19"/>
      <c r="BMN37" s="19"/>
      <c r="BMO37" s="19"/>
      <c r="BMP37" s="21"/>
      <c r="BMQ37" s="19"/>
      <c r="BMZ37" s="19"/>
      <c r="BNA37" s="19"/>
      <c r="BNB37" s="19"/>
      <c r="BNC37" s="19"/>
      <c r="BND37" s="21"/>
      <c r="BNE37" s="19"/>
      <c r="BNN37" s="19"/>
      <c r="BNO37" s="19"/>
      <c r="BNP37" s="19"/>
      <c r="BNQ37" s="19"/>
      <c r="BNR37" s="21"/>
      <c r="BNS37" s="19"/>
      <c r="BOB37" s="19"/>
      <c r="BOC37" s="19"/>
      <c r="BOD37" s="19"/>
      <c r="BOE37" s="19"/>
      <c r="BOF37" s="21"/>
      <c r="BOG37" s="19"/>
      <c r="BOP37" s="19"/>
      <c r="BOQ37" s="19"/>
      <c r="BOR37" s="19"/>
      <c r="BOS37" s="19"/>
      <c r="BOT37" s="21"/>
      <c r="BOU37" s="19"/>
      <c r="BPD37" s="19"/>
      <c r="BPE37" s="19"/>
      <c r="BPF37" s="19"/>
      <c r="BPG37" s="19"/>
      <c r="BPH37" s="21"/>
      <c r="BPI37" s="19"/>
      <c r="BPR37" s="19"/>
      <c r="BPS37" s="19"/>
      <c r="BPT37" s="19"/>
      <c r="BPU37" s="19"/>
      <c r="BPV37" s="21"/>
      <c r="BPW37" s="19"/>
      <c r="BQF37" s="19"/>
      <c r="BQG37" s="19"/>
      <c r="BQH37" s="19"/>
      <c r="BQI37" s="19"/>
      <c r="BQJ37" s="21"/>
      <c r="BQK37" s="19"/>
      <c r="BQT37" s="19"/>
      <c r="BQU37" s="19"/>
      <c r="BQV37" s="19"/>
      <c r="BQW37" s="19"/>
      <c r="BQX37" s="21"/>
      <c r="BQY37" s="19"/>
      <c r="BRH37" s="19"/>
      <c r="BRI37" s="19"/>
      <c r="BRJ37" s="19"/>
      <c r="BRK37" s="19"/>
      <c r="BRL37" s="21"/>
      <c r="BRM37" s="19"/>
      <c r="BRV37" s="19"/>
      <c r="BRW37" s="19"/>
      <c r="BRX37" s="19"/>
      <c r="BRY37" s="19"/>
      <c r="BRZ37" s="21"/>
      <c r="BSA37" s="19"/>
      <c r="BSJ37" s="19"/>
      <c r="BSK37" s="19"/>
      <c r="BSL37" s="19"/>
      <c r="BSM37" s="19"/>
      <c r="BSN37" s="21"/>
      <c r="BSO37" s="19"/>
      <c r="BSX37" s="19"/>
      <c r="BSY37" s="19"/>
      <c r="BSZ37" s="19"/>
      <c r="BTA37" s="19"/>
      <c r="BTB37" s="21"/>
      <c r="BTC37" s="19"/>
      <c r="BTL37" s="19"/>
      <c r="BTM37" s="19"/>
      <c r="BTN37" s="19"/>
      <c r="BTO37" s="19"/>
      <c r="BTP37" s="21"/>
      <c r="BTQ37" s="19"/>
      <c r="BTZ37" s="19"/>
      <c r="BUA37" s="19"/>
      <c r="BUB37" s="19"/>
      <c r="BUC37" s="19"/>
      <c r="BUD37" s="21"/>
      <c r="BUE37" s="19"/>
      <c r="BUN37" s="19"/>
      <c r="BUO37" s="19"/>
      <c r="BUP37" s="19"/>
      <c r="BUQ37" s="19"/>
      <c r="BUR37" s="21"/>
      <c r="BUS37" s="19"/>
      <c r="BVB37" s="19"/>
      <c r="BVC37" s="19"/>
      <c r="BVD37" s="19"/>
      <c r="BVE37" s="19"/>
      <c r="BVF37" s="21"/>
      <c r="BVG37" s="19"/>
      <c r="BVP37" s="19"/>
      <c r="BVQ37" s="19"/>
      <c r="BVR37" s="19"/>
      <c r="BVS37" s="19"/>
      <c r="BVT37" s="21"/>
      <c r="BVU37" s="19"/>
      <c r="BWD37" s="19"/>
      <c r="BWE37" s="19"/>
      <c r="BWF37" s="19"/>
      <c r="BWG37" s="19"/>
      <c r="BWH37" s="21"/>
      <c r="BWI37" s="19"/>
      <c r="BWR37" s="19"/>
      <c r="BWS37" s="19"/>
      <c r="BWT37" s="19"/>
      <c r="BWU37" s="19"/>
      <c r="BWV37" s="21"/>
      <c r="BWW37" s="19"/>
      <c r="BXF37" s="19"/>
      <c r="BXG37" s="19"/>
      <c r="BXH37" s="19"/>
      <c r="BXI37" s="19"/>
      <c r="BXJ37" s="21"/>
      <c r="BXK37" s="19"/>
      <c r="BXT37" s="19"/>
      <c r="BXU37" s="19"/>
      <c r="BXV37" s="19"/>
      <c r="BXW37" s="19"/>
      <c r="BXX37" s="21"/>
      <c r="BXY37" s="19"/>
      <c r="BYH37" s="19"/>
      <c r="BYI37" s="19"/>
      <c r="BYJ37" s="19"/>
      <c r="BYK37" s="19"/>
      <c r="BYL37" s="21"/>
      <c r="BYM37" s="19"/>
      <c r="BYV37" s="19"/>
      <c r="BYW37" s="19"/>
      <c r="BYX37" s="19"/>
      <c r="BYY37" s="19"/>
      <c r="BYZ37" s="21"/>
      <c r="BZA37" s="19"/>
      <c r="BZJ37" s="19"/>
      <c r="BZK37" s="19"/>
      <c r="BZL37" s="19"/>
      <c r="BZM37" s="19"/>
      <c r="BZN37" s="21"/>
      <c r="BZO37" s="19"/>
      <c r="BZX37" s="19"/>
      <c r="BZY37" s="19"/>
      <c r="BZZ37" s="19"/>
      <c r="CAA37" s="19"/>
      <c r="CAB37" s="21"/>
      <c r="CAC37" s="19"/>
      <c r="CAL37" s="19"/>
      <c r="CAM37" s="19"/>
      <c r="CAN37" s="19"/>
      <c r="CAO37" s="19"/>
      <c r="CAP37" s="21"/>
      <c r="CAQ37" s="19"/>
      <c r="CAZ37" s="19"/>
      <c r="CBA37" s="19"/>
      <c r="CBB37" s="19"/>
      <c r="CBC37" s="19"/>
      <c r="CBD37" s="21"/>
      <c r="CBE37" s="19"/>
      <c r="CBN37" s="19"/>
      <c r="CBO37" s="19"/>
      <c r="CBP37" s="19"/>
      <c r="CBQ37" s="19"/>
      <c r="CBR37" s="21"/>
      <c r="CBS37" s="19"/>
      <c r="CCB37" s="19"/>
      <c r="CCC37" s="19"/>
      <c r="CCD37" s="19"/>
      <c r="CCE37" s="19"/>
      <c r="CCF37" s="21"/>
      <c r="CCG37" s="19"/>
      <c r="CCP37" s="19"/>
      <c r="CCQ37" s="19"/>
      <c r="CCR37" s="19"/>
      <c r="CCS37" s="19"/>
      <c r="CCT37" s="21"/>
      <c r="CCU37" s="19"/>
      <c r="CDD37" s="19"/>
      <c r="CDE37" s="19"/>
      <c r="CDF37" s="19"/>
      <c r="CDG37" s="19"/>
      <c r="CDH37" s="21"/>
      <c r="CDI37" s="19"/>
      <c r="CDR37" s="19"/>
      <c r="CDS37" s="19"/>
      <c r="CDT37" s="19"/>
      <c r="CDU37" s="19"/>
      <c r="CDV37" s="21"/>
      <c r="CDW37" s="19"/>
      <c r="CEF37" s="19"/>
      <c r="CEG37" s="19"/>
      <c r="CEH37" s="19"/>
      <c r="CEI37" s="19"/>
      <c r="CEJ37" s="21"/>
      <c r="CEK37" s="19"/>
      <c r="CET37" s="19"/>
      <c r="CEU37" s="19"/>
      <c r="CEV37" s="19"/>
      <c r="CEW37" s="19"/>
      <c r="CEX37" s="21"/>
      <c r="CEY37" s="19"/>
      <c r="CFH37" s="19"/>
      <c r="CFI37" s="19"/>
      <c r="CFJ37" s="19"/>
      <c r="CFK37" s="19"/>
      <c r="CFL37" s="21"/>
      <c r="CFM37" s="19"/>
      <c r="CFV37" s="19"/>
      <c r="CFW37" s="19"/>
      <c r="CFX37" s="19"/>
      <c r="CFY37" s="19"/>
      <c r="CFZ37" s="21"/>
      <c r="CGA37" s="19"/>
      <c r="CGJ37" s="19"/>
      <c r="CGK37" s="19"/>
      <c r="CGL37" s="19"/>
      <c r="CGM37" s="19"/>
      <c r="CGN37" s="21"/>
      <c r="CGO37" s="19"/>
      <c r="CGX37" s="19"/>
      <c r="CGY37" s="19"/>
      <c r="CGZ37" s="19"/>
      <c r="CHA37" s="19"/>
      <c r="CHB37" s="21"/>
      <c r="CHC37" s="19"/>
      <c r="CHL37" s="19"/>
      <c r="CHM37" s="19"/>
      <c r="CHN37" s="19"/>
      <c r="CHO37" s="19"/>
      <c r="CHP37" s="21"/>
      <c r="CHQ37" s="19"/>
      <c r="CHZ37" s="19"/>
      <c r="CIA37" s="19"/>
      <c r="CIB37" s="19"/>
      <c r="CIC37" s="19"/>
      <c r="CID37" s="21"/>
      <c r="CIE37" s="19"/>
      <c r="CIN37" s="19"/>
      <c r="CIO37" s="19"/>
      <c r="CIP37" s="19"/>
      <c r="CIQ37" s="19"/>
      <c r="CIR37" s="21"/>
      <c r="CIS37" s="19"/>
      <c r="CJB37" s="19"/>
      <c r="CJC37" s="19"/>
      <c r="CJD37" s="19"/>
      <c r="CJE37" s="19"/>
      <c r="CJF37" s="21"/>
      <c r="CJG37" s="19"/>
      <c r="CJP37" s="19"/>
      <c r="CJQ37" s="19"/>
      <c r="CJR37" s="19"/>
      <c r="CJS37" s="19"/>
      <c r="CJT37" s="21"/>
      <c r="CJU37" s="19"/>
      <c r="CKD37" s="19"/>
      <c r="CKE37" s="19"/>
      <c r="CKF37" s="19"/>
      <c r="CKG37" s="19"/>
      <c r="CKH37" s="21"/>
      <c r="CKI37" s="19"/>
      <c r="CKR37" s="19"/>
      <c r="CKS37" s="19"/>
      <c r="CKT37" s="19"/>
      <c r="CKU37" s="19"/>
      <c r="CKV37" s="21"/>
      <c r="CKW37" s="19"/>
      <c r="CLF37" s="19"/>
      <c r="CLG37" s="19"/>
      <c r="CLH37" s="19"/>
      <c r="CLI37" s="19"/>
      <c r="CLJ37" s="21"/>
      <c r="CLK37" s="19"/>
      <c r="CLT37" s="19"/>
      <c r="CLU37" s="19"/>
      <c r="CLV37" s="19"/>
      <c r="CLW37" s="19"/>
      <c r="CLX37" s="21"/>
      <c r="CLY37" s="19"/>
      <c r="CMH37" s="19"/>
      <c r="CMI37" s="19"/>
      <c r="CMJ37" s="19"/>
      <c r="CMK37" s="19"/>
      <c r="CML37" s="21"/>
      <c r="CMM37" s="19"/>
      <c r="CMV37" s="19"/>
      <c r="CMW37" s="19"/>
      <c r="CMX37" s="19"/>
      <c r="CMY37" s="19"/>
      <c r="CMZ37" s="21"/>
      <c r="CNA37" s="19"/>
      <c r="CNJ37" s="19"/>
      <c r="CNK37" s="19"/>
      <c r="CNL37" s="19"/>
      <c r="CNM37" s="19"/>
      <c r="CNN37" s="21"/>
      <c r="CNO37" s="19"/>
      <c r="CNX37" s="19"/>
      <c r="CNY37" s="19"/>
      <c r="CNZ37" s="19"/>
      <c r="COA37" s="19"/>
      <c r="COB37" s="21"/>
      <c r="COC37" s="19"/>
      <c r="COL37" s="19"/>
      <c r="COM37" s="19"/>
      <c r="CON37" s="19"/>
      <c r="COO37" s="19"/>
      <c r="COP37" s="21"/>
      <c r="COQ37" s="19"/>
      <c r="COZ37" s="19"/>
      <c r="CPA37" s="19"/>
      <c r="CPB37" s="19"/>
      <c r="CPC37" s="19"/>
      <c r="CPD37" s="21"/>
      <c r="CPE37" s="19"/>
      <c r="CPN37" s="19"/>
      <c r="CPO37" s="19"/>
      <c r="CPP37" s="19"/>
      <c r="CPQ37" s="19"/>
      <c r="CPR37" s="21"/>
      <c r="CPS37" s="19"/>
      <c r="CQB37" s="19"/>
      <c r="CQC37" s="19"/>
      <c r="CQD37" s="19"/>
      <c r="CQE37" s="19"/>
      <c r="CQF37" s="21"/>
      <c r="CQG37" s="19"/>
      <c r="CQP37" s="19"/>
      <c r="CQQ37" s="19"/>
      <c r="CQR37" s="19"/>
      <c r="CQS37" s="19"/>
      <c r="CQT37" s="21"/>
      <c r="CQU37" s="19"/>
      <c r="CRD37" s="19"/>
      <c r="CRE37" s="19"/>
      <c r="CRF37" s="19"/>
      <c r="CRG37" s="19"/>
      <c r="CRH37" s="21"/>
      <c r="CRI37" s="19"/>
      <c r="CRR37" s="19"/>
      <c r="CRS37" s="19"/>
      <c r="CRT37" s="19"/>
      <c r="CRU37" s="19"/>
      <c r="CRV37" s="21"/>
      <c r="CRW37" s="19"/>
      <c r="CSF37" s="19"/>
      <c r="CSG37" s="19"/>
      <c r="CSH37" s="19"/>
      <c r="CSI37" s="19"/>
      <c r="CSJ37" s="21"/>
      <c r="CSK37" s="19"/>
      <c r="CST37" s="19"/>
      <c r="CSU37" s="19"/>
      <c r="CSV37" s="19"/>
      <c r="CSW37" s="19"/>
      <c r="CSX37" s="21"/>
      <c r="CSY37" s="19"/>
      <c r="CTH37" s="19"/>
      <c r="CTI37" s="19"/>
      <c r="CTJ37" s="19"/>
      <c r="CTK37" s="19"/>
      <c r="CTL37" s="21"/>
      <c r="CTM37" s="19"/>
      <c r="CTV37" s="19"/>
      <c r="CTW37" s="19"/>
      <c r="CTX37" s="19"/>
      <c r="CTY37" s="19"/>
      <c r="CTZ37" s="21"/>
      <c r="CUA37" s="19"/>
      <c r="CUJ37" s="19"/>
      <c r="CUK37" s="19"/>
      <c r="CUL37" s="19"/>
      <c r="CUM37" s="19"/>
      <c r="CUN37" s="21"/>
      <c r="CUO37" s="19"/>
      <c r="CUX37" s="19"/>
      <c r="CUY37" s="19"/>
      <c r="CUZ37" s="19"/>
      <c r="CVA37" s="19"/>
      <c r="CVB37" s="21"/>
      <c r="CVC37" s="19"/>
      <c r="CVL37" s="19"/>
      <c r="CVM37" s="19"/>
      <c r="CVN37" s="19"/>
      <c r="CVO37" s="19"/>
      <c r="CVP37" s="21"/>
      <c r="CVQ37" s="19"/>
      <c r="CVZ37" s="19"/>
      <c r="CWA37" s="19"/>
      <c r="CWB37" s="19"/>
      <c r="CWC37" s="19"/>
      <c r="CWD37" s="21"/>
      <c r="CWE37" s="19"/>
      <c r="CWN37" s="19"/>
      <c r="CWO37" s="19"/>
      <c r="CWP37" s="19"/>
      <c r="CWQ37" s="19"/>
      <c r="CWR37" s="21"/>
      <c r="CWS37" s="19"/>
      <c r="CXB37" s="19"/>
      <c r="CXC37" s="19"/>
      <c r="CXD37" s="19"/>
      <c r="CXE37" s="19"/>
      <c r="CXF37" s="21"/>
      <c r="CXG37" s="19"/>
      <c r="CXP37" s="19"/>
      <c r="CXQ37" s="19"/>
      <c r="CXR37" s="19"/>
      <c r="CXS37" s="19"/>
      <c r="CXT37" s="21"/>
      <c r="CXU37" s="19"/>
      <c r="CYD37" s="19"/>
      <c r="CYE37" s="19"/>
      <c r="CYF37" s="19"/>
      <c r="CYG37" s="19"/>
      <c r="CYH37" s="21"/>
      <c r="CYI37" s="19"/>
      <c r="CYR37" s="19"/>
      <c r="CYS37" s="19"/>
      <c r="CYT37" s="19"/>
      <c r="CYU37" s="19"/>
      <c r="CYV37" s="21"/>
      <c r="CYW37" s="19"/>
      <c r="CZF37" s="19"/>
      <c r="CZG37" s="19"/>
      <c r="CZH37" s="19"/>
      <c r="CZI37" s="19"/>
      <c r="CZJ37" s="21"/>
      <c r="CZK37" s="19"/>
      <c r="CZT37" s="19"/>
      <c r="CZU37" s="19"/>
      <c r="CZV37" s="19"/>
      <c r="CZW37" s="19"/>
      <c r="CZX37" s="21"/>
      <c r="CZY37" s="19"/>
      <c r="DAH37" s="19"/>
      <c r="DAI37" s="19"/>
      <c r="DAJ37" s="19"/>
      <c r="DAK37" s="19"/>
      <c r="DAL37" s="21"/>
      <c r="DAM37" s="19"/>
      <c r="DAV37" s="19"/>
      <c r="DAW37" s="19"/>
      <c r="DAX37" s="19"/>
      <c r="DAY37" s="19"/>
      <c r="DAZ37" s="21"/>
      <c r="DBA37" s="19"/>
      <c r="DBJ37" s="19"/>
      <c r="DBK37" s="19"/>
      <c r="DBL37" s="19"/>
      <c r="DBM37" s="19"/>
      <c r="DBN37" s="21"/>
      <c r="DBO37" s="19"/>
      <c r="DBX37" s="19"/>
      <c r="DBY37" s="19"/>
      <c r="DBZ37" s="19"/>
      <c r="DCA37" s="19"/>
      <c r="DCB37" s="21"/>
      <c r="DCC37" s="19"/>
      <c r="DCL37" s="19"/>
      <c r="DCM37" s="19"/>
      <c r="DCN37" s="19"/>
      <c r="DCO37" s="19"/>
      <c r="DCP37" s="21"/>
      <c r="DCQ37" s="19"/>
      <c r="DCZ37" s="19"/>
      <c r="DDA37" s="19"/>
      <c r="DDB37" s="19"/>
      <c r="DDC37" s="19"/>
      <c r="DDD37" s="21"/>
      <c r="DDE37" s="19"/>
      <c r="DDN37" s="19"/>
      <c r="DDO37" s="19"/>
      <c r="DDP37" s="19"/>
      <c r="DDQ37" s="19"/>
      <c r="DDR37" s="21"/>
      <c r="DDS37" s="19"/>
      <c r="DEB37" s="19"/>
      <c r="DEC37" s="19"/>
      <c r="DED37" s="19"/>
      <c r="DEE37" s="19"/>
      <c r="DEF37" s="21"/>
      <c r="DEG37" s="19"/>
      <c r="DEP37" s="19"/>
      <c r="DEQ37" s="19"/>
      <c r="DER37" s="19"/>
      <c r="DES37" s="19"/>
      <c r="DET37" s="21"/>
      <c r="DEU37" s="19"/>
      <c r="DFD37" s="19"/>
      <c r="DFE37" s="19"/>
      <c r="DFF37" s="19"/>
      <c r="DFG37" s="19"/>
      <c r="DFH37" s="21"/>
      <c r="DFI37" s="19"/>
      <c r="DFR37" s="19"/>
      <c r="DFS37" s="19"/>
      <c r="DFT37" s="19"/>
      <c r="DFU37" s="19"/>
      <c r="DFV37" s="21"/>
      <c r="DFW37" s="19"/>
      <c r="DGF37" s="19"/>
      <c r="DGG37" s="19"/>
      <c r="DGH37" s="19"/>
      <c r="DGI37" s="19"/>
      <c r="DGJ37" s="21"/>
      <c r="DGK37" s="19"/>
      <c r="DGT37" s="19"/>
      <c r="DGU37" s="19"/>
      <c r="DGV37" s="19"/>
      <c r="DGW37" s="19"/>
      <c r="DGX37" s="21"/>
      <c r="DGY37" s="19"/>
      <c r="DHH37" s="19"/>
      <c r="DHI37" s="19"/>
      <c r="DHJ37" s="19"/>
      <c r="DHK37" s="19"/>
      <c r="DHL37" s="21"/>
      <c r="DHM37" s="19"/>
      <c r="DHV37" s="19"/>
      <c r="DHW37" s="19"/>
      <c r="DHX37" s="19"/>
      <c r="DHY37" s="19"/>
      <c r="DHZ37" s="21"/>
      <c r="DIA37" s="19"/>
      <c r="DIJ37" s="19"/>
      <c r="DIK37" s="19"/>
      <c r="DIL37" s="19"/>
      <c r="DIM37" s="19"/>
      <c r="DIN37" s="21"/>
      <c r="DIO37" s="19"/>
      <c r="DIX37" s="19"/>
      <c r="DIY37" s="19"/>
      <c r="DIZ37" s="19"/>
      <c r="DJA37" s="19"/>
      <c r="DJB37" s="21"/>
      <c r="DJC37" s="19"/>
      <c r="DJL37" s="19"/>
      <c r="DJM37" s="19"/>
      <c r="DJN37" s="19"/>
      <c r="DJO37" s="19"/>
      <c r="DJP37" s="21"/>
      <c r="DJQ37" s="19"/>
      <c r="DJZ37" s="19"/>
      <c r="DKA37" s="19"/>
      <c r="DKB37" s="19"/>
      <c r="DKC37" s="19"/>
      <c r="DKD37" s="21"/>
      <c r="DKE37" s="19"/>
      <c r="DKN37" s="19"/>
      <c r="DKO37" s="19"/>
      <c r="DKP37" s="19"/>
      <c r="DKQ37" s="19"/>
      <c r="DKR37" s="21"/>
      <c r="DKS37" s="19"/>
      <c r="DLB37" s="19"/>
      <c r="DLC37" s="19"/>
      <c r="DLD37" s="19"/>
      <c r="DLE37" s="19"/>
      <c r="DLF37" s="21"/>
      <c r="DLG37" s="19"/>
      <c r="DLP37" s="19"/>
      <c r="DLQ37" s="19"/>
      <c r="DLR37" s="19"/>
      <c r="DLS37" s="19"/>
      <c r="DLT37" s="21"/>
      <c r="DLU37" s="19"/>
      <c r="DMD37" s="19"/>
      <c r="DME37" s="19"/>
      <c r="DMF37" s="19"/>
      <c r="DMG37" s="19"/>
      <c r="DMH37" s="21"/>
      <c r="DMI37" s="19"/>
      <c r="DMR37" s="19"/>
      <c r="DMS37" s="19"/>
      <c r="DMT37" s="19"/>
      <c r="DMU37" s="19"/>
      <c r="DMV37" s="21"/>
      <c r="DMW37" s="19"/>
      <c r="DNF37" s="19"/>
      <c r="DNG37" s="19"/>
      <c r="DNH37" s="19"/>
      <c r="DNI37" s="19"/>
      <c r="DNJ37" s="21"/>
      <c r="DNK37" s="19"/>
      <c r="DNT37" s="19"/>
      <c r="DNU37" s="19"/>
      <c r="DNV37" s="19"/>
      <c r="DNW37" s="19"/>
      <c r="DNX37" s="21"/>
      <c r="DNY37" s="19"/>
      <c r="DOH37" s="19"/>
      <c r="DOI37" s="19"/>
      <c r="DOJ37" s="19"/>
      <c r="DOK37" s="19"/>
      <c r="DOL37" s="21"/>
      <c r="DOM37" s="19"/>
      <c r="DOV37" s="19"/>
      <c r="DOW37" s="19"/>
      <c r="DOX37" s="19"/>
      <c r="DOY37" s="19"/>
      <c r="DOZ37" s="21"/>
      <c r="DPA37" s="19"/>
      <c r="DPJ37" s="19"/>
      <c r="DPK37" s="19"/>
      <c r="DPL37" s="19"/>
      <c r="DPM37" s="19"/>
      <c r="DPN37" s="21"/>
      <c r="DPO37" s="19"/>
      <c r="DPX37" s="19"/>
      <c r="DPY37" s="19"/>
      <c r="DPZ37" s="19"/>
      <c r="DQA37" s="19"/>
      <c r="DQB37" s="21"/>
      <c r="DQC37" s="19"/>
      <c r="DQL37" s="19"/>
      <c r="DQM37" s="19"/>
      <c r="DQN37" s="19"/>
      <c r="DQO37" s="19"/>
      <c r="DQP37" s="21"/>
      <c r="DQQ37" s="19"/>
      <c r="DQZ37" s="19"/>
      <c r="DRA37" s="19"/>
      <c r="DRB37" s="19"/>
      <c r="DRC37" s="19"/>
      <c r="DRD37" s="21"/>
      <c r="DRE37" s="19"/>
      <c r="DRN37" s="19"/>
      <c r="DRO37" s="19"/>
      <c r="DRP37" s="19"/>
      <c r="DRQ37" s="19"/>
      <c r="DRR37" s="21"/>
      <c r="DRS37" s="19"/>
      <c r="DSB37" s="19"/>
      <c r="DSC37" s="19"/>
      <c r="DSD37" s="19"/>
      <c r="DSE37" s="19"/>
      <c r="DSF37" s="21"/>
      <c r="DSG37" s="19"/>
      <c r="DSP37" s="19"/>
      <c r="DSQ37" s="19"/>
      <c r="DSR37" s="19"/>
      <c r="DSS37" s="19"/>
      <c r="DST37" s="21"/>
      <c r="DSU37" s="19"/>
      <c r="DTD37" s="19"/>
      <c r="DTE37" s="19"/>
      <c r="DTF37" s="19"/>
      <c r="DTG37" s="19"/>
      <c r="DTH37" s="21"/>
      <c r="DTI37" s="19"/>
      <c r="DTR37" s="19"/>
      <c r="DTS37" s="19"/>
      <c r="DTT37" s="19"/>
      <c r="DTU37" s="19"/>
      <c r="DTV37" s="21"/>
      <c r="DTW37" s="19"/>
      <c r="DUF37" s="19"/>
      <c r="DUG37" s="19"/>
      <c r="DUH37" s="19"/>
      <c r="DUI37" s="19"/>
      <c r="DUJ37" s="21"/>
      <c r="DUK37" s="19"/>
      <c r="DUT37" s="19"/>
      <c r="DUU37" s="19"/>
      <c r="DUV37" s="19"/>
      <c r="DUW37" s="19"/>
      <c r="DUX37" s="21"/>
      <c r="DUY37" s="19"/>
      <c r="DVH37" s="19"/>
      <c r="DVI37" s="19"/>
      <c r="DVJ37" s="19"/>
      <c r="DVK37" s="19"/>
      <c r="DVL37" s="21"/>
      <c r="DVM37" s="19"/>
      <c r="DVV37" s="19"/>
      <c r="DVW37" s="19"/>
      <c r="DVX37" s="19"/>
      <c r="DVY37" s="19"/>
      <c r="DVZ37" s="21"/>
      <c r="DWA37" s="19"/>
      <c r="DWJ37" s="19"/>
      <c r="DWK37" s="19"/>
      <c r="DWL37" s="19"/>
      <c r="DWM37" s="19"/>
      <c r="DWN37" s="21"/>
      <c r="DWO37" s="19"/>
      <c r="DWX37" s="19"/>
      <c r="DWY37" s="19"/>
      <c r="DWZ37" s="19"/>
      <c r="DXA37" s="19"/>
      <c r="DXB37" s="21"/>
      <c r="DXC37" s="19"/>
      <c r="DXL37" s="19"/>
      <c r="DXM37" s="19"/>
      <c r="DXN37" s="19"/>
      <c r="DXO37" s="19"/>
      <c r="DXP37" s="21"/>
      <c r="DXQ37" s="19"/>
      <c r="DXZ37" s="19"/>
      <c r="DYA37" s="19"/>
      <c r="DYB37" s="19"/>
      <c r="DYC37" s="19"/>
      <c r="DYD37" s="21"/>
      <c r="DYE37" s="19"/>
      <c r="DYN37" s="19"/>
      <c r="DYO37" s="19"/>
      <c r="DYP37" s="19"/>
      <c r="DYQ37" s="19"/>
      <c r="DYR37" s="21"/>
      <c r="DYS37" s="19"/>
      <c r="DZB37" s="19"/>
      <c r="DZC37" s="19"/>
      <c r="DZD37" s="19"/>
      <c r="DZE37" s="19"/>
      <c r="DZF37" s="21"/>
      <c r="DZG37" s="19"/>
      <c r="DZP37" s="19"/>
      <c r="DZQ37" s="19"/>
      <c r="DZR37" s="19"/>
      <c r="DZS37" s="19"/>
      <c r="DZT37" s="21"/>
      <c r="DZU37" s="19"/>
      <c r="EAD37" s="19"/>
      <c r="EAE37" s="19"/>
      <c r="EAF37" s="19"/>
      <c r="EAG37" s="19"/>
      <c r="EAH37" s="21"/>
      <c r="EAI37" s="19"/>
      <c r="EAR37" s="19"/>
      <c r="EAS37" s="19"/>
      <c r="EAT37" s="19"/>
      <c r="EAU37" s="19"/>
      <c r="EAV37" s="21"/>
      <c r="EAW37" s="19"/>
      <c r="EBF37" s="19"/>
      <c r="EBG37" s="19"/>
      <c r="EBH37" s="19"/>
      <c r="EBI37" s="19"/>
      <c r="EBJ37" s="21"/>
      <c r="EBK37" s="19"/>
      <c r="EBT37" s="19"/>
      <c r="EBU37" s="19"/>
      <c r="EBV37" s="19"/>
      <c r="EBW37" s="19"/>
      <c r="EBX37" s="21"/>
      <c r="EBY37" s="19"/>
      <c r="ECH37" s="19"/>
      <c r="ECI37" s="19"/>
      <c r="ECJ37" s="19"/>
      <c r="ECK37" s="19"/>
      <c r="ECL37" s="21"/>
      <c r="ECM37" s="19"/>
      <c r="ECV37" s="19"/>
      <c r="ECW37" s="19"/>
      <c r="ECX37" s="19"/>
      <c r="ECY37" s="19"/>
      <c r="ECZ37" s="21"/>
      <c r="EDA37" s="19"/>
      <c r="EDJ37" s="19"/>
      <c r="EDK37" s="19"/>
      <c r="EDL37" s="19"/>
      <c r="EDM37" s="19"/>
      <c r="EDN37" s="21"/>
      <c r="EDO37" s="19"/>
      <c r="EDX37" s="19"/>
      <c r="EDY37" s="19"/>
      <c r="EDZ37" s="19"/>
      <c r="EEA37" s="19"/>
      <c r="EEB37" s="21"/>
      <c r="EEC37" s="19"/>
      <c r="EEL37" s="19"/>
      <c r="EEM37" s="19"/>
      <c r="EEN37" s="19"/>
      <c r="EEO37" s="19"/>
      <c r="EEP37" s="21"/>
      <c r="EEQ37" s="19"/>
      <c r="EEZ37" s="19"/>
      <c r="EFA37" s="19"/>
      <c r="EFB37" s="19"/>
      <c r="EFC37" s="19"/>
      <c r="EFD37" s="21"/>
      <c r="EFE37" s="19"/>
      <c r="EFN37" s="19"/>
      <c r="EFO37" s="19"/>
      <c r="EFP37" s="19"/>
      <c r="EFQ37" s="19"/>
      <c r="EFR37" s="21"/>
      <c r="EFS37" s="19"/>
      <c r="EGB37" s="19"/>
      <c r="EGC37" s="19"/>
      <c r="EGD37" s="19"/>
      <c r="EGE37" s="19"/>
      <c r="EGF37" s="21"/>
      <c r="EGG37" s="19"/>
      <c r="EGP37" s="19"/>
      <c r="EGQ37" s="19"/>
      <c r="EGR37" s="19"/>
      <c r="EGS37" s="19"/>
      <c r="EGT37" s="21"/>
      <c r="EGU37" s="19"/>
      <c r="EHD37" s="19"/>
      <c r="EHE37" s="19"/>
      <c r="EHF37" s="19"/>
      <c r="EHG37" s="19"/>
      <c r="EHH37" s="21"/>
      <c r="EHI37" s="19"/>
      <c r="EHR37" s="19"/>
      <c r="EHS37" s="19"/>
      <c r="EHT37" s="19"/>
      <c r="EHU37" s="19"/>
      <c r="EHV37" s="21"/>
      <c r="EHW37" s="19"/>
      <c r="EIF37" s="19"/>
      <c r="EIG37" s="19"/>
      <c r="EIH37" s="19"/>
      <c r="EII37" s="19"/>
      <c r="EIJ37" s="21"/>
      <c r="EIK37" s="19"/>
      <c r="EIT37" s="19"/>
      <c r="EIU37" s="19"/>
      <c r="EIV37" s="19"/>
      <c r="EIW37" s="19"/>
      <c r="EIX37" s="21"/>
      <c r="EIY37" s="19"/>
      <c r="EJH37" s="19"/>
      <c r="EJI37" s="19"/>
      <c r="EJJ37" s="19"/>
      <c r="EJK37" s="19"/>
      <c r="EJL37" s="21"/>
      <c r="EJM37" s="19"/>
      <c r="EJV37" s="19"/>
      <c r="EJW37" s="19"/>
      <c r="EJX37" s="19"/>
      <c r="EJY37" s="19"/>
      <c r="EJZ37" s="21"/>
      <c r="EKA37" s="19"/>
      <c r="EKJ37" s="19"/>
      <c r="EKK37" s="19"/>
      <c r="EKL37" s="19"/>
      <c r="EKM37" s="19"/>
      <c r="EKN37" s="21"/>
      <c r="EKO37" s="19"/>
      <c r="EKX37" s="19"/>
      <c r="EKY37" s="19"/>
      <c r="EKZ37" s="19"/>
      <c r="ELA37" s="19"/>
      <c r="ELB37" s="21"/>
      <c r="ELC37" s="19"/>
      <c r="ELL37" s="19"/>
      <c r="ELM37" s="19"/>
      <c r="ELN37" s="19"/>
      <c r="ELO37" s="19"/>
      <c r="ELP37" s="21"/>
      <c r="ELQ37" s="19"/>
      <c r="ELZ37" s="19"/>
      <c r="EMA37" s="19"/>
      <c r="EMB37" s="19"/>
      <c r="EMC37" s="19"/>
      <c r="EMD37" s="21"/>
      <c r="EME37" s="19"/>
      <c r="EMN37" s="19"/>
      <c r="EMO37" s="19"/>
      <c r="EMP37" s="19"/>
      <c r="EMQ37" s="19"/>
      <c r="EMR37" s="21"/>
      <c r="EMS37" s="19"/>
      <c r="ENB37" s="19"/>
      <c r="ENC37" s="19"/>
      <c r="END37" s="19"/>
      <c r="ENE37" s="19"/>
      <c r="ENF37" s="21"/>
      <c r="ENG37" s="19"/>
      <c r="ENP37" s="19"/>
      <c r="ENQ37" s="19"/>
      <c r="ENR37" s="19"/>
      <c r="ENS37" s="19"/>
      <c r="ENT37" s="21"/>
      <c r="ENU37" s="19"/>
      <c r="EOD37" s="19"/>
      <c r="EOE37" s="19"/>
      <c r="EOF37" s="19"/>
      <c r="EOG37" s="19"/>
      <c r="EOH37" s="21"/>
      <c r="EOI37" s="19"/>
      <c r="EOR37" s="19"/>
      <c r="EOS37" s="19"/>
      <c r="EOT37" s="19"/>
      <c r="EOU37" s="19"/>
      <c r="EOV37" s="21"/>
      <c r="EOW37" s="19"/>
      <c r="EPF37" s="19"/>
      <c r="EPG37" s="19"/>
      <c r="EPH37" s="19"/>
      <c r="EPI37" s="19"/>
      <c r="EPJ37" s="21"/>
      <c r="EPK37" s="19"/>
      <c r="EPT37" s="19"/>
      <c r="EPU37" s="19"/>
      <c r="EPV37" s="19"/>
      <c r="EPW37" s="19"/>
      <c r="EPX37" s="21"/>
      <c r="EPY37" s="19"/>
      <c r="EQH37" s="19"/>
      <c r="EQI37" s="19"/>
      <c r="EQJ37" s="19"/>
      <c r="EQK37" s="19"/>
      <c r="EQL37" s="21"/>
      <c r="EQM37" s="19"/>
      <c r="EQV37" s="19"/>
      <c r="EQW37" s="19"/>
      <c r="EQX37" s="19"/>
      <c r="EQY37" s="19"/>
      <c r="EQZ37" s="21"/>
      <c r="ERA37" s="19"/>
      <c r="ERJ37" s="19"/>
      <c r="ERK37" s="19"/>
      <c r="ERL37" s="19"/>
      <c r="ERM37" s="19"/>
      <c r="ERN37" s="21"/>
      <c r="ERO37" s="19"/>
      <c r="ERX37" s="19"/>
      <c r="ERY37" s="19"/>
      <c r="ERZ37" s="19"/>
      <c r="ESA37" s="19"/>
      <c r="ESB37" s="21"/>
      <c r="ESC37" s="19"/>
      <c r="ESL37" s="19"/>
      <c r="ESM37" s="19"/>
      <c r="ESN37" s="19"/>
      <c r="ESO37" s="19"/>
      <c r="ESP37" s="21"/>
      <c r="ESQ37" s="19"/>
      <c r="ESZ37" s="19"/>
      <c r="ETA37" s="19"/>
      <c r="ETB37" s="19"/>
      <c r="ETC37" s="19"/>
      <c r="ETD37" s="21"/>
      <c r="ETE37" s="19"/>
      <c r="ETN37" s="19"/>
      <c r="ETO37" s="19"/>
      <c r="ETP37" s="19"/>
      <c r="ETQ37" s="19"/>
      <c r="ETR37" s="21"/>
      <c r="ETS37" s="19"/>
      <c r="EUB37" s="19"/>
      <c r="EUC37" s="19"/>
      <c r="EUD37" s="19"/>
      <c r="EUE37" s="19"/>
      <c r="EUF37" s="21"/>
      <c r="EUG37" s="19"/>
      <c r="EUP37" s="19"/>
      <c r="EUQ37" s="19"/>
      <c r="EUR37" s="19"/>
      <c r="EUS37" s="19"/>
      <c r="EUT37" s="21"/>
      <c r="EUU37" s="19"/>
      <c r="EVD37" s="19"/>
      <c r="EVE37" s="19"/>
      <c r="EVF37" s="19"/>
      <c r="EVG37" s="19"/>
      <c r="EVH37" s="21"/>
      <c r="EVI37" s="19"/>
      <c r="EVR37" s="19"/>
      <c r="EVS37" s="19"/>
      <c r="EVT37" s="19"/>
      <c r="EVU37" s="19"/>
      <c r="EVV37" s="21"/>
      <c r="EVW37" s="19"/>
      <c r="EWF37" s="19"/>
      <c r="EWG37" s="19"/>
      <c r="EWH37" s="19"/>
      <c r="EWI37" s="19"/>
      <c r="EWJ37" s="21"/>
      <c r="EWK37" s="19"/>
      <c r="EWT37" s="19"/>
      <c r="EWU37" s="19"/>
      <c r="EWV37" s="19"/>
      <c r="EWW37" s="19"/>
      <c r="EWX37" s="21"/>
      <c r="EWY37" s="19"/>
      <c r="EXH37" s="19"/>
      <c r="EXI37" s="19"/>
      <c r="EXJ37" s="19"/>
      <c r="EXK37" s="19"/>
      <c r="EXL37" s="21"/>
      <c r="EXM37" s="19"/>
      <c r="EXV37" s="19"/>
      <c r="EXW37" s="19"/>
      <c r="EXX37" s="19"/>
      <c r="EXY37" s="19"/>
      <c r="EXZ37" s="21"/>
      <c r="EYA37" s="19"/>
      <c r="EYJ37" s="19"/>
      <c r="EYK37" s="19"/>
      <c r="EYL37" s="19"/>
      <c r="EYM37" s="19"/>
      <c r="EYN37" s="21"/>
      <c r="EYO37" s="19"/>
      <c r="EYX37" s="19"/>
      <c r="EYY37" s="19"/>
      <c r="EYZ37" s="19"/>
      <c r="EZA37" s="19"/>
      <c r="EZB37" s="21"/>
      <c r="EZC37" s="19"/>
      <c r="EZL37" s="19"/>
      <c r="EZM37" s="19"/>
      <c r="EZN37" s="19"/>
      <c r="EZO37" s="19"/>
      <c r="EZP37" s="21"/>
      <c r="EZQ37" s="19"/>
      <c r="EZZ37" s="19"/>
      <c r="FAA37" s="19"/>
      <c r="FAB37" s="19"/>
      <c r="FAC37" s="19"/>
      <c r="FAD37" s="21"/>
      <c r="FAE37" s="19"/>
      <c r="FAN37" s="19"/>
      <c r="FAO37" s="19"/>
      <c r="FAP37" s="19"/>
      <c r="FAQ37" s="19"/>
      <c r="FAR37" s="21"/>
      <c r="FAS37" s="19"/>
      <c r="FBB37" s="19"/>
      <c r="FBC37" s="19"/>
      <c r="FBD37" s="19"/>
      <c r="FBE37" s="19"/>
      <c r="FBF37" s="21"/>
      <c r="FBG37" s="19"/>
      <c r="FBP37" s="19"/>
      <c r="FBQ37" s="19"/>
      <c r="FBR37" s="19"/>
      <c r="FBS37" s="19"/>
      <c r="FBT37" s="21"/>
      <c r="FBU37" s="19"/>
      <c r="FCD37" s="19"/>
      <c r="FCE37" s="19"/>
      <c r="FCF37" s="19"/>
      <c r="FCG37" s="19"/>
      <c r="FCH37" s="21"/>
      <c r="FCI37" s="19"/>
      <c r="FCR37" s="19"/>
      <c r="FCS37" s="19"/>
      <c r="FCT37" s="19"/>
      <c r="FCU37" s="19"/>
      <c r="FCV37" s="21"/>
      <c r="FCW37" s="19"/>
      <c r="FDF37" s="19"/>
      <c r="FDG37" s="19"/>
      <c r="FDH37" s="19"/>
      <c r="FDI37" s="19"/>
      <c r="FDJ37" s="21"/>
      <c r="FDK37" s="19"/>
      <c r="FDT37" s="19"/>
      <c r="FDU37" s="19"/>
      <c r="FDV37" s="19"/>
      <c r="FDW37" s="19"/>
      <c r="FDX37" s="21"/>
      <c r="FDY37" s="19"/>
      <c r="FEH37" s="19"/>
      <c r="FEI37" s="19"/>
      <c r="FEJ37" s="19"/>
      <c r="FEK37" s="19"/>
      <c r="FEL37" s="21"/>
      <c r="FEM37" s="19"/>
      <c r="FEV37" s="19"/>
      <c r="FEW37" s="19"/>
      <c r="FEX37" s="19"/>
      <c r="FEY37" s="19"/>
      <c r="FEZ37" s="21"/>
      <c r="FFA37" s="19"/>
      <c r="FFJ37" s="19"/>
      <c r="FFK37" s="19"/>
      <c r="FFL37" s="19"/>
      <c r="FFM37" s="19"/>
      <c r="FFN37" s="21"/>
      <c r="FFO37" s="19"/>
      <c r="FFX37" s="19"/>
      <c r="FFY37" s="19"/>
      <c r="FFZ37" s="19"/>
      <c r="FGA37" s="19"/>
      <c r="FGB37" s="21"/>
      <c r="FGC37" s="19"/>
      <c r="FGL37" s="19"/>
      <c r="FGM37" s="19"/>
      <c r="FGN37" s="19"/>
      <c r="FGO37" s="19"/>
      <c r="FGP37" s="21"/>
      <c r="FGQ37" s="19"/>
      <c r="FGZ37" s="19"/>
      <c r="FHA37" s="19"/>
      <c r="FHB37" s="19"/>
      <c r="FHC37" s="19"/>
      <c r="FHD37" s="21"/>
      <c r="FHE37" s="19"/>
      <c r="FHN37" s="19"/>
      <c r="FHO37" s="19"/>
      <c r="FHP37" s="19"/>
      <c r="FHQ37" s="19"/>
      <c r="FHR37" s="21"/>
      <c r="FHS37" s="19"/>
      <c r="FIB37" s="19"/>
      <c r="FIC37" s="19"/>
      <c r="FID37" s="19"/>
      <c r="FIE37" s="19"/>
      <c r="FIF37" s="21"/>
      <c r="FIG37" s="19"/>
      <c r="FIP37" s="19"/>
      <c r="FIQ37" s="19"/>
      <c r="FIR37" s="19"/>
      <c r="FIS37" s="19"/>
      <c r="FIT37" s="21"/>
      <c r="FIU37" s="19"/>
      <c r="FJD37" s="19"/>
      <c r="FJE37" s="19"/>
      <c r="FJF37" s="19"/>
      <c r="FJG37" s="19"/>
      <c r="FJH37" s="21"/>
      <c r="FJI37" s="19"/>
      <c r="FJR37" s="19"/>
      <c r="FJS37" s="19"/>
      <c r="FJT37" s="19"/>
      <c r="FJU37" s="19"/>
      <c r="FJV37" s="21"/>
      <c r="FJW37" s="19"/>
      <c r="FKF37" s="19"/>
      <c r="FKG37" s="19"/>
      <c r="FKH37" s="19"/>
      <c r="FKI37" s="19"/>
      <c r="FKJ37" s="21"/>
      <c r="FKK37" s="19"/>
      <c r="FKT37" s="19"/>
      <c r="FKU37" s="19"/>
      <c r="FKV37" s="19"/>
      <c r="FKW37" s="19"/>
      <c r="FKX37" s="21"/>
      <c r="FKY37" s="19"/>
      <c r="FLH37" s="19"/>
      <c r="FLI37" s="19"/>
      <c r="FLJ37" s="19"/>
      <c r="FLK37" s="19"/>
      <c r="FLL37" s="21"/>
      <c r="FLM37" s="19"/>
      <c r="FLV37" s="19"/>
      <c r="FLW37" s="19"/>
      <c r="FLX37" s="19"/>
      <c r="FLY37" s="19"/>
      <c r="FLZ37" s="21"/>
      <c r="FMA37" s="19"/>
      <c r="FMJ37" s="19"/>
      <c r="FMK37" s="19"/>
      <c r="FML37" s="19"/>
      <c r="FMM37" s="19"/>
      <c r="FMN37" s="21"/>
      <c r="FMO37" s="19"/>
      <c r="FMX37" s="19"/>
      <c r="FMY37" s="19"/>
      <c r="FMZ37" s="19"/>
      <c r="FNA37" s="19"/>
      <c r="FNB37" s="21"/>
      <c r="FNC37" s="19"/>
      <c r="FNL37" s="19"/>
      <c r="FNM37" s="19"/>
      <c r="FNN37" s="19"/>
      <c r="FNO37" s="19"/>
      <c r="FNP37" s="21"/>
      <c r="FNQ37" s="19"/>
      <c r="FNZ37" s="19"/>
      <c r="FOA37" s="19"/>
      <c r="FOB37" s="19"/>
      <c r="FOC37" s="19"/>
      <c r="FOD37" s="21"/>
      <c r="FOE37" s="19"/>
      <c r="FON37" s="19"/>
      <c r="FOO37" s="19"/>
      <c r="FOP37" s="19"/>
      <c r="FOQ37" s="19"/>
      <c r="FOR37" s="21"/>
      <c r="FOS37" s="19"/>
      <c r="FPB37" s="19"/>
      <c r="FPC37" s="19"/>
      <c r="FPD37" s="19"/>
      <c r="FPE37" s="19"/>
      <c r="FPF37" s="21"/>
      <c r="FPG37" s="19"/>
      <c r="FPP37" s="19"/>
      <c r="FPQ37" s="19"/>
      <c r="FPR37" s="19"/>
      <c r="FPS37" s="19"/>
      <c r="FPT37" s="21"/>
      <c r="FPU37" s="19"/>
      <c r="FQD37" s="19"/>
      <c r="FQE37" s="19"/>
      <c r="FQF37" s="19"/>
      <c r="FQG37" s="19"/>
      <c r="FQH37" s="21"/>
      <c r="FQI37" s="19"/>
      <c r="FQR37" s="19"/>
      <c r="FQS37" s="19"/>
      <c r="FQT37" s="19"/>
      <c r="FQU37" s="19"/>
      <c r="FQV37" s="21"/>
      <c r="FQW37" s="19"/>
      <c r="FRF37" s="19"/>
      <c r="FRG37" s="19"/>
      <c r="FRH37" s="19"/>
      <c r="FRI37" s="19"/>
      <c r="FRJ37" s="21"/>
      <c r="FRK37" s="19"/>
      <c r="FRT37" s="19"/>
      <c r="FRU37" s="19"/>
      <c r="FRV37" s="19"/>
      <c r="FRW37" s="19"/>
      <c r="FRX37" s="21"/>
      <c r="FRY37" s="19"/>
      <c r="FSH37" s="19"/>
      <c r="FSI37" s="19"/>
      <c r="FSJ37" s="19"/>
      <c r="FSK37" s="19"/>
      <c r="FSL37" s="21"/>
      <c r="FSM37" s="19"/>
      <c r="FSV37" s="19"/>
      <c r="FSW37" s="19"/>
      <c r="FSX37" s="19"/>
      <c r="FSY37" s="19"/>
      <c r="FSZ37" s="21"/>
      <c r="FTA37" s="19"/>
      <c r="FTJ37" s="19"/>
      <c r="FTK37" s="19"/>
      <c r="FTL37" s="19"/>
      <c r="FTM37" s="19"/>
      <c r="FTN37" s="21"/>
      <c r="FTO37" s="19"/>
      <c r="FTX37" s="19"/>
      <c r="FTY37" s="19"/>
      <c r="FTZ37" s="19"/>
      <c r="FUA37" s="19"/>
      <c r="FUB37" s="21"/>
      <c r="FUC37" s="19"/>
      <c r="FUL37" s="19"/>
      <c r="FUM37" s="19"/>
      <c r="FUN37" s="19"/>
      <c r="FUO37" s="19"/>
      <c r="FUP37" s="21"/>
      <c r="FUQ37" s="19"/>
      <c r="FUZ37" s="19"/>
      <c r="FVA37" s="19"/>
      <c r="FVB37" s="19"/>
      <c r="FVC37" s="19"/>
      <c r="FVD37" s="21"/>
      <c r="FVE37" s="19"/>
      <c r="FVN37" s="19"/>
      <c r="FVO37" s="19"/>
      <c r="FVP37" s="19"/>
      <c r="FVQ37" s="19"/>
      <c r="FVR37" s="21"/>
      <c r="FVS37" s="19"/>
      <c r="FWB37" s="19"/>
      <c r="FWC37" s="19"/>
      <c r="FWD37" s="19"/>
      <c r="FWE37" s="19"/>
      <c r="FWF37" s="21"/>
      <c r="FWG37" s="19"/>
      <c r="FWP37" s="19"/>
      <c r="FWQ37" s="19"/>
      <c r="FWR37" s="19"/>
      <c r="FWS37" s="19"/>
      <c r="FWT37" s="21"/>
      <c r="FWU37" s="19"/>
      <c r="FXD37" s="19"/>
      <c r="FXE37" s="19"/>
      <c r="FXF37" s="19"/>
      <c r="FXG37" s="19"/>
      <c r="FXH37" s="21"/>
      <c r="FXI37" s="19"/>
      <c r="FXR37" s="19"/>
      <c r="FXS37" s="19"/>
      <c r="FXT37" s="19"/>
      <c r="FXU37" s="19"/>
      <c r="FXV37" s="21"/>
      <c r="FXW37" s="19"/>
      <c r="FYF37" s="19"/>
      <c r="FYG37" s="19"/>
      <c r="FYH37" s="19"/>
      <c r="FYI37" s="19"/>
      <c r="FYJ37" s="21"/>
      <c r="FYK37" s="19"/>
      <c r="FYT37" s="19"/>
      <c r="FYU37" s="19"/>
      <c r="FYV37" s="19"/>
      <c r="FYW37" s="19"/>
      <c r="FYX37" s="21"/>
      <c r="FYY37" s="19"/>
      <c r="FZH37" s="19"/>
      <c r="FZI37" s="19"/>
      <c r="FZJ37" s="19"/>
      <c r="FZK37" s="19"/>
      <c r="FZL37" s="21"/>
      <c r="FZM37" s="19"/>
      <c r="FZV37" s="19"/>
      <c r="FZW37" s="19"/>
      <c r="FZX37" s="19"/>
      <c r="FZY37" s="19"/>
      <c r="FZZ37" s="21"/>
      <c r="GAA37" s="19"/>
      <c r="GAJ37" s="19"/>
      <c r="GAK37" s="19"/>
      <c r="GAL37" s="19"/>
      <c r="GAM37" s="19"/>
      <c r="GAN37" s="21"/>
      <c r="GAO37" s="19"/>
      <c r="GAX37" s="19"/>
      <c r="GAY37" s="19"/>
      <c r="GAZ37" s="19"/>
      <c r="GBA37" s="19"/>
      <c r="GBB37" s="21"/>
      <c r="GBC37" s="19"/>
      <c r="GBL37" s="19"/>
      <c r="GBM37" s="19"/>
      <c r="GBN37" s="19"/>
      <c r="GBO37" s="19"/>
      <c r="GBP37" s="21"/>
      <c r="GBQ37" s="19"/>
      <c r="GBZ37" s="19"/>
      <c r="GCA37" s="19"/>
      <c r="GCB37" s="19"/>
      <c r="GCC37" s="19"/>
      <c r="GCD37" s="21"/>
      <c r="GCE37" s="19"/>
      <c r="GCN37" s="19"/>
      <c r="GCO37" s="19"/>
      <c r="GCP37" s="19"/>
      <c r="GCQ37" s="19"/>
      <c r="GCR37" s="21"/>
      <c r="GCS37" s="19"/>
      <c r="GDB37" s="19"/>
      <c r="GDC37" s="19"/>
      <c r="GDD37" s="19"/>
      <c r="GDE37" s="19"/>
      <c r="GDF37" s="21"/>
      <c r="GDG37" s="19"/>
      <c r="GDP37" s="19"/>
      <c r="GDQ37" s="19"/>
      <c r="GDR37" s="19"/>
      <c r="GDS37" s="19"/>
      <c r="GDT37" s="21"/>
      <c r="GDU37" s="19"/>
      <c r="GED37" s="19"/>
      <c r="GEE37" s="19"/>
      <c r="GEF37" s="19"/>
      <c r="GEG37" s="19"/>
      <c r="GEH37" s="21"/>
      <c r="GEI37" s="19"/>
      <c r="GER37" s="19"/>
      <c r="GES37" s="19"/>
      <c r="GET37" s="19"/>
      <c r="GEU37" s="19"/>
      <c r="GEV37" s="21"/>
      <c r="GEW37" s="19"/>
      <c r="GFF37" s="19"/>
      <c r="GFG37" s="19"/>
      <c r="GFH37" s="19"/>
      <c r="GFI37" s="19"/>
      <c r="GFJ37" s="21"/>
      <c r="GFK37" s="19"/>
      <c r="GFT37" s="19"/>
      <c r="GFU37" s="19"/>
      <c r="GFV37" s="19"/>
      <c r="GFW37" s="19"/>
      <c r="GFX37" s="21"/>
      <c r="GFY37" s="19"/>
      <c r="GGH37" s="19"/>
      <c r="GGI37" s="19"/>
      <c r="GGJ37" s="19"/>
      <c r="GGK37" s="19"/>
      <c r="GGL37" s="21"/>
      <c r="GGM37" s="19"/>
      <c r="GGV37" s="19"/>
      <c r="GGW37" s="19"/>
      <c r="GGX37" s="19"/>
      <c r="GGY37" s="19"/>
      <c r="GGZ37" s="21"/>
      <c r="GHA37" s="19"/>
      <c r="GHJ37" s="19"/>
      <c r="GHK37" s="19"/>
      <c r="GHL37" s="19"/>
      <c r="GHM37" s="19"/>
      <c r="GHN37" s="21"/>
      <c r="GHO37" s="19"/>
      <c r="GHX37" s="19"/>
      <c r="GHY37" s="19"/>
      <c r="GHZ37" s="19"/>
      <c r="GIA37" s="19"/>
      <c r="GIB37" s="21"/>
      <c r="GIC37" s="19"/>
      <c r="GIL37" s="19"/>
      <c r="GIM37" s="19"/>
      <c r="GIN37" s="19"/>
      <c r="GIO37" s="19"/>
      <c r="GIP37" s="21"/>
      <c r="GIQ37" s="19"/>
      <c r="GIZ37" s="19"/>
      <c r="GJA37" s="19"/>
      <c r="GJB37" s="19"/>
      <c r="GJC37" s="19"/>
      <c r="GJD37" s="21"/>
      <c r="GJE37" s="19"/>
      <c r="GJN37" s="19"/>
      <c r="GJO37" s="19"/>
      <c r="GJP37" s="19"/>
      <c r="GJQ37" s="19"/>
      <c r="GJR37" s="21"/>
      <c r="GJS37" s="19"/>
      <c r="GKB37" s="19"/>
      <c r="GKC37" s="19"/>
      <c r="GKD37" s="19"/>
      <c r="GKE37" s="19"/>
      <c r="GKF37" s="21"/>
      <c r="GKG37" s="19"/>
      <c r="GKP37" s="19"/>
      <c r="GKQ37" s="19"/>
      <c r="GKR37" s="19"/>
      <c r="GKS37" s="19"/>
      <c r="GKT37" s="21"/>
      <c r="GKU37" s="19"/>
      <c r="GLD37" s="19"/>
      <c r="GLE37" s="19"/>
      <c r="GLF37" s="19"/>
      <c r="GLG37" s="19"/>
      <c r="GLH37" s="21"/>
      <c r="GLI37" s="19"/>
      <c r="GLR37" s="19"/>
      <c r="GLS37" s="19"/>
      <c r="GLT37" s="19"/>
      <c r="GLU37" s="19"/>
      <c r="GLV37" s="21"/>
      <c r="GLW37" s="19"/>
      <c r="GMF37" s="19"/>
      <c r="GMG37" s="19"/>
      <c r="GMH37" s="19"/>
      <c r="GMI37" s="19"/>
      <c r="GMJ37" s="21"/>
      <c r="GMK37" s="19"/>
      <c r="GMT37" s="19"/>
      <c r="GMU37" s="19"/>
      <c r="GMV37" s="19"/>
      <c r="GMW37" s="19"/>
      <c r="GMX37" s="21"/>
      <c r="GMY37" s="19"/>
      <c r="GNH37" s="19"/>
      <c r="GNI37" s="19"/>
      <c r="GNJ37" s="19"/>
      <c r="GNK37" s="19"/>
      <c r="GNL37" s="21"/>
      <c r="GNM37" s="19"/>
      <c r="GNV37" s="19"/>
      <c r="GNW37" s="19"/>
      <c r="GNX37" s="19"/>
      <c r="GNY37" s="19"/>
      <c r="GNZ37" s="21"/>
      <c r="GOA37" s="19"/>
      <c r="GOJ37" s="19"/>
      <c r="GOK37" s="19"/>
      <c r="GOL37" s="19"/>
      <c r="GOM37" s="19"/>
      <c r="GON37" s="21"/>
      <c r="GOO37" s="19"/>
      <c r="GOX37" s="19"/>
      <c r="GOY37" s="19"/>
      <c r="GOZ37" s="19"/>
      <c r="GPA37" s="19"/>
      <c r="GPB37" s="21"/>
      <c r="GPC37" s="19"/>
      <c r="GPL37" s="19"/>
      <c r="GPM37" s="19"/>
      <c r="GPN37" s="19"/>
      <c r="GPO37" s="19"/>
      <c r="GPP37" s="21"/>
      <c r="GPQ37" s="19"/>
      <c r="GPZ37" s="19"/>
      <c r="GQA37" s="19"/>
      <c r="GQB37" s="19"/>
      <c r="GQC37" s="19"/>
      <c r="GQD37" s="21"/>
      <c r="GQE37" s="19"/>
      <c r="GQN37" s="19"/>
      <c r="GQO37" s="19"/>
      <c r="GQP37" s="19"/>
      <c r="GQQ37" s="19"/>
      <c r="GQR37" s="21"/>
      <c r="GQS37" s="19"/>
      <c r="GRB37" s="19"/>
      <c r="GRC37" s="19"/>
      <c r="GRD37" s="19"/>
      <c r="GRE37" s="19"/>
      <c r="GRF37" s="21"/>
      <c r="GRG37" s="19"/>
      <c r="GRP37" s="19"/>
      <c r="GRQ37" s="19"/>
      <c r="GRR37" s="19"/>
      <c r="GRS37" s="19"/>
      <c r="GRT37" s="21"/>
      <c r="GRU37" s="19"/>
      <c r="GSD37" s="19"/>
      <c r="GSE37" s="19"/>
      <c r="GSF37" s="19"/>
      <c r="GSG37" s="19"/>
      <c r="GSH37" s="21"/>
      <c r="GSI37" s="19"/>
      <c r="GSR37" s="19"/>
      <c r="GSS37" s="19"/>
      <c r="GST37" s="19"/>
      <c r="GSU37" s="19"/>
      <c r="GSV37" s="21"/>
      <c r="GSW37" s="19"/>
      <c r="GTF37" s="19"/>
      <c r="GTG37" s="19"/>
      <c r="GTH37" s="19"/>
      <c r="GTI37" s="19"/>
      <c r="GTJ37" s="21"/>
      <c r="GTK37" s="19"/>
      <c r="GTT37" s="19"/>
      <c r="GTU37" s="19"/>
      <c r="GTV37" s="19"/>
      <c r="GTW37" s="19"/>
      <c r="GTX37" s="21"/>
      <c r="GTY37" s="19"/>
      <c r="GUH37" s="19"/>
      <c r="GUI37" s="19"/>
      <c r="GUJ37" s="19"/>
      <c r="GUK37" s="19"/>
      <c r="GUL37" s="21"/>
      <c r="GUM37" s="19"/>
      <c r="GUV37" s="19"/>
      <c r="GUW37" s="19"/>
      <c r="GUX37" s="19"/>
      <c r="GUY37" s="19"/>
      <c r="GUZ37" s="21"/>
      <c r="GVA37" s="19"/>
      <c r="GVJ37" s="19"/>
      <c r="GVK37" s="19"/>
      <c r="GVL37" s="19"/>
      <c r="GVM37" s="19"/>
      <c r="GVN37" s="21"/>
      <c r="GVO37" s="19"/>
      <c r="GVX37" s="19"/>
      <c r="GVY37" s="19"/>
      <c r="GVZ37" s="19"/>
      <c r="GWA37" s="19"/>
      <c r="GWB37" s="21"/>
      <c r="GWC37" s="19"/>
      <c r="GWL37" s="19"/>
      <c r="GWM37" s="19"/>
      <c r="GWN37" s="19"/>
      <c r="GWO37" s="19"/>
      <c r="GWP37" s="21"/>
      <c r="GWQ37" s="19"/>
      <c r="GWZ37" s="19"/>
      <c r="GXA37" s="19"/>
      <c r="GXB37" s="19"/>
      <c r="GXC37" s="19"/>
      <c r="GXD37" s="21"/>
      <c r="GXE37" s="19"/>
      <c r="GXN37" s="19"/>
      <c r="GXO37" s="19"/>
      <c r="GXP37" s="19"/>
      <c r="GXQ37" s="19"/>
      <c r="GXR37" s="21"/>
      <c r="GXS37" s="19"/>
      <c r="GYB37" s="19"/>
      <c r="GYC37" s="19"/>
      <c r="GYD37" s="19"/>
      <c r="GYE37" s="19"/>
      <c r="GYF37" s="21"/>
      <c r="GYG37" s="19"/>
      <c r="GYP37" s="19"/>
      <c r="GYQ37" s="19"/>
      <c r="GYR37" s="19"/>
      <c r="GYS37" s="19"/>
      <c r="GYT37" s="21"/>
      <c r="GYU37" s="19"/>
      <c r="GZD37" s="19"/>
      <c r="GZE37" s="19"/>
      <c r="GZF37" s="19"/>
      <c r="GZG37" s="19"/>
      <c r="GZH37" s="21"/>
      <c r="GZI37" s="19"/>
      <c r="GZR37" s="19"/>
      <c r="GZS37" s="19"/>
      <c r="GZT37" s="19"/>
      <c r="GZU37" s="19"/>
      <c r="GZV37" s="21"/>
      <c r="GZW37" s="19"/>
      <c r="HAF37" s="19"/>
      <c r="HAG37" s="19"/>
      <c r="HAH37" s="19"/>
      <c r="HAI37" s="19"/>
      <c r="HAJ37" s="21"/>
      <c r="HAK37" s="19"/>
      <c r="HAT37" s="19"/>
      <c r="HAU37" s="19"/>
      <c r="HAV37" s="19"/>
      <c r="HAW37" s="19"/>
      <c r="HAX37" s="21"/>
      <c r="HAY37" s="19"/>
      <c r="HBH37" s="19"/>
      <c r="HBI37" s="19"/>
      <c r="HBJ37" s="19"/>
      <c r="HBK37" s="19"/>
      <c r="HBL37" s="21"/>
      <c r="HBM37" s="19"/>
      <c r="HBV37" s="19"/>
      <c r="HBW37" s="19"/>
      <c r="HBX37" s="19"/>
      <c r="HBY37" s="19"/>
      <c r="HBZ37" s="21"/>
      <c r="HCA37" s="19"/>
      <c r="HCJ37" s="19"/>
      <c r="HCK37" s="19"/>
      <c r="HCL37" s="19"/>
      <c r="HCM37" s="19"/>
      <c r="HCN37" s="21"/>
      <c r="HCO37" s="19"/>
      <c r="HCX37" s="19"/>
      <c r="HCY37" s="19"/>
      <c r="HCZ37" s="19"/>
      <c r="HDA37" s="19"/>
      <c r="HDB37" s="21"/>
      <c r="HDC37" s="19"/>
      <c r="HDL37" s="19"/>
      <c r="HDM37" s="19"/>
      <c r="HDN37" s="19"/>
      <c r="HDO37" s="19"/>
      <c r="HDP37" s="21"/>
      <c r="HDQ37" s="19"/>
      <c r="HDZ37" s="19"/>
      <c r="HEA37" s="19"/>
      <c r="HEB37" s="19"/>
      <c r="HEC37" s="19"/>
      <c r="HED37" s="21"/>
      <c r="HEE37" s="19"/>
      <c r="HEN37" s="19"/>
      <c r="HEO37" s="19"/>
      <c r="HEP37" s="19"/>
      <c r="HEQ37" s="19"/>
      <c r="HER37" s="21"/>
      <c r="HES37" s="19"/>
      <c r="HFB37" s="19"/>
      <c r="HFC37" s="19"/>
      <c r="HFD37" s="19"/>
      <c r="HFE37" s="19"/>
      <c r="HFF37" s="21"/>
      <c r="HFG37" s="19"/>
      <c r="HFP37" s="19"/>
      <c r="HFQ37" s="19"/>
      <c r="HFR37" s="19"/>
      <c r="HFS37" s="19"/>
      <c r="HFT37" s="21"/>
      <c r="HFU37" s="19"/>
      <c r="HGD37" s="19"/>
      <c r="HGE37" s="19"/>
      <c r="HGF37" s="19"/>
      <c r="HGG37" s="19"/>
      <c r="HGH37" s="21"/>
      <c r="HGI37" s="19"/>
      <c r="HGR37" s="19"/>
      <c r="HGS37" s="19"/>
      <c r="HGT37" s="19"/>
      <c r="HGU37" s="19"/>
      <c r="HGV37" s="21"/>
      <c r="HGW37" s="19"/>
      <c r="HHF37" s="19"/>
      <c r="HHG37" s="19"/>
      <c r="HHH37" s="19"/>
      <c r="HHI37" s="19"/>
      <c r="HHJ37" s="21"/>
      <c r="HHK37" s="19"/>
      <c r="HHT37" s="19"/>
      <c r="HHU37" s="19"/>
      <c r="HHV37" s="19"/>
      <c r="HHW37" s="19"/>
      <c r="HHX37" s="21"/>
      <c r="HHY37" s="19"/>
      <c r="HIH37" s="19"/>
      <c r="HII37" s="19"/>
      <c r="HIJ37" s="19"/>
      <c r="HIK37" s="19"/>
      <c r="HIL37" s="21"/>
      <c r="HIM37" s="19"/>
      <c r="HIV37" s="19"/>
      <c r="HIW37" s="19"/>
      <c r="HIX37" s="19"/>
      <c r="HIY37" s="19"/>
      <c r="HIZ37" s="21"/>
      <c r="HJA37" s="19"/>
      <c r="HJJ37" s="19"/>
      <c r="HJK37" s="19"/>
      <c r="HJL37" s="19"/>
      <c r="HJM37" s="19"/>
      <c r="HJN37" s="21"/>
      <c r="HJO37" s="19"/>
      <c r="HJX37" s="19"/>
      <c r="HJY37" s="19"/>
      <c r="HJZ37" s="19"/>
      <c r="HKA37" s="19"/>
      <c r="HKB37" s="21"/>
      <c r="HKC37" s="19"/>
      <c r="HKL37" s="19"/>
      <c r="HKM37" s="19"/>
      <c r="HKN37" s="19"/>
      <c r="HKO37" s="19"/>
      <c r="HKP37" s="21"/>
      <c r="HKQ37" s="19"/>
      <c r="HKZ37" s="19"/>
      <c r="HLA37" s="19"/>
      <c r="HLB37" s="19"/>
      <c r="HLC37" s="19"/>
      <c r="HLD37" s="21"/>
      <c r="HLE37" s="19"/>
      <c r="HLN37" s="19"/>
      <c r="HLO37" s="19"/>
      <c r="HLP37" s="19"/>
      <c r="HLQ37" s="19"/>
      <c r="HLR37" s="21"/>
      <c r="HLS37" s="19"/>
      <c r="HMB37" s="19"/>
      <c r="HMC37" s="19"/>
      <c r="HMD37" s="19"/>
      <c r="HME37" s="19"/>
      <c r="HMF37" s="21"/>
      <c r="HMG37" s="19"/>
      <c r="HMP37" s="19"/>
      <c r="HMQ37" s="19"/>
      <c r="HMR37" s="19"/>
      <c r="HMS37" s="19"/>
      <c r="HMT37" s="21"/>
      <c r="HMU37" s="19"/>
      <c r="HND37" s="19"/>
      <c r="HNE37" s="19"/>
      <c r="HNF37" s="19"/>
      <c r="HNG37" s="19"/>
      <c r="HNH37" s="21"/>
      <c r="HNI37" s="19"/>
      <c r="HNR37" s="19"/>
      <c r="HNS37" s="19"/>
      <c r="HNT37" s="19"/>
      <c r="HNU37" s="19"/>
      <c r="HNV37" s="21"/>
      <c r="HNW37" s="19"/>
      <c r="HOF37" s="19"/>
      <c r="HOG37" s="19"/>
      <c r="HOH37" s="19"/>
      <c r="HOI37" s="19"/>
      <c r="HOJ37" s="21"/>
      <c r="HOK37" s="19"/>
      <c r="HOT37" s="19"/>
      <c r="HOU37" s="19"/>
      <c r="HOV37" s="19"/>
      <c r="HOW37" s="19"/>
      <c r="HOX37" s="21"/>
      <c r="HOY37" s="19"/>
      <c r="HPH37" s="19"/>
      <c r="HPI37" s="19"/>
      <c r="HPJ37" s="19"/>
      <c r="HPK37" s="19"/>
      <c r="HPL37" s="21"/>
      <c r="HPM37" s="19"/>
      <c r="HPV37" s="19"/>
      <c r="HPW37" s="19"/>
      <c r="HPX37" s="19"/>
      <c r="HPY37" s="19"/>
      <c r="HPZ37" s="21"/>
      <c r="HQA37" s="19"/>
      <c r="HQJ37" s="19"/>
      <c r="HQK37" s="19"/>
      <c r="HQL37" s="19"/>
      <c r="HQM37" s="19"/>
      <c r="HQN37" s="21"/>
      <c r="HQO37" s="19"/>
      <c r="HQX37" s="19"/>
      <c r="HQY37" s="19"/>
      <c r="HQZ37" s="19"/>
      <c r="HRA37" s="19"/>
      <c r="HRB37" s="21"/>
      <c r="HRC37" s="19"/>
      <c r="HRL37" s="19"/>
      <c r="HRM37" s="19"/>
      <c r="HRN37" s="19"/>
      <c r="HRO37" s="19"/>
      <c r="HRP37" s="21"/>
      <c r="HRQ37" s="19"/>
      <c r="HRZ37" s="19"/>
      <c r="HSA37" s="19"/>
      <c r="HSB37" s="19"/>
      <c r="HSC37" s="19"/>
      <c r="HSD37" s="21"/>
      <c r="HSE37" s="19"/>
      <c r="HSN37" s="19"/>
      <c r="HSO37" s="19"/>
      <c r="HSP37" s="19"/>
      <c r="HSQ37" s="19"/>
      <c r="HSR37" s="21"/>
      <c r="HSS37" s="19"/>
      <c r="HTB37" s="19"/>
      <c r="HTC37" s="19"/>
      <c r="HTD37" s="19"/>
      <c r="HTE37" s="19"/>
      <c r="HTF37" s="21"/>
      <c r="HTG37" s="19"/>
      <c r="HTP37" s="19"/>
      <c r="HTQ37" s="19"/>
      <c r="HTR37" s="19"/>
      <c r="HTS37" s="19"/>
      <c r="HTT37" s="21"/>
      <c r="HTU37" s="19"/>
      <c r="HUD37" s="19"/>
      <c r="HUE37" s="19"/>
      <c r="HUF37" s="19"/>
      <c r="HUG37" s="19"/>
      <c r="HUH37" s="21"/>
      <c r="HUI37" s="19"/>
      <c r="HUR37" s="19"/>
      <c r="HUS37" s="19"/>
      <c r="HUT37" s="19"/>
      <c r="HUU37" s="19"/>
      <c r="HUV37" s="21"/>
      <c r="HUW37" s="19"/>
      <c r="HVF37" s="19"/>
      <c r="HVG37" s="19"/>
      <c r="HVH37" s="19"/>
      <c r="HVI37" s="19"/>
      <c r="HVJ37" s="21"/>
      <c r="HVK37" s="19"/>
      <c r="HVT37" s="19"/>
      <c r="HVU37" s="19"/>
      <c r="HVV37" s="19"/>
      <c r="HVW37" s="19"/>
      <c r="HVX37" s="21"/>
      <c r="HVY37" s="19"/>
      <c r="HWH37" s="19"/>
      <c r="HWI37" s="19"/>
      <c r="HWJ37" s="19"/>
      <c r="HWK37" s="19"/>
      <c r="HWL37" s="21"/>
      <c r="HWM37" s="19"/>
      <c r="HWV37" s="19"/>
      <c r="HWW37" s="19"/>
      <c r="HWX37" s="19"/>
      <c r="HWY37" s="19"/>
      <c r="HWZ37" s="21"/>
      <c r="HXA37" s="19"/>
      <c r="HXJ37" s="19"/>
      <c r="HXK37" s="19"/>
      <c r="HXL37" s="19"/>
      <c r="HXM37" s="19"/>
      <c r="HXN37" s="21"/>
      <c r="HXO37" s="19"/>
      <c r="HXX37" s="19"/>
      <c r="HXY37" s="19"/>
      <c r="HXZ37" s="19"/>
      <c r="HYA37" s="19"/>
      <c r="HYB37" s="21"/>
      <c r="HYC37" s="19"/>
      <c r="HYL37" s="19"/>
      <c r="HYM37" s="19"/>
      <c r="HYN37" s="19"/>
      <c r="HYO37" s="19"/>
      <c r="HYP37" s="21"/>
      <c r="HYQ37" s="19"/>
      <c r="HYZ37" s="19"/>
      <c r="HZA37" s="19"/>
      <c r="HZB37" s="19"/>
      <c r="HZC37" s="19"/>
      <c r="HZD37" s="21"/>
      <c r="HZE37" s="19"/>
      <c r="HZN37" s="19"/>
      <c r="HZO37" s="19"/>
      <c r="HZP37" s="19"/>
      <c r="HZQ37" s="19"/>
      <c r="HZR37" s="21"/>
      <c r="HZS37" s="19"/>
      <c r="IAB37" s="19"/>
      <c r="IAC37" s="19"/>
      <c r="IAD37" s="19"/>
      <c r="IAE37" s="19"/>
      <c r="IAF37" s="21"/>
      <c r="IAG37" s="19"/>
      <c r="IAP37" s="19"/>
      <c r="IAQ37" s="19"/>
      <c r="IAR37" s="19"/>
      <c r="IAS37" s="19"/>
      <c r="IAT37" s="21"/>
      <c r="IAU37" s="19"/>
      <c r="IBD37" s="19"/>
      <c r="IBE37" s="19"/>
      <c r="IBF37" s="19"/>
      <c r="IBG37" s="19"/>
      <c r="IBH37" s="21"/>
      <c r="IBI37" s="19"/>
      <c r="IBR37" s="19"/>
      <c r="IBS37" s="19"/>
      <c r="IBT37" s="19"/>
      <c r="IBU37" s="19"/>
      <c r="IBV37" s="21"/>
      <c r="IBW37" s="19"/>
      <c r="ICF37" s="19"/>
      <c r="ICG37" s="19"/>
      <c r="ICH37" s="19"/>
      <c r="ICI37" s="19"/>
      <c r="ICJ37" s="21"/>
      <c r="ICK37" s="19"/>
      <c r="ICT37" s="19"/>
      <c r="ICU37" s="19"/>
      <c r="ICV37" s="19"/>
      <c r="ICW37" s="19"/>
      <c r="ICX37" s="21"/>
      <c r="ICY37" s="19"/>
      <c r="IDH37" s="19"/>
      <c r="IDI37" s="19"/>
      <c r="IDJ37" s="19"/>
      <c r="IDK37" s="19"/>
      <c r="IDL37" s="21"/>
      <c r="IDM37" s="19"/>
      <c r="IDV37" s="19"/>
      <c r="IDW37" s="19"/>
      <c r="IDX37" s="19"/>
      <c r="IDY37" s="19"/>
      <c r="IDZ37" s="21"/>
      <c r="IEA37" s="19"/>
      <c r="IEJ37" s="19"/>
      <c r="IEK37" s="19"/>
      <c r="IEL37" s="19"/>
      <c r="IEM37" s="19"/>
      <c r="IEN37" s="21"/>
      <c r="IEO37" s="19"/>
      <c r="IEX37" s="19"/>
      <c r="IEY37" s="19"/>
      <c r="IEZ37" s="19"/>
      <c r="IFA37" s="19"/>
      <c r="IFB37" s="21"/>
      <c r="IFC37" s="19"/>
      <c r="IFL37" s="19"/>
      <c r="IFM37" s="19"/>
      <c r="IFN37" s="19"/>
      <c r="IFO37" s="19"/>
      <c r="IFP37" s="21"/>
      <c r="IFQ37" s="19"/>
      <c r="IFZ37" s="19"/>
      <c r="IGA37" s="19"/>
      <c r="IGB37" s="19"/>
      <c r="IGC37" s="19"/>
      <c r="IGD37" s="21"/>
      <c r="IGE37" s="19"/>
      <c r="IGN37" s="19"/>
      <c r="IGO37" s="19"/>
      <c r="IGP37" s="19"/>
      <c r="IGQ37" s="19"/>
      <c r="IGR37" s="21"/>
      <c r="IGS37" s="19"/>
      <c r="IHB37" s="19"/>
      <c r="IHC37" s="19"/>
      <c r="IHD37" s="19"/>
      <c r="IHE37" s="19"/>
      <c r="IHF37" s="21"/>
      <c r="IHG37" s="19"/>
      <c r="IHP37" s="19"/>
      <c r="IHQ37" s="19"/>
      <c r="IHR37" s="19"/>
      <c r="IHS37" s="19"/>
      <c r="IHT37" s="21"/>
      <c r="IHU37" s="19"/>
      <c r="IID37" s="19"/>
      <c r="IIE37" s="19"/>
      <c r="IIF37" s="19"/>
      <c r="IIG37" s="19"/>
      <c r="IIH37" s="21"/>
      <c r="III37" s="19"/>
      <c r="IIR37" s="19"/>
      <c r="IIS37" s="19"/>
      <c r="IIT37" s="19"/>
      <c r="IIU37" s="19"/>
      <c r="IIV37" s="21"/>
      <c r="IIW37" s="19"/>
      <c r="IJF37" s="19"/>
      <c r="IJG37" s="19"/>
      <c r="IJH37" s="19"/>
      <c r="IJI37" s="19"/>
      <c r="IJJ37" s="21"/>
      <c r="IJK37" s="19"/>
      <c r="IJT37" s="19"/>
      <c r="IJU37" s="19"/>
      <c r="IJV37" s="19"/>
      <c r="IJW37" s="19"/>
      <c r="IJX37" s="21"/>
      <c r="IJY37" s="19"/>
      <c r="IKH37" s="19"/>
      <c r="IKI37" s="19"/>
      <c r="IKJ37" s="19"/>
      <c r="IKK37" s="19"/>
      <c r="IKL37" s="21"/>
      <c r="IKM37" s="19"/>
      <c r="IKV37" s="19"/>
      <c r="IKW37" s="19"/>
      <c r="IKX37" s="19"/>
      <c r="IKY37" s="19"/>
      <c r="IKZ37" s="21"/>
      <c r="ILA37" s="19"/>
      <c r="ILJ37" s="19"/>
      <c r="ILK37" s="19"/>
      <c r="ILL37" s="19"/>
      <c r="ILM37" s="19"/>
      <c r="ILN37" s="21"/>
      <c r="ILO37" s="19"/>
      <c r="ILX37" s="19"/>
      <c r="ILY37" s="19"/>
      <c r="ILZ37" s="19"/>
      <c r="IMA37" s="19"/>
      <c r="IMB37" s="21"/>
      <c r="IMC37" s="19"/>
      <c r="IML37" s="19"/>
      <c r="IMM37" s="19"/>
      <c r="IMN37" s="19"/>
      <c r="IMO37" s="19"/>
      <c r="IMP37" s="21"/>
      <c r="IMQ37" s="19"/>
      <c r="IMZ37" s="19"/>
      <c r="INA37" s="19"/>
      <c r="INB37" s="19"/>
      <c r="INC37" s="19"/>
      <c r="IND37" s="21"/>
      <c r="INE37" s="19"/>
      <c r="INN37" s="19"/>
      <c r="INO37" s="19"/>
      <c r="INP37" s="19"/>
      <c r="INQ37" s="19"/>
      <c r="INR37" s="21"/>
      <c r="INS37" s="19"/>
      <c r="IOB37" s="19"/>
      <c r="IOC37" s="19"/>
      <c r="IOD37" s="19"/>
      <c r="IOE37" s="19"/>
      <c r="IOF37" s="21"/>
      <c r="IOG37" s="19"/>
      <c r="IOP37" s="19"/>
      <c r="IOQ37" s="19"/>
      <c r="IOR37" s="19"/>
      <c r="IOS37" s="19"/>
      <c r="IOT37" s="21"/>
      <c r="IOU37" s="19"/>
      <c r="IPD37" s="19"/>
      <c r="IPE37" s="19"/>
      <c r="IPF37" s="19"/>
      <c r="IPG37" s="19"/>
      <c r="IPH37" s="21"/>
      <c r="IPI37" s="19"/>
      <c r="IPR37" s="19"/>
      <c r="IPS37" s="19"/>
      <c r="IPT37" s="19"/>
      <c r="IPU37" s="19"/>
      <c r="IPV37" s="21"/>
      <c r="IPW37" s="19"/>
      <c r="IQF37" s="19"/>
      <c r="IQG37" s="19"/>
      <c r="IQH37" s="19"/>
      <c r="IQI37" s="19"/>
      <c r="IQJ37" s="21"/>
      <c r="IQK37" s="19"/>
      <c r="IQT37" s="19"/>
      <c r="IQU37" s="19"/>
      <c r="IQV37" s="19"/>
      <c r="IQW37" s="19"/>
      <c r="IQX37" s="21"/>
      <c r="IQY37" s="19"/>
      <c r="IRH37" s="19"/>
      <c r="IRI37" s="19"/>
      <c r="IRJ37" s="19"/>
      <c r="IRK37" s="19"/>
      <c r="IRL37" s="21"/>
      <c r="IRM37" s="19"/>
      <c r="IRV37" s="19"/>
      <c r="IRW37" s="19"/>
      <c r="IRX37" s="19"/>
      <c r="IRY37" s="19"/>
      <c r="IRZ37" s="21"/>
      <c r="ISA37" s="19"/>
      <c r="ISJ37" s="19"/>
      <c r="ISK37" s="19"/>
      <c r="ISL37" s="19"/>
      <c r="ISM37" s="19"/>
      <c r="ISN37" s="21"/>
      <c r="ISO37" s="19"/>
      <c r="ISX37" s="19"/>
      <c r="ISY37" s="19"/>
      <c r="ISZ37" s="19"/>
      <c r="ITA37" s="19"/>
      <c r="ITB37" s="21"/>
      <c r="ITC37" s="19"/>
      <c r="ITL37" s="19"/>
      <c r="ITM37" s="19"/>
      <c r="ITN37" s="19"/>
      <c r="ITO37" s="19"/>
      <c r="ITP37" s="21"/>
      <c r="ITQ37" s="19"/>
      <c r="ITZ37" s="19"/>
      <c r="IUA37" s="19"/>
      <c r="IUB37" s="19"/>
      <c r="IUC37" s="19"/>
      <c r="IUD37" s="21"/>
      <c r="IUE37" s="19"/>
      <c r="IUN37" s="19"/>
      <c r="IUO37" s="19"/>
      <c r="IUP37" s="19"/>
      <c r="IUQ37" s="19"/>
      <c r="IUR37" s="21"/>
      <c r="IUS37" s="19"/>
      <c r="IVB37" s="19"/>
      <c r="IVC37" s="19"/>
      <c r="IVD37" s="19"/>
      <c r="IVE37" s="19"/>
      <c r="IVF37" s="21"/>
      <c r="IVG37" s="19"/>
      <c r="IVP37" s="19"/>
      <c r="IVQ37" s="19"/>
      <c r="IVR37" s="19"/>
      <c r="IVS37" s="19"/>
      <c r="IVT37" s="21"/>
      <c r="IVU37" s="19"/>
      <c r="IWD37" s="19"/>
      <c r="IWE37" s="19"/>
      <c r="IWF37" s="19"/>
      <c r="IWG37" s="19"/>
      <c r="IWH37" s="21"/>
      <c r="IWI37" s="19"/>
      <c r="IWR37" s="19"/>
      <c r="IWS37" s="19"/>
      <c r="IWT37" s="19"/>
      <c r="IWU37" s="19"/>
      <c r="IWV37" s="21"/>
      <c r="IWW37" s="19"/>
      <c r="IXF37" s="19"/>
      <c r="IXG37" s="19"/>
      <c r="IXH37" s="19"/>
      <c r="IXI37" s="19"/>
      <c r="IXJ37" s="21"/>
      <c r="IXK37" s="19"/>
      <c r="IXT37" s="19"/>
      <c r="IXU37" s="19"/>
      <c r="IXV37" s="19"/>
      <c r="IXW37" s="19"/>
      <c r="IXX37" s="21"/>
      <c r="IXY37" s="19"/>
      <c r="IYH37" s="19"/>
      <c r="IYI37" s="19"/>
      <c r="IYJ37" s="19"/>
      <c r="IYK37" s="19"/>
      <c r="IYL37" s="21"/>
      <c r="IYM37" s="19"/>
      <c r="IYV37" s="19"/>
      <c r="IYW37" s="19"/>
      <c r="IYX37" s="19"/>
      <c r="IYY37" s="19"/>
      <c r="IYZ37" s="21"/>
      <c r="IZA37" s="19"/>
      <c r="IZJ37" s="19"/>
      <c r="IZK37" s="19"/>
      <c r="IZL37" s="19"/>
      <c r="IZM37" s="19"/>
      <c r="IZN37" s="21"/>
      <c r="IZO37" s="19"/>
      <c r="IZX37" s="19"/>
      <c r="IZY37" s="19"/>
      <c r="IZZ37" s="19"/>
      <c r="JAA37" s="19"/>
      <c r="JAB37" s="21"/>
      <c r="JAC37" s="19"/>
      <c r="JAL37" s="19"/>
      <c r="JAM37" s="19"/>
      <c r="JAN37" s="19"/>
      <c r="JAO37" s="19"/>
      <c r="JAP37" s="21"/>
      <c r="JAQ37" s="19"/>
      <c r="JAZ37" s="19"/>
      <c r="JBA37" s="19"/>
      <c r="JBB37" s="19"/>
      <c r="JBC37" s="19"/>
      <c r="JBD37" s="21"/>
      <c r="JBE37" s="19"/>
      <c r="JBN37" s="19"/>
      <c r="JBO37" s="19"/>
      <c r="JBP37" s="19"/>
      <c r="JBQ37" s="19"/>
      <c r="JBR37" s="21"/>
      <c r="JBS37" s="19"/>
      <c r="JCB37" s="19"/>
      <c r="JCC37" s="19"/>
      <c r="JCD37" s="19"/>
      <c r="JCE37" s="19"/>
      <c r="JCF37" s="21"/>
      <c r="JCG37" s="19"/>
      <c r="JCP37" s="19"/>
      <c r="JCQ37" s="19"/>
      <c r="JCR37" s="19"/>
      <c r="JCS37" s="19"/>
      <c r="JCT37" s="21"/>
      <c r="JCU37" s="19"/>
      <c r="JDD37" s="19"/>
      <c r="JDE37" s="19"/>
      <c r="JDF37" s="19"/>
      <c r="JDG37" s="19"/>
      <c r="JDH37" s="21"/>
      <c r="JDI37" s="19"/>
      <c r="JDR37" s="19"/>
      <c r="JDS37" s="19"/>
      <c r="JDT37" s="19"/>
      <c r="JDU37" s="19"/>
      <c r="JDV37" s="21"/>
      <c r="JDW37" s="19"/>
      <c r="JEF37" s="19"/>
      <c r="JEG37" s="19"/>
      <c r="JEH37" s="19"/>
      <c r="JEI37" s="19"/>
      <c r="JEJ37" s="21"/>
      <c r="JEK37" s="19"/>
      <c r="JET37" s="19"/>
      <c r="JEU37" s="19"/>
      <c r="JEV37" s="19"/>
      <c r="JEW37" s="19"/>
      <c r="JEX37" s="21"/>
      <c r="JEY37" s="19"/>
      <c r="JFH37" s="19"/>
      <c r="JFI37" s="19"/>
      <c r="JFJ37" s="19"/>
      <c r="JFK37" s="19"/>
      <c r="JFL37" s="21"/>
      <c r="JFM37" s="19"/>
      <c r="JFV37" s="19"/>
      <c r="JFW37" s="19"/>
      <c r="JFX37" s="19"/>
      <c r="JFY37" s="19"/>
      <c r="JFZ37" s="21"/>
      <c r="JGA37" s="19"/>
      <c r="JGJ37" s="19"/>
      <c r="JGK37" s="19"/>
      <c r="JGL37" s="19"/>
      <c r="JGM37" s="19"/>
      <c r="JGN37" s="21"/>
      <c r="JGO37" s="19"/>
      <c r="JGX37" s="19"/>
      <c r="JGY37" s="19"/>
      <c r="JGZ37" s="19"/>
      <c r="JHA37" s="19"/>
      <c r="JHB37" s="21"/>
      <c r="JHC37" s="19"/>
      <c r="JHL37" s="19"/>
      <c r="JHM37" s="19"/>
      <c r="JHN37" s="19"/>
      <c r="JHO37" s="19"/>
      <c r="JHP37" s="21"/>
      <c r="JHQ37" s="19"/>
      <c r="JHZ37" s="19"/>
      <c r="JIA37" s="19"/>
      <c r="JIB37" s="19"/>
      <c r="JIC37" s="19"/>
      <c r="JID37" s="21"/>
      <c r="JIE37" s="19"/>
      <c r="JIN37" s="19"/>
      <c r="JIO37" s="19"/>
      <c r="JIP37" s="19"/>
      <c r="JIQ37" s="19"/>
      <c r="JIR37" s="21"/>
      <c r="JIS37" s="19"/>
      <c r="JJB37" s="19"/>
      <c r="JJC37" s="19"/>
      <c r="JJD37" s="19"/>
      <c r="JJE37" s="19"/>
      <c r="JJF37" s="21"/>
      <c r="JJG37" s="19"/>
      <c r="JJP37" s="19"/>
      <c r="JJQ37" s="19"/>
      <c r="JJR37" s="19"/>
      <c r="JJS37" s="19"/>
      <c r="JJT37" s="21"/>
      <c r="JJU37" s="19"/>
      <c r="JKD37" s="19"/>
      <c r="JKE37" s="19"/>
      <c r="JKF37" s="19"/>
      <c r="JKG37" s="19"/>
      <c r="JKH37" s="21"/>
      <c r="JKI37" s="19"/>
      <c r="JKR37" s="19"/>
      <c r="JKS37" s="19"/>
      <c r="JKT37" s="19"/>
      <c r="JKU37" s="19"/>
      <c r="JKV37" s="21"/>
      <c r="JKW37" s="19"/>
      <c r="JLF37" s="19"/>
      <c r="JLG37" s="19"/>
      <c r="JLH37" s="19"/>
      <c r="JLI37" s="19"/>
      <c r="JLJ37" s="21"/>
      <c r="JLK37" s="19"/>
      <c r="JLT37" s="19"/>
      <c r="JLU37" s="19"/>
      <c r="JLV37" s="19"/>
      <c r="JLW37" s="19"/>
      <c r="JLX37" s="21"/>
      <c r="JLY37" s="19"/>
      <c r="JMH37" s="19"/>
      <c r="JMI37" s="19"/>
      <c r="JMJ37" s="19"/>
      <c r="JMK37" s="19"/>
      <c r="JML37" s="21"/>
      <c r="JMM37" s="19"/>
      <c r="JMV37" s="19"/>
      <c r="JMW37" s="19"/>
      <c r="JMX37" s="19"/>
      <c r="JMY37" s="19"/>
      <c r="JMZ37" s="21"/>
      <c r="JNA37" s="19"/>
      <c r="JNJ37" s="19"/>
      <c r="JNK37" s="19"/>
      <c r="JNL37" s="19"/>
      <c r="JNM37" s="19"/>
      <c r="JNN37" s="21"/>
      <c r="JNO37" s="19"/>
      <c r="JNX37" s="19"/>
      <c r="JNY37" s="19"/>
      <c r="JNZ37" s="19"/>
      <c r="JOA37" s="19"/>
      <c r="JOB37" s="21"/>
      <c r="JOC37" s="19"/>
      <c r="JOL37" s="19"/>
      <c r="JOM37" s="19"/>
      <c r="JON37" s="19"/>
      <c r="JOO37" s="19"/>
      <c r="JOP37" s="21"/>
      <c r="JOQ37" s="19"/>
      <c r="JOZ37" s="19"/>
      <c r="JPA37" s="19"/>
      <c r="JPB37" s="19"/>
      <c r="JPC37" s="19"/>
      <c r="JPD37" s="21"/>
      <c r="JPE37" s="19"/>
      <c r="JPN37" s="19"/>
      <c r="JPO37" s="19"/>
      <c r="JPP37" s="19"/>
      <c r="JPQ37" s="19"/>
      <c r="JPR37" s="21"/>
      <c r="JPS37" s="19"/>
      <c r="JQB37" s="19"/>
      <c r="JQC37" s="19"/>
      <c r="JQD37" s="19"/>
      <c r="JQE37" s="19"/>
      <c r="JQF37" s="21"/>
      <c r="JQG37" s="19"/>
      <c r="JQP37" s="19"/>
      <c r="JQQ37" s="19"/>
      <c r="JQR37" s="19"/>
      <c r="JQS37" s="19"/>
      <c r="JQT37" s="21"/>
      <c r="JQU37" s="19"/>
      <c r="JRD37" s="19"/>
      <c r="JRE37" s="19"/>
      <c r="JRF37" s="19"/>
      <c r="JRG37" s="19"/>
      <c r="JRH37" s="21"/>
      <c r="JRI37" s="19"/>
      <c r="JRR37" s="19"/>
      <c r="JRS37" s="19"/>
      <c r="JRT37" s="19"/>
      <c r="JRU37" s="19"/>
      <c r="JRV37" s="21"/>
      <c r="JRW37" s="19"/>
      <c r="JSF37" s="19"/>
      <c r="JSG37" s="19"/>
      <c r="JSH37" s="19"/>
      <c r="JSI37" s="19"/>
      <c r="JSJ37" s="21"/>
      <c r="JSK37" s="19"/>
      <c r="JST37" s="19"/>
      <c r="JSU37" s="19"/>
      <c r="JSV37" s="19"/>
      <c r="JSW37" s="19"/>
      <c r="JSX37" s="21"/>
      <c r="JSY37" s="19"/>
      <c r="JTH37" s="19"/>
      <c r="JTI37" s="19"/>
      <c r="JTJ37" s="19"/>
      <c r="JTK37" s="19"/>
      <c r="JTL37" s="21"/>
      <c r="JTM37" s="19"/>
      <c r="JTV37" s="19"/>
      <c r="JTW37" s="19"/>
      <c r="JTX37" s="19"/>
      <c r="JTY37" s="19"/>
      <c r="JTZ37" s="21"/>
      <c r="JUA37" s="19"/>
      <c r="JUJ37" s="19"/>
      <c r="JUK37" s="19"/>
      <c r="JUL37" s="19"/>
      <c r="JUM37" s="19"/>
      <c r="JUN37" s="21"/>
      <c r="JUO37" s="19"/>
      <c r="JUX37" s="19"/>
      <c r="JUY37" s="19"/>
      <c r="JUZ37" s="19"/>
      <c r="JVA37" s="19"/>
      <c r="JVB37" s="21"/>
      <c r="JVC37" s="19"/>
      <c r="JVL37" s="19"/>
      <c r="JVM37" s="19"/>
      <c r="JVN37" s="19"/>
      <c r="JVO37" s="19"/>
      <c r="JVP37" s="21"/>
      <c r="JVQ37" s="19"/>
      <c r="JVZ37" s="19"/>
      <c r="JWA37" s="19"/>
      <c r="JWB37" s="19"/>
      <c r="JWC37" s="19"/>
      <c r="JWD37" s="21"/>
      <c r="JWE37" s="19"/>
      <c r="JWN37" s="19"/>
      <c r="JWO37" s="19"/>
      <c r="JWP37" s="19"/>
      <c r="JWQ37" s="19"/>
      <c r="JWR37" s="21"/>
      <c r="JWS37" s="19"/>
      <c r="JXB37" s="19"/>
      <c r="JXC37" s="19"/>
      <c r="JXD37" s="19"/>
      <c r="JXE37" s="19"/>
      <c r="JXF37" s="21"/>
      <c r="JXG37" s="19"/>
      <c r="JXP37" s="19"/>
      <c r="JXQ37" s="19"/>
      <c r="JXR37" s="19"/>
      <c r="JXS37" s="19"/>
      <c r="JXT37" s="21"/>
      <c r="JXU37" s="19"/>
      <c r="JYD37" s="19"/>
      <c r="JYE37" s="19"/>
      <c r="JYF37" s="19"/>
      <c r="JYG37" s="19"/>
      <c r="JYH37" s="21"/>
      <c r="JYI37" s="19"/>
      <c r="JYR37" s="19"/>
      <c r="JYS37" s="19"/>
      <c r="JYT37" s="19"/>
      <c r="JYU37" s="19"/>
      <c r="JYV37" s="21"/>
      <c r="JYW37" s="19"/>
      <c r="JZF37" s="19"/>
      <c r="JZG37" s="19"/>
      <c r="JZH37" s="19"/>
      <c r="JZI37" s="19"/>
      <c r="JZJ37" s="21"/>
      <c r="JZK37" s="19"/>
      <c r="JZT37" s="19"/>
      <c r="JZU37" s="19"/>
      <c r="JZV37" s="19"/>
      <c r="JZW37" s="19"/>
      <c r="JZX37" s="21"/>
      <c r="JZY37" s="19"/>
      <c r="KAH37" s="19"/>
      <c r="KAI37" s="19"/>
      <c r="KAJ37" s="19"/>
      <c r="KAK37" s="19"/>
      <c r="KAL37" s="21"/>
      <c r="KAM37" s="19"/>
      <c r="KAV37" s="19"/>
      <c r="KAW37" s="19"/>
      <c r="KAX37" s="19"/>
      <c r="KAY37" s="19"/>
      <c r="KAZ37" s="21"/>
      <c r="KBA37" s="19"/>
      <c r="KBJ37" s="19"/>
      <c r="KBK37" s="19"/>
      <c r="KBL37" s="19"/>
      <c r="KBM37" s="19"/>
      <c r="KBN37" s="21"/>
      <c r="KBO37" s="19"/>
      <c r="KBX37" s="19"/>
      <c r="KBY37" s="19"/>
      <c r="KBZ37" s="19"/>
      <c r="KCA37" s="19"/>
      <c r="KCB37" s="21"/>
      <c r="KCC37" s="19"/>
      <c r="KCL37" s="19"/>
      <c r="KCM37" s="19"/>
      <c r="KCN37" s="19"/>
      <c r="KCO37" s="19"/>
      <c r="KCP37" s="21"/>
      <c r="KCQ37" s="19"/>
      <c r="KCZ37" s="19"/>
      <c r="KDA37" s="19"/>
      <c r="KDB37" s="19"/>
      <c r="KDC37" s="19"/>
      <c r="KDD37" s="21"/>
      <c r="KDE37" s="19"/>
      <c r="KDN37" s="19"/>
      <c r="KDO37" s="19"/>
      <c r="KDP37" s="19"/>
      <c r="KDQ37" s="19"/>
      <c r="KDR37" s="21"/>
      <c r="KDS37" s="19"/>
      <c r="KEB37" s="19"/>
      <c r="KEC37" s="19"/>
      <c r="KED37" s="19"/>
      <c r="KEE37" s="19"/>
      <c r="KEF37" s="21"/>
      <c r="KEG37" s="19"/>
      <c r="KEP37" s="19"/>
      <c r="KEQ37" s="19"/>
      <c r="KER37" s="19"/>
      <c r="KES37" s="19"/>
      <c r="KET37" s="21"/>
      <c r="KEU37" s="19"/>
      <c r="KFD37" s="19"/>
      <c r="KFE37" s="19"/>
      <c r="KFF37" s="19"/>
      <c r="KFG37" s="19"/>
      <c r="KFH37" s="21"/>
      <c r="KFI37" s="19"/>
      <c r="KFR37" s="19"/>
      <c r="KFS37" s="19"/>
      <c r="KFT37" s="19"/>
      <c r="KFU37" s="19"/>
      <c r="KFV37" s="21"/>
      <c r="KFW37" s="19"/>
      <c r="KGF37" s="19"/>
      <c r="KGG37" s="19"/>
      <c r="KGH37" s="19"/>
      <c r="KGI37" s="19"/>
      <c r="KGJ37" s="21"/>
      <c r="KGK37" s="19"/>
      <c r="KGT37" s="19"/>
      <c r="KGU37" s="19"/>
      <c r="KGV37" s="19"/>
      <c r="KGW37" s="19"/>
      <c r="KGX37" s="21"/>
      <c r="KGY37" s="19"/>
      <c r="KHH37" s="19"/>
      <c r="KHI37" s="19"/>
      <c r="KHJ37" s="19"/>
      <c r="KHK37" s="19"/>
      <c r="KHL37" s="21"/>
      <c r="KHM37" s="19"/>
      <c r="KHV37" s="19"/>
      <c r="KHW37" s="19"/>
      <c r="KHX37" s="19"/>
      <c r="KHY37" s="19"/>
      <c r="KHZ37" s="21"/>
      <c r="KIA37" s="19"/>
      <c r="KIJ37" s="19"/>
      <c r="KIK37" s="19"/>
      <c r="KIL37" s="19"/>
      <c r="KIM37" s="19"/>
      <c r="KIN37" s="21"/>
      <c r="KIO37" s="19"/>
      <c r="KIX37" s="19"/>
      <c r="KIY37" s="19"/>
      <c r="KIZ37" s="19"/>
      <c r="KJA37" s="19"/>
      <c r="KJB37" s="21"/>
      <c r="KJC37" s="19"/>
      <c r="KJL37" s="19"/>
      <c r="KJM37" s="19"/>
      <c r="KJN37" s="19"/>
      <c r="KJO37" s="19"/>
      <c r="KJP37" s="21"/>
      <c r="KJQ37" s="19"/>
      <c r="KJZ37" s="19"/>
      <c r="KKA37" s="19"/>
      <c r="KKB37" s="19"/>
      <c r="KKC37" s="19"/>
      <c r="KKD37" s="21"/>
      <c r="KKE37" s="19"/>
      <c r="KKN37" s="19"/>
      <c r="KKO37" s="19"/>
      <c r="KKP37" s="19"/>
      <c r="KKQ37" s="19"/>
      <c r="KKR37" s="21"/>
      <c r="KKS37" s="19"/>
      <c r="KLB37" s="19"/>
      <c r="KLC37" s="19"/>
      <c r="KLD37" s="19"/>
      <c r="KLE37" s="19"/>
      <c r="KLF37" s="21"/>
      <c r="KLG37" s="19"/>
      <c r="KLP37" s="19"/>
      <c r="KLQ37" s="19"/>
      <c r="KLR37" s="19"/>
      <c r="KLS37" s="19"/>
      <c r="KLT37" s="21"/>
      <c r="KLU37" s="19"/>
      <c r="KMD37" s="19"/>
      <c r="KME37" s="19"/>
      <c r="KMF37" s="19"/>
      <c r="KMG37" s="19"/>
      <c r="KMH37" s="21"/>
      <c r="KMI37" s="19"/>
      <c r="KMR37" s="19"/>
      <c r="KMS37" s="19"/>
      <c r="KMT37" s="19"/>
      <c r="KMU37" s="19"/>
      <c r="KMV37" s="21"/>
      <c r="KMW37" s="19"/>
      <c r="KNF37" s="19"/>
      <c r="KNG37" s="19"/>
      <c r="KNH37" s="19"/>
      <c r="KNI37" s="19"/>
      <c r="KNJ37" s="21"/>
      <c r="KNK37" s="19"/>
      <c r="KNT37" s="19"/>
      <c r="KNU37" s="19"/>
      <c r="KNV37" s="19"/>
      <c r="KNW37" s="19"/>
      <c r="KNX37" s="21"/>
      <c r="KNY37" s="19"/>
      <c r="KOH37" s="19"/>
      <c r="KOI37" s="19"/>
      <c r="KOJ37" s="19"/>
      <c r="KOK37" s="19"/>
      <c r="KOL37" s="21"/>
      <c r="KOM37" s="19"/>
      <c r="KOV37" s="19"/>
      <c r="KOW37" s="19"/>
      <c r="KOX37" s="19"/>
      <c r="KOY37" s="19"/>
      <c r="KOZ37" s="21"/>
      <c r="KPA37" s="19"/>
      <c r="KPJ37" s="19"/>
      <c r="KPK37" s="19"/>
      <c r="KPL37" s="19"/>
      <c r="KPM37" s="19"/>
      <c r="KPN37" s="21"/>
      <c r="KPO37" s="19"/>
      <c r="KPX37" s="19"/>
      <c r="KPY37" s="19"/>
      <c r="KPZ37" s="19"/>
      <c r="KQA37" s="19"/>
      <c r="KQB37" s="21"/>
      <c r="KQC37" s="19"/>
      <c r="KQL37" s="19"/>
      <c r="KQM37" s="19"/>
      <c r="KQN37" s="19"/>
      <c r="KQO37" s="19"/>
      <c r="KQP37" s="21"/>
      <c r="KQQ37" s="19"/>
      <c r="KQZ37" s="19"/>
      <c r="KRA37" s="19"/>
      <c r="KRB37" s="19"/>
      <c r="KRC37" s="19"/>
      <c r="KRD37" s="21"/>
      <c r="KRE37" s="19"/>
      <c r="KRN37" s="19"/>
      <c r="KRO37" s="19"/>
      <c r="KRP37" s="19"/>
      <c r="KRQ37" s="19"/>
      <c r="KRR37" s="21"/>
      <c r="KRS37" s="19"/>
      <c r="KSB37" s="19"/>
      <c r="KSC37" s="19"/>
      <c r="KSD37" s="19"/>
      <c r="KSE37" s="19"/>
      <c r="KSF37" s="21"/>
      <c r="KSG37" s="19"/>
      <c r="KSP37" s="19"/>
      <c r="KSQ37" s="19"/>
      <c r="KSR37" s="19"/>
      <c r="KSS37" s="19"/>
      <c r="KST37" s="21"/>
      <c r="KSU37" s="19"/>
      <c r="KTD37" s="19"/>
      <c r="KTE37" s="19"/>
      <c r="KTF37" s="19"/>
      <c r="KTG37" s="19"/>
      <c r="KTH37" s="21"/>
      <c r="KTI37" s="19"/>
      <c r="KTR37" s="19"/>
      <c r="KTS37" s="19"/>
      <c r="KTT37" s="19"/>
      <c r="KTU37" s="19"/>
      <c r="KTV37" s="21"/>
      <c r="KTW37" s="19"/>
      <c r="KUF37" s="19"/>
      <c r="KUG37" s="19"/>
      <c r="KUH37" s="19"/>
      <c r="KUI37" s="19"/>
      <c r="KUJ37" s="21"/>
      <c r="KUK37" s="19"/>
      <c r="KUT37" s="19"/>
      <c r="KUU37" s="19"/>
      <c r="KUV37" s="19"/>
      <c r="KUW37" s="19"/>
      <c r="KUX37" s="21"/>
      <c r="KUY37" s="19"/>
      <c r="KVH37" s="19"/>
      <c r="KVI37" s="19"/>
      <c r="KVJ37" s="19"/>
      <c r="KVK37" s="19"/>
      <c r="KVL37" s="21"/>
      <c r="KVM37" s="19"/>
      <c r="KVV37" s="19"/>
      <c r="KVW37" s="19"/>
      <c r="KVX37" s="19"/>
      <c r="KVY37" s="19"/>
      <c r="KVZ37" s="21"/>
      <c r="KWA37" s="19"/>
      <c r="KWJ37" s="19"/>
      <c r="KWK37" s="19"/>
      <c r="KWL37" s="19"/>
      <c r="KWM37" s="19"/>
      <c r="KWN37" s="21"/>
      <c r="KWO37" s="19"/>
      <c r="KWX37" s="19"/>
      <c r="KWY37" s="19"/>
      <c r="KWZ37" s="19"/>
      <c r="KXA37" s="19"/>
      <c r="KXB37" s="21"/>
      <c r="KXC37" s="19"/>
      <c r="KXL37" s="19"/>
      <c r="KXM37" s="19"/>
      <c r="KXN37" s="19"/>
      <c r="KXO37" s="19"/>
      <c r="KXP37" s="21"/>
      <c r="KXQ37" s="19"/>
      <c r="KXZ37" s="19"/>
      <c r="KYA37" s="19"/>
      <c r="KYB37" s="19"/>
      <c r="KYC37" s="19"/>
      <c r="KYD37" s="21"/>
      <c r="KYE37" s="19"/>
      <c r="KYN37" s="19"/>
      <c r="KYO37" s="19"/>
      <c r="KYP37" s="19"/>
      <c r="KYQ37" s="19"/>
      <c r="KYR37" s="21"/>
      <c r="KYS37" s="19"/>
      <c r="KZB37" s="19"/>
      <c r="KZC37" s="19"/>
      <c r="KZD37" s="19"/>
      <c r="KZE37" s="19"/>
      <c r="KZF37" s="21"/>
      <c r="KZG37" s="19"/>
      <c r="KZP37" s="19"/>
      <c r="KZQ37" s="19"/>
      <c r="KZR37" s="19"/>
      <c r="KZS37" s="19"/>
      <c r="KZT37" s="21"/>
      <c r="KZU37" s="19"/>
      <c r="LAD37" s="19"/>
      <c r="LAE37" s="19"/>
      <c r="LAF37" s="19"/>
      <c r="LAG37" s="19"/>
      <c r="LAH37" s="21"/>
      <c r="LAI37" s="19"/>
      <c r="LAR37" s="19"/>
      <c r="LAS37" s="19"/>
      <c r="LAT37" s="19"/>
      <c r="LAU37" s="19"/>
      <c r="LAV37" s="21"/>
      <c r="LAW37" s="19"/>
      <c r="LBF37" s="19"/>
      <c r="LBG37" s="19"/>
      <c r="LBH37" s="19"/>
      <c r="LBI37" s="19"/>
      <c r="LBJ37" s="21"/>
      <c r="LBK37" s="19"/>
      <c r="LBT37" s="19"/>
      <c r="LBU37" s="19"/>
      <c r="LBV37" s="19"/>
      <c r="LBW37" s="19"/>
      <c r="LBX37" s="21"/>
      <c r="LBY37" s="19"/>
      <c r="LCH37" s="19"/>
      <c r="LCI37" s="19"/>
      <c r="LCJ37" s="19"/>
      <c r="LCK37" s="19"/>
      <c r="LCL37" s="21"/>
      <c r="LCM37" s="19"/>
      <c r="LCV37" s="19"/>
      <c r="LCW37" s="19"/>
      <c r="LCX37" s="19"/>
      <c r="LCY37" s="19"/>
      <c r="LCZ37" s="21"/>
      <c r="LDA37" s="19"/>
      <c r="LDJ37" s="19"/>
      <c r="LDK37" s="19"/>
      <c r="LDL37" s="19"/>
      <c r="LDM37" s="19"/>
      <c r="LDN37" s="21"/>
      <c r="LDO37" s="19"/>
      <c r="LDX37" s="19"/>
      <c r="LDY37" s="19"/>
      <c r="LDZ37" s="19"/>
      <c r="LEA37" s="19"/>
      <c r="LEB37" s="21"/>
      <c r="LEC37" s="19"/>
      <c r="LEL37" s="19"/>
      <c r="LEM37" s="19"/>
      <c r="LEN37" s="19"/>
      <c r="LEO37" s="19"/>
      <c r="LEP37" s="21"/>
      <c r="LEQ37" s="19"/>
      <c r="LEZ37" s="19"/>
      <c r="LFA37" s="19"/>
      <c r="LFB37" s="19"/>
      <c r="LFC37" s="19"/>
      <c r="LFD37" s="21"/>
      <c r="LFE37" s="19"/>
      <c r="LFN37" s="19"/>
      <c r="LFO37" s="19"/>
      <c r="LFP37" s="19"/>
      <c r="LFQ37" s="19"/>
      <c r="LFR37" s="21"/>
      <c r="LFS37" s="19"/>
      <c r="LGB37" s="19"/>
      <c r="LGC37" s="19"/>
      <c r="LGD37" s="19"/>
      <c r="LGE37" s="19"/>
      <c r="LGF37" s="21"/>
      <c r="LGG37" s="19"/>
      <c r="LGP37" s="19"/>
      <c r="LGQ37" s="19"/>
      <c r="LGR37" s="19"/>
      <c r="LGS37" s="19"/>
      <c r="LGT37" s="21"/>
      <c r="LGU37" s="19"/>
      <c r="LHD37" s="19"/>
      <c r="LHE37" s="19"/>
      <c r="LHF37" s="19"/>
      <c r="LHG37" s="19"/>
      <c r="LHH37" s="21"/>
      <c r="LHI37" s="19"/>
      <c r="LHR37" s="19"/>
      <c r="LHS37" s="19"/>
      <c r="LHT37" s="19"/>
      <c r="LHU37" s="19"/>
      <c r="LHV37" s="21"/>
      <c r="LHW37" s="19"/>
      <c r="LIF37" s="19"/>
      <c r="LIG37" s="19"/>
      <c r="LIH37" s="19"/>
      <c r="LII37" s="19"/>
      <c r="LIJ37" s="21"/>
      <c r="LIK37" s="19"/>
      <c r="LIT37" s="19"/>
      <c r="LIU37" s="19"/>
      <c r="LIV37" s="19"/>
      <c r="LIW37" s="19"/>
      <c r="LIX37" s="21"/>
      <c r="LIY37" s="19"/>
      <c r="LJH37" s="19"/>
      <c r="LJI37" s="19"/>
      <c r="LJJ37" s="19"/>
      <c r="LJK37" s="19"/>
      <c r="LJL37" s="21"/>
      <c r="LJM37" s="19"/>
      <c r="LJV37" s="19"/>
      <c r="LJW37" s="19"/>
      <c r="LJX37" s="19"/>
      <c r="LJY37" s="19"/>
      <c r="LJZ37" s="21"/>
      <c r="LKA37" s="19"/>
      <c r="LKJ37" s="19"/>
      <c r="LKK37" s="19"/>
      <c r="LKL37" s="19"/>
      <c r="LKM37" s="19"/>
      <c r="LKN37" s="21"/>
      <c r="LKO37" s="19"/>
      <c r="LKX37" s="19"/>
      <c r="LKY37" s="19"/>
      <c r="LKZ37" s="19"/>
      <c r="LLA37" s="19"/>
      <c r="LLB37" s="21"/>
      <c r="LLC37" s="19"/>
      <c r="LLL37" s="19"/>
      <c r="LLM37" s="19"/>
      <c r="LLN37" s="19"/>
      <c r="LLO37" s="19"/>
      <c r="LLP37" s="21"/>
      <c r="LLQ37" s="19"/>
      <c r="LLZ37" s="19"/>
      <c r="LMA37" s="19"/>
      <c r="LMB37" s="19"/>
      <c r="LMC37" s="19"/>
      <c r="LMD37" s="21"/>
      <c r="LME37" s="19"/>
      <c r="LMN37" s="19"/>
      <c r="LMO37" s="19"/>
      <c r="LMP37" s="19"/>
      <c r="LMQ37" s="19"/>
      <c r="LMR37" s="21"/>
      <c r="LMS37" s="19"/>
      <c r="LNB37" s="19"/>
      <c r="LNC37" s="19"/>
      <c r="LND37" s="19"/>
      <c r="LNE37" s="19"/>
      <c r="LNF37" s="21"/>
      <c r="LNG37" s="19"/>
      <c r="LNP37" s="19"/>
      <c r="LNQ37" s="19"/>
      <c r="LNR37" s="19"/>
      <c r="LNS37" s="19"/>
      <c r="LNT37" s="21"/>
      <c r="LNU37" s="19"/>
      <c r="LOD37" s="19"/>
      <c r="LOE37" s="19"/>
      <c r="LOF37" s="19"/>
      <c r="LOG37" s="19"/>
      <c r="LOH37" s="21"/>
      <c r="LOI37" s="19"/>
      <c r="LOR37" s="19"/>
      <c r="LOS37" s="19"/>
      <c r="LOT37" s="19"/>
      <c r="LOU37" s="19"/>
      <c r="LOV37" s="21"/>
      <c r="LOW37" s="19"/>
      <c r="LPF37" s="19"/>
      <c r="LPG37" s="19"/>
      <c r="LPH37" s="19"/>
      <c r="LPI37" s="19"/>
      <c r="LPJ37" s="21"/>
      <c r="LPK37" s="19"/>
      <c r="LPT37" s="19"/>
      <c r="LPU37" s="19"/>
      <c r="LPV37" s="19"/>
      <c r="LPW37" s="19"/>
      <c r="LPX37" s="21"/>
      <c r="LPY37" s="19"/>
      <c r="LQH37" s="19"/>
      <c r="LQI37" s="19"/>
      <c r="LQJ37" s="19"/>
      <c r="LQK37" s="19"/>
      <c r="LQL37" s="21"/>
      <c r="LQM37" s="19"/>
      <c r="LQV37" s="19"/>
      <c r="LQW37" s="19"/>
      <c r="LQX37" s="19"/>
      <c r="LQY37" s="19"/>
      <c r="LQZ37" s="21"/>
      <c r="LRA37" s="19"/>
      <c r="LRJ37" s="19"/>
      <c r="LRK37" s="19"/>
      <c r="LRL37" s="19"/>
      <c r="LRM37" s="19"/>
      <c r="LRN37" s="21"/>
      <c r="LRO37" s="19"/>
      <c r="LRX37" s="19"/>
      <c r="LRY37" s="19"/>
      <c r="LRZ37" s="19"/>
      <c r="LSA37" s="19"/>
      <c r="LSB37" s="21"/>
      <c r="LSC37" s="19"/>
      <c r="LSL37" s="19"/>
      <c r="LSM37" s="19"/>
      <c r="LSN37" s="19"/>
      <c r="LSO37" s="19"/>
      <c r="LSP37" s="21"/>
      <c r="LSQ37" s="19"/>
      <c r="LSZ37" s="19"/>
      <c r="LTA37" s="19"/>
      <c r="LTB37" s="19"/>
      <c r="LTC37" s="19"/>
      <c r="LTD37" s="21"/>
      <c r="LTE37" s="19"/>
      <c r="LTN37" s="19"/>
      <c r="LTO37" s="19"/>
      <c r="LTP37" s="19"/>
      <c r="LTQ37" s="19"/>
      <c r="LTR37" s="21"/>
      <c r="LTS37" s="19"/>
      <c r="LUB37" s="19"/>
      <c r="LUC37" s="19"/>
      <c r="LUD37" s="19"/>
      <c r="LUE37" s="19"/>
      <c r="LUF37" s="21"/>
      <c r="LUG37" s="19"/>
      <c r="LUP37" s="19"/>
      <c r="LUQ37" s="19"/>
      <c r="LUR37" s="19"/>
      <c r="LUS37" s="19"/>
      <c r="LUT37" s="21"/>
      <c r="LUU37" s="19"/>
      <c r="LVD37" s="19"/>
      <c r="LVE37" s="19"/>
      <c r="LVF37" s="19"/>
      <c r="LVG37" s="19"/>
      <c r="LVH37" s="21"/>
      <c r="LVI37" s="19"/>
      <c r="LVR37" s="19"/>
      <c r="LVS37" s="19"/>
      <c r="LVT37" s="19"/>
      <c r="LVU37" s="19"/>
      <c r="LVV37" s="21"/>
      <c r="LVW37" s="19"/>
      <c r="LWF37" s="19"/>
      <c r="LWG37" s="19"/>
      <c r="LWH37" s="19"/>
      <c r="LWI37" s="19"/>
      <c r="LWJ37" s="21"/>
      <c r="LWK37" s="19"/>
      <c r="LWT37" s="19"/>
      <c r="LWU37" s="19"/>
      <c r="LWV37" s="19"/>
      <c r="LWW37" s="19"/>
      <c r="LWX37" s="21"/>
      <c r="LWY37" s="19"/>
      <c r="LXH37" s="19"/>
      <c r="LXI37" s="19"/>
      <c r="LXJ37" s="19"/>
      <c r="LXK37" s="19"/>
      <c r="LXL37" s="21"/>
      <c r="LXM37" s="19"/>
      <c r="LXV37" s="19"/>
      <c r="LXW37" s="19"/>
      <c r="LXX37" s="19"/>
      <c r="LXY37" s="19"/>
      <c r="LXZ37" s="21"/>
      <c r="LYA37" s="19"/>
      <c r="LYJ37" s="19"/>
      <c r="LYK37" s="19"/>
      <c r="LYL37" s="19"/>
      <c r="LYM37" s="19"/>
      <c r="LYN37" s="21"/>
      <c r="LYO37" s="19"/>
      <c r="LYX37" s="19"/>
      <c r="LYY37" s="19"/>
      <c r="LYZ37" s="19"/>
      <c r="LZA37" s="19"/>
      <c r="LZB37" s="21"/>
      <c r="LZC37" s="19"/>
      <c r="LZL37" s="19"/>
      <c r="LZM37" s="19"/>
      <c r="LZN37" s="19"/>
      <c r="LZO37" s="19"/>
      <c r="LZP37" s="21"/>
      <c r="LZQ37" s="19"/>
      <c r="LZZ37" s="19"/>
      <c r="MAA37" s="19"/>
      <c r="MAB37" s="19"/>
      <c r="MAC37" s="19"/>
      <c r="MAD37" s="21"/>
      <c r="MAE37" s="19"/>
      <c r="MAN37" s="19"/>
      <c r="MAO37" s="19"/>
      <c r="MAP37" s="19"/>
      <c r="MAQ37" s="19"/>
      <c r="MAR37" s="21"/>
      <c r="MAS37" s="19"/>
      <c r="MBB37" s="19"/>
      <c r="MBC37" s="19"/>
      <c r="MBD37" s="19"/>
      <c r="MBE37" s="19"/>
      <c r="MBF37" s="21"/>
      <c r="MBG37" s="19"/>
      <c r="MBP37" s="19"/>
      <c r="MBQ37" s="19"/>
      <c r="MBR37" s="19"/>
      <c r="MBS37" s="19"/>
      <c r="MBT37" s="21"/>
      <c r="MBU37" s="19"/>
      <c r="MCD37" s="19"/>
      <c r="MCE37" s="19"/>
      <c r="MCF37" s="19"/>
      <c r="MCG37" s="19"/>
      <c r="MCH37" s="21"/>
      <c r="MCI37" s="19"/>
      <c r="MCR37" s="19"/>
      <c r="MCS37" s="19"/>
      <c r="MCT37" s="19"/>
      <c r="MCU37" s="19"/>
      <c r="MCV37" s="21"/>
      <c r="MCW37" s="19"/>
      <c r="MDF37" s="19"/>
      <c r="MDG37" s="19"/>
      <c r="MDH37" s="19"/>
      <c r="MDI37" s="19"/>
      <c r="MDJ37" s="21"/>
      <c r="MDK37" s="19"/>
      <c r="MDT37" s="19"/>
      <c r="MDU37" s="19"/>
      <c r="MDV37" s="19"/>
      <c r="MDW37" s="19"/>
      <c r="MDX37" s="21"/>
      <c r="MDY37" s="19"/>
      <c r="MEH37" s="19"/>
      <c r="MEI37" s="19"/>
      <c r="MEJ37" s="19"/>
      <c r="MEK37" s="19"/>
      <c r="MEL37" s="21"/>
      <c r="MEM37" s="19"/>
      <c r="MEV37" s="19"/>
      <c r="MEW37" s="19"/>
      <c r="MEX37" s="19"/>
      <c r="MEY37" s="19"/>
      <c r="MEZ37" s="21"/>
      <c r="MFA37" s="19"/>
      <c r="MFJ37" s="19"/>
      <c r="MFK37" s="19"/>
      <c r="MFL37" s="19"/>
      <c r="MFM37" s="19"/>
      <c r="MFN37" s="21"/>
      <c r="MFO37" s="19"/>
      <c r="MFX37" s="19"/>
      <c r="MFY37" s="19"/>
      <c r="MFZ37" s="19"/>
      <c r="MGA37" s="19"/>
      <c r="MGB37" s="21"/>
      <c r="MGC37" s="19"/>
      <c r="MGL37" s="19"/>
      <c r="MGM37" s="19"/>
      <c r="MGN37" s="19"/>
      <c r="MGO37" s="19"/>
      <c r="MGP37" s="21"/>
      <c r="MGQ37" s="19"/>
      <c r="MGZ37" s="19"/>
      <c r="MHA37" s="19"/>
      <c r="MHB37" s="19"/>
      <c r="MHC37" s="19"/>
      <c r="MHD37" s="21"/>
      <c r="MHE37" s="19"/>
      <c r="MHN37" s="19"/>
      <c r="MHO37" s="19"/>
      <c r="MHP37" s="19"/>
      <c r="MHQ37" s="19"/>
      <c r="MHR37" s="21"/>
      <c r="MHS37" s="19"/>
      <c r="MIB37" s="19"/>
      <c r="MIC37" s="19"/>
      <c r="MID37" s="19"/>
      <c r="MIE37" s="19"/>
      <c r="MIF37" s="21"/>
      <c r="MIG37" s="19"/>
      <c r="MIP37" s="19"/>
      <c r="MIQ37" s="19"/>
      <c r="MIR37" s="19"/>
      <c r="MIS37" s="19"/>
      <c r="MIT37" s="21"/>
      <c r="MIU37" s="19"/>
      <c r="MJD37" s="19"/>
      <c r="MJE37" s="19"/>
      <c r="MJF37" s="19"/>
      <c r="MJG37" s="19"/>
      <c r="MJH37" s="21"/>
      <c r="MJI37" s="19"/>
      <c r="MJR37" s="19"/>
      <c r="MJS37" s="19"/>
      <c r="MJT37" s="19"/>
      <c r="MJU37" s="19"/>
      <c r="MJV37" s="21"/>
      <c r="MJW37" s="19"/>
      <c r="MKF37" s="19"/>
      <c r="MKG37" s="19"/>
      <c r="MKH37" s="19"/>
      <c r="MKI37" s="19"/>
      <c r="MKJ37" s="21"/>
      <c r="MKK37" s="19"/>
      <c r="MKT37" s="19"/>
      <c r="MKU37" s="19"/>
      <c r="MKV37" s="19"/>
      <c r="MKW37" s="19"/>
      <c r="MKX37" s="21"/>
      <c r="MKY37" s="19"/>
      <c r="MLH37" s="19"/>
      <c r="MLI37" s="19"/>
      <c r="MLJ37" s="19"/>
      <c r="MLK37" s="19"/>
      <c r="MLL37" s="21"/>
      <c r="MLM37" s="19"/>
      <c r="MLV37" s="19"/>
      <c r="MLW37" s="19"/>
      <c r="MLX37" s="19"/>
      <c r="MLY37" s="19"/>
      <c r="MLZ37" s="21"/>
      <c r="MMA37" s="19"/>
      <c r="MMJ37" s="19"/>
      <c r="MMK37" s="19"/>
      <c r="MML37" s="19"/>
      <c r="MMM37" s="19"/>
      <c r="MMN37" s="21"/>
      <c r="MMO37" s="19"/>
      <c r="MMX37" s="19"/>
      <c r="MMY37" s="19"/>
      <c r="MMZ37" s="19"/>
      <c r="MNA37" s="19"/>
      <c r="MNB37" s="21"/>
      <c r="MNC37" s="19"/>
      <c r="MNL37" s="19"/>
      <c r="MNM37" s="19"/>
      <c r="MNN37" s="19"/>
      <c r="MNO37" s="19"/>
      <c r="MNP37" s="21"/>
      <c r="MNQ37" s="19"/>
      <c r="MNZ37" s="19"/>
      <c r="MOA37" s="19"/>
      <c r="MOB37" s="19"/>
      <c r="MOC37" s="19"/>
      <c r="MOD37" s="21"/>
      <c r="MOE37" s="19"/>
      <c r="MON37" s="19"/>
      <c r="MOO37" s="19"/>
      <c r="MOP37" s="19"/>
      <c r="MOQ37" s="19"/>
      <c r="MOR37" s="21"/>
      <c r="MOS37" s="19"/>
      <c r="MPB37" s="19"/>
      <c r="MPC37" s="19"/>
      <c r="MPD37" s="19"/>
      <c r="MPE37" s="19"/>
      <c r="MPF37" s="21"/>
      <c r="MPG37" s="19"/>
      <c r="MPP37" s="19"/>
      <c r="MPQ37" s="19"/>
      <c r="MPR37" s="19"/>
      <c r="MPS37" s="19"/>
      <c r="MPT37" s="21"/>
      <c r="MPU37" s="19"/>
      <c r="MQD37" s="19"/>
      <c r="MQE37" s="19"/>
      <c r="MQF37" s="19"/>
      <c r="MQG37" s="19"/>
      <c r="MQH37" s="21"/>
      <c r="MQI37" s="19"/>
      <c r="MQR37" s="19"/>
      <c r="MQS37" s="19"/>
      <c r="MQT37" s="19"/>
      <c r="MQU37" s="19"/>
      <c r="MQV37" s="21"/>
      <c r="MQW37" s="19"/>
      <c r="MRF37" s="19"/>
      <c r="MRG37" s="19"/>
      <c r="MRH37" s="19"/>
      <c r="MRI37" s="19"/>
      <c r="MRJ37" s="21"/>
      <c r="MRK37" s="19"/>
      <c r="MRT37" s="19"/>
      <c r="MRU37" s="19"/>
      <c r="MRV37" s="19"/>
      <c r="MRW37" s="19"/>
      <c r="MRX37" s="21"/>
      <c r="MRY37" s="19"/>
      <c r="MSH37" s="19"/>
      <c r="MSI37" s="19"/>
      <c r="MSJ37" s="19"/>
      <c r="MSK37" s="19"/>
      <c r="MSL37" s="21"/>
      <c r="MSM37" s="19"/>
      <c r="MSV37" s="19"/>
      <c r="MSW37" s="19"/>
      <c r="MSX37" s="19"/>
      <c r="MSY37" s="19"/>
      <c r="MSZ37" s="21"/>
      <c r="MTA37" s="19"/>
      <c r="MTJ37" s="19"/>
      <c r="MTK37" s="19"/>
      <c r="MTL37" s="19"/>
      <c r="MTM37" s="19"/>
      <c r="MTN37" s="21"/>
      <c r="MTO37" s="19"/>
      <c r="MTX37" s="19"/>
      <c r="MTY37" s="19"/>
      <c r="MTZ37" s="19"/>
      <c r="MUA37" s="19"/>
      <c r="MUB37" s="21"/>
      <c r="MUC37" s="19"/>
      <c r="MUL37" s="19"/>
      <c r="MUM37" s="19"/>
      <c r="MUN37" s="19"/>
      <c r="MUO37" s="19"/>
      <c r="MUP37" s="21"/>
      <c r="MUQ37" s="19"/>
      <c r="MUZ37" s="19"/>
      <c r="MVA37" s="19"/>
      <c r="MVB37" s="19"/>
      <c r="MVC37" s="19"/>
      <c r="MVD37" s="21"/>
      <c r="MVE37" s="19"/>
      <c r="MVN37" s="19"/>
      <c r="MVO37" s="19"/>
      <c r="MVP37" s="19"/>
      <c r="MVQ37" s="19"/>
      <c r="MVR37" s="21"/>
      <c r="MVS37" s="19"/>
      <c r="MWB37" s="19"/>
      <c r="MWC37" s="19"/>
      <c r="MWD37" s="19"/>
      <c r="MWE37" s="19"/>
      <c r="MWF37" s="21"/>
      <c r="MWG37" s="19"/>
      <c r="MWP37" s="19"/>
      <c r="MWQ37" s="19"/>
      <c r="MWR37" s="19"/>
      <c r="MWS37" s="19"/>
      <c r="MWT37" s="21"/>
      <c r="MWU37" s="19"/>
      <c r="MXD37" s="19"/>
      <c r="MXE37" s="19"/>
      <c r="MXF37" s="19"/>
      <c r="MXG37" s="19"/>
      <c r="MXH37" s="21"/>
      <c r="MXI37" s="19"/>
      <c r="MXR37" s="19"/>
      <c r="MXS37" s="19"/>
      <c r="MXT37" s="19"/>
      <c r="MXU37" s="19"/>
      <c r="MXV37" s="21"/>
      <c r="MXW37" s="19"/>
      <c r="MYF37" s="19"/>
      <c r="MYG37" s="19"/>
      <c r="MYH37" s="19"/>
      <c r="MYI37" s="19"/>
      <c r="MYJ37" s="21"/>
      <c r="MYK37" s="19"/>
      <c r="MYT37" s="19"/>
      <c r="MYU37" s="19"/>
      <c r="MYV37" s="19"/>
      <c r="MYW37" s="19"/>
      <c r="MYX37" s="21"/>
      <c r="MYY37" s="19"/>
      <c r="MZH37" s="19"/>
      <c r="MZI37" s="19"/>
      <c r="MZJ37" s="19"/>
      <c r="MZK37" s="19"/>
      <c r="MZL37" s="21"/>
      <c r="MZM37" s="19"/>
      <c r="MZV37" s="19"/>
      <c r="MZW37" s="19"/>
      <c r="MZX37" s="19"/>
      <c r="MZY37" s="19"/>
      <c r="MZZ37" s="21"/>
      <c r="NAA37" s="19"/>
      <c r="NAJ37" s="19"/>
      <c r="NAK37" s="19"/>
      <c r="NAL37" s="19"/>
      <c r="NAM37" s="19"/>
      <c r="NAN37" s="21"/>
      <c r="NAO37" s="19"/>
      <c r="NAX37" s="19"/>
      <c r="NAY37" s="19"/>
      <c r="NAZ37" s="19"/>
      <c r="NBA37" s="19"/>
      <c r="NBB37" s="21"/>
      <c r="NBC37" s="19"/>
      <c r="NBL37" s="19"/>
      <c r="NBM37" s="19"/>
      <c r="NBN37" s="19"/>
      <c r="NBO37" s="19"/>
      <c r="NBP37" s="21"/>
      <c r="NBQ37" s="19"/>
      <c r="NBZ37" s="19"/>
      <c r="NCA37" s="19"/>
      <c r="NCB37" s="19"/>
      <c r="NCC37" s="19"/>
      <c r="NCD37" s="21"/>
      <c r="NCE37" s="19"/>
      <c r="NCN37" s="19"/>
      <c r="NCO37" s="19"/>
      <c r="NCP37" s="19"/>
      <c r="NCQ37" s="19"/>
      <c r="NCR37" s="21"/>
      <c r="NCS37" s="19"/>
      <c r="NDB37" s="19"/>
      <c r="NDC37" s="19"/>
      <c r="NDD37" s="19"/>
      <c r="NDE37" s="19"/>
      <c r="NDF37" s="21"/>
      <c r="NDG37" s="19"/>
      <c r="NDP37" s="19"/>
      <c r="NDQ37" s="19"/>
      <c r="NDR37" s="19"/>
      <c r="NDS37" s="19"/>
      <c r="NDT37" s="21"/>
      <c r="NDU37" s="19"/>
      <c r="NED37" s="19"/>
      <c r="NEE37" s="19"/>
      <c r="NEF37" s="19"/>
      <c r="NEG37" s="19"/>
      <c r="NEH37" s="21"/>
      <c r="NEI37" s="19"/>
      <c r="NER37" s="19"/>
      <c r="NES37" s="19"/>
      <c r="NET37" s="19"/>
      <c r="NEU37" s="19"/>
      <c r="NEV37" s="21"/>
      <c r="NEW37" s="19"/>
      <c r="NFF37" s="19"/>
      <c r="NFG37" s="19"/>
      <c r="NFH37" s="19"/>
      <c r="NFI37" s="19"/>
      <c r="NFJ37" s="21"/>
      <c r="NFK37" s="19"/>
      <c r="NFT37" s="19"/>
      <c r="NFU37" s="19"/>
      <c r="NFV37" s="19"/>
      <c r="NFW37" s="19"/>
      <c r="NFX37" s="21"/>
      <c r="NFY37" s="19"/>
      <c r="NGH37" s="19"/>
      <c r="NGI37" s="19"/>
      <c r="NGJ37" s="19"/>
      <c r="NGK37" s="19"/>
      <c r="NGL37" s="21"/>
      <c r="NGM37" s="19"/>
      <c r="NGV37" s="19"/>
      <c r="NGW37" s="19"/>
      <c r="NGX37" s="19"/>
      <c r="NGY37" s="19"/>
      <c r="NGZ37" s="21"/>
      <c r="NHA37" s="19"/>
      <c r="NHJ37" s="19"/>
      <c r="NHK37" s="19"/>
      <c r="NHL37" s="19"/>
      <c r="NHM37" s="19"/>
      <c r="NHN37" s="21"/>
      <c r="NHO37" s="19"/>
      <c r="NHX37" s="19"/>
      <c r="NHY37" s="19"/>
      <c r="NHZ37" s="19"/>
      <c r="NIA37" s="19"/>
      <c r="NIB37" s="21"/>
      <c r="NIC37" s="19"/>
      <c r="NIL37" s="19"/>
      <c r="NIM37" s="19"/>
      <c r="NIN37" s="19"/>
      <c r="NIO37" s="19"/>
      <c r="NIP37" s="21"/>
      <c r="NIQ37" s="19"/>
      <c r="NIZ37" s="19"/>
      <c r="NJA37" s="19"/>
      <c r="NJB37" s="19"/>
      <c r="NJC37" s="19"/>
      <c r="NJD37" s="21"/>
      <c r="NJE37" s="19"/>
      <c r="NJN37" s="19"/>
      <c r="NJO37" s="19"/>
      <c r="NJP37" s="19"/>
      <c r="NJQ37" s="19"/>
      <c r="NJR37" s="21"/>
      <c r="NJS37" s="19"/>
      <c r="NKB37" s="19"/>
      <c r="NKC37" s="19"/>
      <c r="NKD37" s="19"/>
      <c r="NKE37" s="19"/>
      <c r="NKF37" s="21"/>
      <c r="NKG37" s="19"/>
      <c r="NKP37" s="19"/>
      <c r="NKQ37" s="19"/>
      <c r="NKR37" s="19"/>
      <c r="NKS37" s="19"/>
      <c r="NKT37" s="21"/>
      <c r="NKU37" s="19"/>
      <c r="NLD37" s="19"/>
      <c r="NLE37" s="19"/>
      <c r="NLF37" s="19"/>
      <c r="NLG37" s="19"/>
      <c r="NLH37" s="21"/>
      <c r="NLI37" s="19"/>
      <c r="NLR37" s="19"/>
      <c r="NLS37" s="19"/>
      <c r="NLT37" s="19"/>
      <c r="NLU37" s="19"/>
      <c r="NLV37" s="21"/>
      <c r="NLW37" s="19"/>
      <c r="NMF37" s="19"/>
      <c r="NMG37" s="19"/>
      <c r="NMH37" s="19"/>
      <c r="NMI37" s="19"/>
      <c r="NMJ37" s="21"/>
      <c r="NMK37" s="19"/>
      <c r="NMT37" s="19"/>
      <c r="NMU37" s="19"/>
      <c r="NMV37" s="19"/>
      <c r="NMW37" s="19"/>
      <c r="NMX37" s="21"/>
      <c r="NMY37" s="19"/>
      <c r="NNH37" s="19"/>
      <c r="NNI37" s="19"/>
      <c r="NNJ37" s="19"/>
      <c r="NNK37" s="19"/>
      <c r="NNL37" s="21"/>
      <c r="NNM37" s="19"/>
      <c r="NNV37" s="19"/>
      <c r="NNW37" s="19"/>
      <c r="NNX37" s="19"/>
      <c r="NNY37" s="19"/>
      <c r="NNZ37" s="21"/>
      <c r="NOA37" s="19"/>
      <c r="NOJ37" s="19"/>
      <c r="NOK37" s="19"/>
      <c r="NOL37" s="19"/>
      <c r="NOM37" s="19"/>
      <c r="NON37" s="21"/>
      <c r="NOO37" s="19"/>
      <c r="NOX37" s="19"/>
      <c r="NOY37" s="19"/>
      <c r="NOZ37" s="19"/>
      <c r="NPA37" s="19"/>
      <c r="NPB37" s="21"/>
      <c r="NPC37" s="19"/>
      <c r="NPL37" s="19"/>
      <c r="NPM37" s="19"/>
      <c r="NPN37" s="19"/>
      <c r="NPO37" s="19"/>
      <c r="NPP37" s="21"/>
      <c r="NPQ37" s="19"/>
      <c r="NPZ37" s="19"/>
      <c r="NQA37" s="19"/>
      <c r="NQB37" s="19"/>
      <c r="NQC37" s="19"/>
      <c r="NQD37" s="21"/>
      <c r="NQE37" s="19"/>
      <c r="NQN37" s="19"/>
      <c r="NQO37" s="19"/>
      <c r="NQP37" s="19"/>
      <c r="NQQ37" s="19"/>
      <c r="NQR37" s="21"/>
      <c r="NQS37" s="19"/>
      <c r="NRB37" s="19"/>
      <c r="NRC37" s="19"/>
      <c r="NRD37" s="19"/>
      <c r="NRE37" s="19"/>
      <c r="NRF37" s="21"/>
      <c r="NRG37" s="19"/>
      <c r="NRP37" s="19"/>
      <c r="NRQ37" s="19"/>
      <c r="NRR37" s="19"/>
      <c r="NRS37" s="19"/>
      <c r="NRT37" s="21"/>
      <c r="NRU37" s="19"/>
      <c r="NSD37" s="19"/>
      <c r="NSE37" s="19"/>
      <c r="NSF37" s="19"/>
      <c r="NSG37" s="19"/>
      <c r="NSH37" s="21"/>
      <c r="NSI37" s="19"/>
      <c r="NSR37" s="19"/>
      <c r="NSS37" s="19"/>
      <c r="NST37" s="19"/>
      <c r="NSU37" s="19"/>
      <c r="NSV37" s="21"/>
      <c r="NSW37" s="19"/>
      <c r="NTF37" s="19"/>
      <c r="NTG37" s="19"/>
      <c r="NTH37" s="19"/>
      <c r="NTI37" s="19"/>
      <c r="NTJ37" s="21"/>
      <c r="NTK37" s="19"/>
      <c r="NTT37" s="19"/>
      <c r="NTU37" s="19"/>
      <c r="NTV37" s="19"/>
      <c r="NTW37" s="19"/>
      <c r="NTX37" s="21"/>
      <c r="NTY37" s="19"/>
      <c r="NUH37" s="19"/>
      <c r="NUI37" s="19"/>
      <c r="NUJ37" s="19"/>
      <c r="NUK37" s="19"/>
      <c r="NUL37" s="21"/>
      <c r="NUM37" s="19"/>
      <c r="NUV37" s="19"/>
      <c r="NUW37" s="19"/>
      <c r="NUX37" s="19"/>
      <c r="NUY37" s="19"/>
      <c r="NUZ37" s="21"/>
      <c r="NVA37" s="19"/>
      <c r="NVJ37" s="19"/>
      <c r="NVK37" s="19"/>
      <c r="NVL37" s="19"/>
      <c r="NVM37" s="19"/>
      <c r="NVN37" s="21"/>
      <c r="NVO37" s="19"/>
      <c r="NVX37" s="19"/>
      <c r="NVY37" s="19"/>
      <c r="NVZ37" s="19"/>
      <c r="NWA37" s="19"/>
      <c r="NWB37" s="21"/>
      <c r="NWC37" s="19"/>
      <c r="NWL37" s="19"/>
      <c r="NWM37" s="19"/>
      <c r="NWN37" s="19"/>
      <c r="NWO37" s="19"/>
      <c r="NWP37" s="21"/>
      <c r="NWQ37" s="19"/>
      <c r="NWZ37" s="19"/>
      <c r="NXA37" s="19"/>
      <c r="NXB37" s="19"/>
      <c r="NXC37" s="19"/>
      <c r="NXD37" s="21"/>
      <c r="NXE37" s="19"/>
      <c r="NXN37" s="19"/>
      <c r="NXO37" s="19"/>
      <c r="NXP37" s="19"/>
      <c r="NXQ37" s="19"/>
      <c r="NXR37" s="21"/>
      <c r="NXS37" s="19"/>
      <c r="NYB37" s="19"/>
      <c r="NYC37" s="19"/>
      <c r="NYD37" s="19"/>
      <c r="NYE37" s="19"/>
      <c r="NYF37" s="21"/>
      <c r="NYG37" s="19"/>
      <c r="NYP37" s="19"/>
      <c r="NYQ37" s="19"/>
      <c r="NYR37" s="19"/>
      <c r="NYS37" s="19"/>
      <c r="NYT37" s="21"/>
      <c r="NYU37" s="19"/>
      <c r="NZD37" s="19"/>
      <c r="NZE37" s="19"/>
      <c r="NZF37" s="19"/>
      <c r="NZG37" s="19"/>
      <c r="NZH37" s="21"/>
      <c r="NZI37" s="19"/>
      <c r="NZR37" s="19"/>
      <c r="NZS37" s="19"/>
      <c r="NZT37" s="19"/>
      <c r="NZU37" s="19"/>
      <c r="NZV37" s="21"/>
      <c r="NZW37" s="19"/>
      <c r="OAF37" s="19"/>
      <c r="OAG37" s="19"/>
      <c r="OAH37" s="19"/>
      <c r="OAI37" s="19"/>
      <c r="OAJ37" s="21"/>
      <c r="OAK37" s="19"/>
      <c r="OAT37" s="19"/>
      <c r="OAU37" s="19"/>
      <c r="OAV37" s="19"/>
      <c r="OAW37" s="19"/>
      <c r="OAX37" s="21"/>
      <c r="OAY37" s="19"/>
      <c r="OBH37" s="19"/>
      <c r="OBI37" s="19"/>
      <c r="OBJ37" s="19"/>
      <c r="OBK37" s="19"/>
      <c r="OBL37" s="21"/>
      <c r="OBM37" s="19"/>
      <c r="OBV37" s="19"/>
      <c r="OBW37" s="19"/>
      <c r="OBX37" s="19"/>
      <c r="OBY37" s="19"/>
      <c r="OBZ37" s="21"/>
      <c r="OCA37" s="19"/>
      <c r="OCJ37" s="19"/>
      <c r="OCK37" s="19"/>
      <c r="OCL37" s="19"/>
      <c r="OCM37" s="19"/>
      <c r="OCN37" s="21"/>
      <c r="OCO37" s="19"/>
      <c r="OCX37" s="19"/>
      <c r="OCY37" s="19"/>
      <c r="OCZ37" s="19"/>
      <c r="ODA37" s="19"/>
      <c r="ODB37" s="21"/>
      <c r="ODC37" s="19"/>
      <c r="ODL37" s="19"/>
      <c r="ODM37" s="19"/>
      <c r="ODN37" s="19"/>
      <c r="ODO37" s="19"/>
      <c r="ODP37" s="21"/>
      <c r="ODQ37" s="19"/>
      <c r="ODZ37" s="19"/>
      <c r="OEA37" s="19"/>
      <c r="OEB37" s="19"/>
      <c r="OEC37" s="19"/>
      <c r="OED37" s="21"/>
      <c r="OEE37" s="19"/>
      <c r="OEN37" s="19"/>
      <c r="OEO37" s="19"/>
      <c r="OEP37" s="19"/>
      <c r="OEQ37" s="19"/>
      <c r="OER37" s="21"/>
      <c r="OES37" s="19"/>
      <c r="OFB37" s="19"/>
      <c r="OFC37" s="19"/>
      <c r="OFD37" s="19"/>
      <c r="OFE37" s="19"/>
      <c r="OFF37" s="21"/>
      <c r="OFG37" s="19"/>
      <c r="OFP37" s="19"/>
      <c r="OFQ37" s="19"/>
      <c r="OFR37" s="19"/>
      <c r="OFS37" s="19"/>
      <c r="OFT37" s="21"/>
      <c r="OFU37" s="19"/>
      <c r="OGD37" s="19"/>
      <c r="OGE37" s="19"/>
      <c r="OGF37" s="19"/>
      <c r="OGG37" s="19"/>
      <c r="OGH37" s="21"/>
      <c r="OGI37" s="19"/>
      <c r="OGR37" s="19"/>
      <c r="OGS37" s="19"/>
      <c r="OGT37" s="19"/>
      <c r="OGU37" s="19"/>
      <c r="OGV37" s="21"/>
      <c r="OGW37" s="19"/>
      <c r="OHF37" s="19"/>
      <c r="OHG37" s="19"/>
      <c r="OHH37" s="19"/>
      <c r="OHI37" s="19"/>
      <c r="OHJ37" s="21"/>
      <c r="OHK37" s="19"/>
      <c r="OHT37" s="19"/>
      <c r="OHU37" s="19"/>
      <c r="OHV37" s="19"/>
      <c r="OHW37" s="19"/>
      <c r="OHX37" s="21"/>
      <c r="OHY37" s="19"/>
      <c r="OIH37" s="19"/>
      <c r="OII37" s="19"/>
      <c r="OIJ37" s="19"/>
      <c r="OIK37" s="19"/>
      <c r="OIL37" s="21"/>
      <c r="OIM37" s="19"/>
      <c r="OIV37" s="19"/>
      <c r="OIW37" s="19"/>
      <c r="OIX37" s="19"/>
      <c r="OIY37" s="19"/>
      <c r="OIZ37" s="21"/>
      <c r="OJA37" s="19"/>
      <c r="OJJ37" s="19"/>
      <c r="OJK37" s="19"/>
      <c r="OJL37" s="19"/>
      <c r="OJM37" s="19"/>
      <c r="OJN37" s="21"/>
      <c r="OJO37" s="19"/>
      <c r="OJX37" s="19"/>
      <c r="OJY37" s="19"/>
      <c r="OJZ37" s="19"/>
      <c r="OKA37" s="19"/>
      <c r="OKB37" s="21"/>
      <c r="OKC37" s="19"/>
      <c r="OKL37" s="19"/>
      <c r="OKM37" s="19"/>
      <c r="OKN37" s="19"/>
      <c r="OKO37" s="19"/>
      <c r="OKP37" s="21"/>
      <c r="OKQ37" s="19"/>
      <c r="OKZ37" s="19"/>
      <c r="OLA37" s="19"/>
      <c r="OLB37" s="19"/>
      <c r="OLC37" s="19"/>
      <c r="OLD37" s="21"/>
      <c r="OLE37" s="19"/>
      <c r="OLN37" s="19"/>
      <c r="OLO37" s="19"/>
      <c r="OLP37" s="19"/>
      <c r="OLQ37" s="19"/>
      <c r="OLR37" s="21"/>
      <c r="OLS37" s="19"/>
      <c r="OMB37" s="19"/>
      <c r="OMC37" s="19"/>
      <c r="OMD37" s="19"/>
      <c r="OME37" s="19"/>
      <c r="OMF37" s="21"/>
      <c r="OMG37" s="19"/>
      <c r="OMP37" s="19"/>
      <c r="OMQ37" s="19"/>
      <c r="OMR37" s="19"/>
      <c r="OMS37" s="19"/>
      <c r="OMT37" s="21"/>
      <c r="OMU37" s="19"/>
      <c r="OND37" s="19"/>
      <c r="ONE37" s="19"/>
      <c r="ONF37" s="19"/>
      <c r="ONG37" s="19"/>
      <c r="ONH37" s="21"/>
      <c r="ONI37" s="19"/>
      <c r="ONR37" s="19"/>
      <c r="ONS37" s="19"/>
      <c r="ONT37" s="19"/>
      <c r="ONU37" s="19"/>
      <c r="ONV37" s="21"/>
      <c r="ONW37" s="19"/>
      <c r="OOF37" s="19"/>
      <c r="OOG37" s="19"/>
      <c r="OOH37" s="19"/>
      <c r="OOI37" s="19"/>
      <c r="OOJ37" s="21"/>
      <c r="OOK37" s="19"/>
      <c r="OOT37" s="19"/>
      <c r="OOU37" s="19"/>
      <c r="OOV37" s="19"/>
      <c r="OOW37" s="19"/>
      <c r="OOX37" s="21"/>
      <c r="OOY37" s="19"/>
      <c r="OPH37" s="19"/>
      <c r="OPI37" s="19"/>
      <c r="OPJ37" s="19"/>
      <c r="OPK37" s="19"/>
      <c r="OPL37" s="21"/>
      <c r="OPM37" s="19"/>
      <c r="OPV37" s="19"/>
      <c r="OPW37" s="19"/>
      <c r="OPX37" s="19"/>
      <c r="OPY37" s="19"/>
      <c r="OPZ37" s="21"/>
      <c r="OQA37" s="19"/>
      <c r="OQJ37" s="19"/>
      <c r="OQK37" s="19"/>
      <c r="OQL37" s="19"/>
      <c r="OQM37" s="19"/>
      <c r="OQN37" s="21"/>
      <c r="OQO37" s="19"/>
      <c r="OQX37" s="19"/>
      <c r="OQY37" s="19"/>
      <c r="OQZ37" s="19"/>
      <c r="ORA37" s="19"/>
      <c r="ORB37" s="21"/>
      <c r="ORC37" s="19"/>
      <c r="ORL37" s="19"/>
      <c r="ORM37" s="19"/>
      <c r="ORN37" s="19"/>
      <c r="ORO37" s="19"/>
      <c r="ORP37" s="21"/>
      <c r="ORQ37" s="19"/>
      <c r="ORZ37" s="19"/>
      <c r="OSA37" s="19"/>
      <c r="OSB37" s="19"/>
      <c r="OSC37" s="19"/>
      <c r="OSD37" s="21"/>
      <c r="OSE37" s="19"/>
      <c r="OSN37" s="19"/>
      <c r="OSO37" s="19"/>
      <c r="OSP37" s="19"/>
      <c r="OSQ37" s="19"/>
      <c r="OSR37" s="21"/>
      <c r="OSS37" s="19"/>
      <c r="OTB37" s="19"/>
      <c r="OTC37" s="19"/>
      <c r="OTD37" s="19"/>
      <c r="OTE37" s="19"/>
      <c r="OTF37" s="21"/>
      <c r="OTG37" s="19"/>
      <c r="OTP37" s="19"/>
      <c r="OTQ37" s="19"/>
      <c r="OTR37" s="19"/>
      <c r="OTS37" s="19"/>
      <c r="OTT37" s="21"/>
      <c r="OTU37" s="19"/>
      <c r="OUD37" s="19"/>
      <c r="OUE37" s="19"/>
      <c r="OUF37" s="19"/>
      <c r="OUG37" s="19"/>
      <c r="OUH37" s="21"/>
      <c r="OUI37" s="19"/>
      <c r="OUR37" s="19"/>
      <c r="OUS37" s="19"/>
      <c r="OUT37" s="19"/>
      <c r="OUU37" s="19"/>
      <c r="OUV37" s="21"/>
      <c r="OUW37" s="19"/>
      <c r="OVF37" s="19"/>
      <c r="OVG37" s="19"/>
      <c r="OVH37" s="19"/>
      <c r="OVI37" s="19"/>
      <c r="OVJ37" s="21"/>
      <c r="OVK37" s="19"/>
      <c r="OVT37" s="19"/>
      <c r="OVU37" s="19"/>
      <c r="OVV37" s="19"/>
      <c r="OVW37" s="19"/>
      <c r="OVX37" s="21"/>
      <c r="OVY37" s="19"/>
      <c r="OWH37" s="19"/>
      <c r="OWI37" s="19"/>
      <c r="OWJ37" s="19"/>
      <c r="OWK37" s="19"/>
      <c r="OWL37" s="21"/>
      <c r="OWM37" s="19"/>
      <c r="OWV37" s="19"/>
      <c r="OWW37" s="19"/>
      <c r="OWX37" s="19"/>
      <c r="OWY37" s="19"/>
      <c r="OWZ37" s="21"/>
      <c r="OXA37" s="19"/>
      <c r="OXJ37" s="19"/>
      <c r="OXK37" s="19"/>
      <c r="OXL37" s="19"/>
      <c r="OXM37" s="19"/>
      <c r="OXN37" s="21"/>
      <c r="OXO37" s="19"/>
      <c r="OXX37" s="19"/>
      <c r="OXY37" s="19"/>
      <c r="OXZ37" s="19"/>
      <c r="OYA37" s="19"/>
      <c r="OYB37" s="21"/>
      <c r="OYC37" s="19"/>
      <c r="OYL37" s="19"/>
      <c r="OYM37" s="19"/>
      <c r="OYN37" s="19"/>
      <c r="OYO37" s="19"/>
      <c r="OYP37" s="21"/>
      <c r="OYQ37" s="19"/>
      <c r="OYZ37" s="19"/>
      <c r="OZA37" s="19"/>
      <c r="OZB37" s="19"/>
      <c r="OZC37" s="19"/>
      <c r="OZD37" s="21"/>
      <c r="OZE37" s="19"/>
      <c r="OZN37" s="19"/>
      <c r="OZO37" s="19"/>
      <c r="OZP37" s="19"/>
      <c r="OZQ37" s="19"/>
      <c r="OZR37" s="21"/>
      <c r="OZS37" s="19"/>
      <c r="PAB37" s="19"/>
      <c r="PAC37" s="19"/>
      <c r="PAD37" s="19"/>
      <c r="PAE37" s="19"/>
      <c r="PAF37" s="21"/>
      <c r="PAG37" s="19"/>
      <c r="PAP37" s="19"/>
      <c r="PAQ37" s="19"/>
      <c r="PAR37" s="19"/>
      <c r="PAS37" s="19"/>
      <c r="PAT37" s="21"/>
      <c r="PAU37" s="19"/>
      <c r="PBD37" s="19"/>
      <c r="PBE37" s="19"/>
      <c r="PBF37" s="19"/>
      <c r="PBG37" s="19"/>
      <c r="PBH37" s="21"/>
      <c r="PBI37" s="19"/>
      <c r="PBR37" s="19"/>
      <c r="PBS37" s="19"/>
      <c r="PBT37" s="19"/>
      <c r="PBU37" s="19"/>
      <c r="PBV37" s="21"/>
      <c r="PBW37" s="19"/>
      <c r="PCF37" s="19"/>
      <c r="PCG37" s="19"/>
      <c r="PCH37" s="19"/>
      <c r="PCI37" s="19"/>
      <c r="PCJ37" s="21"/>
      <c r="PCK37" s="19"/>
      <c r="PCT37" s="19"/>
      <c r="PCU37" s="19"/>
      <c r="PCV37" s="19"/>
      <c r="PCW37" s="19"/>
      <c r="PCX37" s="21"/>
      <c r="PCY37" s="19"/>
      <c r="PDH37" s="19"/>
      <c r="PDI37" s="19"/>
      <c r="PDJ37" s="19"/>
      <c r="PDK37" s="19"/>
      <c r="PDL37" s="21"/>
      <c r="PDM37" s="19"/>
      <c r="PDV37" s="19"/>
      <c r="PDW37" s="19"/>
      <c r="PDX37" s="19"/>
      <c r="PDY37" s="19"/>
      <c r="PDZ37" s="21"/>
      <c r="PEA37" s="19"/>
      <c r="PEJ37" s="19"/>
      <c r="PEK37" s="19"/>
      <c r="PEL37" s="19"/>
      <c r="PEM37" s="19"/>
      <c r="PEN37" s="21"/>
      <c r="PEO37" s="19"/>
      <c r="PEX37" s="19"/>
      <c r="PEY37" s="19"/>
      <c r="PEZ37" s="19"/>
      <c r="PFA37" s="19"/>
      <c r="PFB37" s="21"/>
      <c r="PFC37" s="19"/>
      <c r="PFL37" s="19"/>
      <c r="PFM37" s="19"/>
      <c r="PFN37" s="19"/>
      <c r="PFO37" s="19"/>
      <c r="PFP37" s="21"/>
      <c r="PFQ37" s="19"/>
      <c r="PFZ37" s="19"/>
      <c r="PGA37" s="19"/>
      <c r="PGB37" s="19"/>
      <c r="PGC37" s="19"/>
      <c r="PGD37" s="21"/>
      <c r="PGE37" s="19"/>
      <c r="PGN37" s="19"/>
      <c r="PGO37" s="19"/>
      <c r="PGP37" s="19"/>
      <c r="PGQ37" s="19"/>
      <c r="PGR37" s="21"/>
      <c r="PGS37" s="19"/>
      <c r="PHB37" s="19"/>
      <c r="PHC37" s="19"/>
      <c r="PHD37" s="19"/>
      <c r="PHE37" s="19"/>
      <c r="PHF37" s="21"/>
      <c r="PHG37" s="19"/>
      <c r="PHP37" s="19"/>
      <c r="PHQ37" s="19"/>
      <c r="PHR37" s="19"/>
      <c r="PHS37" s="19"/>
      <c r="PHT37" s="21"/>
      <c r="PHU37" s="19"/>
      <c r="PID37" s="19"/>
      <c r="PIE37" s="19"/>
      <c r="PIF37" s="19"/>
      <c r="PIG37" s="19"/>
      <c r="PIH37" s="21"/>
      <c r="PII37" s="19"/>
      <c r="PIR37" s="19"/>
      <c r="PIS37" s="19"/>
      <c r="PIT37" s="19"/>
      <c r="PIU37" s="19"/>
      <c r="PIV37" s="21"/>
      <c r="PIW37" s="19"/>
      <c r="PJF37" s="19"/>
      <c r="PJG37" s="19"/>
      <c r="PJH37" s="19"/>
      <c r="PJI37" s="19"/>
      <c r="PJJ37" s="21"/>
      <c r="PJK37" s="19"/>
      <c r="PJT37" s="19"/>
      <c r="PJU37" s="19"/>
      <c r="PJV37" s="19"/>
      <c r="PJW37" s="19"/>
      <c r="PJX37" s="21"/>
      <c r="PJY37" s="19"/>
      <c r="PKH37" s="19"/>
      <c r="PKI37" s="19"/>
      <c r="PKJ37" s="19"/>
      <c r="PKK37" s="19"/>
      <c r="PKL37" s="21"/>
      <c r="PKM37" s="19"/>
      <c r="PKV37" s="19"/>
      <c r="PKW37" s="19"/>
      <c r="PKX37" s="19"/>
      <c r="PKY37" s="19"/>
      <c r="PKZ37" s="21"/>
      <c r="PLA37" s="19"/>
      <c r="PLJ37" s="19"/>
      <c r="PLK37" s="19"/>
      <c r="PLL37" s="19"/>
      <c r="PLM37" s="19"/>
      <c r="PLN37" s="21"/>
      <c r="PLO37" s="19"/>
      <c r="PLX37" s="19"/>
      <c r="PLY37" s="19"/>
      <c r="PLZ37" s="19"/>
      <c r="PMA37" s="19"/>
      <c r="PMB37" s="21"/>
      <c r="PMC37" s="19"/>
      <c r="PML37" s="19"/>
      <c r="PMM37" s="19"/>
      <c r="PMN37" s="19"/>
      <c r="PMO37" s="19"/>
      <c r="PMP37" s="21"/>
      <c r="PMQ37" s="19"/>
      <c r="PMZ37" s="19"/>
      <c r="PNA37" s="19"/>
      <c r="PNB37" s="19"/>
      <c r="PNC37" s="19"/>
      <c r="PND37" s="21"/>
      <c r="PNE37" s="19"/>
      <c r="PNN37" s="19"/>
      <c r="PNO37" s="19"/>
      <c r="PNP37" s="19"/>
      <c r="PNQ37" s="19"/>
      <c r="PNR37" s="21"/>
      <c r="PNS37" s="19"/>
      <c r="POB37" s="19"/>
      <c r="POC37" s="19"/>
      <c r="POD37" s="19"/>
      <c r="POE37" s="19"/>
      <c r="POF37" s="21"/>
      <c r="POG37" s="19"/>
      <c r="POP37" s="19"/>
      <c r="POQ37" s="19"/>
      <c r="POR37" s="19"/>
      <c r="POS37" s="19"/>
      <c r="POT37" s="21"/>
      <c r="POU37" s="19"/>
      <c r="PPD37" s="19"/>
      <c r="PPE37" s="19"/>
      <c r="PPF37" s="19"/>
      <c r="PPG37" s="19"/>
      <c r="PPH37" s="21"/>
      <c r="PPI37" s="19"/>
      <c r="PPR37" s="19"/>
      <c r="PPS37" s="19"/>
      <c r="PPT37" s="19"/>
      <c r="PPU37" s="19"/>
      <c r="PPV37" s="21"/>
      <c r="PPW37" s="19"/>
      <c r="PQF37" s="19"/>
      <c r="PQG37" s="19"/>
      <c r="PQH37" s="19"/>
      <c r="PQI37" s="19"/>
      <c r="PQJ37" s="21"/>
      <c r="PQK37" s="19"/>
      <c r="PQT37" s="19"/>
      <c r="PQU37" s="19"/>
      <c r="PQV37" s="19"/>
      <c r="PQW37" s="19"/>
      <c r="PQX37" s="21"/>
      <c r="PQY37" s="19"/>
      <c r="PRH37" s="19"/>
      <c r="PRI37" s="19"/>
      <c r="PRJ37" s="19"/>
      <c r="PRK37" s="19"/>
      <c r="PRL37" s="21"/>
      <c r="PRM37" s="19"/>
      <c r="PRV37" s="19"/>
      <c r="PRW37" s="19"/>
      <c r="PRX37" s="19"/>
      <c r="PRY37" s="19"/>
      <c r="PRZ37" s="21"/>
      <c r="PSA37" s="19"/>
      <c r="PSJ37" s="19"/>
      <c r="PSK37" s="19"/>
      <c r="PSL37" s="19"/>
      <c r="PSM37" s="19"/>
      <c r="PSN37" s="21"/>
      <c r="PSO37" s="19"/>
      <c r="PSX37" s="19"/>
      <c r="PSY37" s="19"/>
      <c r="PSZ37" s="19"/>
      <c r="PTA37" s="19"/>
      <c r="PTB37" s="21"/>
      <c r="PTC37" s="19"/>
      <c r="PTL37" s="19"/>
      <c r="PTM37" s="19"/>
      <c r="PTN37" s="19"/>
      <c r="PTO37" s="19"/>
      <c r="PTP37" s="21"/>
      <c r="PTQ37" s="19"/>
      <c r="PTZ37" s="19"/>
      <c r="PUA37" s="19"/>
      <c r="PUB37" s="19"/>
      <c r="PUC37" s="19"/>
      <c r="PUD37" s="21"/>
      <c r="PUE37" s="19"/>
      <c r="PUN37" s="19"/>
      <c r="PUO37" s="19"/>
      <c r="PUP37" s="19"/>
      <c r="PUQ37" s="19"/>
      <c r="PUR37" s="21"/>
      <c r="PUS37" s="19"/>
      <c r="PVB37" s="19"/>
      <c r="PVC37" s="19"/>
      <c r="PVD37" s="19"/>
      <c r="PVE37" s="19"/>
      <c r="PVF37" s="21"/>
      <c r="PVG37" s="19"/>
      <c r="PVP37" s="19"/>
      <c r="PVQ37" s="19"/>
      <c r="PVR37" s="19"/>
      <c r="PVS37" s="19"/>
      <c r="PVT37" s="21"/>
      <c r="PVU37" s="19"/>
      <c r="PWD37" s="19"/>
      <c r="PWE37" s="19"/>
      <c r="PWF37" s="19"/>
      <c r="PWG37" s="19"/>
      <c r="PWH37" s="21"/>
      <c r="PWI37" s="19"/>
      <c r="PWR37" s="19"/>
      <c r="PWS37" s="19"/>
      <c r="PWT37" s="19"/>
      <c r="PWU37" s="19"/>
      <c r="PWV37" s="21"/>
      <c r="PWW37" s="19"/>
      <c r="PXF37" s="19"/>
      <c r="PXG37" s="19"/>
      <c r="PXH37" s="19"/>
      <c r="PXI37" s="19"/>
      <c r="PXJ37" s="21"/>
      <c r="PXK37" s="19"/>
      <c r="PXT37" s="19"/>
      <c r="PXU37" s="19"/>
      <c r="PXV37" s="19"/>
      <c r="PXW37" s="19"/>
      <c r="PXX37" s="21"/>
      <c r="PXY37" s="19"/>
      <c r="PYH37" s="19"/>
      <c r="PYI37" s="19"/>
      <c r="PYJ37" s="19"/>
      <c r="PYK37" s="19"/>
      <c r="PYL37" s="21"/>
      <c r="PYM37" s="19"/>
      <c r="PYV37" s="19"/>
      <c r="PYW37" s="19"/>
      <c r="PYX37" s="19"/>
      <c r="PYY37" s="19"/>
      <c r="PYZ37" s="21"/>
      <c r="PZA37" s="19"/>
      <c r="PZJ37" s="19"/>
      <c r="PZK37" s="19"/>
      <c r="PZL37" s="19"/>
      <c r="PZM37" s="19"/>
      <c r="PZN37" s="21"/>
      <c r="PZO37" s="19"/>
      <c r="PZX37" s="19"/>
      <c r="PZY37" s="19"/>
      <c r="PZZ37" s="19"/>
      <c r="QAA37" s="19"/>
      <c r="QAB37" s="21"/>
      <c r="QAC37" s="19"/>
      <c r="QAL37" s="19"/>
      <c r="QAM37" s="19"/>
      <c r="QAN37" s="19"/>
      <c r="QAO37" s="19"/>
      <c r="QAP37" s="21"/>
      <c r="QAQ37" s="19"/>
      <c r="QAZ37" s="19"/>
      <c r="QBA37" s="19"/>
      <c r="QBB37" s="19"/>
      <c r="QBC37" s="19"/>
      <c r="QBD37" s="21"/>
      <c r="QBE37" s="19"/>
      <c r="QBN37" s="19"/>
      <c r="QBO37" s="19"/>
      <c r="QBP37" s="19"/>
      <c r="QBQ37" s="19"/>
      <c r="QBR37" s="21"/>
      <c r="QBS37" s="19"/>
      <c r="QCB37" s="19"/>
      <c r="QCC37" s="19"/>
      <c r="QCD37" s="19"/>
      <c r="QCE37" s="19"/>
      <c r="QCF37" s="21"/>
      <c r="QCG37" s="19"/>
      <c r="QCP37" s="19"/>
      <c r="QCQ37" s="19"/>
      <c r="QCR37" s="19"/>
      <c r="QCS37" s="19"/>
      <c r="QCT37" s="21"/>
      <c r="QCU37" s="19"/>
      <c r="QDD37" s="19"/>
      <c r="QDE37" s="19"/>
      <c r="QDF37" s="19"/>
      <c r="QDG37" s="19"/>
      <c r="QDH37" s="21"/>
      <c r="QDI37" s="19"/>
      <c r="QDR37" s="19"/>
      <c r="QDS37" s="19"/>
      <c r="QDT37" s="19"/>
      <c r="QDU37" s="19"/>
      <c r="QDV37" s="21"/>
      <c r="QDW37" s="19"/>
      <c r="QEF37" s="19"/>
      <c r="QEG37" s="19"/>
      <c r="QEH37" s="19"/>
      <c r="QEI37" s="19"/>
      <c r="QEJ37" s="21"/>
      <c r="QEK37" s="19"/>
      <c r="QET37" s="19"/>
      <c r="QEU37" s="19"/>
      <c r="QEV37" s="19"/>
      <c r="QEW37" s="19"/>
      <c r="QEX37" s="21"/>
      <c r="QEY37" s="19"/>
      <c r="QFH37" s="19"/>
      <c r="QFI37" s="19"/>
      <c r="QFJ37" s="19"/>
      <c r="QFK37" s="19"/>
      <c r="QFL37" s="21"/>
      <c r="QFM37" s="19"/>
      <c r="QFV37" s="19"/>
      <c r="QFW37" s="19"/>
      <c r="QFX37" s="19"/>
      <c r="QFY37" s="19"/>
      <c r="QFZ37" s="21"/>
      <c r="QGA37" s="19"/>
      <c r="QGJ37" s="19"/>
      <c r="QGK37" s="19"/>
      <c r="QGL37" s="19"/>
      <c r="QGM37" s="19"/>
      <c r="QGN37" s="21"/>
      <c r="QGO37" s="19"/>
      <c r="QGX37" s="19"/>
      <c r="QGY37" s="19"/>
      <c r="QGZ37" s="19"/>
      <c r="QHA37" s="19"/>
      <c r="QHB37" s="21"/>
      <c r="QHC37" s="19"/>
      <c r="QHL37" s="19"/>
      <c r="QHM37" s="19"/>
      <c r="QHN37" s="19"/>
      <c r="QHO37" s="19"/>
      <c r="QHP37" s="21"/>
      <c r="QHQ37" s="19"/>
      <c r="QHZ37" s="19"/>
      <c r="QIA37" s="19"/>
      <c r="QIB37" s="19"/>
      <c r="QIC37" s="19"/>
      <c r="QID37" s="21"/>
      <c r="QIE37" s="19"/>
      <c r="QIN37" s="19"/>
      <c r="QIO37" s="19"/>
      <c r="QIP37" s="19"/>
      <c r="QIQ37" s="19"/>
      <c r="QIR37" s="21"/>
      <c r="QIS37" s="19"/>
      <c r="QJB37" s="19"/>
      <c r="QJC37" s="19"/>
      <c r="QJD37" s="19"/>
      <c r="QJE37" s="19"/>
      <c r="QJF37" s="21"/>
      <c r="QJG37" s="19"/>
      <c r="QJP37" s="19"/>
      <c r="QJQ37" s="19"/>
      <c r="QJR37" s="19"/>
      <c r="QJS37" s="19"/>
      <c r="QJT37" s="21"/>
      <c r="QJU37" s="19"/>
      <c r="QKD37" s="19"/>
      <c r="QKE37" s="19"/>
      <c r="QKF37" s="19"/>
      <c r="QKG37" s="19"/>
      <c r="QKH37" s="21"/>
      <c r="QKI37" s="19"/>
      <c r="QKR37" s="19"/>
      <c r="QKS37" s="19"/>
      <c r="QKT37" s="19"/>
      <c r="QKU37" s="19"/>
      <c r="QKV37" s="21"/>
      <c r="QKW37" s="19"/>
      <c r="QLF37" s="19"/>
      <c r="QLG37" s="19"/>
      <c r="QLH37" s="19"/>
      <c r="QLI37" s="19"/>
      <c r="QLJ37" s="21"/>
      <c r="QLK37" s="19"/>
      <c r="QLT37" s="19"/>
      <c r="QLU37" s="19"/>
      <c r="QLV37" s="19"/>
      <c r="QLW37" s="19"/>
      <c r="QLX37" s="21"/>
      <c r="QLY37" s="19"/>
      <c r="QMH37" s="19"/>
      <c r="QMI37" s="19"/>
      <c r="QMJ37" s="19"/>
      <c r="QMK37" s="19"/>
      <c r="QML37" s="21"/>
      <c r="QMM37" s="19"/>
      <c r="QMV37" s="19"/>
      <c r="QMW37" s="19"/>
      <c r="QMX37" s="19"/>
      <c r="QMY37" s="19"/>
      <c r="QMZ37" s="21"/>
      <c r="QNA37" s="19"/>
      <c r="QNJ37" s="19"/>
      <c r="QNK37" s="19"/>
      <c r="QNL37" s="19"/>
      <c r="QNM37" s="19"/>
      <c r="QNN37" s="21"/>
      <c r="QNO37" s="19"/>
      <c r="QNX37" s="19"/>
      <c r="QNY37" s="19"/>
      <c r="QNZ37" s="19"/>
      <c r="QOA37" s="19"/>
      <c r="QOB37" s="21"/>
      <c r="QOC37" s="19"/>
      <c r="QOL37" s="19"/>
      <c r="QOM37" s="19"/>
      <c r="QON37" s="19"/>
      <c r="QOO37" s="19"/>
      <c r="QOP37" s="21"/>
      <c r="QOQ37" s="19"/>
      <c r="QOZ37" s="19"/>
      <c r="QPA37" s="19"/>
      <c r="QPB37" s="19"/>
      <c r="QPC37" s="19"/>
      <c r="QPD37" s="21"/>
      <c r="QPE37" s="19"/>
      <c r="QPN37" s="19"/>
      <c r="QPO37" s="19"/>
      <c r="QPP37" s="19"/>
      <c r="QPQ37" s="19"/>
      <c r="QPR37" s="21"/>
      <c r="QPS37" s="19"/>
      <c r="QQB37" s="19"/>
      <c r="QQC37" s="19"/>
      <c r="QQD37" s="19"/>
      <c r="QQE37" s="19"/>
      <c r="QQF37" s="21"/>
      <c r="QQG37" s="19"/>
      <c r="QQP37" s="19"/>
      <c r="QQQ37" s="19"/>
      <c r="QQR37" s="19"/>
      <c r="QQS37" s="19"/>
      <c r="QQT37" s="21"/>
      <c r="QQU37" s="19"/>
      <c r="QRD37" s="19"/>
      <c r="QRE37" s="19"/>
      <c r="QRF37" s="19"/>
      <c r="QRG37" s="19"/>
      <c r="QRH37" s="21"/>
      <c r="QRI37" s="19"/>
      <c r="QRR37" s="19"/>
      <c r="QRS37" s="19"/>
      <c r="QRT37" s="19"/>
      <c r="QRU37" s="19"/>
      <c r="QRV37" s="21"/>
      <c r="QRW37" s="19"/>
      <c r="QSF37" s="19"/>
      <c r="QSG37" s="19"/>
      <c r="QSH37" s="19"/>
      <c r="QSI37" s="19"/>
      <c r="QSJ37" s="21"/>
      <c r="QSK37" s="19"/>
      <c r="QST37" s="19"/>
      <c r="QSU37" s="19"/>
      <c r="QSV37" s="19"/>
      <c r="QSW37" s="19"/>
      <c r="QSX37" s="21"/>
      <c r="QSY37" s="19"/>
      <c r="QTH37" s="19"/>
      <c r="QTI37" s="19"/>
      <c r="QTJ37" s="19"/>
      <c r="QTK37" s="19"/>
      <c r="QTL37" s="21"/>
      <c r="QTM37" s="19"/>
      <c r="QTV37" s="19"/>
      <c r="QTW37" s="19"/>
      <c r="QTX37" s="19"/>
      <c r="QTY37" s="19"/>
      <c r="QTZ37" s="21"/>
      <c r="QUA37" s="19"/>
      <c r="QUJ37" s="19"/>
      <c r="QUK37" s="19"/>
      <c r="QUL37" s="19"/>
      <c r="QUM37" s="19"/>
      <c r="QUN37" s="21"/>
      <c r="QUO37" s="19"/>
      <c r="QUX37" s="19"/>
      <c r="QUY37" s="19"/>
      <c r="QUZ37" s="19"/>
      <c r="QVA37" s="19"/>
      <c r="QVB37" s="21"/>
      <c r="QVC37" s="19"/>
      <c r="QVL37" s="19"/>
      <c r="QVM37" s="19"/>
      <c r="QVN37" s="19"/>
      <c r="QVO37" s="19"/>
      <c r="QVP37" s="21"/>
      <c r="QVQ37" s="19"/>
      <c r="QVZ37" s="19"/>
      <c r="QWA37" s="19"/>
      <c r="QWB37" s="19"/>
      <c r="QWC37" s="19"/>
      <c r="QWD37" s="21"/>
      <c r="QWE37" s="19"/>
      <c r="QWN37" s="19"/>
      <c r="QWO37" s="19"/>
      <c r="QWP37" s="19"/>
      <c r="QWQ37" s="19"/>
      <c r="QWR37" s="21"/>
      <c r="QWS37" s="19"/>
      <c r="QXB37" s="19"/>
      <c r="QXC37" s="19"/>
      <c r="QXD37" s="19"/>
      <c r="QXE37" s="19"/>
      <c r="QXF37" s="21"/>
      <c r="QXG37" s="19"/>
      <c r="QXP37" s="19"/>
      <c r="QXQ37" s="19"/>
      <c r="QXR37" s="19"/>
      <c r="QXS37" s="19"/>
      <c r="QXT37" s="21"/>
      <c r="QXU37" s="19"/>
      <c r="QYD37" s="19"/>
      <c r="QYE37" s="19"/>
      <c r="QYF37" s="19"/>
      <c r="QYG37" s="19"/>
      <c r="QYH37" s="21"/>
      <c r="QYI37" s="19"/>
      <c r="QYR37" s="19"/>
      <c r="QYS37" s="19"/>
      <c r="QYT37" s="19"/>
      <c r="QYU37" s="19"/>
      <c r="QYV37" s="21"/>
      <c r="QYW37" s="19"/>
      <c r="QZF37" s="19"/>
      <c r="QZG37" s="19"/>
      <c r="QZH37" s="19"/>
      <c r="QZI37" s="19"/>
      <c r="QZJ37" s="21"/>
      <c r="QZK37" s="19"/>
      <c r="QZT37" s="19"/>
      <c r="QZU37" s="19"/>
      <c r="QZV37" s="19"/>
      <c r="QZW37" s="19"/>
      <c r="QZX37" s="21"/>
      <c r="QZY37" s="19"/>
      <c r="RAH37" s="19"/>
      <c r="RAI37" s="19"/>
      <c r="RAJ37" s="19"/>
      <c r="RAK37" s="19"/>
      <c r="RAL37" s="21"/>
      <c r="RAM37" s="19"/>
      <c r="RAV37" s="19"/>
      <c r="RAW37" s="19"/>
      <c r="RAX37" s="19"/>
      <c r="RAY37" s="19"/>
      <c r="RAZ37" s="21"/>
      <c r="RBA37" s="19"/>
      <c r="RBJ37" s="19"/>
      <c r="RBK37" s="19"/>
      <c r="RBL37" s="19"/>
      <c r="RBM37" s="19"/>
      <c r="RBN37" s="21"/>
      <c r="RBO37" s="19"/>
      <c r="RBX37" s="19"/>
      <c r="RBY37" s="19"/>
      <c r="RBZ37" s="19"/>
      <c r="RCA37" s="19"/>
      <c r="RCB37" s="21"/>
      <c r="RCC37" s="19"/>
      <c r="RCL37" s="19"/>
      <c r="RCM37" s="19"/>
      <c r="RCN37" s="19"/>
      <c r="RCO37" s="19"/>
      <c r="RCP37" s="21"/>
      <c r="RCQ37" s="19"/>
      <c r="RCZ37" s="19"/>
      <c r="RDA37" s="19"/>
      <c r="RDB37" s="19"/>
      <c r="RDC37" s="19"/>
      <c r="RDD37" s="21"/>
      <c r="RDE37" s="19"/>
      <c r="RDN37" s="19"/>
      <c r="RDO37" s="19"/>
      <c r="RDP37" s="19"/>
      <c r="RDQ37" s="19"/>
      <c r="RDR37" s="21"/>
      <c r="RDS37" s="19"/>
      <c r="REB37" s="19"/>
      <c r="REC37" s="19"/>
      <c r="RED37" s="19"/>
      <c r="REE37" s="19"/>
      <c r="REF37" s="21"/>
      <c r="REG37" s="19"/>
      <c r="REP37" s="19"/>
      <c r="REQ37" s="19"/>
      <c r="RER37" s="19"/>
      <c r="RES37" s="19"/>
      <c r="RET37" s="21"/>
      <c r="REU37" s="19"/>
      <c r="RFD37" s="19"/>
      <c r="RFE37" s="19"/>
      <c r="RFF37" s="19"/>
      <c r="RFG37" s="19"/>
      <c r="RFH37" s="21"/>
      <c r="RFI37" s="19"/>
      <c r="RFR37" s="19"/>
      <c r="RFS37" s="19"/>
      <c r="RFT37" s="19"/>
      <c r="RFU37" s="19"/>
      <c r="RFV37" s="21"/>
      <c r="RFW37" s="19"/>
      <c r="RGF37" s="19"/>
      <c r="RGG37" s="19"/>
      <c r="RGH37" s="19"/>
      <c r="RGI37" s="19"/>
      <c r="RGJ37" s="21"/>
      <c r="RGK37" s="19"/>
      <c r="RGT37" s="19"/>
      <c r="RGU37" s="19"/>
      <c r="RGV37" s="19"/>
      <c r="RGW37" s="19"/>
      <c r="RGX37" s="21"/>
      <c r="RGY37" s="19"/>
      <c r="RHH37" s="19"/>
      <c r="RHI37" s="19"/>
      <c r="RHJ37" s="19"/>
      <c r="RHK37" s="19"/>
      <c r="RHL37" s="21"/>
      <c r="RHM37" s="19"/>
      <c r="RHV37" s="19"/>
      <c r="RHW37" s="19"/>
      <c r="RHX37" s="19"/>
      <c r="RHY37" s="19"/>
      <c r="RHZ37" s="21"/>
      <c r="RIA37" s="19"/>
      <c r="RIJ37" s="19"/>
      <c r="RIK37" s="19"/>
      <c r="RIL37" s="19"/>
      <c r="RIM37" s="19"/>
      <c r="RIN37" s="21"/>
      <c r="RIO37" s="19"/>
      <c r="RIX37" s="19"/>
      <c r="RIY37" s="19"/>
      <c r="RIZ37" s="19"/>
      <c r="RJA37" s="19"/>
      <c r="RJB37" s="21"/>
      <c r="RJC37" s="19"/>
      <c r="RJL37" s="19"/>
      <c r="RJM37" s="19"/>
      <c r="RJN37" s="19"/>
      <c r="RJO37" s="19"/>
      <c r="RJP37" s="21"/>
      <c r="RJQ37" s="19"/>
      <c r="RJZ37" s="19"/>
      <c r="RKA37" s="19"/>
      <c r="RKB37" s="19"/>
      <c r="RKC37" s="19"/>
      <c r="RKD37" s="21"/>
      <c r="RKE37" s="19"/>
      <c r="RKN37" s="19"/>
      <c r="RKO37" s="19"/>
      <c r="RKP37" s="19"/>
      <c r="RKQ37" s="19"/>
      <c r="RKR37" s="21"/>
      <c r="RKS37" s="19"/>
      <c r="RLB37" s="19"/>
      <c r="RLC37" s="19"/>
      <c r="RLD37" s="19"/>
      <c r="RLE37" s="19"/>
      <c r="RLF37" s="21"/>
      <c r="RLG37" s="19"/>
      <c r="RLP37" s="19"/>
      <c r="RLQ37" s="19"/>
      <c r="RLR37" s="19"/>
      <c r="RLS37" s="19"/>
      <c r="RLT37" s="21"/>
      <c r="RLU37" s="19"/>
      <c r="RMD37" s="19"/>
      <c r="RME37" s="19"/>
      <c r="RMF37" s="19"/>
      <c r="RMG37" s="19"/>
      <c r="RMH37" s="21"/>
      <c r="RMI37" s="19"/>
      <c r="RMR37" s="19"/>
      <c r="RMS37" s="19"/>
      <c r="RMT37" s="19"/>
      <c r="RMU37" s="19"/>
      <c r="RMV37" s="21"/>
      <c r="RMW37" s="19"/>
      <c r="RNF37" s="19"/>
      <c r="RNG37" s="19"/>
      <c r="RNH37" s="19"/>
      <c r="RNI37" s="19"/>
      <c r="RNJ37" s="21"/>
      <c r="RNK37" s="19"/>
      <c r="RNT37" s="19"/>
      <c r="RNU37" s="19"/>
      <c r="RNV37" s="19"/>
      <c r="RNW37" s="19"/>
      <c r="RNX37" s="21"/>
      <c r="RNY37" s="19"/>
      <c r="ROH37" s="19"/>
      <c r="ROI37" s="19"/>
      <c r="ROJ37" s="19"/>
      <c r="ROK37" s="19"/>
      <c r="ROL37" s="21"/>
      <c r="ROM37" s="19"/>
      <c r="ROV37" s="19"/>
      <c r="ROW37" s="19"/>
      <c r="ROX37" s="19"/>
      <c r="ROY37" s="19"/>
      <c r="ROZ37" s="21"/>
      <c r="RPA37" s="19"/>
      <c r="RPJ37" s="19"/>
      <c r="RPK37" s="19"/>
      <c r="RPL37" s="19"/>
      <c r="RPM37" s="19"/>
      <c r="RPN37" s="21"/>
      <c r="RPO37" s="19"/>
      <c r="RPX37" s="19"/>
      <c r="RPY37" s="19"/>
      <c r="RPZ37" s="19"/>
      <c r="RQA37" s="19"/>
      <c r="RQB37" s="21"/>
      <c r="RQC37" s="19"/>
      <c r="RQL37" s="19"/>
      <c r="RQM37" s="19"/>
      <c r="RQN37" s="19"/>
      <c r="RQO37" s="19"/>
      <c r="RQP37" s="21"/>
      <c r="RQQ37" s="19"/>
      <c r="RQZ37" s="19"/>
      <c r="RRA37" s="19"/>
      <c r="RRB37" s="19"/>
      <c r="RRC37" s="19"/>
      <c r="RRD37" s="21"/>
      <c r="RRE37" s="19"/>
      <c r="RRN37" s="19"/>
      <c r="RRO37" s="19"/>
      <c r="RRP37" s="19"/>
      <c r="RRQ37" s="19"/>
      <c r="RRR37" s="21"/>
      <c r="RRS37" s="19"/>
      <c r="RSB37" s="19"/>
      <c r="RSC37" s="19"/>
      <c r="RSD37" s="19"/>
      <c r="RSE37" s="19"/>
      <c r="RSF37" s="21"/>
      <c r="RSG37" s="19"/>
      <c r="RSP37" s="19"/>
      <c r="RSQ37" s="19"/>
      <c r="RSR37" s="19"/>
      <c r="RSS37" s="19"/>
      <c r="RST37" s="21"/>
      <c r="RSU37" s="19"/>
      <c r="RTD37" s="19"/>
      <c r="RTE37" s="19"/>
      <c r="RTF37" s="19"/>
      <c r="RTG37" s="19"/>
      <c r="RTH37" s="21"/>
      <c r="RTI37" s="19"/>
      <c r="RTR37" s="19"/>
      <c r="RTS37" s="19"/>
      <c r="RTT37" s="19"/>
      <c r="RTU37" s="19"/>
      <c r="RTV37" s="21"/>
      <c r="RTW37" s="19"/>
      <c r="RUF37" s="19"/>
      <c r="RUG37" s="19"/>
      <c r="RUH37" s="19"/>
      <c r="RUI37" s="19"/>
      <c r="RUJ37" s="21"/>
      <c r="RUK37" s="19"/>
      <c r="RUT37" s="19"/>
      <c r="RUU37" s="19"/>
      <c r="RUV37" s="19"/>
      <c r="RUW37" s="19"/>
      <c r="RUX37" s="21"/>
      <c r="RUY37" s="19"/>
      <c r="RVH37" s="19"/>
      <c r="RVI37" s="19"/>
      <c r="RVJ37" s="19"/>
      <c r="RVK37" s="19"/>
      <c r="RVL37" s="21"/>
      <c r="RVM37" s="19"/>
      <c r="RVV37" s="19"/>
      <c r="RVW37" s="19"/>
      <c r="RVX37" s="19"/>
      <c r="RVY37" s="19"/>
      <c r="RVZ37" s="21"/>
      <c r="RWA37" s="19"/>
      <c r="RWJ37" s="19"/>
      <c r="RWK37" s="19"/>
      <c r="RWL37" s="19"/>
      <c r="RWM37" s="19"/>
      <c r="RWN37" s="21"/>
      <c r="RWO37" s="19"/>
      <c r="RWX37" s="19"/>
      <c r="RWY37" s="19"/>
      <c r="RWZ37" s="19"/>
      <c r="RXA37" s="19"/>
      <c r="RXB37" s="21"/>
      <c r="RXC37" s="19"/>
      <c r="RXL37" s="19"/>
      <c r="RXM37" s="19"/>
      <c r="RXN37" s="19"/>
      <c r="RXO37" s="19"/>
      <c r="RXP37" s="21"/>
      <c r="RXQ37" s="19"/>
      <c r="RXZ37" s="19"/>
      <c r="RYA37" s="19"/>
      <c r="RYB37" s="19"/>
      <c r="RYC37" s="19"/>
      <c r="RYD37" s="21"/>
      <c r="RYE37" s="19"/>
      <c r="RYN37" s="19"/>
      <c r="RYO37" s="19"/>
      <c r="RYP37" s="19"/>
      <c r="RYQ37" s="19"/>
      <c r="RYR37" s="21"/>
      <c r="RYS37" s="19"/>
      <c r="RZB37" s="19"/>
      <c r="RZC37" s="19"/>
      <c r="RZD37" s="19"/>
      <c r="RZE37" s="19"/>
      <c r="RZF37" s="21"/>
      <c r="RZG37" s="19"/>
      <c r="RZP37" s="19"/>
      <c r="RZQ37" s="19"/>
      <c r="RZR37" s="19"/>
      <c r="RZS37" s="19"/>
      <c r="RZT37" s="21"/>
      <c r="RZU37" s="19"/>
      <c r="SAD37" s="19"/>
      <c r="SAE37" s="19"/>
      <c r="SAF37" s="19"/>
      <c r="SAG37" s="19"/>
      <c r="SAH37" s="21"/>
      <c r="SAI37" s="19"/>
      <c r="SAR37" s="19"/>
      <c r="SAS37" s="19"/>
      <c r="SAT37" s="19"/>
      <c r="SAU37" s="19"/>
      <c r="SAV37" s="21"/>
      <c r="SAW37" s="19"/>
      <c r="SBF37" s="19"/>
      <c r="SBG37" s="19"/>
      <c r="SBH37" s="19"/>
      <c r="SBI37" s="19"/>
      <c r="SBJ37" s="21"/>
      <c r="SBK37" s="19"/>
      <c r="SBT37" s="19"/>
      <c r="SBU37" s="19"/>
      <c r="SBV37" s="19"/>
      <c r="SBW37" s="19"/>
      <c r="SBX37" s="21"/>
      <c r="SBY37" s="19"/>
      <c r="SCH37" s="19"/>
      <c r="SCI37" s="19"/>
      <c r="SCJ37" s="19"/>
      <c r="SCK37" s="19"/>
      <c r="SCL37" s="21"/>
      <c r="SCM37" s="19"/>
      <c r="SCV37" s="19"/>
      <c r="SCW37" s="19"/>
      <c r="SCX37" s="19"/>
      <c r="SCY37" s="19"/>
      <c r="SCZ37" s="21"/>
      <c r="SDA37" s="19"/>
      <c r="SDJ37" s="19"/>
      <c r="SDK37" s="19"/>
      <c r="SDL37" s="19"/>
      <c r="SDM37" s="19"/>
      <c r="SDN37" s="21"/>
      <c r="SDO37" s="19"/>
      <c r="SDX37" s="19"/>
      <c r="SDY37" s="19"/>
      <c r="SDZ37" s="19"/>
      <c r="SEA37" s="19"/>
      <c r="SEB37" s="21"/>
      <c r="SEC37" s="19"/>
      <c r="SEL37" s="19"/>
      <c r="SEM37" s="19"/>
      <c r="SEN37" s="19"/>
      <c r="SEO37" s="19"/>
      <c r="SEP37" s="21"/>
      <c r="SEQ37" s="19"/>
      <c r="SEZ37" s="19"/>
      <c r="SFA37" s="19"/>
      <c r="SFB37" s="19"/>
      <c r="SFC37" s="19"/>
      <c r="SFD37" s="21"/>
      <c r="SFE37" s="19"/>
      <c r="SFN37" s="19"/>
      <c r="SFO37" s="19"/>
      <c r="SFP37" s="19"/>
      <c r="SFQ37" s="19"/>
      <c r="SFR37" s="21"/>
      <c r="SFS37" s="19"/>
      <c r="SGB37" s="19"/>
      <c r="SGC37" s="19"/>
      <c r="SGD37" s="19"/>
      <c r="SGE37" s="19"/>
      <c r="SGF37" s="21"/>
      <c r="SGG37" s="19"/>
      <c r="SGP37" s="19"/>
      <c r="SGQ37" s="19"/>
      <c r="SGR37" s="19"/>
      <c r="SGS37" s="19"/>
      <c r="SGT37" s="21"/>
      <c r="SGU37" s="19"/>
      <c r="SHD37" s="19"/>
      <c r="SHE37" s="19"/>
      <c r="SHF37" s="19"/>
      <c r="SHG37" s="19"/>
      <c r="SHH37" s="21"/>
      <c r="SHI37" s="19"/>
      <c r="SHR37" s="19"/>
      <c r="SHS37" s="19"/>
      <c r="SHT37" s="19"/>
      <c r="SHU37" s="19"/>
      <c r="SHV37" s="21"/>
      <c r="SHW37" s="19"/>
      <c r="SIF37" s="19"/>
      <c r="SIG37" s="19"/>
      <c r="SIH37" s="19"/>
      <c r="SII37" s="19"/>
      <c r="SIJ37" s="21"/>
      <c r="SIK37" s="19"/>
      <c r="SIT37" s="19"/>
      <c r="SIU37" s="19"/>
      <c r="SIV37" s="19"/>
      <c r="SIW37" s="19"/>
      <c r="SIX37" s="21"/>
      <c r="SIY37" s="19"/>
      <c r="SJH37" s="19"/>
      <c r="SJI37" s="19"/>
      <c r="SJJ37" s="19"/>
      <c r="SJK37" s="19"/>
      <c r="SJL37" s="21"/>
      <c r="SJM37" s="19"/>
      <c r="SJV37" s="19"/>
      <c r="SJW37" s="19"/>
      <c r="SJX37" s="19"/>
      <c r="SJY37" s="19"/>
      <c r="SJZ37" s="21"/>
      <c r="SKA37" s="19"/>
      <c r="SKJ37" s="19"/>
      <c r="SKK37" s="19"/>
      <c r="SKL37" s="19"/>
      <c r="SKM37" s="19"/>
      <c r="SKN37" s="21"/>
      <c r="SKO37" s="19"/>
      <c r="SKX37" s="19"/>
      <c r="SKY37" s="19"/>
      <c r="SKZ37" s="19"/>
      <c r="SLA37" s="19"/>
      <c r="SLB37" s="21"/>
      <c r="SLC37" s="19"/>
      <c r="SLL37" s="19"/>
      <c r="SLM37" s="19"/>
      <c r="SLN37" s="19"/>
      <c r="SLO37" s="19"/>
      <c r="SLP37" s="21"/>
      <c r="SLQ37" s="19"/>
      <c r="SLZ37" s="19"/>
      <c r="SMA37" s="19"/>
      <c r="SMB37" s="19"/>
      <c r="SMC37" s="19"/>
      <c r="SMD37" s="21"/>
      <c r="SME37" s="19"/>
      <c r="SMN37" s="19"/>
      <c r="SMO37" s="19"/>
      <c r="SMP37" s="19"/>
      <c r="SMQ37" s="19"/>
      <c r="SMR37" s="21"/>
      <c r="SMS37" s="19"/>
      <c r="SNB37" s="19"/>
      <c r="SNC37" s="19"/>
      <c r="SND37" s="19"/>
      <c r="SNE37" s="19"/>
      <c r="SNF37" s="21"/>
      <c r="SNG37" s="19"/>
      <c r="SNP37" s="19"/>
      <c r="SNQ37" s="19"/>
      <c r="SNR37" s="19"/>
      <c r="SNS37" s="19"/>
      <c r="SNT37" s="21"/>
      <c r="SNU37" s="19"/>
      <c r="SOD37" s="19"/>
      <c r="SOE37" s="19"/>
      <c r="SOF37" s="19"/>
      <c r="SOG37" s="19"/>
      <c r="SOH37" s="21"/>
      <c r="SOI37" s="19"/>
      <c r="SOR37" s="19"/>
      <c r="SOS37" s="19"/>
      <c r="SOT37" s="19"/>
      <c r="SOU37" s="19"/>
      <c r="SOV37" s="21"/>
      <c r="SOW37" s="19"/>
      <c r="SPF37" s="19"/>
      <c r="SPG37" s="19"/>
      <c r="SPH37" s="19"/>
      <c r="SPI37" s="19"/>
      <c r="SPJ37" s="21"/>
      <c r="SPK37" s="19"/>
      <c r="SPT37" s="19"/>
      <c r="SPU37" s="19"/>
      <c r="SPV37" s="19"/>
      <c r="SPW37" s="19"/>
      <c r="SPX37" s="21"/>
      <c r="SPY37" s="19"/>
      <c r="SQH37" s="19"/>
      <c r="SQI37" s="19"/>
      <c r="SQJ37" s="19"/>
      <c r="SQK37" s="19"/>
      <c r="SQL37" s="21"/>
      <c r="SQM37" s="19"/>
      <c r="SQV37" s="19"/>
      <c r="SQW37" s="19"/>
      <c r="SQX37" s="19"/>
      <c r="SQY37" s="19"/>
      <c r="SQZ37" s="21"/>
      <c r="SRA37" s="19"/>
      <c r="SRJ37" s="19"/>
      <c r="SRK37" s="19"/>
      <c r="SRL37" s="19"/>
      <c r="SRM37" s="19"/>
      <c r="SRN37" s="21"/>
      <c r="SRO37" s="19"/>
      <c r="SRX37" s="19"/>
      <c r="SRY37" s="19"/>
      <c r="SRZ37" s="19"/>
      <c r="SSA37" s="19"/>
      <c r="SSB37" s="21"/>
      <c r="SSC37" s="19"/>
      <c r="SSL37" s="19"/>
      <c r="SSM37" s="19"/>
      <c r="SSN37" s="19"/>
      <c r="SSO37" s="19"/>
      <c r="SSP37" s="21"/>
      <c r="SSQ37" s="19"/>
      <c r="SSZ37" s="19"/>
      <c r="STA37" s="19"/>
      <c r="STB37" s="19"/>
      <c r="STC37" s="19"/>
      <c r="STD37" s="21"/>
      <c r="STE37" s="19"/>
      <c r="STN37" s="19"/>
      <c r="STO37" s="19"/>
      <c r="STP37" s="19"/>
      <c r="STQ37" s="19"/>
      <c r="STR37" s="21"/>
      <c r="STS37" s="19"/>
      <c r="SUB37" s="19"/>
      <c r="SUC37" s="19"/>
      <c r="SUD37" s="19"/>
      <c r="SUE37" s="19"/>
      <c r="SUF37" s="21"/>
      <c r="SUG37" s="19"/>
      <c r="SUP37" s="19"/>
      <c r="SUQ37" s="19"/>
      <c r="SUR37" s="19"/>
      <c r="SUS37" s="19"/>
      <c r="SUT37" s="21"/>
      <c r="SUU37" s="19"/>
      <c r="SVD37" s="19"/>
      <c r="SVE37" s="19"/>
      <c r="SVF37" s="19"/>
      <c r="SVG37" s="19"/>
      <c r="SVH37" s="21"/>
      <c r="SVI37" s="19"/>
      <c r="SVR37" s="19"/>
      <c r="SVS37" s="19"/>
      <c r="SVT37" s="19"/>
      <c r="SVU37" s="19"/>
      <c r="SVV37" s="21"/>
      <c r="SVW37" s="19"/>
      <c r="SWF37" s="19"/>
      <c r="SWG37" s="19"/>
      <c r="SWH37" s="19"/>
      <c r="SWI37" s="19"/>
      <c r="SWJ37" s="21"/>
      <c r="SWK37" s="19"/>
      <c r="SWT37" s="19"/>
      <c r="SWU37" s="19"/>
      <c r="SWV37" s="19"/>
      <c r="SWW37" s="19"/>
      <c r="SWX37" s="21"/>
      <c r="SWY37" s="19"/>
      <c r="SXH37" s="19"/>
      <c r="SXI37" s="19"/>
      <c r="SXJ37" s="19"/>
      <c r="SXK37" s="19"/>
      <c r="SXL37" s="21"/>
      <c r="SXM37" s="19"/>
      <c r="SXV37" s="19"/>
      <c r="SXW37" s="19"/>
      <c r="SXX37" s="19"/>
      <c r="SXY37" s="19"/>
      <c r="SXZ37" s="21"/>
      <c r="SYA37" s="19"/>
      <c r="SYJ37" s="19"/>
      <c r="SYK37" s="19"/>
      <c r="SYL37" s="19"/>
      <c r="SYM37" s="19"/>
      <c r="SYN37" s="21"/>
      <c r="SYO37" s="19"/>
      <c r="SYX37" s="19"/>
      <c r="SYY37" s="19"/>
      <c r="SYZ37" s="19"/>
      <c r="SZA37" s="19"/>
      <c r="SZB37" s="21"/>
      <c r="SZC37" s="19"/>
      <c r="SZL37" s="19"/>
      <c r="SZM37" s="19"/>
      <c r="SZN37" s="19"/>
      <c r="SZO37" s="19"/>
      <c r="SZP37" s="21"/>
      <c r="SZQ37" s="19"/>
      <c r="SZZ37" s="19"/>
      <c r="TAA37" s="19"/>
      <c r="TAB37" s="19"/>
      <c r="TAC37" s="19"/>
      <c r="TAD37" s="21"/>
      <c r="TAE37" s="19"/>
      <c r="TAN37" s="19"/>
      <c r="TAO37" s="19"/>
      <c r="TAP37" s="19"/>
      <c r="TAQ37" s="19"/>
      <c r="TAR37" s="21"/>
      <c r="TAS37" s="19"/>
      <c r="TBB37" s="19"/>
      <c r="TBC37" s="19"/>
      <c r="TBD37" s="19"/>
      <c r="TBE37" s="19"/>
      <c r="TBF37" s="21"/>
      <c r="TBG37" s="19"/>
      <c r="TBP37" s="19"/>
      <c r="TBQ37" s="19"/>
      <c r="TBR37" s="19"/>
      <c r="TBS37" s="19"/>
      <c r="TBT37" s="21"/>
      <c r="TBU37" s="19"/>
      <c r="TCD37" s="19"/>
      <c r="TCE37" s="19"/>
      <c r="TCF37" s="19"/>
      <c r="TCG37" s="19"/>
      <c r="TCH37" s="21"/>
      <c r="TCI37" s="19"/>
      <c r="TCR37" s="19"/>
      <c r="TCS37" s="19"/>
      <c r="TCT37" s="19"/>
      <c r="TCU37" s="19"/>
      <c r="TCV37" s="21"/>
      <c r="TCW37" s="19"/>
      <c r="TDF37" s="19"/>
      <c r="TDG37" s="19"/>
      <c r="TDH37" s="19"/>
      <c r="TDI37" s="19"/>
      <c r="TDJ37" s="21"/>
      <c r="TDK37" s="19"/>
      <c r="TDT37" s="19"/>
      <c r="TDU37" s="19"/>
      <c r="TDV37" s="19"/>
      <c r="TDW37" s="19"/>
      <c r="TDX37" s="21"/>
      <c r="TDY37" s="19"/>
      <c r="TEH37" s="19"/>
      <c r="TEI37" s="19"/>
      <c r="TEJ37" s="19"/>
      <c r="TEK37" s="19"/>
      <c r="TEL37" s="21"/>
      <c r="TEM37" s="19"/>
      <c r="TEV37" s="19"/>
      <c r="TEW37" s="19"/>
      <c r="TEX37" s="19"/>
      <c r="TEY37" s="19"/>
      <c r="TEZ37" s="21"/>
      <c r="TFA37" s="19"/>
      <c r="TFJ37" s="19"/>
      <c r="TFK37" s="19"/>
      <c r="TFL37" s="19"/>
      <c r="TFM37" s="19"/>
      <c r="TFN37" s="21"/>
      <c r="TFO37" s="19"/>
      <c r="TFX37" s="19"/>
      <c r="TFY37" s="19"/>
      <c r="TFZ37" s="19"/>
      <c r="TGA37" s="19"/>
      <c r="TGB37" s="21"/>
      <c r="TGC37" s="19"/>
      <c r="TGL37" s="19"/>
      <c r="TGM37" s="19"/>
      <c r="TGN37" s="19"/>
      <c r="TGO37" s="19"/>
      <c r="TGP37" s="21"/>
      <c r="TGQ37" s="19"/>
      <c r="TGZ37" s="19"/>
      <c r="THA37" s="19"/>
      <c r="THB37" s="19"/>
      <c r="THC37" s="19"/>
      <c r="THD37" s="21"/>
      <c r="THE37" s="19"/>
      <c r="THN37" s="19"/>
      <c r="THO37" s="19"/>
      <c r="THP37" s="19"/>
      <c r="THQ37" s="19"/>
      <c r="THR37" s="21"/>
      <c r="THS37" s="19"/>
      <c r="TIB37" s="19"/>
      <c r="TIC37" s="19"/>
      <c r="TID37" s="19"/>
      <c r="TIE37" s="19"/>
      <c r="TIF37" s="21"/>
      <c r="TIG37" s="19"/>
      <c r="TIP37" s="19"/>
      <c r="TIQ37" s="19"/>
      <c r="TIR37" s="19"/>
      <c r="TIS37" s="19"/>
      <c r="TIT37" s="21"/>
      <c r="TIU37" s="19"/>
      <c r="TJD37" s="19"/>
      <c r="TJE37" s="19"/>
      <c r="TJF37" s="19"/>
      <c r="TJG37" s="19"/>
      <c r="TJH37" s="21"/>
      <c r="TJI37" s="19"/>
      <c r="TJR37" s="19"/>
      <c r="TJS37" s="19"/>
      <c r="TJT37" s="19"/>
      <c r="TJU37" s="19"/>
      <c r="TJV37" s="21"/>
      <c r="TJW37" s="19"/>
      <c r="TKF37" s="19"/>
      <c r="TKG37" s="19"/>
      <c r="TKH37" s="19"/>
      <c r="TKI37" s="19"/>
      <c r="TKJ37" s="21"/>
      <c r="TKK37" s="19"/>
      <c r="TKT37" s="19"/>
      <c r="TKU37" s="19"/>
      <c r="TKV37" s="19"/>
      <c r="TKW37" s="19"/>
      <c r="TKX37" s="21"/>
      <c r="TKY37" s="19"/>
      <c r="TLH37" s="19"/>
      <c r="TLI37" s="19"/>
      <c r="TLJ37" s="19"/>
      <c r="TLK37" s="19"/>
      <c r="TLL37" s="21"/>
      <c r="TLM37" s="19"/>
      <c r="TLV37" s="19"/>
      <c r="TLW37" s="19"/>
      <c r="TLX37" s="19"/>
      <c r="TLY37" s="19"/>
      <c r="TLZ37" s="21"/>
      <c r="TMA37" s="19"/>
      <c r="TMJ37" s="19"/>
      <c r="TMK37" s="19"/>
      <c r="TML37" s="19"/>
      <c r="TMM37" s="19"/>
      <c r="TMN37" s="21"/>
      <c r="TMO37" s="19"/>
      <c r="TMX37" s="19"/>
      <c r="TMY37" s="19"/>
      <c r="TMZ37" s="19"/>
      <c r="TNA37" s="19"/>
      <c r="TNB37" s="21"/>
      <c r="TNC37" s="19"/>
      <c r="TNL37" s="19"/>
      <c r="TNM37" s="19"/>
      <c r="TNN37" s="19"/>
      <c r="TNO37" s="19"/>
      <c r="TNP37" s="21"/>
      <c r="TNQ37" s="19"/>
      <c r="TNZ37" s="19"/>
      <c r="TOA37" s="19"/>
      <c r="TOB37" s="19"/>
      <c r="TOC37" s="19"/>
      <c r="TOD37" s="21"/>
      <c r="TOE37" s="19"/>
      <c r="TON37" s="19"/>
      <c r="TOO37" s="19"/>
      <c r="TOP37" s="19"/>
      <c r="TOQ37" s="19"/>
      <c r="TOR37" s="21"/>
      <c r="TOS37" s="19"/>
      <c r="TPB37" s="19"/>
      <c r="TPC37" s="19"/>
      <c r="TPD37" s="19"/>
      <c r="TPE37" s="19"/>
      <c r="TPF37" s="21"/>
      <c r="TPG37" s="19"/>
      <c r="TPP37" s="19"/>
      <c r="TPQ37" s="19"/>
      <c r="TPR37" s="19"/>
      <c r="TPS37" s="19"/>
      <c r="TPT37" s="21"/>
      <c r="TPU37" s="19"/>
      <c r="TQD37" s="19"/>
      <c r="TQE37" s="19"/>
      <c r="TQF37" s="19"/>
      <c r="TQG37" s="19"/>
      <c r="TQH37" s="21"/>
      <c r="TQI37" s="19"/>
      <c r="TQR37" s="19"/>
      <c r="TQS37" s="19"/>
      <c r="TQT37" s="19"/>
      <c r="TQU37" s="19"/>
      <c r="TQV37" s="21"/>
      <c r="TQW37" s="19"/>
      <c r="TRF37" s="19"/>
      <c r="TRG37" s="19"/>
      <c r="TRH37" s="19"/>
      <c r="TRI37" s="19"/>
      <c r="TRJ37" s="21"/>
      <c r="TRK37" s="19"/>
      <c r="TRT37" s="19"/>
      <c r="TRU37" s="19"/>
      <c r="TRV37" s="19"/>
      <c r="TRW37" s="19"/>
      <c r="TRX37" s="21"/>
      <c r="TRY37" s="19"/>
      <c r="TSH37" s="19"/>
      <c r="TSI37" s="19"/>
      <c r="TSJ37" s="19"/>
      <c r="TSK37" s="19"/>
      <c r="TSL37" s="21"/>
      <c r="TSM37" s="19"/>
      <c r="TSV37" s="19"/>
      <c r="TSW37" s="19"/>
      <c r="TSX37" s="19"/>
      <c r="TSY37" s="19"/>
      <c r="TSZ37" s="21"/>
      <c r="TTA37" s="19"/>
      <c r="TTJ37" s="19"/>
      <c r="TTK37" s="19"/>
      <c r="TTL37" s="19"/>
      <c r="TTM37" s="19"/>
      <c r="TTN37" s="21"/>
      <c r="TTO37" s="19"/>
      <c r="TTX37" s="19"/>
      <c r="TTY37" s="19"/>
      <c r="TTZ37" s="19"/>
      <c r="TUA37" s="19"/>
      <c r="TUB37" s="21"/>
      <c r="TUC37" s="19"/>
      <c r="TUL37" s="19"/>
      <c r="TUM37" s="19"/>
      <c r="TUN37" s="19"/>
      <c r="TUO37" s="19"/>
      <c r="TUP37" s="21"/>
      <c r="TUQ37" s="19"/>
      <c r="TUZ37" s="19"/>
      <c r="TVA37" s="19"/>
      <c r="TVB37" s="19"/>
      <c r="TVC37" s="19"/>
      <c r="TVD37" s="21"/>
      <c r="TVE37" s="19"/>
      <c r="TVN37" s="19"/>
      <c r="TVO37" s="19"/>
      <c r="TVP37" s="19"/>
      <c r="TVQ37" s="19"/>
      <c r="TVR37" s="21"/>
      <c r="TVS37" s="19"/>
      <c r="TWB37" s="19"/>
      <c r="TWC37" s="19"/>
      <c r="TWD37" s="19"/>
      <c r="TWE37" s="19"/>
      <c r="TWF37" s="21"/>
      <c r="TWG37" s="19"/>
      <c r="TWP37" s="19"/>
      <c r="TWQ37" s="19"/>
      <c r="TWR37" s="19"/>
      <c r="TWS37" s="19"/>
      <c r="TWT37" s="21"/>
      <c r="TWU37" s="19"/>
      <c r="TXD37" s="19"/>
      <c r="TXE37" s="19"/>
      <c r="TXF37" s="19"/>
      <c r="TXG37" s="19"/>
      <c r="TXH37" s="21"/>
      <c r="TXI37" s="19"/>
      <c r="TXR37" s="19"/>
      <c r="TXS37" s="19"/>
      <c r="TXT37" s="19"/>
      <c r="TXU37" s="19"/>
      <c r="TXV37" s="21"/>
      <c r="TXW37" s="19"/>
      <c r="TYF37" s="19"/>
      <c r="TYG37" s="19"/>
      <c r="TYH37" s="19"/>
      <c r="TYI37" s="19"/>
      <c r="TYJ37" s="21"/>
      <c r="TYK37" s="19"/>
      <c r="TYT37" s="19"/>
      <c r="TYU37" s="19"/>
      <c r="TYV37" s="19"/>
      <c r="TYW37" s="19"/>
      <c r="TYX37" s="21"/>
      <c r="TYY37" s="19"/>
      <c r="TZH37" s="19"/>
      <c r="TZI37" s="19"/>
      <c r="TZJ37" s="19"/>
      <c r="TZK37" s="19"/>
      <c r="TZL37" s="21"/>
      <c r="TZM37" s="19"/>
      <c r="TZV37" s="19"/>
      <c r="TZW37" s="19"/>
      <c r="TZX37" s="19"/>
      <c r="TZY37" s="19"/>
      <c r="TZZ37" s="21"/>
      <c r="UAA37" s="19"/>
      <c r="UAJ37" s="19"/>
      <c r="UAK37" s="19"/>
      <c r="UAL37" s="19"/>
      <c r="UAM37" s="19"/>
      <c r="UAN37" s="21"/>
      <c r="UAO37" s="19"/>
      <c r="UAX37" s="19"/>
      <c r="UAY37" s="19"/>
      <c r="UAZ37" s="19"/>
      <c r="UBA37" s="19"/>
      <c r="UBB37" s="21"/>
      <c r="UBC37" s="19"/>
      <c r="UBL37" s="19"/>
      <c r="UBM37" s="19"/>
      <c r="UBN37" s="19"/>
      <c r="UBO37" s="19"/>
      <c r="UBP37" s="21"/>
      <c r="UBQ37" s="19"/>
      <c r="UBZ37" s="19"/>
      <c r="UCA37" s="19"/>
      <c r="UCB37" s="19"/>
      <c r="UCC37" s="19"/>
      <c r="UCD37" s="21"/>
      <c r="UCE37" s="19"/>
      <c r="UCN37" s="19"/>
      <c r="UCO37" s="19"/>
      <c r="UCP37" s="19"/>
      <c r="UCQ37" s="19"/>
      <c r="UCR37" s="21"/>
      <c r="UCS37" s="19"/>
      <c r="UDB37" s="19"/>
      <c r="UDC37" s="19"/>
      <c r="UDD37" s="19"/>
      <c r="UDE37" s="19"/>
      <c r="UDF37" s="21"/>
      <c r="UDG37" s="19"/>
      <c r="UDP37" s="19"/>
      <c r="UDQ37" s="19"/>
      <c r="UDR37" s="19"/>
      <c r="UDS37" s="19"/>
      <c r="UDT37" s="21"/>
      <c r="UDU37" s="19"/>
      <c r="UED37" s="19"/>
      <c r="UEE37" s="19"/>
      <c r="UEF37" s="19"/>
      <c r="UEG37" s="19"/>
      <c r="UEH37" s="21"/>
      <c r="UEI37" s="19"/>
      <c r="UER37" s="19"/>
      <c r="UES37" s="19"/>
      <c r="UET37" s="19"/>
      <c r="UEU37" s="19"/>
      <c r="UEV37" s="21"/>
      <c r="UEW37" s="19"/>
      <c r="UFF37" s="19"/>
      <c r="UFG37" s="19"/>
      <c r="UFH37" s="19"/>
      <c r="UFI37" s="19"/>
      <c r="UFJ37" s="21"/>
      <c r="UFK37" s="19"/>
      <c r="UFT37" s="19"/>
      <c r="UFU37" s="19"/>
      <c r="UFV37" s="19"/>
      <c r="UFW37" s="19"/>
      <c r="UFX37" s="21"/>
      <c r="UFY37" s="19"/>
      <c r="UGH37" s="19"/>
      <c r="UGI37" s="19"/>
      <c r="UGJ37" s="19"/>
      <c r="UGK37" s="19"/>
      <c r="UGL37" s="21"/>
      <c r="UGM37" s="19"/>
      <c r="UGV37" s="19"/>
      <c r="UGW37" s="19"/>
      <c r="UGX37" s="19"/>
      <c r="UGY37" s="19"/>
      <c r="UGZ37" s="21"/>
      <c r="UHA37" s="19"/>
      <c r="UHJ37" s="19"/>
      <c r="UHK37" s="19"/>
      <c r="UHL37" s="19"/>
      <c r="UHM37" s="19"/>
      <c r="UHN37" s="21"/>
      <c r="UHO37" s="19"/>
      <c r="UHX37" s="19"/>
      <c r="UHY37" s="19"/>
      <c r="UHZ37" s="19"/>
      <c r="UIA37" s="19"/>
      <c r="UIB37" s="21"/>
      <c r="UIC37" s="19"/>
      <c r="UIL37" s="19"/>
      <c r="UIM37" s="19"/>
      <c r="UIN37" s="19"/>
      <c r="UIO37" s="19"/>
      <c r="UIP37" s="21"/>
      <c r="UIQ37" s="19"/>
      <c r="UIZ37" s="19"/>
      <c r="UJA37" s="19"/>
      <c r="UJB37" s="19"/>
      <c r="UJC37" s="19"/>
      <c r="UJD37" s="21"/>
      <c r="UJE37" s="19"/>
      <c r="UJN37" s="19"/>
      <c r="UJO37" s="19"/>
      <c r="UJP37" s="19"/>
      <c r="UJQ37" s="19"/>
      <c r="UJR37" s="21"/>
      <c r="UJS37" s="19"/>
      <c r="UKB37" s="19"/>
      <c r="UKC37" s="19"/>
      <c r="UKD37" s="19"/>
      <c r="UKE37" s="19"/>
      <c r="UKF37" s="21"/>
      <c r="UKG37" s="19"/>
      <c r="UKP37" s="19"/>
      <c r="UKQ37" s="19"/>
      <c r="UKR37" s="19"/>
      <c r="UKS37" s="19"/>
      <c r="UKT37" s="21"/>
      <c r="UKU37" s="19"/>
      <c r="ULD37" s="19"/>
      <c r="ULE37" s="19"/>
      <c r="ULF37" s="19"/>
      <c r="ULG37" s="19"/>
      <c r="ULH37" s="21"/>
      <c r="ULI37" s="19"/>
      <c r="ULR37" s="19"/>
      <c r="ULS37" s="19"/>
      <c r="ULT37" s="19"/>
      <c r="ULU37" s="19"/>
      <c r="ULV37" s="21"/>
      <c r="ULW37" s="19"/>
      <c r="UMF37" s="19"/>
      <c r="UMG37" s="19"/>
      <c r="UMH37" s="19"/>
      <c r="UMI37" s="19"/>
      <c r="UMJ37" s="21"/>
      <c r="UMK37" s="19"/>
      <c r="UMT37" s="19"/>
      <c r="UMU37" s="19"/>
      <c r="UMV37" s="19"/>
      <c r="UMW37" s="19"/>
      <c r="UMX37" s="21"/>
      <c r="UMY37" s="19"/>
      <c r="UNH37" s="19"/>
      <c r="UNI37" s="19"/>
      <c r="UNJ37" s="19"/>
      <c r="UNK37" s="19"/>
      <c r="UNL37" s="21"/>
      <c r="UNM37" s="19"/>
      <c r="UNV37" s="19"/>
      <c r="UNW37" s="19"/>
      <c r="UNX37" s="19"/>
      <c r="UNY37" s="19"/>
      <c r="UNZ37" s="21"/>
      <c r="UOA37" s="19"/>
      <c r="UOJ37" s="19"/>
      <c r="UOK37" s="19"/>
      <c r="UOL37" s="19"/>
      <c r="UOM37" s="19"/>
      <c r="UON37" s="21"/>
      <c r="UOO37" s="19"/>
      <c r="UOX37" s="19"/>
      <c r="UOY37" s="19"/>
      <c r="UOZ37" s="19"/>
      <c r="UPA37" s="19"/>
      <c r="UPB37" s="21"/>
      <c r="UPC37" s="19"/>
      <c r="UPL37" s="19"/>
      <c r="UPM37" s="19"/>
      <c r="UPN37" s="19"/>
      <c r="UPO37" s="19"/>
      <c r="UPP37" s="21"/>
      <c r="UPQ37" s="19"/>
      <c r="UPZ37" s="19"/>
      <c r="UQA37" s="19"/>
      <c r="UQB37" s="19"/>
      <c r="UQC37" s="19"/>
      <c r="UQD37" s="21"/>
      <c r="UQE37" s="19"/>
      <c r="UQN37" s="19"/>
      <c r="UQO37" s="19"/>
      <c r="UQP37" s="19"/>
      <c r="UQQ37" s="19"/>
      <c r="UQR37" s="21"/>
      <c r="UQS37" s="19"/>
      <c r="URB37" s="19"/>
      <c r="URC37" s="19"/>
      <c r="URD37" s="19"/>
      <c r="URE37" s="19"/>
      <c r="URF37" s="21"/>
      <c r="URG37" s="19"/>
      <c r="URP37" s="19"/>
      <c r="URQ37" s="19"/>
      <c r="URR37" s="19"/>
      <c r="URS37" s="19"/>
      <c r="URT37" s="21"/>
      <c r="URU37" s="19"/>
      <c r="USD37" s="19"/>
      <c r="USE37" s="19"/>
      <c r="USF37" s="19"/>
      <c r="USG37" s="19"/>
      <c r="USH37" s="21"/>
      <c r="USI37" s="19"/>
      <c r="USR37" s="19"/>
      <c r="USS37" s="19"/>
      <c r="UST37" s="19"/>
      <c r="USU37" s="19"/>
      <c r="USV37" s="21"/>
      <c r="USW37" s="19"/>
      <c r="UTF37" s="19"/>
      <c r="UTG37" s="19"/>
      <c r="UTH37" s="19"/>
      <c r="UTI37" s="19"/>
      <c r="UTJ37" s="21"/>
      <c r="UTK37" s="19"/>
      <c r="UTT37" s="19"/>
      <c r="UTU37" s="19"/>
      <c r="UTV37" s="19"/>
      <c r="UTW37" s="19"/>
      <c r="UTX37" s="21"/>
      <c r="UTY37" s="19"/>
      <c r="UUH37" s="19"/>
      <c r="UUI37" s="19"/>
      <c r="UUJ37" s="19"/>
      <c r="UUK37" s="19"/>
      <c r="UUL37" s="21"/>
      <c r="UUM37" s="19"/>
      <c r="UUV37" s="19"/>
      <c r="UUW37" s="19"/>
      <c r="UUX37" s="19"/>
      <c r="UUY37" s="19"/>
      <c r="UUZ37" s="21"/>
      <c r="UVA37" s="19"/>
      <c r="UVJ37" s="19"/>
      <c r="UVK37" s="19"/>
      <c r="UVL37" s="19"/>
      <c r="UVM37" s="19"/>
      <c r="UVN37" s="21"/>
      <c r="UVO37" s="19"/>
      <c r="UVX37" s="19"/>
      <c r="UVY37" s="19"/>
      <c r="UVZ37" s="19"/>
      <c r="UWA37" s="19"/>
      <c r="UWB37" s="21"/>
      <c r="UWC37" s="19"/>
      <c r="UWL37" s="19"/>
      <c r="UWM37" s="19"/>
      <c r="UWN37" s="19"/>
      <c r="UWO37" s="19"/>
      <c r="UWP37" s="21"/>
      <c r="UWQ37" s="19"/>
      <c r="UWZ37" s="19"/>
      <c r="UXA37" s="19"/>
      <c r="UXB37" s="19"/>
      <c r="UXC37" s="19"/>
      <c r="UXD37" s="21"/>
      <c r="UXE37" s="19"/>
      <c r="UXN37" s="19"/>
      <c r="UXO37" s="19"/>
      <c r="UXP37" s="19"/>
      <c r="UXQ37" s="19"/>
      <c r="UXR37" s="21"/>
      <c r="UXS37" s="19"/>
      <c r="UYB37" s="19"/>
      <c r="UYC37" s="19"/>
      <c r="UYD37" s="19"/>
      <c r="UYE37" s="19"/>
      <c r="UYF37" s="21"/>
      <c r="UYG37" s="19"/>
      <c r="UYP37" s="19"/>
      <c r="UYQ37" s="19"/>
      <c r="UYR37" s="19"/>
      <c r="UYS37" s="19"/>
      <c r="UYT37" s="21"/>
      <c r="UYU37" s="19"/>
      <c r="UZD37" s="19"/>
      <c r="UZE37" s="19"/>
      <c r="UZF37" s="19"/>
      <c r="UZG37" s="19"/>
      <c r="UZH37" s="21"/>
      <c r="UZI37" s="19"/>
      <c r="UZR37" s="19"/>
      <c r="UZS37" s="19"/>
      <c r="UZT37" s="19"/>
      <c r="UZU37" s="19"/>
      <c r="UZV37" s="21"/>
      <c r="UZW37" s="19"/>
      <c r="VAF37" s="19"/>
      <c r="VAG37" s="19"/>
      <c r="VAH37" s="19"/>
      <c r="VAI37" s="19"/>
      <c r="VAJ37" s="21"/>
      <c r="VAK37" s="19"/>
      <c r="VAT37" s="19"/>
      <c r="VAU37" s="19"/>
      <c r="VAV37" s="19"/>
      <c r="VAW37" s="19"/>
      <c r="VAX37" s="21"/>
      <c r="VAY37" s="19"/>
      <c r="VBH37" s="19"/>
      <c r="VBI37" s="19"/>
      <c r="VBJ37" s="19"/>
      <c r="VBK37" s="19"/>
      <c r="VBL37" s="21"/>
      <c r="VBM37" s="19"/>
      <c r="VBV37" s="19"/>
      <c r="VBW37" s="19"/>
      <c r="VBX37" s="19"/>
      <c r="VBY37" s="19"/>
      <c r="VBZ37" s="21"/>
      <c r="VCA37" s="19"/>
      <c r="VCJ37" s="19"/>
      <c r="VCK37" s="19"/>
      <c r="VCL37" s="19"/>
      <c r="VCM37" s="19"/>
      <c r="VCN37" s="21"/>
      <c r="VCO37" s="19"/>
      <c r="VCX37" s="19"/>
      <c r="VCY37" s="19"/>
      <c r="VCZ37" s="19"/>
      <c r="VDA37" s="19"/>
      <c r="VDB37" s="21"/>
      <c r="VDC37" s="19"/>
      <c r="VDL37" s="19"/>
      <c r="VDM37" s="19"/>
      <c r="VDN37" s="19"/>
      <c r="VDO37" s="19"/>
      <c r="VDP37" s="21"/>
      <c r="VDQ37" s="19"/>
      <c r="VDZ37" s="19"/>
      <c r="VEA37" s="19"/>
      <c r="VEB37" s="19"/>
      <c r="VEC37" s="19"/>
      <c r="VED37" s="21"/>
      <c r="VEE37" s="19"/>
      <c r="VEN37" s="19"/>
      <c r="VEO37" s="19"/>
      <c r="VEP37" s="19"/>
      <c r="VEQ37" s="19"/>
      <c r="VER37" s="21"/>
      <c r="VES37" s="19"/>
      <c r="VFB37" s="19"/>
      <c r="VFC37" s="19"/>
      <c r="VFD37" s="19"/>
      <c r="VFE37" s="19"/>
      <c r="VFF37" s="21"/>
      <c r="VFG37" s="19"/>
      <c r="VFP37" s="19"/>
      <c r="VFQ37" s="19"/>
      <c r="VFR37" s="19"/>
      <c r="VFS37" s="19"/>
      <c r="VFT37" s="21"/>
      <c r="VFU37" s="19"/>
      <c r="VGD37" s="19"/>
      <c r="VGE37" s="19"/>
      <c r="VGF37" s="19"/>
      <c r="VGG37" s="19"/>
      <c r="VGH37" s="21"/>
      <c r="VGI37" s="19"/>
      <c r="VGR37" s="19"/>
      <c r="VGS37" s="19"/>
      <c r="VGT37" s="19"/>
      <c r="VGU37" s="19"/>
      <c r="VGV37" s="21"/>
      <c r="VGW37" s="19"/>
      <c r="VHF37" s="19"/>
      <c r="VHG37" s="19"/>
      <c r="VHH37" s="19"/>
      <c r="VHI37" s="19"/>
      <c r="VHJ37" s="21"/>
      <c r="VHK37" s="19"/>
      <c r="VHT37" s="19"/>
      <c r="VHU37" s="19"/>
      <c r="VHV37" s="19"/>
      <c r="VHW37" s="19"/>
      <c r="VHX37" s="21"/>
      <c r="VHY37" s="19"/>
      <c r="VIH37" s="19"/>
      <c r="VII37" s="19"/>
      <c r="VIJ37" s="19"/>
      <c r="VIK37" s="19"/>
      <c r="VIL37" s="21"/>
      <c r="VIM37" s="19"/>
      <c r="VIV37" s="19"/>
      <c r="VIW37" s="19"/>
      <c r="VIX37" s="19"/>
      <c r="VIY37" s="19"/>
      <c r="VIZ37" s="21"/>
      <c r="VJA37" s="19"/>
      <c r="VJJ37" s="19"/>
      <c r="VJK37" s="19"/>
      <c r="VJL37" s="19"/>
      <c r="VJM37" s="19"/>
      <c r="VJN37" s="21"/>
      <c r="VJO37" s="19"/>
      <c r="VJX37" s="19"/>
      <c r="VJY37" s="19"/>
      <c r="VJZ37" s="19"/>
      <c r="VKA37" s="19"/>
      <c r="VKB37" s="21"/>
      <c r="VKC37" s="19"/>
      <c r="VKL37" s="19"/>
      <c r="VKM37" s="19"/>
      <c r="VKN37" s="19"/>
      <c r="VKO37" s="19"/>
      <c r="VKP37" s="21"/>
      <c r="VKQ37" s="19"/>
      <c r="VKZ37" s="19"/>
      <c r="VLA37" s="19"/>
      <c r="VLB37" s="19"/>
      <c r="VLC37" s="19"/>
      <c r="VLD37" s="21"/>
      <c r="VLE37" s="19"/>
      <c r="VLN37" s="19"/>
      <c r="VLO37" s="19"/>
      <c r="VLP37" s="19"/>
      <c r="VLQ37" s="19"/>
      <c r="VLR37" s="21"/>
      <c r="VLS37" s="19"/>
      <c r="VMB37" s="19"/>
      <c r="VMC37" s="19"/>
      <c r="VMD37" s="19"/>
      <c r="VME37" s="19"/>
      <c r="VMF37" s="21"/>
      <c r="VMG37" s="19"/>
      <c r="VMP37" s="19"/>
      <c r="VMQ37" s="19"/>
      <c r="VMR37" s="19"/>
      <c r="VMS37" s="19"/>
      <c r="VMT37" s="21"/>
      <c r="VMU37" s="19"/>
      <c r="VND37" s="19"/>
      <c r="VNE37" s="19"/>
      <c r="VNF37" s="19"/>
      <c r="VNG37" s="19"/>
      <c r="VNH37" s="21"/>
      <c r="VNI37" s="19"/>
      <c r="VNR37" s="19"/>
      <c r="VNS37" s="19"/>
      <c r="VNT37" s="19"/>
      <c r="VNU37" s="19"/>
      <c r="VNV37" s="21"/>
      <c r="VNW37" s="19"/>
      <c r="VOF37" s="19"/>
      <c r="VOG37" s="19"/>
      <c r="VOH37" s="19"/>
      <c r="VOI37" s="19"/>
      <c r="VOJ37" s="21"/>
      <c r="VOK37" s="19"/>
      <c r="VOT37" s="19"/>
      <c r="VOU37" s="19"/>
      <c r="VOV37" s="19"/>
      <c r="VOW37" s="19"/>
      <c r="VOX37" s="21"/>
      <c r="VOY37" s="19"/>
      <c r="VPH37" s="19"/>
      <c r="VPI37" s="19"/>
      <c r="VPJ37" s="19"/>
      <c r="VPK37" s="19"/>
      <c r="VPL37" s="21"/>
      <c r="VPM37" s="19"/>
      <c r="VPV37" s="19"/>
      <c r="VPW37" s="19"/>
      <c r="VPX37" s="19"/>
      <c r="VPY37" s="19"/>
      <c r="VPZ37" s="21"/>
      <c r="VQA37" s="19"/>
      <c r="VQJ37" s="19"/>
      <c r="VQK37" s="19"/>
      <c r="VQL37" s="19"/>
      <c r="VQM37" s="19"/>
      <c r="VQN37" s="21"/>
      <c r="VQO37" s="19"/>
      <c r="VQX37" s="19"/>
      <c r="VQY37" s="19"/>
      <c r="VQZ37" s="19"/>
      <c r="VRA37" s="19"/>
      <c r="VRB37" s="21"/>
      <c r="VRC37" s="19"/>
      <c r="VRL37" s="19"/>
      <c r="VRM37" s="19"/>
      <c r="VRN37" s="19"/>
      <c r="VRO37" s="19"/>
      <c r="VRP37" s="21"/>
      <c r="VRQ37" s="19"/>
      <c r="VRZ37" s="19"/>
      <c r="VSA37" s="19"/>
      <c r="VSB37" s="19"/>
      <c r="VSC37" s="19"/>
      <c r="VSD37" s="21"/>
      <c r="VSE37" s="19"/>
      <c r="VSN37" s="19"/>
      <c r="VSO37" s="19"/>
      <c r="VSP37" s="19"/>
      <c r="VSQ37" s="19"/>
      <c r="VSR37" s="21"/>
      <c r="VSS37" s="19"/>
      <c r="VTB37" s="19"/>
      <c r="VTC37" s="19"/>
      <c r="VTD37" s="19"/>
      <c r="VTE37" s="19"/>
      <c r="VTF37" s="21"/>
      <c r="VTG37" s="19"/>
      <c r="VTP37" s="19"/>
      <c r="VTQ37" s="19"/>
      <c r="VTR37" s="19"/>
      <c r="VTS37" s="19"/>
      <c r="VTT37" s="21"/>
      <c r="VTU37" s="19"/>
      <c r="VUD37" s="19"/>
      <c r="VUE37" s="19"/>
      <c r="VUF37" s="19"/>
      <c r="VUG37" s="19"/>
      <c r="VUH37" s="21"/>
      <c r="VUI37" s="19"/>
      <c r="VUR37" s="19"/>
      <c r="VUS37" s="19"/>
      <c r="VUT37" s="19"/>
      <c r="VUU37" s="19"/>
      <c r="VUV37" s="21"/>
      <c r="VUW37" s="19"/>
      <c r="VVF37" s="19"/>
      <c r="VVG37" s="19"/>
      <c r="VVH37" s="19"/>
      <c r="VVI37" s="19"/>
      <c r="VVJ37" s="21"/>
      <c r="VVK37" s="19"/>
      <c r="VVT37" s="19"/>
      <c r="VVU37" s="19"/>
      <c r="VVV37" s="19"/>
      <c r="VVW37" s="19"/>
      <c r="VVX37" s="21"/>
      <c r="VVY37" s="19"/>
      <c r="VWH37" s="19"/>
      <c r="VWI37" s="19"/>
      <c r="VWJ37" s="19"/>
      <c r="VWK37" s="19"/>
      <c r="VWL37" s="21"/>
      <c r="VWM37" s="19"/>
      <c r="VWV37" s="19"/>
      <c r="VWW37" s="19"/>
      <c r="VWX37" s="19"/>
      <c r="VWY37" s="19"/>
      <c r="VWZ37" s="21"/>
      <c r="VXA37" s="19"/>
      <c r="VXJ37" s="19"/>
      <c r="VXK37" s="19"/>
      <c r="VXL37" s="19"/>
      <c r="VXM37" s="19"/>
      <c r="VXN37" s="21"/>
      <c r="VXO37" s="19"/>
      <c r="VXX37" s="19"/>
      <c r="VXY37" s="19"/>
      <c r="VXZ37" s="19"/>
      <c r="VYA37" s="19"/>
      <c r="VYB37" s="21"/>
      <c r="VYC37" s="19"/>
      <c r="VYL37" s="19"/>
      <c r="VYM37" s="19"/>
      <c r="VYN37" s="19"/>
      <c r="VYO37" s="19"/>
      <c r="VYP37" s="21"/>
      <c r="VYQ37" s="19"/>
      <c r="VYZ37" s="19"/>
      <c r="VZA37" s="19"/>
      <c r="VZB37" s="19"/>
      <c r="VZC37" s="19"/>
      <c r="VZD37" s="21"/>
      <c r="VZE37" s="19"/>
      <c r="VZN37" s="19"/>
      <c r="VZO37" s="19"/>
      <c r="VZP37" s="19"/>
      <c r="VZQ37" s="19"/>
      <c r="VZR37" s="21"/>
      <c r="VZS37" s="19"/>
      <c r="WAB37" s="19"/>
      <c r="WAC37" s="19"/>
      <c r="WAD37" s="19"/>
      <c r="WAE37" s="19"/>
      <c r="WAF37" s="21"/>
      <c r="WAG37" s="19"/>
      <c r="WAP37" s="19"/>
      <c r="WAQ37" s="19"/>
      <c r="WAR37" s="19"/>
      <c r="WAS37" s="19"/>
      <c r="WAT37" s="21"/>
      <c r="WAU37" s="19"/>
      <c r="WBD37" s="19"/>
      <c r="WBE37" s="19"/>
      <c r="WBF37" s="19"/>
      <c r="WBG37" s="19"/>
      <c r="WBH37" s="21"/>
      <c r="WBI37" s="19"/>
      <c r="WBR37" s="19"/>
      <c r="WBS37" s="19"/>
      <c r="WBT37" s="19"/>
      <c r="WBU37" s="19"/>
      <c r="WBV37" s="21"/>
      <c r="WBW37" s="19"/>
      <c r="WCF37" s="19"/>
      <c r="WCG37" s="19"/>
      <c r="WCH37" s="19"/>
      <c r="WCI37" s="19"/>
      <c r="WCJ37" s="21"/>
      <c r="WCK37" s="19"/>
      <c r="WCT37" s="19"/>
      <c r="WCU37" s="19"/>
      <c r="WCV37" s="19"/>
      <c r="WCW37" s="19"/>
      <c r="WCX37" s="21"/>
      <c r="WCY37" s="19"/>
      <c r="WDH37" s="19"/>
      <c r="WDI37" s="19"/>
      <c r="WDJ37" s="19"/>
      <c r="WDK37" s="19"/>
      <c r="WDL37" s="21"/>
      <c r="WDM37" s="19"/>
      <c r="WDV37" s="19"/>
      <c r="WDW37" s="19"/>
      <c r="WDX37" s="19"/>
      <c r="WDY37" s="19"/>
      <c r="WDZ37" s="21"/>
      <c r="WEA37" s="19"/>
      <c r="WEJ37" s="19"/>
      <c r="WEK37" s="19"/>
      <c r="WEL37" s="19"/>
      <c r="WEM37" s="19"/>
      <c r="WEN37" s="21"/>
      <c r="WEO37" s="19"/>
      <c r="WEX37" s="19"/>
      <c r="WEY37" s="19"/>
      <c r="WEZ37" s="19"/>
      <c r="WFA37" s="19"/>
      <c r="WFB37" s="21"/>
      <c r="WFC37" s="19"/>
      <c r="WFL37" s="19"/>
      <c r="WFM37" s="19"/>
      <c r="WFN37" s="19"/>
      <c r="WFO37" s="19"/>
      <c r="WFP37" s="21"/>
      <c r="WFQ37" s="19"/>
      <c r="WFZ37" s="19"/>
      <c r="WGA37" s="19"/>
      <c r="WGB37" s="19"/>
      <c r="WGC37" s="19"/>
      <c r="WGD37" s="21"/>
      <c r="WGE37" s="19"/>
      <c r="WGN37" s="19"/>
      <c r="WGO37" s="19"/>
      <c r="WGP37" s="19"/>
      <c r="WGQ37" s="19"/>
      <c r="WGR37" s="21"/>
      <c r="WGS37" s="19"/>
      <c r="WHB37" s="19"/>
      <c r="WHC37" s="19"/>
      <c r="WHD37" s="19"/>
      <c r="WHE37" s="19"/>
      <c r="WHF37" s="21"/>
      <c r="WHG37" s="19"/>
      <c r="WHP37" s="19"/>
      <c r="WHQ37" s="19"/>
      <c r="WHR37" s="19"/>
      <c r="WHS37" s="19"/>
      <c r="WHT37" s="21"/>
      <c r="WHU37" s="19"/>
      <c r="WID37" s="19"/>
      <c r="WIE37" s="19"/>
      <c r="WIF37" s="19"/>
      <c r="WIG37" s="19"/>
      <c r="WIH37" s="21"/>
      <c r="WII37" s="19"/>
      <c r="WIR37" s="19"/>
      <c r="WIS37" s="19"/>
      <c r="WIT37" s="19"/>
      <c r="WIU37" s="19"/>
      <c r="WIV37" s="21"/>
      <c r="WIW37" s="19"/>
      <c r="WJF37" s="19"/>
      <c r="WJG37" s="19"/>
      <c r="WJH37" s="19"/>
      <c r="WJI37" s="19"/>
      <c r="WJJ37" s="21"/>
      <c r="WJK37" s="19"/>
      <c r="WJT37" s="19"/>
      <c r="WJU37" s="19"/>
      <c r="WJV37" s="19"/>
      <c r="WJW37" s="19"/>
      <c r="WJX37" s="21"/>
      <c r="WJY37" s="19"/>
      <c r="WKH37" s="19"/>
      <c r="WKI37" s="19"/>
      <c r="WKJ37" s="19"/>
      <c r="WKK37" s="19"/>
      <c r="WKL37" s="21"/>
      <c r="WKM37" s="19"/>
      <c r="WKV37" s="19"/>
      <c r="WKW37" s="19"/>
      <c r="WKX37" s="19"/>
      <c r="WKY37" s="19"/>
      <c r="WKZ37" s="21"/>
      <c r="WLA37" s="19"/>
      <c r="WLJ37" s="19"/>
      <c r="WLK37" s="19"/>
      <c r="WLL37" s="19"/>
      <c r="WLM37" s="19"/>
      <c r="WLN37" s="21"/>
      <c r="WLO37" s="19"/>
      <c r="WLX37" s="19"/>
      <c r="WLY37" s="19"/>
      <c r="WLZ37" s="19"/>
      <c r="WMA37" s="19"/>
      <c r="WMB37" s="21"/>
      <c r="WMC37" s="19"/>
      <c r="WML37" s="19"/>
      <c r="WMM37" s="19"/>
      <c r="WMN37" s="19"/>
      <c r="WMO37" s="19"/>
      <c r="WMP37" s="21"/>
      <c r="WMQ37" s="19"/>
      <c r="WMZ37" s="19"/>
      <c r="WNA37" s="19"/>
      <c r="WNB37" s="19"/>
      <c r="WNC37" s="19"/>
      <c r="WND37" s="21"/>
      <c r="WNE37" s="19"/>
      <c r="WNN37" s="19"/>
      <c r="WNO37" s="19"/>
      <c r="WNP37" s="19"/>
      <c r="WNQ37" s="19"/>
      <c r="WNR37" s="21"/>
      <c r="WNS37" s="19"/>
      <c r="WOB37" s="19"/>
      <c r="WOC37" s="19"/>
      <c r="WOD37" s="19"/>
      <c r="WOE37" s="19"/>
      <c r="WOF37" s="21"/>
      <c r="WOG37" s="19"/>
      <c r="WOP37" s="19"/>
      <c r="WOQ37" s="19"/>
      <c r="WOR37" s="19"/>
      <c r="WOS37" s="19"/>
      <c r="WOT37" s="21"/>
      <c r="WOU37" s="19"/>
      <c r="WPD37" s="19"/>
      <c r="WPE37" s="19"/>
      <c r="WPF37" s="19"/>
      <c r="WPG37" s="19"/>
      <c r="WPH37" s="21"/>
      <c r="WPI37" s="19"/>
      <c r="WPR37" s="19"/>
      <c r="WPS37" s="19"/>
      <c r="WPT37" s="19"/>
      <c r="WPU37" s="19"/>
      <c r="WPV37" s="21"/>
      <c r="WPW37" s="19"/>
      <c r="WQF37" s="19"/>
      <c r="WQG37" s="19"/>
      <c r="WQH37" s="19"/>
      <c r="WQI37" s="19"/>
      <c r="WQJ37" s="21"/>
      <c r="WQK37" s="19"/>
      <c r="WQT37" s="19"/>
      <c r="WQU37" s="19"/>
      <c r="WQV37" s="19"/>
      <c r="WQW37" s="19"/>
      <c r="WQX37" s="21"/>
      <c r="WQY37" s="19"/>
      <c r="WRH37" s="19"/>
      <c r="WRI37" s="19"/>
      <c r="WRJ37" s="19"/>
      <c r="WRK37" s="19"/>
      <c r="WRL37" s="21"/>
      <c r="WRM37" s="19"/>
      <c r="WRV37" s="19"/>
      <c r="WRW37" s="19"/>
      <c r="WRX37" s="19"/>
      <c r="WRY37" s="19"/>
      <c r="WRZ37" s="21"/>
      <c r="WSA37" s="19"/>
      <c r="WSJ37" s="19"/>
      <c r="WSK37" s="19"/>
      <c r="WSL37" s="19"/>
      <c r="WSM37" s="19"/>
      <c r="WSN37" s="21"/>
      <c r="WSO37" s="19"/>
      <c r="WSX37" s="19"/>
      <c r="WSY37" s="19"/>
      <c r="WSZ37" s="19"/>
      <c r="WTA37" s="19"/>
      <c r="WTB37" s="21"/>
      <c r="WTC37" s="19"/>
      <c r="WTL37" s="19"/>
      <c r="WTM37" s="19"/>
      <c r="WTN37" s="19"/>
      <c r="WTO37" s="19"/>
      <c r="WTP37" s="21"/>
      <c r="WTQ37" s="19"/>
      <c r="WTZ37" s="19"/>
      <c r="WUA37" s="19"/>
      <c r="WUB37" s="19"/>
      <c r="WUC37" s="19"/>
      <c r="WUD37" s="21"/>
      <c r="WUE37" s="19"/>
      <c r="WUN37" s="19"/>
      <c r="WUO37" s="19"/>
      <c r="WUP37" s="19"/>
      <c r="WUQ37" s="19"/>
      <c r="WUR37" s="21"/>
      <c r="WUS37" s="19"/>
      <c r="WVB37" s="19"/>
      <c r="WVC37" s="19"/>
      <c r="WVD37" s="19"/>
      <c r="WVE37" s="19"/>
      <c r="WVF37" s="21"/>
      <c r="WVG37" s="19"/>
      <c r="WVP37" s="19"/>
      <c r="WVQ37" s="19"/>
      <c r="WVR37" s="19"/>
      <c r="WVS37" s="19"/>
      <c r="WVT37" s="21"/>
      <c r="WVU37" s="19"/>
      <c r="WWD37" s="19"/>
      <c r="WWE37" s="19"/>
      <c r="WWF37" s="19"/>
      <c r="WWG37" s="19"/>
      <c r="WWH37" s="21"/>
      <c r="WWI37" s="19"/>
      <c r="WWR37" s="19"/>
      <c r="WWS37" s="19"/>
      <c r="WWT37" s="19"/>
      <c r="WWU37" s="19"/>
      <c r="WWV37" s="21"/>
      <c r="WWW37" s="19"/>
      <c r="WXF37" s="19"/>
      <c r="WXG37" s="19"/>
      <c r="WXH37" s="19"/>
      <c r="WXI37" s="19"/>
      <c r="WXJ37" s="21"/>
      <c r="WXK37" s="19"/>
      <c r="WXT37" s="19"/>
      <c r="WXU37" s="19"/>
      <c r="WXV37" s="19"/>
      <c r="WXW37" s="19"/>
      <c r="WXX37" s="21"/>
      <c r="WXY37" s="19"/>
      <c r="WYH37" s="19"/>
      <c r="WYI37" s="19"/>
      <c r="WYJ37" s="19"/>
      <c r="WYK37" s="19"/>
      <c r="WYL37" s="21"/>
      <c r="WYM37" s="19"/>
      <c r="WYV37" s="19"/>
      <c r="WYW37" s="19"/>
      <c r="WYX37" s="19"/>
      <c r="WYY37" s="19"/>
      <c r="WYZ37" s="21"/>
      <c r="WZA37" s="19"/>
      <c r="WZJ37" s="19"/>
      <c r="WZK37" s="19"/>
      <c r="WZL37" s="19"/>
      <c r="WZM37" s="19"/>
      <c r="WZN37" s="21"/>
      <c r="WZO37" s="19"/>
      <c r="WZX37" s="19"/>
      <c r="WZY37" s="19"/>
      <c r="WZZ37" s="19"/>
      <c r="XAA37" s="19"/>
      <c r="XAB37" s="21"/>
      <c r="XAC37" s="19"/>
      <c r="XAL37" s="19"/>
      <c r="XAM37" s="19"/>
      <c r="XAN37" s="19"/>
      <c r="XAO37" s="19"/>
      <c r="XAP37" s="21"/>
      <c r="XAQ37" s="19"/>
      <c r="XAZ37" s="19"/>
      <c r="XBA37" s="19"/>
      <c r="XBB37" s="19"/>
      <c r="XBC37" s="19"/>
      <c r="XBD37" s="21"/>
      <c r="XBE37" s="19"/>
      <c r="XBN37" s="19"/>
      <c r="XBO37" s="19"/>
      <c r="XBP37" s="19"/>
      <c r="XBQ37" s="19"/>
      <c r="XBR37" s="21"/>
      <c r="XBS37" s="19"/>
      <c r="XCB37" s="19"/>
      <c r="XCC37" s="19"/>
      <c r="XCD37" s="19"/>
      <c r="XCE37" s="19"/>
      <c r="XCF37" s="21"/>
      <c r="XCG37" s="19"/>
      <c r="XCP37" s="19"/>
      <c r="XCQ37" s="19"/>
      <c r="XCR37" s="19"/>
      <c r="XCS37" s="19"/>
      <c r="XCT37" s="21"/>
      <c r="XCU37" s="19"/>
      <c r="XDD37" s="19"/>
      <c r="XDE37" s="19"/>
      <c r="XDF37" s="19"/>
      <c r="XDG37" s="19"/>
      <c r="XDH37" s="21"/>
      <c r="XDI37" s="19"/>
      <c r="XDR37" s="19"/>
      <c r="XDS37" s="19"/>
      <c r="XDT37" s="19"/>
      <c r="XDU37" s="19"/>
      <c r="XDV37" s="21"/>
      <c r="XDW37" s="19"/>
      <c r="XEF37" s="19"/>
      <c r="XEG37" s="19"/>
      <c r="XEH37" s="19"/>
      <c r="XEI37" s="19"/>
      <c r="XEJ37" s="21"/>
      <c r="XEK37" s="19"/>
    </row>
    <row r="38" spans="1:1021 1030:2043 2052:3065 3074:7167 7176:8189 8198:9211 9220:10233 10242:14335 14344:15357 15366:16365" s="20" customFormat="1" ht="16" customHeight="1">
      <c r="A38" s="19">
        <v>3</v>
      </c>
      <c r="B38" s="21">
        <v>5</v>
      </c>
      <c r="C38" s="20" t="s">
        <v>124</v>
      </c>
      <c r="D38" s="20">
        <v>6</v>
      </c>
      <c r="E38" s="20">
        <v>3</v>
      </c>
      <c r="F38" s="20">
        <v>2</v>
      </c>
      <c r="G38" s="20">
        <v>0</v>
      </c>
      <c r="H38" s="20">
        <v>1</v>
      </c>
      <c r="I38" s="20">
        <v>6</v>
      </c>
      <c r="J38" s="20">
        <v>3</v>
      </c>
      <c r="K38" s="20">
        <v>3</v>
      </c>
      <c r="L38" s="27"/>
      <c r="M38" s="19"/>
      <c r="V38" s="19"/>
      <c r="W38" s="19"/>
      <c r="X38" s="19"/>
      <c r="Y38" s="19"/>
      <c r="Z38" s="21"/>
      <c r="AA38" s="19"/>
      <c r="AJ38" s="19"/>
      <c r="AK38" s="19"/>
      <c r="AL38" s="19"/>
      <c r="AM38" s="19"/>
      <c r="AN38" s="21"/>
      <c r="AO38" s="19"/>
      <c r="AX38" s="19"/>
      <c r="AY38" s="19"/>
      <c r="AZ38" s="19"/>
      <c r="BA38" s="19"/>
      <c r="BB38" s="21"/>
      <c r="BC38" s="19"/>
      <c r="BL38" s="19"/>
      <c r="BM38" s="19"/>
      <c r="BN38" s="19"/>
      <c r="BO38" s="19"/>
      <c r="BP38" s="21"/>
      <c r="BQ38" s="19"/>
      <c r="BZ38" s="19"/>
      <c r="CA38" s="19"/>
      <c r="CB38" s="19"/>
      <c r="CC38" s="19"/>
      <c r="CD38" s="21"/>
      <c r="CE38" s="19"/>
      <c r="CN38" s="19"/>
      <c r="CO38" s="19"/>
      <c r="CP38" s="19"/>
      <c r="CQ38" s="19"/>
      <c r="CR38" s="21"/>
      <c r="CS38" s="19"/>
      <c r="DB38" s="19"/>
      <c r="DC38" s="19"/>
      <c r="DD38" s="19"/>
      <c r="DE38" s="19"/>
      <c r="DF38" s="21"/>
      <c r="DG38" s="19"/>
      <c r="DP38" s="19"/>
      <c r="DQ38" s="19"/>
      <c r="DR38" s="19"/>
      <c r="DS38" s="19"/>
      <c r="DT38" s="21"/>
      <c r="DU38" s="19"/>
      <c r="ED38" s="19"/>
      <c r="EE38" s="19"/>
      <c r="EF38" s="19"/>
      <c r="EG38" s="19"/>
      <c r="EH38" s="21"/>
      <c r="EI38" s="19"/>
      <c r="ER38" s="19"/>
      <c r="ES38" s="19"/>
      <c r="ET38" s="19"/>
      <c r="EU38" s="19"/>
      <c r="EV38" s="21"/>
      <c r="EW38" s="19"/>
      <c r="FF38" s="19"/>
      <c r="FG38" s="19"/>
      <c r="FH38" s="19"/>
      <c r="FI38" s="19"/>
      <c r="FJ38" s="21"/>
      <c r="FK38" s="19"/>
      <c r="FT38" s="19"/>
      <c r="FU38" s="19"/>
      <c r="FV38" s="19"/>
      <c r="FW38" s="19"/>
      <c r="FX38" s="21"/>
      <c r="FY38" s="19"/>
      <c r="GH38" s="19"/>
      <c r="GI38" s="19"/>
      <c r="GJ38" s="19"/>
      <c r="GK38" s="19"/>
      <c r="GL38" s="21"/>
      <c r="GM38" s="19"/>
      <c r="GV38" s="19"/>
      <c r="GW38" s="19"/>
      <c r="GX38" s="19"/>
      <c r="GY38" s="19"/>
      <c r="GZ38" s="21"/>
      <c r="HA38" s="19"/>
      <c r="HJ38" s="19"/>
      <c r="HK38" s="19"/>
      <c r="HL38" s="19"/>
      <c r="HM38" s="19"/>
      <c r="HN38" s="21"/>
      <c r="HO38" s="19"/>
      <c r="HX38" s="19"/>
      <c r="HY38" s="19"/>
      <c r="HZ38" s="19"/>
      <c r="IA38" s="19"/>
      <c r="IB38" s="21"/>
      <c r="IC38" s="19"/>
      <c r="IL38" s="19"/>
      <c r="IM38" s="19"/>
      <c r="IN38" s="19"/>
      <c r="IO38" s="19"/>
      <c r="IP38" s="21"/>
      <c r="IQ38" s="19"/>
      <c r="IZ38" s="19"/>
      <c r="JA38" s="19"/>
      <c r="JB38" s="19"/>
      <c r="JC38" s="19"/>
      <c r="JD38" s="21"/>
      <c r="JE38" s="19"/>
      <c r="JN38" s="19"/>
      <c r="JO38" s="19"/>
      <c r="JP38" s="19"/>
      <c r="JQ38" s="19"/>
      <c r="JR38" s="21"/>
      <c r="JS38" s="19"/>
      <c r="KB38" s="19"/>
      <c r="KC38" s="19"/>
      <c r="KD38" s="19"/>
      <c r="KE38" s="19"/>
      <c r="KF38" s="21"/>
      <c r="KG38" s="19"/>
      <c r="KP38" s="19"/>
      <c r="KQ38" s="19"/>
      <c r="KR38" s="19"/>
      <c r="KS38" s="19"/>
      <c r="KT38" s="21"/>
      <c r="KU38" s="19"/>
      <c r="LD38" s="19"/>
      <c r="LE38" s="19"/>
      <c r="LF38" s="19"/>
      <c r="LG38" s="19"/>
      <c r="LH38" s="21"/>
      <c r="LI38" s="19"/>
      <c r="LR38" s="19"/>
      <c r="LS38" s="19"/>
      <c r="LT38" s="19"/>
      <c r="LU38" s="19"/>
      <c r="LV38" s="21"/>
      <c r="LW38" s="19"/>
      <c r="MF38" s="19"/>
      <c r="MG38" s="19"/>
      <c r="MH38" s="19"/>
      <c r="MI38" s="19"/>
      <c r="MJ38" s="21"/>
      <c r="MK38" s="19"/>
      <c r="MT38" s="19"/>
      <c r="MU38" s="19"/>
      <c r="MV38" s="19"/>
      <c r="MW38" s="19"/>
      <c r="MX38" s="21"/>
      <c r="MY38" s="19"/>
      <c r="NH38" s="19"/>
      <c r="NI38" s="19"/>
      <c r="NJ38" s="19"/>
      <c r="NK38" s="19"/>
      <c r="NL38" s="21"/>
      <c r="NM38" s="19"/>
      <c r="NV38" s="19"/>
      <c r="NW38" s="19"/>
      <c r="NX38" s="19"/>
      <c r="NY38" s="19"/>
      <c r="NZ38" s="21"/>
      <c r="OA38" s="19"/>
      <c r="OJ38" s="19"/>
      <c r="OK38" s="19"/>
      <c r="OL38" s="19"/>
      <c r="OM38" s="19"/>
      <c r="ON38" s="21"/>
      <c r="OO38" s="19"/>
      <c r="OX38" s="19"/>
      <c r="OY38" s="19"/>
      <c r="OZ38" s="19"/>
      <c r="PA38" s="19"/>
      <c r="PB38" s="21"/>
      <c r="PC38" s="19"/>
      <c r="PL38" s="19"/>
      <c r="PM38" s="19"/>
      <c r="PN38" s="19"/>
      <c r="PO38" s="19"/>
      <c r="PP38" s="21"/>
      <c r="PQ38" s="19"/>
      <c r="PZ38" s="19"/>
      <c r="QA38" s="19"/>
      <c r="QB38" s="19"/>
      <c r="QC38" s="19"/>
      <c r="QD38" s="21"/>
      <c r="QE38" s="19"/>
      <c r="QN38" s="19"/>
      <c r="QO38" s="19"/>
      <c r="QP38" s="19"/>
      <c r="QQ38" s="19"/>
      <c r="QR38" s="21"/>
      <c r="QS38" s="19"/>
      <c r="RB38" s="19"/>
      <c r="RC38" s="19"/>
      <c r="RD38" s="19"/>
      <c r="RE38" s="19"/>
      <c r="RF38" s="21"/>
      <c r="RG38" s="19"/>
      <c r="RP38" s="19"/>
      <c r="RQ38" s="19"/>
      <c r="RR38" s="19"/>
      <c r="RS38" s="19"/>
      <c r="RT38" s="21"/>
      <c r="RU38" s="19"/>
      <c r="SD38" s="19"/>
      <c r="SE38" s="19"/>
      <c r="SF38" s="19"/>
      <c r="SG38" s="19"/>
      <c r="SH38" s="21"/>
      <c r="SI38" s="19"/>
      <c r="SR38" s="19"/>
      <c r="SS38" s="19"/>
      <c r="ST38" s="19"/>
      <c r="SU38" s="19"/>
      <c r="SV38" s="21"/>
      <c r="SW38" s="19"/>
      <c r="TF38" s="19"/>
      <c r="TG38" s="19"/>
      <c r="TH38" s="19"/>
      <c r="TI38" s="19"/>
      <c r="TJ38" s="21"/>
      <c r="TK38" s="19"/>
      <c r="TT38" s="19"/>
      <c r="TU38" s="19"/>
      <c r="TV38" s="19"/>
      <c r="TW38" s="19"/>
      <c r="TX38" s="21"/>
      <c r="TY38" s="19"/>
      <c r="UH38" s="19"/>
      <c r="UI38" s="19"/>
      <c r="UJ38" s="19"/>
      <c r="UK38" s="19"/>
      <c r="UL38" s="21"/>
      <c r="UM38" s="19"/>
      <c r="UV38" s="19"/>
      <c r="UW38" s="19"/>
      <c r="UX38" s="19"/>
      <c r="UY38" s="19"/>
      <c r="UZ38" s="21"/>
      <c r="VA38" s="19"/>
      <c r="VJ38" s="19"/>
      <c r="VK38" s="19"/>
      <c r="VL38" s="19"/>
      <c r="VM38" s="19"/>
      <c r="VN38" s="21"/>
      <c r="VO38" s="19"/>
      <c r="VX38" s="19"/>
      <c r="VY38" s="19"/>
      <c r="VZ38" s="19"/>
      <c r="WA38" s="19"/>
      <c r="WB38" s="21"/>
      <c r="WC38" s="19"/>
      <c r="WL38" s="19"/>
      <c r="WM38" s="19"/>
      <c r="WN38" s="19"/>
      <c r="WO38" s="19"/>
      <c r="WP38" s="21"/>
      <c r="WQ38" s="19"/>
      <c r="WZ38" s="19"/>
      <c r="XA38" s="19"/>
      <c r="XB38" s="19"/>
      <c r="XC38" s="19"/>
      <c r="XD38" s="21"/>
      <c r="XE38" s="19"/>
      <c r="XN38" s="19"/>
      <c r="XO38" s="19"/>
      <c r="XP38" s="19"/>
      <c r="XQ38" s="19"/>
      <c r="XR38" s="21"/>
      <c r="XS38" s="19"/>
      <c r="YB38" s="19"/>
      <c r="YC38" s="19"/>
      <c r="YD38" s="19"/>
      <c r="YE38" s="19"/>
      <c r="YF38" s="21"/>
      <c r="YG38" s="19"/>
      <c r="YP38" s="19"/>
      <c r="YQ38" s="19"/>
      <c r="YR38" s="19"/>
      <c r="YS38" s="19"/>
      <c r="YT38" s="21"/>
      <c r="YU38" s="19"/>
      <c r="ZD38" s="19"/>
      <c r="ZE38" s="19"/>
      <c r="ZF38" s="19"/>
      <c r="ZG38" s="19"/>
      <c r="ZH38" s="21"/>
      <c r="ZI38" s="19"/>
      <c r="ZR38" s="19"/>
      <c r="ZS38" s="19"/>
      <c r="ZT38" s="19"/>
      <c r="ZU38" s="19"/>
      <c r="ZV38" s="21"/>
      <c r="ZW38" s="19"/>
      <c r="AAF38" s="19"/>
      <c r="AAG38" s="19"/>
      <c r="AAH38" s="19"/>
      <c r="AAI38" s="19"/>
      <c r="AAJ38" s="21"/>
      <c r="AAK38" s="19"/>
      <c r="AAT38" s="19"/>
      <c r="AAU38" s="19"/>
      <c r="AAV38" s="19"/>
      <c r="AAW38" s="19"/>
      <c r="AAX38" s="21"/>
      <c r="AAY38" s="19"/>
      <c r="ABH38" s="19"/>
      <c r="ABI38" s="19"/>
      <c r="ABJ38" s="19"/>
      <c r="ABK38" s="19"/>
      <c r="ABL38" s="21"/>
      <c r="ABM38" s="19"/>
      <c r="ABV38" s="19"/>
      <c r="ABW38" s="19"/>
      <c r="ABX38" s="19"/>
      <c r="ABY38" s="19"/>
      <c r="ABZ38" s="21"/>
      <c r="ACA38" s="19"/>
      <c r="ACJ38" s="19"/>
      <c r="ACK38" s="19"/>
      <c r="ACL38" s="19"/>
      <c r="ACM38" s="19"/>
      <c r="ACN38" s="21"/>
      <c r="ACO38" s="19"/>
      <c r="ACX38" s="19"/>
      <c r="ACY38" s="19"/>
      <c r="ACZ38" s="19"/>
      <c r="ADA38" s="19"/>
      <c r="ADB38" s="21"/>
      <c r="ADC38" s="19"/>
      <c r="ADL38" s="19"/>
      <c r="ADM38" s="19"/>
      <c r="ADN38" s="19"/>
      <c r="ADO38" s="19"/>
      <c r="ADP38" s="21"/>
      <c r="ADQ38" s="19"/>
      <c r="ADZ38" s="19"/>
      <c r="AEA38" s="19"/>
      <c r="AEB38" s="19"/>
      <c r="AEC38" s="19"/>
      <c r="AED38" s="21"/>
      <c r="AEE38" s="19"/>
      <c r="AEN38" s="19"/>
      <c r="AEO38" s="19"/>
      <c r="AEP38" s="19"/>
      <c r="AEQ38" s="19"/>
      <c r="AER38" s="21"/>
      <c r="AES38" s="19"/>
      <c r="AFB38" s="19"/>
      <c r="AFC38" s="19"/>
      <c r="AFD38" s="19"/>
      <c r="AFE38" s="19"/>
      <c r="AFF38" s="21"/>
      <c r="AFG38" s="19"/>
      <c r="AFP38" s="19"/>
      <c r="AFQ38" s="19"/>
      <c r="AFR38" s="19"/>
      <c r="AFS38" s="19"/>
      <c r="AFT38" s="21"/>
      <c r="AFU38" s="19"/>
      <c r="AGD38" s="19"/>
      <c r="AGE38" s="19"/>
      <c r="AGF38" s="19"/>
      <c r="AGG38" s="19"/>
      <c r="AGH38" s="21"/>
      <c r="AGI38" s="19"/>
      <c r="AGR38" s="19"/>
      <c r="AGS38" s="19"/>
      <c r="AGT38" s="19"/>
      <c r="AGU38" s="19"/>
      <c r="AGV38" s="21"/>
      <c r="AGW38" s="19"/>
      <c r="AHF38" s="19"/>
      <c r="AHG38" s="19"/>
      <c r="AHH38" s="19"/>
      <c r="AHI38" s="19"/>
      <c r="AHJ38" s="21"/>
      <c r="AHK38" s="19"/>
      <c r="AHT38" s="19"/>
      <c r="AHU38" s="19"/>
      <c r="AHV38" s="19"/>
      <c r="AHW38" s="19"/>
      <c r="AHX38" s="21"/>
      <c r="AHY38" s="19"/>
      <c r="AIH38" s="19"/>
      <c r="AII38" s="19"/>
      <c r="AIJ38" s="19"/>
      <c r="AIK38" s="19"/>
      <c r="AIL38" s="21"/>
      <c r="AIM38" s="19"/>
      <c r="AIV38" s="19"/>
      <c r="AIW38" s="19"/>
      <c r="AIX38" s="19"/>
      <c r="AIY38" s="19"/>
      <c r="AIZ38" s="21"/>
      <c r="AJA38" s="19"/>
      <c r="AJJ38" s="19"/>
      <c r="AJK38" s="19"/>
      <c r="AJL38" s="19"/>
      <c r="AJM38" s="19"/>
      <c r="AJN38" s="21"/>
      <c r="AJO38" s="19"/>
      <c r="AJX38" s="19"/>
      <c r="AJY38" s="19"/>
      <c r="AJZ38" s="19"/>
      <c r="AKA38" s="19"/>
      <c r="AKB38" s="21"/>
      <c r="AKC38" s="19"/>
      <c r="AKL38" s="19"/>
      <c r="AKM38" s="19"/>
      <c r="AKN38" s="19"/>
      <c r="AKO38" s="19"/>
      <c r="AKP38" s="21"/>
      <c r="AKQ38" s="19"/>
      <c r="AKZ38" s="19"/>
      <c r="ALA38" s="19"/>
      <c r="ALB38" s="19"/>
      <c r="ALC38" s="19"/>
      <c r="ALD38" s="21"/>
      <c r="ALE38" s="19"/>
      <c r="ALN38" s="19"/>
      <c r="ALO38" s="19"/>
      <c r="ALP38" s="19"/>
      <c r="ALQ38" s="19"/>
      <c r="ALR38" s="21"/>
      <c r="ALS38" s="19"/>
      <c r="AMB38" s="19"/>
      <c r="AMC38" s="19"/>
      <c r="AMD38" s="19"/>
      <c r="AME38" s="19"/>
      <c r="AMF38" s="21"/>
      <c r="AMG38" s="19"/>
      <c r="AMP38" s="19"/>
      <c r="AMQ38" s="19"/>
      <c r="AMR38" s="19"/>
      <c r="AMS38" s="19"/>
      <c r="AMT38" s="21"/>
      <c r="AMU38" s="19"/>
      <c r="AND38" s="19"/>
      <c r="ANE38" s="19"/>
      <c r="ANF38" s="19"/>
      <c r="ANG38" s="19"/>
      <c r="ANH38" s="21"/>
      <c r="ANI38" s="19"/>
      <c r="ANR38" s="19"/>
      <c r="ANS38" s="19"/>
      <c r="ANT38" s="19"/>
      <c r="ANU38" s="19"/>
      <c r="ANV38" s="21"/>
      <c r="ANW38" s="19"/>
      <c r="AOF38" s="19"/>
      <c r="AOG38" s="19"/>
      <c r="AOH38" s="19"/>
      <c r="AOI38" s="19"/>
      <c r="AOJ38" s="21"/>
      <c r="AOK38" s="19"/>
      <c r="AOT38" s="19"/>
      <c r="AOU38" s="19"/>
      <c r="AOV38" s="19"/>
      <c r="AOW38" s="19"/>
      <c r="AOX38" s="21"/>
      <c r="AOY38" s="19"/>
      <c r="APH38" s="19"/>
      <c r="API38" s="19"/>
      <c r="APJ38" s="19"/>
      <c r="APK38" s="19"/>
      <c r="APL38" s="21"/>
      <c r="APM38" s="19"/>
      <c r="APV38" s="19"/>
      <c r="APW38" s="19"/>
      <c r="APX38" s="19"/>
      <c r="APY38" s="19"/>
      <c r="APZ38" s="21"/>
      <c r="AQA38" s="19"/>
      <c r="AQJ38" s="19"/>
      <c r="AQK38" s="19"/>
      <c r="AQL38" s="19"/>
      <c r="AQM38" s="19"/>
      <c r="AQN38" s="21"/>
      <c r="AQO38" s="19"/>
      <c r="AQX38" s="19"/>
      <c r="AQY38" s="19"/>
      <c r="AQZ38" s="19"/>
      <c r="ARA38" s="19"/>
      <c r="ARB38" s="21"/>
      <c r="ARC38" s="19"/>
      <c r="ARL38" s="19"/>
      <c r="ARM38" s="19"/>
      <c r="ARN38" s="19"/>
      <c r="ARO38" s="19"/>
      <c r="ARP38" s="21"/>
      <c r="ARQ38" s="19"/>
      <c r="ARZ38" s="19"/>
      <c r="ASA38" s="19"/>
      <c r="ASB38" s="19"/>
      <c r="ASC38" s="19"/>
      <c r="ASD38" s="21"/>
      <c r="ASE38" s="19"/>
      <c r="ASN38" s="19"/>
      <c r="ASO38" s="19"/>
      <c r="ASP38" s="19"/>
      <c r="ASQ38" s="19"/>
      <c r="ASR38" s="21"/>
      <c r="ASS38" s="19"/>
      <c r="ATB38" s="19"/>
      <c r="ATC38" s="19"/>
      <c r="ATD38" s="19"/>
      <c r="ATE38" s="19"/>
      <c r="ATF38" s="21"/>
      <c r="ATG38" s="19"/>
      <c r="ATP38" s="19"/>
      <c r="ATQ38" s="19"/>
      <c r="ATR38" s="19"/>
      <c r="ATS38" s="19"/>
      <c r="ATT38" s="21"/>
      <c r="ATU38" s="19"/>
      <c r="AUD38" s="19"/>
      <c r="AUE38" s="19"/>
      <c r="AUF38" s="19"/>
      <c r="AUG38" s="19"/>
      <c r="AUH38" s="21"/>
      <c r="AUI38" s="19"/>
      <c r="AUR38" s="19"/>
      <c r="AUS38" s="19"/>
      <c r="AUT38" s="19"/>
      <c r="AUU38" s="19"/>
      <c r="AUV38" s="21"/>
      <c r="AUW38" s="19"/>
      <c r="AVF38" s="19"/>
      <c r="AVG38" s="19"/>
      <c r="AVH38" s="19"/>
      <c r="AVI38" s="19"/>
      <c r="AVJ38" s="21"/>
      <c r="AVK38" s="19"/>
      <c r="AVT38" s="19"/>
      <c r="AVU38" s="19"/>
      <c r="AVV38" s="19"/>
      <c r="AVW38" s="19"/>
      <c r="AVX38" s="21"/>
      <c r="AVY38" s="19"/>
      <c r="AWH38" s="19"/>
      <c r="AWI38" s="19"/>
      <c r="AWJ38" s="19"/>
      <c r="AWK38" s="19"/>
      <c r="AWL38" s="21"/>
      <c r="AWM38" s="19"/>
      <c r="AWV38" s="19"/>
      <c r="AWW38" s="19"/>
      <c r="AWX38" s="19"/>
      <c r="AWY38" s="19"/>
      <c r="AWZ38" s="21"/>
      <c r="AXA38" s="19"/>
      <c r="AXJ38" s="19"/>
      <c r="AXK38" s="19"/>
      <c r="AXL38" s="19"/>
      <c r="AXM38" s="19"/>
      <c r="AXN38" s="21"/>
      <c r="AXO38" s="19"/>
      <c r="AXX38" s="19"/>
      <c r="AXY38" s="19"/>
      <c r="AXZ38" s="19"/>
      <c r="AYA38" s="19"/>
      <c r="AYB38" s="21"/>
      <c r="AYC38" s="19"/>
      <c r="AYL38" s="19"/>
      <c r="AYM38" s="19"/>
      <c r="AYN38" s="19"/>
      <c r="AYO38" s="19"/>
      <c r="AYP38" s="21"/>
      <c r="AYQ38" s="19"/>
      <c r="AYZ38" s="19"/>
      <c r="AZA38" s="19"/>
      <c r="AZB38" s="19"/>
      <c r="AZC38" s="19"/>
      <c r="AZD38" s="21"/>
      <c r="AZE38" s="19"/>
      <c r="AZN38" s="19"/>
      <c r="AZO38" s="19"/>
      <c r="AZP38" s="19"/>
      <c r="AZQ38" s="19"/>
      <c r="AZR38" s="21"/>
      <c r="AZS38" s="19"/>
      <c r="BAB38" s="19"/>
      <c r="BAC38" s="19"/>
      <c r="BAD38" s="19"/>
      <c r="BAE38" s="19"/>
      <c r="BAF38" s="21"/>
      <c r="BAG38" s="19"/>
      <c r="BAP38" s="19"/>
      <c r="BAQ38" s="19"/>
      <c r="BAR38" s="19"/>
      <c r="BAS38" s="19"/>
      <c r="BAT38" s="21"/>
      <c r="BAU38" s="19"/>
      <c r="BBD38" s="19"/>
      <c r="BBE38" s="19"/>
      <c r="BBF38" s="19"/>
      <c r="BBG38" s="19"/>
      <c r="BBH38" s="21"/>
      <c r="BBI38" s="19"/>
      <c r="BBR38" s="19"/>
      <c r="BBS38" s="19"/>
      <c r="BBT38" s="19"/>
      <c r="BBU38" s="19"/>
      <c r="BBV38" s="21"/>
      <c r="BBW38" s="19"/>
      <c r="BCF38" s="19"/>
      <c r="BCG38" s="19"/>
      <c r="BCH38" s="19"/>
      <c r="BCI38" s="19"/>
      <c r="BCJ38" s="21"/>
      <c r="BCK38" s="19"/>
      <c r="BCT38" s="19"/>
      <c r="BCU38" s="19"/>
      <c r="BCV38" s="19"/>
      <c r="BCW38" s="19"/>
      <c r="BCX38" s="21"/>
      <c r="BCY38" s="19"/>
      <c r="BDH38" s="19"/>
      <c r="BDI38" s="19"/>
      <c r="BDJ38" s="19"/>
      <c r="BDK38" s="19"/>
      <c r="BDL38" s="21"/>
      <c r="BDM38" s="19"/>
      <c r="BDV38" s="19"/>
      <c r="BDW38" s="19"/>
      <c r="BDX38" s="19"/>
      <c r="BDY38" s="19"/>
      <c r="BDZ38" s="21"/>
      <c r="BEA38" s="19"/>
      <c r="BEJ38" s="19"/>
      <c r="BEK38" s="19"/>
      <c r="BEL38" s="19"/>
      <c r="BEM38" s="19"/>
      <c r="BEN38" s="21"/>
      <c r="BEO38" s="19"/>
      <c r="BEX38" s="19"/>
      <c r="BEY38" s="19"/>
      <c r="BEZ38" s="19"/>
      <c r="BFA38" s="19"/>
      <c r="BFB38" s="21"/>
      <c r="BFC38" s="19"/>
      <c r="BFL38" s="19"/>
      <c r="BFM38" s="19"/>
      <c r="BFN38" s="19"/>
      <c r="BFO38" s="19"/>
      <c r="BFP38" s="21"/>
      <c r="BFQ38" s="19"/>
      <c r="BFZ38" s="19"/>
      <c r="BGA38" s="19"/>
      <c r="BGB38" s="19"/>
      <c r="BGC38" s="19"/>
      <c r="BGD38" s="21"/>
      <c r="BGE38" s="19"/>
      <c r="BGN38" s="19"/>
      <c r="BGO38" s="19"/>
      <c r="BGP38" s="19"/>
      <c r="BGQ38" s="19"/>
      <c r="BGR38" s="21"/>
      <c r="BGS38" s="19"/>
      <c r="BHB38" s="19"/>
      <c r="BHC38" s="19"/>
      <c r="BHD38" s="19"/>
      <c r="BHE38" s="19"/>
      <c r="BHF38" s="21"/>
      <c r="BHG38" s="19"/>
      <c r="BHP38" s="19"/>
      <c r="BHQ38" s="19"/>
      <c r="BHR38" s="19"/>
      <c r="BHS38" s="19"/>
      <c r="BHT38" s="21"/>
      <c r="BHU38" s="19"/>
      <c r="BID38" s="19"/>
      <c r="BIE38" s="19"/>
      <c r="BIF38" s="19"/>
      <c r="BIG38" s="19"/>
      <c r="BIH38" s="21"/>
      <c r="BII38" s="19"/>
      <c r="BIR38" s="19"/>
      <c r="BIS38" s="19"/>
      <c r="BIT38" s="19"/>
      <c r="BIU38" s="19"/>
      <c r="BIV38" s="21"/>
      <c r="BIW38" s="19"/>
      <c r="BJF38" s="19"/>
      <c r="BJG38" s="19"/>
      <c r="BJH38" s="19"/>
      <c r="BJI38" s="19"/>
      <c r="BJJ38" s="21"/>
      <c r="BJK38" s="19"/>
      <c r="BJT38" s="19"/>
      <c r="BJU38" s="19"/>
      <c r="BJV38" s="19"/>
      <c r="BJW38" s="19"/>
      <c r="BJX38" s="21"/>
      <c r="BJY38" s="19"/>
      <c r="BKH38" s="19"/>
      <c r="BKI38" s="19"/>
      <c r="BKJ38" s="19"/>
      <c r="BKK38" s="19"/>
      <c r="BKL38" s="21"/>
      <c r="BKM38" s="19"/>
      <c r="BKV38" s="19"/>
      <c r="BKW38" s="19"/>
      <c r="BKX38" s="19"/>
      <c r="BKY38" s="19"/>
      <c r="BKZ38" s="21"/>
      <c r="BLA38" s="19"/>
      <c r="BLJ38" s="19"/>
      <c r="BLK38" s="19"/>
      <c r="BLL38" s="19"/>
      <c r="BLM38" s="19"/>
      <c r="BLN38" s="21"/>
      <c r="BLO38" s="19"/>
      <c r="BLX38" s="19"/>
      <c r="BLY38" s="19"/>
      <c r="BLZ38" s="19"/>
      <c r="BMA38" s="19"/>
      <c r="BMB38" s="21"/>
      <c r="BMC38" s="19"/>
      <c r="BML38" s="19"/>
      <c r="BMM38" s="19"/>
      <c r="BMN38" s="19"/>
      <c r="BMO38" s="19"/>
      <c r="BMP38" s="21"/>
      <c r="BMQ38" s="19"/>
      <c r="BMZ38" s="19"/>
      <c r="BNA38" s="19"/>
      <c r="BNB38" s="19"/>
      <c r="BNC38" s="19"/>
      <c r="BND38" s="21"/>
      <c r="BNE38" s="19"/>
      <c r="BNN38" s="19"/>
      <c r="BNO38" s="19"/>
      <c r="BNP38" s="19"/>
      <c r="BNQ38" s="19"/>
      <c r="BNR38" s="21"/>
      <c r="BNS38" s="19"/>
      <c r="BOB38" s="19"/>
      <c r="BOC38" s="19"/>
      <c r="BOD38" s="19"/>
      <c r="BOE38" s="19"/>
      <c r="BOF38" s="21"/>
      <c r="BOG38" s="19"/>
      <c r="BOP38" s="19"/>
      <c r="BOQ38" s="19"/>
      <c r="BOR38" s="19"/>
      <c r="BOS38" s="19"/>
      <c r="BOT38" s="21"/>
      <c r="BOU38" s="19"/>
      <c r="BPD38" s="19"/>
      <c r="BPE38" s="19"/>
      <c r="BPF38" s="19"/>
      <c r="BPG38" s="19"/>
      <c r="BPH38" s="21"/>
      <c r="BPI38" s="19"/>
      <c r="BPR38" s="19"/>
      <c r="BPS38" s="19"/>
      <c r="BPT38" s="19"/>
      <c r="BPU38" s="19"/>
      <c r="BPV38" s="21"/>
      <c r="BPW38" s="19"/>
      <c r="BQF38" s="19"/>
      <c r="BQG38" s="19"/>
      <c r="BQH38" s="19"/>
      <c r="BQI38" s="19"/>
      <c r="BQJ38" s="21"/>
      <c r="BQK38" s="19"/>
      <c r="BQT38" s="19"/>
      <c r="BQU38" s="19"/>
      <c r="BQV38" s="19"/>
      <c r="BQW38" s="19"/>
      <c r="BQX38" s="21"/>
      <c r="BQY38" s="19"/>
      <c r="BRH38" s="19"/>
      <c r="BRI38" s="19"/>
      <c r="BRJ38" s="19"/>
      <c r="BRK38" s="19"/>
      <c r="BRL38" s="21"/>
      <c r="BRM38" s="19"/>
      <c r="BRV38" s="19"/>
      <c r="BRW38" s="19"/>
      <c r="BRX38" s="19"/>
      <c r="BRY38" s="19"/>
      <c r="BRZ38" s="21"/>
      <c r="BSA38" s="19"/>
      <c r="BSJ38" s="19"/>
      <c r="BSK38" s="19"/>
      <c r="BSL38" s="19"/>
      <c r="BSM38" s="19"/>
      <c r="BSN38" s="21"/>
      <c r="BSO38" s="19"/>
      <c r="BSX38" s="19"/>
      <c r="BSY38" s="19"/>
      <c r="BSZ38" s="19"/>
      <c r="BTA38" s="19"/>
      <c r="BTB38" s="21"/>
      <c r="BTC38" s="19"/>
      <c r="BTL38" s="19"/>
      <c r="BTM38" s="19"/>
      <c r="BTN38" s="19"/>
      <c r="BTO38" s="19"/>
      <c r="BTP38" s="21"/>
      <c r="BTQ38" s="19"/>
      <c r="BTZ38" s="19"/>
      <c r="BUA38" s="19"/>
      <c r="BUB38" s="19"/>
      <c r="BUC38" s="19"/>
      <c r="BUD38" s="21"/>
      <c r="BUE38" s="19"/>
      <c r="BUN38" s="19"/>
      <c r="BUO38" s="19"/>
      <c r="BUP38" s="19"/>
      <c r="BUQ38" s="19"/>
      <c r="BUR38" s="21"/>
      <c r="BUS38" s="19"/>
      <c r="BVB38" s="19"/>
      <c r="BVC38" s="19"/>
      <c r="BVD38" s="19"/>
      <c r="BVE38" s="19"/>
      <c r="BVF38" s="21"/>
      <c r="BVG38" s="19"/>
      <c r="BVP38" s="19"/>
      <c r="BVQ38" s="19"/>
      <c r="BVR38" s="19"/>
      <c r="BVS38" s="19"/>
      <c r="BVT38" s="21"/>
      <c r="BVU38" s="19"/>
      <c r="BWD38" s="19"/>
      <c r="BWE38" s="19"/>
      <c r="BWF38" s="19"/>
      <c r="BWG38" s="19"/>
      <c r="BWH38" s="21"/>
      <c r="BWI38" s="19"/>
      <c r="BWR38" s="19"/>
      <c r="BWS38" s="19"/>
      <c r="BWT38" s="19"/>
      <c r="BWU38" s="19"/>
      <c r="BWV38" s="21"/>
      <c r="BWW38" s="19"/>
      <c r="BXF38" s="19"/>
      <c r="BXG38" s="19"/>
      <c r="BXH38" s="19"/>
      <c r="BXI38" s="19"/>
      <c r="BXJ38" s="21"/>
      <c r="BXK38" s="19"/>
      <c r="BXT38" s="19"/>
      <c r="BXU38" s="19"/>
      <c r="BXV38" s="19"/>
      <c r="BXW38" s="19"/>
      <c r="BXX38" s="21"/>
      <c r="BXY38" s="19"/>
      <c r="BYH38" s="19"/>
      <c r="BYI38" s="19"/>
      <c r="BYJ38" s="19"/>
      <c r="BYK38" s="19"/>
      <c r="BYL38" s="21"/>
      <c r="BYM38" s="19"/>
      <c r="BYV38" s="19"/>
      <c r="BYW38" s="19"/>
      <c r="BYX38" s="19"/>
      <c r="BYY38" s="19"/>
      <c r="BYZ38" s="21"/>
      <c r="BZA38" s="19"/>
      <c r="BZJ38" s="19"/>
      <c r="BZK38" s="19"/>
      <c r="BZL38" s="19"/>
      <c r="BZM38" s="19"/>
      <c r="BZN38" s="21"/>
      <c r="BZO38" s="19"/>
      <c r="BZX38" s="19"/>
      <c r="BZY38" s="19"/>
      <c r="BZZ38" s="19"/>
      <c r="CAA38" s="19"/>
      <c r="CAB38" s="21"/>
      <c r="CAC38" s="19"/>
      <c r="CAL38" s="19"/>
      <c r="CAM38" s="19"/>
      <c r="CAN38" s="19"/>
      <c r="CAO38" s="19"/>
      <c r="CAP38" s="21"/>
      <c r="CAQ38" s="19"/>
      <c r="CAZ38" s="19"/>
      <c r="CBA38" s="19"/>
      <c r="CBB38" s="19"/>
      <c r="CBC38" s="19"/>
      <c r="CBD38" s="21"/>
      <c r="CBE38" s="19"/>
      <c r="CBN38" s="19"/>
      <c r="CBO38" s="19"/>
      <c r="CBP38" s="19"/>
      <c r="CBQ38" s="19"/>
      <c r="CBR38" s="21"/>
      <c r="CBS38" s="19"/>
      <c r="CCB38" s="19"/>
      <c r="CCC38" s="19"/>
      <c r="CCD38" s="19"/>
      <c r="CCE38" s="19"/>
      <c r="CCF38" s="21"/>
      <c r="CCG38" s="19"/>
      <c r="CCP38" s="19"/>
      <c r="CCQ38" s="19"/>
      <c r="CCR38" s="19"/>
      <c r="CCS38" s="19"/>
      <c r="CCT38" s="21"/>
      <c r="CCU38" s="19"/>
      <c r="CDD38" s="19"/>
      <c r="CDE38" s="19"/>
      <c r="CDF38" s="19"/>
      <c r="CDG38" s="19"/>
      <c r="CDH38" s="21"/>
      <c r="CDI38" s="19"/>
      <c r="CDR38" s="19"/>
      <c r="CDS38" s="19"/>
      <c r="CDT38" s="19"/>
      <c r="CDU38" s="19"/>
      <c r="CDV38" s="21"/>
      <c r="CDW38" s="19"/>
      <c r="CEF38" s="19"/>
      <c r="CEG38" s="19"/>
      <c r="CEH38" s="19"/>
      <c r="CEI38" s="19"/>
      <c r="CEJ38" s="21"/>
      <c r="CEK38" s="19"/>
      <c r="CET38" s="19"/>
      <c r="CEU38" s="19"/>
      <c r="CEV38" s="19"/>
      <c r="CEW38" s="19"/>
      <c r="CEX38" s="21"/>
      <c r="CEY38" s="19"/>
      <c r="CFH38" s="19"/>
      <c r="CFI38" s="19"/>
      <c r="CFJ38" s="19"/>
      <c r="CFK38" s="19"/>
      <c r="CFL38" s="21"/>
      <c r="CFM38" s="19"/>
      <c r="CFV38" s="19"/>
      <c r="CFW38" s="19"/>
      <c r="CFX38" s="19"/>
      <c r="CFY38" s="19"/>
      <c r="CFZ38" s="21"/>
      <c r="CGA38" s="19"/>
      <c r="CGJ38" s="19"/>
      <c r="CGK38" s="19"/>
      <c r="CGL38" s="19"/>
      <c r="CGM38" s="19"/>
      <c r="CGN38" s="21"/>
      <c r="CGO38" s="19"/>
      <c r="CGX38" s="19"/>
      <c r="CGY38" s="19"/>
      <c r="CGZ38" s="19"/>
      <c r="CHA38" s="19"/>
      <c r="CHB38" s="21"/>
      <c r="CHC38" s="19"/>
      <c r="CHL38" s="19"/>
      <c r="CHM38" s="19"/>
      <c r="CHN38" s="19"/>
      <c r="CHO38" s="19"/>
      <c r="CHP38" s="21"/>
      <c r="CHQ38" s="19"/>
      <c r="CHZ38" s="19"/>
      <c r="CIA38" s="19"/>
      <c r="CIB38" s="19"/>
      <c r="CIC38" s="19"/>
      <c r="CID38" s="21"/>
      <c r="CIE38" s="19"/>
      <c r="CIN38" s="19"/>
      <c r="CIO38" s="19"/>
      <c r="CIP38" s="19"/>
      <c r="CIQ38" s="19"/>
      <c r="CIR38" s="21"/>
      <c r="CIS38" s="19"/>
      <c r="CJB38" s="19"/>
      <c r="CJC38" s="19"/>
      <c r="CJD38" s="19"/>
      <c r="CJE38" s="19"/>
      <c r="CJF38" s="21"/>
      <c r="CJG38" s="19"/>
      <c r="CJP38" s="19"/>
      <c r="CJQ38" s="19"/>
      <c r="CJR38" s="19"/>
      <c r="CJS38" s="19"/>
      <c r="CJT38" s="21"/>
      <c r="CJU38" s="19"/>
      <c r="CKD38" s="19"/>
      <c r="CKE38" s="19"/>
      <c r="CKF38" s="19"/>
      <c r="CKG38" s="19"/>
      <c r="CKH38" s="21"/>
      <c r="CKI38" s="19"/>
      <c r="CKR38" s="19"/>
      <c r="CKS38" s="19"/>
      <c r="CKT38" s="19"/>
      <c r="CKU38" s="19"/>
      <c r="CKV38" s="21"/>
      <c r="CKW38" s="19"/>
      <c r="CLF38" s="19"/>
      <c r="CLG38" s="19"/>
      <c r="CLH38" s="19"/>
      <c r="CLI38" s="19"/>
      <c r="CLJ38" s="21"/>
      <c r="CLK38" s="19"/>
      <c r="CLT38" s="19"/>
      <c r="CLU38" s="19"/>
      <c r="CLV38" s="19"/>
      <c r="CLW38" s="19"/>
      <c r="CLX38" s="21"/>
      <c r="CLY38" s="19"/>
      <c r="CMH38" s="19"/>
      <c r="CMI38" s="19"/>
      <c r="CMJ38" s="19"/>
      <c r="CMK38" s="19"/>
      <c r="CML38" s="21"/>
      <c r="CMM38" s="19"/>
      <c r="CMV38" s="19"/>
      <c r="CMW38" s="19"/>
      <c r="CMX38" s="19"/>
      <c r="CMY38" s="19"/>
      <c r="CMZ38" s="21"/>
      <c r="CNA38" s="19"/>
      <c r="CNJ38" s="19"/>
      <c r="CNK38" s="19"/>
      <c r="CNL38" s="19"/>
      <c r="CNM38" s="19"/>
      <c r="CNN38" s="21"/>
      <c r="CNO38" s="19"/>
      <c r="CNX38" s="19"/>
      <c r="CNY38" s="19"/>
      <c r="CNZ38" s="19"/>
      <c r="COA38" s="19"/>
      <c r="COB38" s="21"/>
      <c r="COC38" s="19"/>
      <c r="COL38" s="19"/>
      <c r="COM38" s="19"/>
      <c r="CON38" s="19"/>
      <c r="COO38" s="19"/>
      <c r="COP38" s="21"/>
      <c r="COQ38" s="19"/>
      <c r="COZ38" s="19"/>
      <c r="CPA38" s="19"/>
      <c r="CPB38" s="19"/>
      <c r="CPC38" s="19"/>
      <c r="CPD38" s="21"/>
      <c r="CPE38" s="19"/>
      <c r="CPN38" s="19"/>
      <c r="CPO38" s="19"/>
      <c r="CPP38" s="19"/>
      <c r="CPQ38" s="19"/>
      <c r="CPR38" s="21"/>
      <c r="CPS38" s="19"/>
      <c r="CQB38" s="19"/>
      <c r="CQC38" s="19"/>
      <c r="CQD38" s="19"/>
      <c r="CQE38" s="19"/>
      <c r="CQF38" s="21"/>
      <c r="CQG38" s="19"/>
      <c r="CQP38" s="19"/>
      <c r="CQQ38" s="19"/>
      <c r="CQR38" s="19"/>
      <c r="CQS38" s="19"/>
      <c r="CQT38" s="21"/>
      <c r="CQU38" s="19"/>
      <c r="CRD38" s="19"/>
      <c r="CRE38" s="19"/>
      <c r="CRF38" s="19"/>
      <c r="CRG38" s="19"/>
      <c r="CRH38" s="21"/>
      <c r="CRI38" s="19"/>
      <c r="CRR38" s="19"/>
      <c r="CRS38" s="19"/>
      <c r="CRT38" s="19"/>
      <c r="CRU38" s="19"/>
      <c r="CRV38" s="21"/>
      <c r="CRW38" s="19"/>
      <c r="CSF38" s="19"/>
      <c r="CSG38" s="19"/>
      <c r="CSH38" s="19"/>
      <c r="CSI38" s="19"/>
      <c r="CSJ38" s="21"/>
      <c r="CSK38" s="19"/>
      <c r="CST38" s="19"/>
      <c r="CSU38" s="19"/>
      <c r="CSV38" s="19"/>
      <c r="CSW38" s="19"/>
      <c r="CSX38" s="21"/>
      <c r="CSY38" s="19"/>
      <c r="CTH38" s="19"/>
      <c r="CTI38" s="19"/>
      <c r="CTJ38" s="19"/>
      <c r="CTK38" s="19"/>
      <c r="CTL38" s="21"/>
      <c r="CTM38" s="19"/>
      <c r="CTV38" s="19"/>
      <c r="CTW38" s="19"/>
      <c r="CTX38" s="19"/>
      <c r="CTY38" s="19"/>
      <c r="CTZ38" s="21"/>
      <c r="CUA38" s="19"/>
      <c r="CUJ38" s="19"/>
      <c r="CUK38" s="19"/>
      <c r="CUL38" s="19"/>
      <c r="CUM38" s="19"/>
      <c r="CUN38" s="21"/>
      <c r="CUO38" s="19"/>
      <c r="CUX38" s="19"/>
      <c r="CUY38" s="19"/>
      <c r="CUZ38" s="19"/>
      <c r="CVA38" s="19"/>
      <c r="CVB38" s="21"/>
      <c r="CVC38" s="19"/>
      <c r="CVL38" s="19"/>
      <c r="CVM38" s="19"/>
      <c r="CVN38" s="19"/>
      <c r="CVO38" s="19"/>
      <c r="CVP38" s="21"/>
      <c r="CVQ38" s="19"/>
      <c r="CVZ38" s="19"/>
      <c r="CWA38" s="19"/>
      <c r="CWB38" s="19"/>
      <c r="CWC38" s="19"/>
      <c r="CWD38" s="21"/>
      <c r="CWE38" s="19"/>
      <c r="CWN38" s="19"/>
      <c r="CWO38" s="19"/>
      <c r="CWP38" s="19"/>
      <c r="CWQ38" s="19"/>
      <c r="CWR38" s="21"/>
      <c r="CWS38" s="19"/>
      <c r="CXB38" s="19"/>
      <c r="CXC38" s="19"/>
      <c r="CXD38" s="19"/>
      <c r="CXE38" s="19"/>
      <c r="CXF38" s="21"/>
      <c r="CXG38" s="19"/>
      <c r="CXP38" s="19"/>
      <c r="CXQ38" s="19"/>
      <c r="CXR38" s="19"/>
      <c r="CXS38" s="19"/>
      <c r="CXT38" s="21"/>
      <c r="CXU38" s="19"/>
      <c r="CYD38" s="19"/>
      <c r="CYE38" s="19"/>
      <c r="CYF38" s="19"/>
      <c r="CYG38" s="19"/>
      <c r="CYH38" s="21"/>
      <c r="CYI38" s="19"/>
      <c r="CYR38" s="19"/>
      <c r="CYS38" s="19"/>
      <c r="CYT38" s="19"/>
      <c r="CYU38" s="19"/>
      <c r="CYV38" s="21"/>
      <c r="CYW38" s="19"/>
      <c r="CZF38" s="19"/>
      <c r="CZG38" s="19"/>
      <c r="CZH38" s="19"/>
      <c r="CZI38" s="19"/>
      <c r="CZJ38" s="21"/>
      <c r="CZK38" s="19"/>
      <c r="CZT38" s="19"/>
      <c r="CZU38" s="19"/>
      <c r="CZV38" s="19"/>
      <c r="CZW38" s="19"/>
      <c r="CZX38" s="21"/>
      <c r="CZY38" s="19"/>
      <c r="DAH38" s="19"/>
      <c r="DAI38" s="19"/>
      <c r="DAJ38" s="19"/>
      <c r="DAK38" s="19"/>
      <c r="DAL38" s="21"/>
      <c r="DAM38" s="19"/>
      <c r="DAV38" s="19"/>
      <c r="DAW38" s="19"/>
      <c r="DAX38" s="19"/>
      <c r="DAY38" s="19"/>
      <c r="DAZ38" s="21"/>
      <c r="DBA38" s="19"/>
      <c r="DBJ38" s="19"/>
      <c r="DBK38" s="19"/>
      <c r="DBL38" s="19"/>
      <c r="DBM38" s="19"/>
      <c r="DBN38" s="21"/>
      <c r="DBO38" s="19"/>
      <c r="DBX38" s="19"/>
      <c r="DBY38" s="19"/>
      <c r="DBZ38" s="19"/>
      <c r="DCA38" s="19"/>
      <c r="DCB38" s="21"/>
      <c r="DCC38" s="19"/>
      <c r="DCL38" s="19"/>
      <c r="DCM38" s="19"/>
      <c r="DCN38" s="19"/>
      <c r="DCO38" s="19"/>
      <c r="DCP38" s="21"/>
      <c r="DCQ38" s="19"/>
      <c r="DCZ38" s="19"/>
      <c r="DDA38" s="19"/>
      <c r="DDB38" s="19"/>
      <c r="DDC38" s="19"/>
      <c r="DDD38" s="21"/>
      <c r="DDE38" s="19"/>
      <c r="DDN38" s="19"/>
      <c r="DDO38" s="19"/>
      <c r="DDP38" s="19"/>
      <c r="DDQ38" s="19"/>
      <c r="DDR38" s="21"/>
      <c r="DDS38" s="19"/>
      <c r="DEB38" s="19"/>
      <c r="DEC38" s="19"/>
      <c r="DED38" s="19"/>
      <c r="DEE38" s="19"/>
      <c r="DEF38" s="21"/>
      <c r="DEG38" s="19"/>
      <c r="DEP38" s="19"/>
      <c r="DEQ38" s="19"/>
      <c r="DER38" s="19"/>
      <c r="DES38" s="19"/>
      <c r="DET38" s="21"/>
      <c r="DEU38" s="19"/>
      <c r="DFD38" s="19"/>
      <c r="DFE38" s="19"/>
      <c r="DFF38" s="19"/>
      <c r="DFG38" s="19"/>
      <c r="DFH38" s="21"/>
      <c r="DFI38" s="19"/>
      <c r="DFR38" s="19"/>
      <c r="DFS38" s="19"/>
      <c r="DFT38" s="19"/>
      <c r="DFU38" s="19"/>
      <c r="DFV38" s="21"/>
      <c r="DFW38" s="19"/>
      <c r="DGF38" s="19"/>
      <c r="DGG38" s="19"/>
      <c r="DGH38" s="19"/>
      <c r="DGI38" s="19"/>
      <c r="DGJ38" s="21"/>
      <c r="DGK38" s="19"/>
      <c r="DGT38" s="19"/>
      <c r="DGU38" s="19"/>
      <c r="DGV38" s="19"/>
      <c r="DGW38" s="19"/>
      <c r="DGX38" s="21"/>
      <c r="DGY38" s="19"/>
      <c r="DHH38" s="19"/>
      <c r="DHI38" s="19"/>
      <c r="DHJ38" s="19"/>
      <c r="DHK38" s="19"/>
      <c r="DHL38" s="21"/>
      <c r="DHM38" s="19"/>
      <c r="DHV38" s="19"/>
      <c r="DHW38" s="19"/>
      <c r="DHX38" s="19"/>
      <c r="DHY38" s="19"/>
      <c r="DHZ38" s="21"/>
      <c r="DIA38" s="19"/>
      <c r="DIJ38" s="19"/>
      <c r="DIK38" s="19"/>
      <c r="DIL38" s="19"/>
      <c r="DIM38" s="19"/>
      <c r="DIN38" s="21"/>
      <c r="DIO38" s="19"/>
      <c r="DIX38" s="19"/>
      <c r="DIY38" s="19"/>
      <c r="DIZ38" s="19"/>
      <c r="DJA38" s="19"/>
      <c r="DJB38" s="21"/>
      <c r="DJC38" s="19"/>
      <c r="DJL38" s="19"/>
      <c r="DJM38" s="19"/>
      <c r="DJN38" s="19"/>
      <c r="DJO38" s="19"/>
      <c r="DJP38" s="21"/>
      <c r="DJQ38" s="19"/>
      <c r="DJZ38" s="19"/>
      <c r="DKA38" s="19"/>
      <c r="DKB38" s="19"/>
      <c r="DKC38" s="19"/>
      <c r="DKD38" s="21"/>
      <c r="DKE38" s="19"/>
      <c r="DKN38" s="19"/>
      <c r="DKO38" s="19"/>
      <c r="DKP38" s="19"/>
      <c r="DKQ38" s="19"/>
      <c r="DKR38" s="21"/>
      <c r="DKS38" s="19"/>
      <c r="DLB38" s="19"/>
      <c r="DLC38" s="19"/>
      <c r="DLD38" s="19"/>
      <c r="DLE38" s="19"/>
      <c r="DLF38" s="21"/>
      <c r="DLG38" s="19"/>
      <c r="DLP38" s="19"/>
      <c r="DLQ38" s="19"/>
      <c r="DLR38" s="19"/>
      <c r="DLS38" s="19"/>
      <c r="DLT38" s="21"/>
      <c r="DLU38" s="19"/>
      <c r="DMD38" s="19"/>
      <c r="DME38" s="19"/>
      <c r="DMF38" s="19"/>
      <c r="DMG38" s="19"/>
      <c r="DMH38" s="21"/>
      <c r="DMI38" s="19"/>
      <c r="DMR38" s="19"/>
      <c r="DMS38" s="19"/>
      <c r="DMT38" s="19"/>
      <c r="DMU38" s="19"/>
      <c r="DMV38" s="21"/>
      <c r="DMW38" s="19"/>
      <c r="DNF38" s="19"/>
      <c r="DNG38" s="19"/>
      <c r="DNH38" s="19"/>
      <c r="DNI38" s="19"/>
      <c r="DNJ38" s="21"/>
      <c r="DNK38" s="19"/>
      <c r="DNT38" s="19"/>
      <c r="DNU38" s="19"/>
      <c r="DNV38" s="19"/>
      <c r="DNW38" s="19"/>
      <c r="DNX38" s="21"/>
      <c r="DNY38" s="19"/>
      <c r="DOH38" s="19"/>
      <c r="DOI38" s="19"/>
      <c r="DOJ38" s="19"/>
      <c r="DOK38" s="19"/>
      <c r="DOL38" s="21"/>
      <c r="DOM38" s="19"/>
      <c r="DOV38" s="19"/>
      <c r="DOW38" s="19"/>
      <c r="DOX38" s="19"/>
      <c r="DOY38" s="19"/>
      <c r="DOZ38" s="21"/>
      <c r="DPA38" s="19"/>
      <c r="DPJ38" s="19"/>
      <c r="DPK38" s="19"/>
      <c r="DPL38" s="19"/>
      <c r="DPM38" s="19"/>
      <c r="DPN38" s="21"/>
      <c r="DPO38" s="19"/>
      <c r="DPX38" s="19"/>
      <c r="DPY38" s="19"/>
      <c r="DPZ38" s="19"/>
      <c r="DQA38" s="19"/>
      <c r="DQB38" s="21"/>
      <c r="DQC38" s="19"/>
      <c r="DQL38" s="19"/>
      <c r="DQM38" s="19"/>
      <c r="DQN38" s="19"/>
      <c r="DQO38" s="19"/>
      <c r="DQP38" s="21"/>
      <c r="DQQ38" s="19"/>
      <c r="DQZ38" s="19"/>
      <c r="DRA38" s="19"/>
      <c r="DRB38" s="19"/>
      <c r="DRC38" s="19"/>
      <c r="DRD38" s="21"/>
      <c r="DRE38" s="19"/>
      <c r="DRN38" s="19"/>
      <c r="DRO38" s="19"/>
      <c r="DRP38" s="19"/>
      <c r="DRQ38" s="19"/>
      <c r="DRR38" s="21"/>
      <c r="DRS38" s="19"/>
      <c r="DSB38" s="19"/>
      <c r="DSC38" s="19"/>
      <c r="DSD38" s="19"/>
      <c r="DSE38" s="19"/>
      <c r="DSF38" s="21"/>
      <c r="DSG38" s="19"/>
      <c r="DSP38" s="19"/>
      <c r="DSQ38" s="19"/>
      <c r="DSR38" s="19"/>
      <c r="DSS38" s="19"/>
      <c r="DST38" s="21"/>
      <c r="DSU38" s="19"/>
      <c r="DTD38" s="19"/>
      <c r="DTE38" s="19"/>
      <c r="DTF38" s="19"/>
      <c r="DTG38" s="19"/>
      <c r="DTH38" s="21"/>
      <c r="DTI38" s="19"/>
      <c r="DTR38" s="19"/>
      <c r="DTS38" s="19"/>
      <c r="DTT38" s="19"/>
      <c r="DTU38" s="19"/>
      <c r="DTV38" s="21"/>
      <c r="DTW38" s="19"/>
      <c r="DUF38" s="19"/>
      <c r="DUG38" s="19"/>
      <c r="DUH38" s="19"/>
      <c r="DUI38" s="19"/>
      <c r="DUJ38" s="21"/>
      <c r="DUK38" s="19"/>
      <c r="DUT38" s="19"/>
      <c r="DUU38" s="19"/>
      <c r="DUV38" s="19"/>
      <c r="DUW38" s="19"/>
      <c r="DUX38" s="21"/>
      <c r="DUY38" s="19"/>
      <c r="DVH38" s="19"/>
      <c r="DVI38" s="19"/>
      <c r="DVJ38" s="19"/>
      <c r="DVK38" s="19"/>
      <c r="DVL38" s="21"/>
      <c r="DVM38" s="19"/>
      <c r="DVV38" s="19"/>
      <c r="DVW38" s="19"/>
      <c r="DVX38" s="19"/>
      <c r="DVY38" s="19"/>
      <c r="DVZ38" s="21"/>
      <c r="DWA38" s="19"/>
      <c r="DWJ38" s="19"/>
      <c r="DWK38" s="19"/>
      <c r="DWL38" s="19"/>
      <c r="DWM38" s="19"/>
      <c r="DWN38" s="21"/>
      <c r="DWO38" s="19"/>
      <c r="DWX38" s="19"/>
      <c r="DWY38" s="19"/>
      <c r="DWZ38" s="19"/>
      <c r="DXA38" s="19"/>
      <c r="DXB38" s="21"/>
      <c r="DXC38" s="19"/>
      <c r="DXL38" s="19"/>
      <c r="DXM38" s="19"/>
      <c r="DXN38" s="19"/>
      <c r="DXO38" s="19"/>
      <c r="DXP38" s="21"/>
      <c r="DXQ38" s="19"/>
      <c r="DXZ38" s="19"/>
      <c r="DYA38" s="19"/>
      <c r="DYB38" s="19"/>
      <c r="DYC38" s="19"/>
      <c r="DYD38" s="21"/>
      <c r="DYE38" s="19"/>
      <c r="DYN38" s="19"/>
      <c r="DYO38" s="19"/>
      <c r="DYP38" s="19"/>
      <c r="DYQ38" s="19"/>
      <c r="DYR38" s="21"/>
      <c r="DYS38" s="19"/>
      <c r="DZB38" s="19"/>
      <c r="DZC38" s="19"/>
      <c r="DZD38" s="19"/>
      <c r="DZE38" s="19"/>
      <c r="DZF38" s="21"/>
      <c r="DZG38" s="19"/>
      <c r="DZP38" s="19"/>
      <c r="DZQ38" s="19"/>
      <c r="DZR38" s="19"/>
      <c r="DZS38" s="19"/>
      <c r="DZT38" s="21"/>
      <c r="DZU38" s="19"/>
      <c r="EAD38" s="19"/>
      <c r="EAE38" s="19"/>
      <c r="EAF38" s="19"/>
      <c r="EAG38" s="19"/>
      <c r="EAH38" s="21"/>
      <c r="EAI38" s="19"/>
      <c r="EAR38" s="19"/>
      <c r="EAS38" s="19"/>
      <c r="EAT38" s="19"/>
      <c r="EAU38" s="19"/>
      <c r="EAV38" s="21"/>
      <c r="EAW38" s="19"/>
      <c r="EBF38" s="19"/>
      <c r="EBG38" s="19"/>
      <c r="EBH38" s="19"/>
      <c r="EBI38" s="19"/>
      <c r="EBJ38" s="21"/>
      <c r="EBK38" s="19"/>
      <c r="EBT38" s="19"/>
      <c r="EBU38" s="19"/>
      <c r="EBV38" s="19"/>
      <c r="EBW38" s="19"/>
      <c r="EBX38" s="21"/>
      <c r="EBY38" s="19"/>
      <c r="ECH38" s="19"/>
      <c r="ECI38" s="19"/>
      <c r="ECJ38" s="19"/>
      <c r="ECK38" s="19"/>
      <c r="ECL38" s="21"/>
      <c r="ECM38" s="19"/>
      <c r="ECV38" s="19"/>
      <c r="ECW38" s="19"/>
      <c r="ECX38" s="19"/>
      <c r="ECY38" s="19"/>
      <c r="ECZ38" s="21"/>
      <c r="EDA38" s="19"/>
      <c r="EDJ38" s="19"/>
      <c r="EDK38" s="19"/>
      <c r="EDL38" s="19"/>
      <c r="EDM38" s="19"/>
      <c r="EDN38" s="21"/>
      <c r="EDO38" s="19"/>
      <c r="EDX38" s="19"/>
      <c r="EDY38" s="19"/>
      <c r="EDZ38" s="19"/>
      <c r="EEA38" s="19"/>
      <c r="EEB38" s="21"/>
      <c r="EEC38" s="19"/>
      <c r="EEL38" s="19"/>
      <c r="EEM38" s="19"/>
      <c r="EEN38" s="19"/>
      <c r="EEO38" s="19"/>
      <c r="EEP38" s="21"/>
      <c r="EEQ38" s="19"/>
      <c r="EEZ38" s="19"/>
      <c r="EFA38" s="19"/>
      <c r="EFB38" s="19"/>
      <c r="EFC38" s="19"/>
      <c r="EFD38" s="21"/>
      <c r="EFE38" s="19"/>
      <c r="EFN38" s="19"/>
      <c r="EFO38" s="19"/>
      <c r="EFP38" s="19"/>
      <c r="EFQ38" s="19"/>
      <c r="EFR38" s="21"/>
      <c r="EFS38" s="19"/>
      <c r="EGB38" s="19"/>
      <c r="EGC38" s="19"/>
      <c r="EGD38" s="19"/>
      <c r="EGE38" s="19"/>
      <c r="EGF38" s="21"/>
      <c r="EGG38" s="19"/>
      <c r="EGP38" s="19"/>
      <c r="EGQ38" s="19"/>
      <c r="EGR38" s="19"/>
      <c r="EGS38" s="19"/>
      <c r="EGT38" s="21"/>
      <c r="EGU38" s="19"/>
      <c r="EHD38" s="19"/>
      <c r="EHE38" s="19"/>
      <c r="EHF38" s="19"/>
      <c r="EHG38" s="19"/>
      <c r="EHH38" s="21"/>
      <c r="EHI38" s="19"/>
      <c r="EHR38" s="19"/>
      <c r="EHS38" s="19"/>
      <c r="EHT38" s="19"/>
      <c r="EHU38" s="19"/>
      <c r="EHV38" s="21"/>
      <c r="EHW38" s="19"/>
      <c r="EIF38" s="19"/>
      <c r="EIG38" s="19"/>
      <c r="EIH38" s="19"/>
      <c r="EII38" s="19"/>
      <c r="EIJ38" s="21"/>
      <c r="EIK38" s="19"/>
      <c r="EIT38" s="19"/>
      <c r="EIU38" s="19"/>
      <c r="EIV38" s="19"/>
      <c r="EIW38" s="19"/>
      <c r="EIX38" s="21"/>
      <c r="EIY38" s="19"/>
      <c r="EJH38" s="19"/>
      <c r="EJI38" s="19"/>
      <c r="EJJ38" s="19"/>
      <c r="EJK38" s="19"/>
      <c r="EJL38" s="21"/>
      <c r="EJM38" s="19"/>
      <c r="EJV38" s="19"/>
      <c r="EJW38" s="19"/>
      <c r="EJX38" s="19"/>
      <c r="EJY38" s="19"/>
      <c r="EJZ38" s="21"/>
      <c r="EKA38" s="19"/>
      <c r="EKJ38" s="19"/>
      <c r="EKK38" s="19"/>
      <c r="EKL38" s="19"/>
      <c r="EKM38" s="19"/>
      <c r="EKN38" s="21"/>
      <c r="EKO38" s="19"/>
      <c r="EKX38" s="19"/>
      <c r="EKY38" s="19"/>
      <c r="EKZ38" s="19"/>
      <c r="ELA38" s="19"/>
      <c r="ELB38" s="21"/>
      <c r="ELC38" s="19"/>
      <c r="ELL38" s="19"/>
      <c r="ELM38" s="19"/>
      <c r="ELN38" s="19"/>
      <c r="ELO38" s="19"/>
      <c r="ELP38" s="21"/>
      <c r="ELQ38" s="19"/>
      <c r="ELZ38" s="19"/>
      <c r="EMA38" s="19"/>
      <c r="EMB38" s="19"/>
      <c r="EMC38" s="19"/>
      <c r="EMD38" s="21"/>
      <c r="EME38" s="19"/>
      <c r="EMN38" s="19"/>
      <c r="EMO38" s="19"/>
      <c r="EMP38" s="19"/>
      <c r="EMQ38" s="19"/>
      <c r="EMR38" s="21"/>
      <c r="EMS38" s="19"/>
      <c r="ENB38" s="19"/>
      <c r="ENC38" s="19"/>
      <c r="END38" s="19"/>
      <c r="ENE38" s="19"/>
      <c r="ENF38" s="21"/>
      <c r="ENG38" s="19"/>
      <c r="ENP38" s="19"/>
      <c r="ENQ38" s="19"/>
      <c r="ENR38" s="19"/>
      <c r="ENS38" s="19"/>
      <c r="ENT38" s="21"/>
      <c r="ENU38" s="19"/>
      <c r="EOD38" s="19"/>
      <c r="EOE38" s="19"/>
      <c r="EOF38" s="19"/>
      <c r="EOG38" s="19"/>
      <c r="EOH38" s="21"/>
      <c r="EOI38" s="19"/>
      <c r="EOR38" s="19"/>
      <c r="EOS38" s="19"/>
      <c r="EOT38" s="19"/>
      <c r="EOU38" s="19"/>
      <c r="EOV38" s="21"/>
      <c r="EOW38" s="19"/>
      <c r="EPF38" s="19"/>
      <c r="EPG38" s="19"/>
      <c r="EPH38" s="19"/>
      <c r="EPI38" s="19"/>
      <c r="EPJ38" s="21"/>
      <c r="EPK38" s="19"/>
      <c r="EPT38" s="19"/>
      <c r="EPU38" s="19"/>
      <c r="EPV38" s="19"/>
      <c r="EPW38" s="19"/>
      <c r="EPX38" s="21"/>
      <c r="EPY38" s="19"/>
      <c r="EQH38" s="19"/>
      <c r="EQI38" s="19"/>
      <c r="EQJ38" s="19"/>
      <c r="EQK38" s="19"/>
      <c r="EQL38" s="21"/>
      <c r="EQM38" s="19"/>
      <c r="EQV38" s="19"/>
      <c r="EQW38" s="19"/>
      <c r="EQX38" s="19"/>
      <c r="EQY38" s="19"/>
      <c r="EQZ38" s="21"/>
      <c r="ERA38" s="19"/>
      <c r="ERJ38" s="19"/>
      <c r="ERK38" s="19"/>
      <c r="ERL38" s="19"/>
      <c r="ERM38" s="19"/>
      <c r="ERN38" s="21"/>
      <c r="ERO38" s="19"/>
      <c r="ERX38" s="19"/>
      <c r="ERY38" s="19"/>
      <c r="ERZ38" s="19"/>
      <c r="ESA38" s="19"/>
      <c r="ESB38" s="21"/>
      <c r="ESC38" s="19"/>
      <c r="ESL38" s="19"/>
      <c r="ESM38" s="19"/>
      <c r="ESN38" s="19"/>
      <c r="ESO38" s="19"/>
      <c r="ESP38" s="21"/>
      <c r="ESQ38" s="19"/>
      <c r="ESZ38" s="19"/>
      <c r="ETA38" s="19"/>
      <c r="ETB38" s="19"/>
      <c r="ETC38" s="19"/>
      <c r="ETD38" s="21"/>
      <c r="ETE38" s="19"/>
      <c r="ETN38" s="19"/>
      <c r="ETO38" s="19"/>
      <c r="ETP38" s="19"/>
      <c r="ETQ38" s="19"/>
      <c r="ETR38" s="21"/>
      <c r="ETS38" s="19"/>
      <c r="EUB38" s="19"/>
      <c r="EUC38" s="19"/>
      <c r="EUD38" s="19"/>
      <c r="EUE38" s="19"/>
      <c r="EUF38" s="21"/>
      <c r="EUG38" s="19"/>
      <c r="EUP38" s="19"/>
      <c r="EUQ38" s="19"/>
      <c r="EUR38" s="19"/>
      <c r="EUS38" s="19"/>
      <c r="EUT38" s="21"/>
      <c r="EUU38" s="19"/>
      <c r="EVD38" s="19"/>
      <c r="EVE38" s="19"/>
      <c r="EVF38" s="19"/>
      <c r="EVG38" s="19"/>
      <c r="EVH38" s="21"/>
      <c r="EVI38" s="19"/>
      <c r="EVR38" s="19"/>
      <c r="EVS38" s="19"/>
      <c r="EVT38" s="19"/>
      <c r="EVU38" s="19"/>
      <c r="EVV38" s="21"/>
      <c r="EVW38" s="19"/>
      <c r="EWF38" s="19"/>
      <c r="EWG38" s="19"/>
      <c r="EWH38" s="19"/>
      <c r="EWI38" s="19"/>
      <c r="EWJ38" s="21"/>
      <c r="EWK38" s="19"/>
      <c r="EWT38" s="19"/>
      <c r="EWU38" s="19"/>
      <c r="EWV38" s="19"/>
      <c r="EWW38" s="19"/>
      <c r="EWX38" s="21"/>
      <c r="EWY38" s="19"/>
      <c r="EXH38" s="19"/>
      <c r="EXI38" s="19"/>
      <c r="EXJ38" s="19"/>
      <c r="EXK38" s="19"/>
      <c r="EXL38" s="21"/>
      <c r="EXM38" s="19"/>
      <c r="EXV38" s="19"/>
      <c r="EXW38" s="19"/>
      <c r="EXX38" s="19"/>
      <c r="EXY38" s="19"/>
      <c r="EXZ38" s="21"/>
      <c r="EYA38" s="19"/>
      <c r="EYJ38" s="19"/>
      <c r="EYK38" s="19"/>
      <c r="EYL38" s="19"/>
      <c r="EYM38" s="19"/>
      <c r="EYN38" s="21"/>
      <c r="EYO38" s="19"/>
      <c r="EYX38" s="19"/>
      <c r="EYY38" s="19"/>
      <c r="EYZ38" s="19"/>
      <c r="EZA38" s="19"/>
      <c r="EZB38" s="21"/>
      <c r="EZC38" s="19"/>
      <c r="EZL38" s="19"/>
      <c r="EZM38" s="19"/>
      <c r="EZN38" s="19"/>
      <c r="EZO38" s="19"/>
      <c r="EZP38" s="21"/>
      <c r="EZQ38" s="19"/>
      <c r="EZZ38" s="19"/>
      <c r="FAA38" s="19"/>
      <c r="FAB38" s="19"/>
      <c r="FAC38" s="19"/>
      <c r="FAD38" s="21"/>
      <c r="FAE38" s="19"/>
      <c r="FAN38" s="19"/>
      <c r="FAO38" s="19"/>
      <c r="FAP38" s="19"/>
      <c r="FAQ38" s="19"/>
      <c r="FAR38" s="21"/>
      <c r="FAS38" s="19"/>
      <c r="FBB38" s="19"/>
      <c r="FBC38" s="19"/>
      <c r="FBD38" s="19"/>
      <c r="FBE38" s="19"/>
      <c r="FBF38" s="21"/>
      <c r="FBG38" s="19"/>
      <c r="FBP38" s="19"/>
      <c r="FBQ38" s="19"/>
      <c r="FBR38" s="19"/>
      <c r="FBS38" s="19"/>
      <c r="FBT38" s="21"/>
      <c r="FBU38" s="19"/>
      <c r="FCD38" s="19"/>
      <c r="FCE38" s="19"/>
      <c r="FCF38" s="19"/>
      <c r="FCG38" s="19"/>
      <c r="FCH38" s="21"/>
      <c r="FCI38" s="19"/>
      <c r="FCR38" s="19"/>
      <c r="FCS38" s="19"/>
      <c r="FCT38" s="19"/>
      <c r="FCU38" s="19"/>
      <c r="FCV38" s="21"/>
      <c r="FCW38" s="19"/>
      <c r="FDF38" s="19"/>
      <c r="FDG38" s="19"/>
      <c r="FDH38" s="19"/>
      <c r="FDI38" s="19"/>
      <c r="FDJ38" s="21"/>
      <c r="FDK38" s="19"/>
      <c r="FDT38" s="19"/>
      <c r="FDU38" s="19"/>
      <c r="FDV38" s="19"/>
      <c r="FDW38" s="19"/>
      <c r="FDX38" s="21"/>
      <c r="FDY38" s="19"/>
      <c r="FEH38" s="19"/>
      <c r="FEI38" s="19"/>
      <c r="FEJ38" s="19"/>
      <c r="FEK38" s="19"/>
      <c r="FEL38" s="21"/>
      <c r="FEM38" s="19"/>
      <c r="FEV38" s="19"/>
      <c r="FEW38" s="19"/>
      <c r="FEX38" s="19"/>
      <c r="FEY38" s="19"/>
      <c r="FEZ38" s="21"/>
      <c r="FFA38" s="19"/>
      <c r="FFJ38" s="19"/>
      <c r="FFK38" s="19"/>
      <c r="FFL38" s="19"/>
      <c r="FFM38" s="19"/>
      <c r="FFN38" s="21"/>
      <c r="FFO38" s="19"/>
      <c r="FFX38" s="19"/>
      <c r="FFY38" s="19"/>
      <c r="FFZ38" s="19"/>
      <c r="FGA38" s="19"/>
      <c r="FGB38" s="21"/>
      <c r="FGC38" s="19"/>
      <c r="FGL38" s="19"/>
      <c r="FGM38" s="19"/>
      <c r="FGN38" s="19"/>
      <c r="FGO38" s="19"/>
      <c r="FGP38" s="21"/>
      <c r="FGQ38" s="19"/>
      <c r="FGZ38" s="19"/>
      <c r="FHA38" s="19"/>
      <c r="FHB38" s="19"/>
      <c r="FHC38" s="19"/>
      <c r="FHD38" s="21"/>
      <c r="FHE38" s="19"/>
      <c r="FHN38" s="19"/>
      <c r="FHO38" s="19"/>
      <c r="FHP38" s="19"/>
      <c r="FHQ38" s="19"/>
      <c r="FHR38" s="21"/>
      <c r="FHS38" s="19"/>
      <c r="FIB38" s="19"/>
      <c r="FIC38" s="19"/>
      <c r="FID38" s="19"/>
      <c r="FIE38" s="19"/>
      <c r="FIF38" s="21"/>
      <c r="FIG38" s="19"/>
      <c r="FIP38" s="19"/>
      <c r="FIQ38" s="19"/>
      <c r="FIR38" s="19"/>
      <c r="FIS38" s="19"/>
      <c r="FIT38" s="21"/>
      <c r="FIU38" s="19"/>
      <c r="FJD38" s="19"/>
      <c r="FJE38" s="19"/>
      <c r="FJF38" s="19"/>
      <c r="FJG38" s="19"/>
      <c r="FJH38" s="21"/>
      <c r="FJI38" s="19"/>
      <c r="FJR38" s="19"/>
      <c r="FJS38" s="19"/>
      <c r="FJT38" s="19"/>
      <c r="FJU38" s="19"/>
      <c r="FJV38" s="21"/>
      <c r="FJW38" s="19"/>
      <c r="FKF38" s="19"/>
      <c r="FKG38" s="19"/>
      <c r="FKH38" s="19"/>
      <c r="FKI38" s="19"/>
      <c r="FKJ38" s="21"/>
      <c r="FKK38" s="19"/>
      <c r="FKT38" s="19"/>
      <c r="FKU38" s="19"/>
      <c r="FKV38" s="19"/>
      <c r="FKW38" s="19"/>
      <c r="FKX38" s="21"/>
      <c r="FKY38" s="19"/>
      <c r="FLH38" s="19"/>
      <c r="FLI38" s="19"/>
      <c r="FLJ38" s="19"/>
      <c r="FLK38" s="19"/>
      <c r="FLL38" s="21"/>
      <c r="FLM38" s="19"/>
      <c r="FLV38" s="19"/>
      <c r="FLW38" s="19"/>
      <c r="FLX38" s="19"/>
      <c r="FLY38" s="19"/>
      <c r="FLZ38" s="21"/>
      <c r="FMA38" s="19"/>
      <c r="FMJ38" s="19"/>
      <c r="FMK38" s="19"/>
      <c r="FML38" s="19"/>
      <c r="FMM38" s="19"/>
      <c r="FMN38" s="21"/>
      <c r="FMO38" s="19"/>
      <c r="FMX38" s="19"/>
      <c r="FMY38" s="19"/>
      <c r="FMZ38" s="19"/>
      <c r="FNA38" s="19"/>
      <c r="FNB38" s="21"/>
      <c r="FNC38" s="19"/>
      <c r="FNL38" s="19"/>
      <c r="FNM38" s="19"/>
      <c r="FNN38" s="19"/>
      <c r="FNO38" s="19"/>
      <c r="FNP38" s="21"/>
      <c r="FNQ38" s="19"/>
      <c r="FNZ38" s="19"/>
      <c r="FOA38" s="19"/>
      <c r="FOB38" s="19"/>
      <c r="FOC38" s="19"/>
      <c r="FOD38" s="21"/>
      <c r="FOE38" s="19"/>
      <c r="FON38" s="19"/>
      <c r="FOO38" s="19"/>
      <c r="FOP38" s="19"/>
      <c r="FOQ38" s="19"/>
      <c r="FOR38" s="21"/>
      <c r="FOS38" s="19"/>
      <c r="FPB38" s="19"/>
      <c r="FPC38" s="19"/>
      <c r="FPD38" s="19"/>
      <c r="FPE38" s="19"/>
      <c r="FPF38" s="21"/>
      <c r="FPG38" s="19"/>
      <c r="FPP38" s="19"/>
      <c r="FPQ38" s="19"/>
      <c r="FPR38" s="19"/>
      <c r="FPS38" s="19"/>
      <c r="FPT38" s="21"/>
      <c r="FPU38" s="19"/>
      <c r="FQD38" s="19"/>
      <c r="FQE38" s="19"/>
      <c r="FQF38" s="19"/>
      <c r="FQG38" s="19"/>
      <c r="FQH38" s="21"/>
      <c r="FQI38" s="19"/>
      <c r="FQR38" s="19"/>
      <c r="FQS38" s="19"/>
      <c r="FQT38" s="19"/>
      <c r="FQU38" s="19"/>
      <c r="FQV38" s="21"/>
      <c r="FQW38" s="19"/>
      <c r="FRF38" s="19"/>
      <c r="FRG38" s="19"/>
      <c r="FRH38" s="19"/>
      <c r="FRI38" s="19"/>
      <c r="FRJ38" s="21"/>
      <c r="FRK38" s="19"/>
      <c r="FRT38" s="19"/>
      <c r="FRU38" s="19"/>
      <c r="FRV38" s="19"/>
      <c r="FRW38" s="19"/>
      <c r="FRX38" s="21"/>
      <c r="FRY38" s="19"/>
      <c r="FSH38" s="19"/>
      <c r="FSI38" s="19"/>
      <c r="FSJ38" s="19"/>
      <c r="FSK38" s="19"/>
      <c r="FSL38" s="21"/>
      <c r="FSM38" s="19"/>
      <c r="FSV38" s="19"/>
      <c r="FSW38" s="19"/>
      <c r="FSX38" s="19"/>
      <c r="FSY38" s="19"/>
      <c r="FSZ38" s="21"/>
      <c r="FTA38" s="19"/>
      <c r="FTJ38" s="19"/>
      <c r="FTK38" s="19"/>
      <c r="FTL38" s="19"/>
      <c r="FTM38" s="19"/>
      <c r="FTN38" s="21"/>
      <c r="FTO38" s="19"/>
      <c r="FTX38" s="19"/>
      <c r="FTY38" s="19"/>
      <c r="FTZ38" s="19"/>
      <c r="FUA38" s="19"/>
      <c r="FUB38" s="21"/>
      <c r="FUC38" s="19"/>
      <c r="FUL38" s="19"/>
      <c r="FUM38" s="19"/>
      <c r="FUN38" s="19"/>
      <c r="FUO38" s="19"/>
      <c r="FUP38" s="21"/>
      <c r="FUQ38" s="19"/>
      <c r="FUZ38" s="19"/>
      <c r="FVA38" s="19"/>
      <c r="FVB38" s="19"/>
      <c r="FVC38" s="19"/>
      <c r="FVD38" s="21"/>
      <c r="FVE38" s="19"/>
      <c r="FVN38" s="19"/>
      <c r="FVO38" s="19"/>
      <c r="FVP38" s="19"/>
      <c r="FVQ38" s="19"/>
      <c r="FVR38" s="21"/>
      <c r="FVS38" s="19"/>
      <c r="FWB38" s="19"/>
      <c r="FWC38" s="19"/>
      <c r="FWD38" s="19"/>
      <c r="FWE38" s="19"/>
      <c r="FWF38" s="21"/>
      <c r="FWG38" s="19"/>
      <c r="FWP38" s="19"/>
      <c r="FWQ38" s="19"/>
      <c r="FWR38" s="19"/>
      <c r="FWS38" s="19"/>
      <c r="FWT38" s="21"/>
      <c r="FWU38" s="19"/>
      <c r="FXD38" s="19"/>
      <c r="FXE38" s="19"/>
      <c r="FXF38" s="19"/>
      <c r="FXG38" s="19"/>
      <c r="FXH38" s="21"/>
      <c r="FXI38" s="19"/>
      <c r="FXR38" s="19"/>
      <c r="FXS38" s="19"/>
      <c r="FXT38" s="19"/>
      <c r="FXU38" s="19"/>
      <c r="FXV38" s="21"/>
      <c r="FXW38" s="19"/>
      <c r="FYF38" s="19"/>
      <c r="FYG38" s="19"/>
      <c r="FYH38" s="19"/>
      <c r="FYI38" s="19"/>
      <c r="FYJ38" s="21"/>
      <c r="FYK38" s="19"/>
      <c r="FYT38" s="19"/>
      <c r="FYU38" s="19"/>
      <c r="FYV38" s="19"/>
      <c r="FYW38" s="19"/>
      <c r="FYX38" s="21"/>
      <c r="FYY38" s="19"/>
      <c r="FZH38" s="19"/>
      <c r="FZI38" s="19"/>
      <c r="FZJ38" s="19"/>
      <c r="FZK38" s="19"/>
      <c r="FZL38" s="21"/>
      <c r="FZM38" s="19"/>
      <c r="FZV38" s="19"/>
      <c r="FZW38" s="19"/>
      <c r="FZX38" s="19"/>
      <c r="FZY38" s="19"/>
      <c r="FZZ38" s="21"/>
      <c r="GAA38" s="19"/>
      <c r="GAJ38" s="19"/>
      <c r="GAK38" s="19"/>
      <c r="GAL38" s="19"/>
      <c r="GAM38" s="19"/>
      <c r="GAN38" s="21"/>
      <c r="GAO38" s="19"/>
      <c r="GAX38" s="19"/>
      <c r="GAY38" s="19"/>
      <c r="GAZ38" s="19"/>
      <c r="GBA38" s="19"/>
      <c r="GBB38" s="21"/>
      <c r="GBC38" s="19"/>
      <c r="GBL38" s="19"/>
      <c r="GBM38" s="19"/>
      <c r="GBN38" s="19"/>
      <c r="GBO38" s="19"/>
      <c r="GBP38" s="21"/>
      <c r="GBQ38" s="19"/>
      <c r="GBZ38" s="19"/>
      <c r="GCA38" s="19"/>
      <c r="GCB38" s="19"/>
      <c r="GCC38" s="19"/>
      <c r="GCD38" s="21"/>
      <c r="GCE38" s="19"/>
      <c r="GCN38" s="19"/>
      <c r="GCO38" s="19"/>
      <c r="GCP38" s="19"/>
      <c r="GCQ38" s="19"/>
      <c r="GCR38" s="21"/>
      <c r="GCS38" s="19"/>
      <c r="GDB38" s="19"/>
      <c r="GDC38" s="19"/>
      <c r="GDD38" s="19"/>
      <c r="GDE38" s="19"/>
      <c r="GDF38" s="21"/>
      <c r="GDG38" s="19"/>
      <c r="GDP38" s="19"/>
      <c r="GDQ38" s="19"/>
      <c r="GDR38" s="19"/>
      <c r="GDS38" s="19"/>
      <c r="GDT38" s="21"/>
      <c r="GDU38" s="19"/>
      <c r="GED38" s="19"/>
      <c r="GEE38" s="19"/>
      <c r="GEF38" s="19"/>
      <c r="GEG38" s="19"/>
      <c r="GEH38" s="21"/>
      <c r="GEI38" s="19"/>
      <c r="GER38" s="19"/>
      <c r="GES38" s="19"/>
      <c r="GET38" s="19"/>
      <c r="GEU38" s="19"/>
      <c r="GEV38" s="21"/>
      <c r="GEW38" s="19"/>
      <c r="GFF38" s="19"/>
      <c r="GFG38" s="19"/>
      <c r="GFH38" s="19"/>
      <c r="GFI38" s="19"/>
      <c r="GFJ38" s="21"/>
      <c r="GFK38" s="19"/>
      <c r="GFT38" s="19"/>
      <c r="GFU38" s="19"/>
      <c r="GFV38" s="19"/>
      <c r="GFW38" s="19"/>
      <c r="GFX38" s="21"/>
      <c r="GFY38" s="19"/>
      <c r="GGH38" s="19"/>
      <c r="GGI38" s="19"/>
      <c r="GGJ38" s="19"/>
      <c r="GGK38" s="19"/>
      <c r="GGL38" s="21"/>
      <c r="GGM38" s="19"/>
      <c r="GGV38" s="19"/>
      <c r="GGW38" s="19"/>
      <c r="GGX38" s="19"/>
      <c r="GGY38" s="19"/>
      <c r="GGZ38" s="21"/>
      <c r="GHA38" s="19"/>
      <c r="GHJ38" s="19"/>
      <c r="GHK38" s="19"/>
      <c r="GHL38" s="19"/>
      <c r="GHM38" s="19"/>
      <c r="GHN38" s="21"/>
      <c r="GHO38" s="19"/>
      <c r="GHX38" s="19"/>
      <c r="GHY38" s="19"/>
      <c r="GHZ38" s="19"/>
      <c r="GIA38" s="19"/>
      <c r="GIB38" s="21"/>
      <c r="GIC38" s="19"/>
      <c r="GIL38" s="19"/>
      <c r="GIM38" s="19"/>
      <c r="GIN38" s="19"/>
      <c r="GIO38" s="19"/>
      <c r="GIP38" s="21"/>
      <c r="GIQ38" s="19"/>
      <c r="GIZ38" s="19"/>
      <c r="GJA38" s="19"/>
      <c r="GJB38" s="19"/>
      <c r="GJC38" s="19"/>
      <c r="GJD38" s="21"/>
      <c r="GJE38" s="19"/>
      <c r="GJN38" s="19"/>
      <c r="GJO38" s="19"/>
      <c r="GJP38" s="19"/>
      <c r="GJQ38" s="19"/>
      <c r="GJR38" s="21"/>
      <c r="GJS38" s="19"/>
      <c r="GKB38" s="19"/>
      <c r="GKC38" s="19"/>
      <c r="GKD38" s="19"/>
      <c r="GKE38" s="19"/>
      <c r="GKF38" s="21"/>
      <c r="GKG38" s="19"/>
      <c r="GKP38" s="19"/>
      <c r="GKQ38" s="19"/>
      <c r="GKR38" s="19"/>
      <c r="GKS38" s="19"/>
      <c r="GKT38" s="21"/>
      <c r="GKU38" s="19"/>
      <c r="GLD38" s="19"/>
      <c r="GLE38" s="19"/>
      <c r="GLF38" s="19"/>
      <c r="GLG38" s="19"/>
      <c r="GLH38" s="21"/>
      <c r="GLI38" s="19"/>
      <c r="GLR38" s="19"/>
      <c r="GLS38" s="19"/>
      <c r="GLT38" s="19"/>
      <c r="GLU38" s="19"/>
      <c r="GLV38" s="21"/>
      <c r="GLW38" s="19"/>
      <c r="GMF38" s="19"/>
      <c r="GMG38" s="19"/>
      <c r="GMH38" s="19"/>
      <c r="GMI38" s="19"/>
      <c r="GMJ38" s="21"/>
      <c r="GMK38" s="19"/>
      <c r="GMT38" s="19"/>
      <c r="GMU38" s="19"/>
      <c r="GMV38" s="19"/>
      <c r="GMW38" s="19"/>
      <c r="GMX38" s="21"/>
      <c r="GMY38" s="19"/>
      <c r="GNH38" s="19"/>
      <c r="GNI38" s="19"/>
      <c r="GNJ38" s="19"/>
      <c r="GNK38" s="19"/>
      <c r="GNL38" s="21"/>
      <c r="GNM38" s="19"/>
      <c r="GNV38" s="19"/>
      <c r="GNW38" s="19"/>
      <c r="GNX38" s="19"/>
      <c r="GNY38" s="19"/>
      <c r="GNZ38" s="21"/>
      <c r="GOA38" s="19"/>
      <c r="GOJ38" s="19"/>
      <c r="GOK38" s="19"/>
      <c r="GOL38" s="19"/>
      <c r="GOM38" s="19"/>
      <c r="GON38" s="21"/>
      <c r="GOO38" s="19"/>
      <c r="GOX38" s="19"/>
      <c r="GOY38" s="19"/>
      <c r="GOZ38" s="19"/>
      <c r="GPA38" s="19"/>
      <c r="GPB38" s="21"/>
      <c r="GPC38" s="19"/>
      <c r="GPL38" s="19"/>
      <c r="GPM38" s="19"/>
      <c r="GPN38" s="19"/>
      <c r="GPO38" s="19"/>
      <c r="GPP38" s="21"/>
      <c r="GPQ38" s="19"/>
      <c r="GPZ38" s="19"/>
      <c r="GQA38" s="19"/>
      <c r="GQB38" s="19"/>
      <c r="GQC38" s="19"/>
      <c r="GQD38" s="21"/>
      <c r="GQE38" s="19"/>
      <c r="GQN38" s="19"/>
      <c r="GQO38" s="19"/>
      <c r="GQP38" s="19"/>
      <c r="GQQ38" s="19"/>
      <c r="GQR38" s="21"/>
      <c r="GQS38" s="19"/>
      <c r="GRB38" s="19"/>
      <c r="GRC38" s="19"/>
      <c r="GRD38" s="19"/>
      <c r="GRE38" s="19"/>
      <c r="GRF38" s="21"/>
      <c r="GRG38" s="19"/>
      <c r="GRP38" s="19"/>
      <c r="GRQ38" s="19"/>
      <c r="GRR38" s="19"/>
      <c r="GRS38" s="19"/>
      <c r="GRT38" s="21"/>
      <c r="GRU38" s="19"/>
      <c r="GSD38" s="19"/>
      <c r="GSE38" s="19"/>
      <c r="GSF38" s="19"/>
      <c r="GSG38" s="19"/>
      <c r="GSH38" s="21"/>
      <c r="GSI38" s="19"/>
      <c r="GSR38" s="19"/>
      <c r="GSS38" s="19"/>
      <c r="GST38" s="19"/>
      <c r="GSU38" s="19"/>
      <c r="GSV38" s="21"/>
      <c r="GSW38" s="19"/>
      <c r="GTF38" s="19"/>
      <c r="GTG38" s="19"/>
      <c r="GTH38" s="19"/>
      <c r="GTI38" s="19"/>
      <c r="GTJ38" s="21"/>
      <c r="GTK38" s="19"/>
      <c r="GTT38" s="19"/>
      <c r="GTU38" s="19"/>
      <c r="GTV38" s="19"/>
      <c r="GTW38" s="19"/>
      <c r="GTX38" s="21"/>
      <c r="GTY38" s="19"/>
      <c r="GUH38" s="19"/>
      <c r="GUI38" s="19"/>
      <c r="GUJ38" s="19"/>
      <c r="GUK38" s="19"/>
      <c r="GUL38" s="21"/>
      <c r="GUM38" s="19"/>
      <c r="GUV38" s="19"/>
      <c r="GUW38" s="19"/>
      <c r="GUX38" s="19"/>
      <c r="GUY38" s="19"/>
      <c r="GUZ38" s="21"/>
      <c r="GVA38" s="19"/>
      <c r="GVJ38" s="19"/>
      <c r="GVK38" s="19"/>
      <c r="GVL38" s="19"/>
      <c r="GVM38" s="19"/>
      <c r="GVN38" s="21"/>
      <c r="GVO38" s="19"/>
      <c r="GVX38" s="19"/>
      <c r="GVY38" s="19"/>
      <c r="GVZ38" s="19"/>
      <c r="GWA38" s="19"/>
      <c r="GWB38" s="21"/>
      <c r="GWC38" s="19"/>
      <c r="GWL38" s="19"/>
      <c r="GWM38" s="19"/>
      <c r="GWN38" s="19"/>
      <c r="GWO38" s="19"/>
      <c r="GWP38" s="21"/>
      <c r="GWQ38" s="19"/>
      <c r="GWZ38" s="19"/>
      <c r="GXA38" s="19"/>
      <c r="GXB38" s="19"/>
      <c r="GXC38" s="19"/>
      <c r="GXD38" s="21"/>
      <c r="GXE38" s="19"/>
      <c r="GXN38" s="19"/>
      <c r="GXO38" s="19"/>
      <c r="GXP38" s="19"/>
      <c r="GXQ38" s="19"/>
      <c r="GXR38" s="21"/>
      <c r="GXS38" s="19"/>
      <c r="GYB38" s="19"/>
      <c r="GYC38" s="19"/>
      <c r="GYD38" s="19"/>
      <c r="GYE38" s="19"/>
      <c r="GYF38" s="21"/>
      <c r="GYG38" s="19"/>
      <c r="GYP38" s="19"/>
      <c r="GYQ38" s="19"/>
      <c r="GYR38" s="19"/>
      <c r="GYS38" s="19"/>
      <c r="GYT38" s="21"/>
      <c r="GYU38" s="19"/>
      <c r="GZD38" s="19"/>
      <c r="GZE38" s="19"/>
      <c r="GZF38" s="19"/>
      <c r="GZG38" s="19"/>
      <c r="GZH38" s="21"/>
      <c r="GZI38" s="19"/>
      <c r="GZR38" s="19"/>
      <c r="GZS38" s="19"/>
      <c r="GZT38" s="19"/>
      <c r="GZU38" s="19"/>
      <c r="GZV38" s="21"/>
      <c r="GZW38" s="19"/>
      <c r="HAF38" s="19"/>
      <c r="HAG38" s="19"/>
      <c r="HAH38" s="19"/>
      <c r="HAI38" s="19"/>
      <c r="HAJ38" s="21"/>
      <c r="HAK38" s="19"/>
      <c r="HAT38" s="19"/>
      <c r="HAU38" s="19"/>
      <c r="HAV38" s="19"/>
      <c r="HAW38" s="19"/>
      <c r="HAX38" s="21"/>
      <c r="HAY38" s="19"/>
      <c r="HBH38" s="19"/>
      <c r="HBI38" s="19"/>
      <c r="HBJ38" s="19"/>
      <c r="HBK38" s="19"/>
      <c r="HBL38" s="21"/>
      <c r="HBM38" s="19"/>
      <c r="HBV38" s="19"/>
      <c r="HBW38" s="19"/>
      <c r="HBX38" s="19"/>
      <c r="HBY38" s="19"/>
      <c r="HBZ38" s="21"/>
      <c r="HCA38" s="19"/>
      <c r="HCJ38" s="19"/>
      <c r="HCK38" s="19"/>
      <c r="HCL38" s="19"/>
      <c r="HCM38" s="19"/>
      <c r="HCN38" s="21"/>
      <c r="HCO38" s="19"/>
      <c r="HCX38" s="19"/>
      <c r="HCY38" s="19"/>
      <c r="HCZ38" s="19"/>
      <c r="HDA38" s="19"/>
      <c r="HDB38" s="21"/>
      <c r="HDC38" s="19"/>
      <c r="HDL38" s="19"/>
      <c r="HDM38" s="19"/>
      <c r="HDN38" s="19"/>
      <c r="HDO38" s="19"/>
      <c r="HDP38" s="21"/>
      <c r="HDQ38" s="19"/>
      <c r="HDZ38" s="19"/>
      <c r="HEA38" s="19"/>
      <c r="HEB38" s="19"/>
      <c r="HEC38" s="19"/>
      <c r="HED38" s="21"/>
      <c r="HEE38" s="19"/>
      <c r="HEN38" s="19"/>
      <c r="HEO38" s="19"/>
      <c r="HEP38" s="19"/>
      <c r="HEQ38" s="19"/>
      <c r="HER38" s="21"/>
      <c r="HES38" s="19"/>
      <c r="HFB38" s="19"/>
      <c r="HFC38" s="19"/>
      <c r="HFD38" s="19"/>
      <c r="HFE38" s="19"/>
      <c r="HFF38" s="21"/>
      <c r="HFG38" s="19"/>
      <c r="HFP38" s="19"/>
      <c r="HFQ38" s="19"/>
      <c r="HFR38" s="19"/>
      <c r="HFS38" s="19"/>
      <c r="HFT38" s="21"/>
      <c r="HFU38" s="19"/>
      <c r="HGD38" s="19"/>
      <c r="HGE38" s="19"/>
      <c r="HGF38" s="19"/>
      <c r="HGG38" s="19"/>
      <c r="HGH38" s="21"/>
      <c r="HGI38" s="19"/>
      <c r="HGR38" s="19"/>
      <c r="HGS38" s="19"/>
      <c r="HGT38" s="19"/>
      <c r="HGU38" s="19"/>
      <c r="HGV38" s="21"/>
      <c r="HGW38" s="19"/>
      <c r="HHF38" s="19"/>
      <c r="HHG38" s="19"/>
      <c r="HHH38" s="19"/>
      <c r="HHI38" s="19"/>
      <c r="HHJ38" s="21"/>
      <c r="HHK38" s="19"/>
      <c r="HHT38" s="19"/>
      <c r="HHU38" s="19"/>
      <c r="HHV38" s="19"/>
      <c r="HHW38" s="19"/>
      <c r="HHX38" s="21"/>
      <c r="HHY38" s="19"/>
      <c r="HIH38" s="19"/>
      <c r="HII38" s="19"/>
      <c r="HIJ38" s="19"/>
      <c r="HIK38" s="19"/>
      <c r="HIL38" s="21"/>
      <c r="HIM38" s="19"/>
      <c r="HIV38" s="19"/>
      <c r="HIW38" s="19"/>
      <c r="HIX38" s="19"/>
      <c r="HIY38" s="19"/>
      <c r="HIZ38" s="21"/>
      <c r="HJA38" s="19"/>
      <c r="HJJ38" s="19"/>
      <c r="HJK38" s="19"/>
      <c r="HJL38" s="19"/>
      <c r="HJM38" s="19"/>
      <c r="HJN38" s="21"/>
      <c r="HJO38" s="19"/>
      <c r="HJX38" s="19"/>
      <c r="HJY38" s="19"/>
      <c r="HJZ38" s="19"/>
      <c r="HKA38" s="19"/>
      <c r="HKB38" s="21"/>
      <c r="HKC38" s="19"/>
      <c r="HKL38" s="19"/>
      <c r="HKM38" s="19"/>
      <c r="HKN38" s="19"/>
      <c r="HKO38" s="19"/>
      <c r="HKP38" s="21"/>
      <c r="HKQ38" s="19"/>
      <c r="HKZ38" s="19"/>
      <c r="HLA38" s="19"/>
      <c r="HLB38" s="19"/>
      <c r="HLC38" s="19"/>
      <c r="HLD38" s="21"/>
      <c r="HLE38" s="19"/>
      <c r="HLN38" s="19"/>
      <c r="HLO38" s="19"/>
      <c r="HLP38" s="19"/>
      <c r="HLQ38" s="19"/>
      <c r="HLR38" s="21"/>
      <c r="HLS38" s="19"/>
      <c r="HMB38" s="19"/>
      <c r="HMC38" s="19"/>
      <c r="HMD38" s="19"/>
      <c r="HME38" s="19"/>
      <c r="HMF38" s="21"/>
      <c r="HMG38" s="19"/>
      <c r="HMP38" s="19"/>
      <c r="HMQ38" s="19"/>
      <c r="HMR38" s="19"/>
      <c r="HMS38" s="19"/>
      <c r="HMT38" s="21"/>
      <c r="HMU38" s="19"/>
      <c r="HND38" s="19"/>
      <c r="HNE38" s="19"/>
      <c r="HNF38" s="19"/>
      <c r="HNG38" s="19"/>
      <c r="HNH38" s="21"/>
      <c r="HNI38" s="19"/>
      <c r="HNR38" s="19"/>
      <c r="HNS38" s="19"/>
      <c r="HNT38" s="19"/>
      <c r="HNU38" s="19"/>
      <c r="HNV38" s="21"/>
      <c r="HNW38" s="19"/>
      <c r="HOF38" s="19"/>
      <c r="HOG38" s="19"/>
      <c r="HOH38" s="19"/>
      <c r="HOI38" s="19"/>
      <c r="HOJ38" s="21"/>
      <c r="HOK38" s="19"/>
      <c r="HOT38" s="19"/>
      <c r="HOU38" s="19"/>
      <c r="HOV38" s="19"/>
      <c r="HOW38" s="19"/>
      <c r="HOX38" s="21"/>
      <c r="HOY38" s="19"/>
      <c r="HPH38" s="19"/>
      <c r="HPI38" s="19"/>
      <c r="HPJ38" s="19"/>
      <c r="HPK38" s="19"/>
      <c r="HPL38" s="21"/>
      <c r="HPM38" s="19"/>
      <c r="HPV38" s="19"/>
      <c r="HPW38" s="19"/>
      <c r="HPX38" s="19"/>
      <c r="HPY38" s="19"/>
      <c r="HPZ38" s="21"/>
      <c r="HQA38" s="19"/>
      <c r="HQJ38" s="19"/>
      <c r="HQK38" s="19"/>
      <c r="HQL38" s="19"/>
      <c r="HQM38" s="19"/>
      <c r="HQN38" s="21"/>
      <c r="HQO38" s="19"/>
      <c r="HQX38" s="19"/>
      <c r="HQY38" s="19"/>
      <c r="HQZ38" s="19"/>
      <c r="HRA38" s="19"/>
      <c r="HRB38" s="21"/>
      <c r="HRC38" s="19"/>
      <c r="HRL38" s="19"/>
      <c r="HRM38" s="19"/>
      <c r="HRN38" s="19"/>
      <c r="HRO38" s="19"/>
      <c r="HRP38" s="21"/>
      <c r="HRQ38" s="19"/>
      <c r="HRZ38" s="19"/>
      <c r="HSA38" s="19"/>
      <c r="HSB38" s="19"/>
      <c r="HSC38" s="19"/>
      <c r="HSD38" s="21"/>
      <c r="HSE38" s="19"/>
      <c r="HSN38" s="19"/>
      <c r="HSO38" s="19"/>
      <c r="HSP38" s="19"/>
      <c r="HSQ38" s="19"/>
      <c r="HSR38" s="21"/>
      <c r="HSS38" s="19"/>
      <c r="HTB38" s="19"/>
      <c r="HTC38" s="19"/>
      <c r="HTD38" s="19"/>
      <c r="HTE38" s="19"/>
      <c r="HTF38" s="21"/>
      <c r="HTG38" s="19"/>
      <c r="HTP38" s="19"/>
      <c r="HTQ38" s="19"/>
      <c r="HTR38" s="19"/>
      <c r="HTS38" s="19"/>
      <c r="HTT38" s="21"/>
      <c r="HTU38" s="19"/>
      <c r="HUD38" s="19"/>
      <c r="HUE38" s="19"/>
      <c r="HUF38" s="19"/>
      <c r="HUG38" s="19"/>
      <c r="HUH38" s="21"/>
      <c r="HUI38" s="19"/>
      <c r="HUR38" s="19"/>
      <c r="HUS38" s="19"/>
      <c r="HUT38" s="19"/>
      <c r="HUU38" s="19"/>
      <c r="HUV38" s="21"/>
      <c r="HUW38" s="19"/>
      <c r="HVF38" s="19"/>
      <c r="HVG38" s="19"/>
      <c r="HVH38" s="19"/>
      <c r="HVI38" s="19"/>
      <c r="HVJ38" s="21"/>
      <c r="HVK38" s="19"/>
      <c r="HVT38" s="19"/>
      <c r="HVU38" s="19"/>
      <c r="HVV38" s="19"/>
      <c r="HVW38" s="19"/>
      <c r="HVX38" s="21"/>
      <c r="HVY38" s="19"/>
      <c r="HWH38" s="19"/>
      <c r="HWI38" s="19"/>
      <c r="HWJ38" s="19"/>
      <c r="HWK38" s="19"/>
      <c r="HWL38" s="21"/>
      <c r="HWM38" s="19"/>
      <c r="HWV38" s="19"/>
      <c r="HWW38" s="19"/>
      <c r="HWX38" s="19"/>
      <c r="HWY38" s="19"/>
      <c r="HWZ38" s="21"/>
      <c r="HXA38" s="19"/>
      <c r="HXJ38" s="19"/>
      <c r="HXK38" s="19"/>
      <c r="HXL38" s="19"/>
      <c r="HXM38" s="19"/>
      <c r="HXN38" s="21"/>
      <c r="HXO38" s="19"/>
      <c r="HXX38" s="19"/>
      <c r="HXY38" s="19"/>
      <c r="HXZ38" s="19"/>
      <c r="HYA38" s="19"/>
      <c r="HYB38" s="21"/>
      <c r="HYC38" s="19"/>
      <c r="HYL38" s="19"/>
      <c r="HYM38" s="19"/>
      <c r="HYN38" s="19"/>
      <c r="HYO38" s="19"/>
      <c r="HYP38" s="21"/>
      <c r="HYQ38" s="19"/>
      <c r="HYZ38" s="19"/>
      <c r="HZA38" s="19"/>
      <c r="HZB38" s="19"/>
      <c r="HZC38" s="19"/>
      <c r="HZD38" s="21"/>
      <c r="HZE38" s="19"/>
      <c r="HZN38" s="19"/>
      <c r="HZO38" s="19"/>
      <c r="HZP38" s="19"/>
      <c r="HZQ38" s="19"/>
      <c r="HZR38" s="21"/>
      <c r="HZS38" s="19"/>
      <c r="IAB38" s="19"/>
      <c r="IAC38" s="19"/>
      <c r="IAD38" s="19"/>
      <c r="IAE38" s="19"/>
      <c r="IAF38" s="21"/>
      <c r="IAG38" s="19"/>
      <c r="IAP38" s="19"/>
      <c r="IAQ38" s="19"/>
      <c r="IAR38" s="19"/>
      <c r="IAS38" s="19"/>
      <c r="IAT38" s="21"/>
      <c r="IAU38" s="19"/>
      <c r="IBD38" s="19"/>
      <c r="IBE38" s="19"/>
      <c r="IBF38" s="19"/>
      <c r="IBG38" s="19"/>
      <c r="IBH38" s="21"/>
      <c r="IBI38" s="19"/>
      <c r="IBR38" s="19"/>
      <c r="IBS38" s="19"/>
      <c r="IBT38" s="19"/>
      <c r="IBU38" s="19"/>
      <c r="IBV38" s="21"/>
      <c r="IBW38" s="19"/>
      <c r="ICF38" s="19"/>
      <c r="ICG38" s="19"/>
      <c r="ICH38" s="19"/>
      <c r="ICI38" s="19"/>
      <c r="ICJ38" s="21"/>
      <c r="ICK38" s="19"/>
      <c r="ICT38" s="19"/>
      <c r="ICU38" s="19"/>
      <c r="ICV38" s="19"/>
      <c r="ICW38" s="19"/>
      <c r="ICX38" s="21"/>
      <c r="ICY38" s="19"/>
      <c r="IDH38" s="19"/>
      <c r="IDI38" s="19"/>
      <c r="IDJ38" s="19"/>
      <c r="IDK38" s="19"/>
      <c r="IDL38" s="21"/>
      <c r="IDM38" s="19"/>
      <c r="IDV38" s="19"/>
      <c r="IDW38" s="19"/>
      <c r="IDX38" s="19"/>
      <c r="IDY38" s="19"/>
      <c r="IDZ38" s="21"/>
      <c r="IEA38" s="19"/>
      <c r="IEJ38" s="19"/>
      <c r="IEK38" s="19"/>
      <c r="IEL38" s="19"/>
      <c r="IEM38" s="19"/>
      <c r="IEN38" s="21"/>
      <c r="IEO38" s="19"/>
      <c r="IEX38" s="19"/>
      <c r="IEY38" s="19"/>
      <c r="IEZ38" s="19"/>
      <c r="IFA38" s="19"/>
      <c r="IFB38" s="21"/>
      <c r="IFC38" s="19"/>
      <c r="IFL38" s="19"/>
      <c r="IFM38" s="19"/>
      <c r="IFN38" s="19"/>
      <c r="IFO38" s="19"/>
      <c r="IFP38" s="21"/>
      <c r="IFQ38" s="19"/>
      <c r="IFZ38" s="19"/>
      <c r="IGA38" s="19"/>
      <c r="IGB38" s="19"/>
      <c r="IGC38" s="19"/>
      <c r="IGD38" s="21"/>
      <c r="IGE38" s="19"/>
      <c r="IGN38" s="19"/>
      <c r="IGO38" s="19"/>
      <c r="IGP38" s="19"/>
      <c r="IGQ38" s="19"/>
      <c r="IGR38" s="21"/>
      <c r="IGS38" s="19"/>
      <c r="IHB38" s="19"/>
      <c r="IHC38" s="19"/>
      <c r="IHD38" s="19"/>
      <c r="IHE38" s="19"/>
      <c r="IHF38" s="21"/>
      <c r="IHG38" s="19"/>
      <c r="IHP38" s="19"/>
      <c r="IHQ38" s="19"/>
      <c r="IHR38" s="19"/>
      <c r="IHS38" s="19"/>
      <c r="IHT38" s="21"/>
      <c r="IHU38" s="19"/>
      <c r="IID38" s="19"/>
      <c r="IIE38" s="19"/>
      <c r="IIF38" s="19"/>
      <c r="IIG38" s="19"/>
      <c r="IIH38" s="21"/>
      <c r="III38" s="19"/>
      <c r="IIR38" s="19"/>
      <c r="IIS38" s="19"/>
      <c r="IIT38" s="19"/>
      <c r="IIU38" s="19"/>
      <c r="IIV38" s="21"/>
      <c r="IIW38" s="19"/>
      <c r="IJF38" s="19"/>
      <c r="IJG38" s="19"/>
      <c r="IJH38" s="19"/>
      <c r="IJI38" s="19"/>
      <c r="IJJ38" s="21"/>
      <c r="IJK38" s="19"/>
      <c r="IJT38" s="19"/>
      <c r="IJU38" s="19"/>
      <c r="IJV38" s="19"/>
      <c r="IJW38" s="19"/>
      <c r="IJX38" s="21"/>
      <c r="IJY38" s="19"/>
      <c r="IKH38" s="19"/>
      <c r="IKI38" s="19"/>
      <c r="IKJ38" s="19"/>
      <c r="IKK38" s="19"/>
      <c r="IKL38" s="21"/>
      <c r="IKM38" s="19"/>
      <c r="IKV38" s="19"/>
      <c r="IKW38" s="19"/>
      <c r="IKX38" s="19"/>
      <c r="IKY38" s="19"/>
      <c r="IKZ38" s="21"/>
      <c r="ILA38" s="19"/>
      <c r="ILJ38" s="19"/>
      <c r="ILK38" s="19"/>
      <c r="ILL38" s="19"/>
      <c r="ILM38" s="19"/>
      <c r="ILN38" s="21"/>
      <c r="ILO38" s="19"/>
      <c r="ILX38" s="19"/>
      <c r="ILY38" s="19"/>
      <c r="ILZ38" s="19"/>
      <c r="IMA38" s="19"/>
      <c r="IMB38" s="21"/>
      <c r="IMC38" s="19"/>
      <c r="IML38" s="19"/>
      <c r="IMM38" s="19"/>
      <c r="IMN38" s="19"/>
      <c r="IMO38" s="19"/>
      <c r="IMP38" s="21"/>
      <c r="IMQ38" s="19"/>
      <c r="IMZ38" s="19"/>
      <c r="INA38" s="19"/>
      <c r="INB38" s="19"/>
      <c r="INC38" s="19"/>
      <c r="IND38" s="21"/>
      <c r="INE38" s="19"/>
      <c r="INN38" s="19"/>
      <c r="INO38" s="19"/>
      <c r="INP38" s="19"/>
      <c r="INQ38" s="19"/>
      <c r="INR38" s="21"/>
      <c r="INS38" s="19"/>
      <c r="IOB38" s="19"/>
      <c r="IOC38" s="19"/>
      <c r="IOD38" s="19"/>
      <c r="IOE38" s="19"/>
      <c r="IOF38" s="21"/>
      <c r="IOG38" s="19"/>
      <c r="IOP38" s="19"/>
      <c r="IOQ38" s="19"/>
      <c r="IOR38" s="19"/>
      <c r="IOS38" s="19"/>
      <c r="IOT38" s="21"/>
      <c r="IOU38" s="19"/>
      <c r="IPD38" s="19"/>
      <c r="IPE38" s="19"/>
      <c r="IPF38" s="19"/>
      <c r="IPG38" s="19"/>
      <c r="IPH38" s="21"/>
      <c r="IPI38" s="19"/>
      <c r="IPR38" s="19"/>
      <c r="IPS38" s="19"/>
      <c r="IPT38" s="19"/>
      <c r="IPU38" s="19"/>
      <c r="IPV38" s="21"/>
      <c r="IPW38" s="19"/>
      <c r="IQF38" s="19"/>
      <c r="IQG38" s="19"/>
      <c r="IQH38" s="19"/>
      <c r="IQI38" s="19"/>
      <c r="IQJ38" s="21"/>
      <c r="IQK38" s="19"/>
      <c r="IQT38" s="19"/>
      <c r="IQU38" s="19"/>
      <c r="IQV38" s="19"/>
      <c r="IQW38" s="19"/>
      <c r="IQX38" s="21"/>
      <c r="IQY38" s="19"/>
      <c r="IRH38" s="19"/>
      <c r="IRI38" s="19"/>
      <c r="IRJ38" s="19"/>
      <c r="IRK38" s="19"/>
      <c r="IRL38" s="21"/>
      <c r="IRM38" s="19"/>
      <c r="IRV38" s="19"/>
      <c r="IRW38" s="19"/>
      <c r="IRX38" s="19"/>
      <c r="IRY38" s="19"/>
      <c r="IRZ38" s="21"/>
      <c r="ISA38" s="19"/>
      <c r="ISJ38" s="19"/>
      <c r="ISK38" s="19"/>
      <c r="ISL38" s="19"/>
      <c r="ISM38" s="19"/>
      <c r="ISN38" s="21"/>
      <c r="ISO38" s="19"/>
      <c r="ISX38" s="19"/>
      <c r="ISY38" s="19"/>
      <c r="ISZ38" s="19"/>
      <c r="ITA38" s="19"/>
      <c r="ITB38" s="21"/>
      <c r="ITC38" s="19"/>
      <c r="ITL38" s="19"/>
      <c r="ITM38" s="19"/>
      <c r="ITN38" s="19"/>
      <c r="ITO38" s="19"/>
      <c r="ITP38" s="21"/>
      <c r="ITQ38" s="19"/>
      <c r="ITZ38" s="19"/>
      <c r="IUA38" s="19"/>
      <c r="IUB38" s="19"/>
      <c r="IUC38" s="19"/>
      <c r="IUD38" s="21"/>
      <c r="IUE38" s="19"/>
      <c r="IUN38" s="19"/>
      <c r="IUO38" s="19"/>
      <c r="IUP38" s="19"/>
      <c r="IUQ38" s="19"/>
      <c r="IUR38" s="21"/>
      <c r="IUS38" s="19"/>
      <c r="IVB38" s="19"/>
      <c r="IVC38" s="19"/>
      <c r="IVD38" s="19"/>
      <c r="IVE38" s="19"/>
      <c r="IVF38" s="21"/>
      <c r="IVG38" s="19"/>
      <c r="IVP38" s="19"/>
      <c r="IVQ38" s="19"/>
      <c r="IVR38" s="19"/>
      <c r="IVS38" s="19"/>
      <c r="IVT38" s="21"/>
      <c r="IVU38" s="19"/>
      <c r="IWD38" s="19"/>
      <c r="IWE38" s="19"/>
      <c r="IWF38" s="19"/>
      <c r="IWG38" s="19"/>
      <c r="IWH38" s="21"/>
      <c r="IWI38" s="19"/>
      <c r="IWR38" s="19"/>
      <c r="IWS38" s="19"/>
      <c r="IWT38" s="19"/>
      <c r="IWU38" s="19"/>
      <c r="IWV38" s="21"/>
      <c r="IWW38" s="19"/>
      <c r="IXF38" s="19"/>
      <c r="IXG38" s="19"/>
      <c r="IXH38" s="19"/>
      <c r="IXI38" s="19"/>
      <c r="IXJ38" s="21"/>
      <c r="IXK38" s="19"/>
      <c r="IXT38" s="19"/>
      <c r="IXU38" s="19"/>
      <c r="IXV38" s="19"/>
      <c r="IXW38" s="19"/>
      <c r="IXX38" s="21"/>
      <c r="IXY38" s="19"/>
      <c r="IYH38" s="19"/>
      <c r="IYI38" s="19"/>
      <c r="IYJ38" s="19"/>
      <c r="IYK38" s="19"/>
      <c r="IYL38" s="21"/>
      <c r="IYM38" s="19"/>
      <c r="IYV38" s="19"/>
      <c r="IYW38" s="19"/>
      <c r="IYX38" s="19"/>
      <c r="IYY38" s="19"/>
      <c r="IYZ38" s="21"/>
      <c r="IZA38" s="19"/>
      <c r="IZJ38" s="19"/>
      <c r="IZK38" s="19"/>
      <c r="IZL38" s="19"/>
      <c r="IZM38" s="19"/>
      <c r="IZN38" s="21"/>
      <c r="IZO38" s="19"/>
      <c r="IZX38" s="19"/>
      <c r="IZY38" s="19"/>
      <c r="IZZ38" s="19"/>
      <c r="JAA38" s="19"/>
      <c r="JAB38" s="21"/>
      <c r="JAC38" s="19"/>
      <c r="JAL38" s="19"/>
      <c r="JAM38" s="19"/>
      <c r="JAN38" s="19"/>
      <c r="JAO38" s="19"/>
      <c r="JAP38" s="21"/>
      <c r="JAQ38" s="19"/>
      <c r="JAZ38" s="19"/>
      <c r="JBA38" s="19"/>
      <c r="JBB38" s="19"/>
      <c r="JBC38" s="19"/>
      <c r="JBD38" s="21"/>
      <c r="JBE38" s="19"/>
      <c r="JBN38" s="19"/>
      <c r="JBO38" s="19"/>
      <c r="JBP38" s="19"/>
      <c r="JBQ38" s="19"/>
      <c r="JBR38" s="21"/>
      <c r="JBS38" s="19"/>
      <c r="JCB38" s="19"/>
      <c r="JCC38" s="19"/>
      <c r="JCD38" s="19"/>
      <c r="JCE38" s="19"/>
      <c r="JCF38" s="21"/>
      <c r="JCG38" s="19"/>
      <c r="JCP38" s="19"/>
      <c r="JCQ38" s="19"/>
      <c r="JCR38" s="19"/>
      <c r="JCS38" s="19"/>
      <c r="JCT38" s="21"/>
      <c r="JCU38" s="19"/>
      <c r="JDD38" s="19"/>
      <c r="JDE38" s="19"/>
      <c r="JDF38" s="19"/>
      <c r="JDG38" s="19"/>
      <c r="JDH38" s="21"/>
      <c r="JDI38" s="19"/>
      <c r="JDR38" s="19"/>
      <c r="JDS38" s="19"/>
      <c r="JDT38" s="19"/>
      <c r="JDU38" s="19"/>
      <c r="JDV38" s="21"/>
      <c r="JDW38" s="19"/>
      <c r="JEF38" s="19"/>
      <c r="JEG38" s="19"/>
      <c r="JEH38" s="19"/>
      <c r="JEI38" s="19"/>
      <c r="JEJ38" s="21"/>
      <c r="JEK38" s="19"/>
      <c r="JET38" s="19"/>
      <c r="JEU38" s="19"/>
      <c r="JEV38" s="19"/>
      <c r="JEW38" s="19"/>
      <c r="JEX38" s="21"/>
      <c r="JEY38" s="19"/>
      <c r="JFH38" s="19"/>
      <c r="JFI38" s="19"/>
      <c r="JFJ38" s="19"/>
      <c r="JFK38" s="19"/>
      <c r="JFL38" s="21"/>
      <c r="JFM38" s="19"/>
      <c r="JFV38" s="19"/>
      <c r="JFW38" s="19"/>
      <c r="JFX38" s="19"/>
      <c r="JFY38" s="19"/>
      <c r="JFZ38" s="21"/>
      <c r="JGA38" s="19"/>
      <c r="JGJ38" s="19"/>
      <c r="JGK38" s="19"/>
      <c r="JGL38" s="19"/>
      <c r="JGM38" s="19"/>
      <c r="JGN38" s="21"/>
      <c r="JGO38" s="19"/>
      <c r="JGX38" s="19"/>
      <c r="JGY38" s="19"/>
      <c r="JGZ38" s="19"/>
      <c r="JHA38" s="19"/>
      <c r="JHB38" s="21"/>
      <c r="JHC38" s="19"/>
      <c r="JHL38" s="19"/>
      <c r="JHM38" s="19"/>
      <c r="JHN38" s="19"/>
      <c r="JHO38" s="19"/>
      <c r="JHP38" s="21"/>
      <c r="JHQ38" s="19"/>
      <c r="JHZ38" s="19"/>
      <c r="JIA38" s="19"/>
      <c r="JIB38" s="19"/>
      <c r="JIC38" s="19"/>
      <c r="JID38" s="21"/>
      <c r="JIE38" s="19"/>
      <c r="JIN38" s="19"/>
      <c r="JIO38" s="19"/>
      <c r="JIP38" s="19"/>
      <c r="JIQ38" s="19"/>
      <c r="JIR38" s="21"/>
      <c r="JIS38" s="19"/>
      <c r="JJB38" s="19"/>
      <c r="JJC38" s="19"/>
      <c r="JJD38" s="19"/>
      <c r="JJE38" s="19"/>
      <c r="JJF38" s="21"/>
      <c r="JJG38" s="19"/>
      <c r="JJP38" s="19"/>
      <c r="JJQ38" s="19"/>
      <c r="JJR38" s="19"/>
      <c r="JJS38" s="19"/>
      <c r="JJT38" s="21"/>
      <c r="JJU38" s="19"/>
      <c r="JKD38" s="19"/>
      <c r="JKE38" s="19"/>
      <c r="JKF38" s="19"/>
      <c r="JKG38" s="19"/>
      <c r="JKH38" s="21"/>
      <c r="JKI38" s="19"/>
      <c r="JKR38" s="19"/>
      <c r="JKS38" s="19"/>
      <c r="JKT38" s="19"/>
      <c r="JKU38" s="19"/>
      <c r="JKV38" s="21"/>
      <c r="JKW38" s="19"/>
      <c r="JLF38" s="19"/>
      <c r="JLG38" s="19"/>
      <c r="JLH38" s="19"/>
      <c r="JLI38" s="19"/>
      <c r="JLJ38" s="21"/>
      <c r="JLK38" s="19"/>
      <c r="JLT38" s="19"/>
      <c r="JLU38" s="19"/>
      <c r="JLV38" s="19"/>
      <c r="JLW38" s="19"/>
      <c r="JLX38" s="21"/>
      <c r="JLY38" s="19"/>
      <c r="JMH38" s="19"/>
      <c r="JMI38" s="19"/>
      <c r="JMJ38" s="19"/>
      <c r="JMK38" s="19"/>
      <c r="JML38" s="21"/>
      <c r="JMM38" s="19"/>
      <c r="JMV38" s="19"/>
      <c r="JMW38" s="19"/>
      <c r="JMX38" s="19"/>
      <c r="JMY38" s="19"/>
      <c r="JMZ38" s="21"/>
      <c r="JNA38" s="19"/>
      <c r="JNJ38" s="19"/>
      <c r="JNK38" s="19"/>
      <c r="JNL38" s="19"/>
      <c r="JNM38" s="19"/>
      <c r="JNN38" s="21"/>
      <c r="JNO38" s="19"/>
      <c r="JNX38" s="19"/>
      <c r="JNY38" s="19"/>
      <c r="JNZ38" s="19"/>
      <c r="JOA38" s="19"/>
      <c r="JOB38" s="21"/>
      <c r="JOC38" s="19"/>
      <c r="JOL38" s="19"/>
      <c r="JOM38" s="19"/>
      <c r="JON38" s="19"/>
      <c r="JOO38" s="19"/>
      <c r="JOP38" s="21"/>
      <c r="JOQ38" s="19"/>
      <c r="JOZ38" s="19"/>
      <c r="JPA38" s="19"/>
      <c r="JPB38" s="19"/>
      <c r="JPC38" s="19"/>
      <c r="JPD38" s="21"/>
      <c r="JPE38" s="19"/>
      <c r="JPN38" s="19"/>
      <c r="JPO38" s="19"/>
      <c r="JPP38" s="19"/>
      <c r="JPQ38" s="19"/>
      <c r="JPR38" s="21"/>
      <c r="JPS38" s="19"/>
      <c r="JQB38" s="19"/>
      <c r="JQC38" s="19"/>
      <c r="JQD38" s="19"/>
      <c r="JQE38" s="19"/>
      <c r="JQF38" s="21"/>
      <c r="JQG38" s="19"/>
      <c r="JQP38" s="19"/>
      <c r="JQQ38" s="19"/>
      <c r="JQR38" s="19"/>
      <c r="JQS38" s="19"/>
      <c r="JQT38" s="21"/>
      <c r="JQU38" s="19"/>
      <c r="JRD38" s="19"/>
      <c r="JRE38" s="19"/>
      <c r="JRF38" s="19"/>
      <c r="JRG38" s="19"/>
      <c r="JRH38" s="21"/>
      <c r="JRI38" s="19"/>
      <c r="JRR38" s="19"/>
      <c r="JRS38" s="19"/>
      <c r="JRT38" s="19"/>
      <c r="JRU38" s="19"/>
      <c r="JRV38" s="21"/>
      <c r="JRW38" s="19"/>
      <c r="JSF38" s="19"/>
      <c r="JSG38" s="19"/>
      <c r="JSH38" s="19"/>
      <c r="JSI38" s="19"/>
      <c r="JSJ38" s="21"/>
      <c r="JSK38" s="19"/>
      <c r="JST38" s="19"/>
      <c r="JSU38" s="19"/>
      <c r="JSV38" s="19"/>
      <c r="JSW38" s="19"/>
      <c r="JSX38" s="21"/>
      <c r="JSY38" s="19"/>
      <c r="JTH38" s="19"/>
      <c r="JTI38" s="19"/>
      <c r="JTJ38" s="19"/>
      <c r="JTK38" s="19"/>
      <c r="JTL38" s="21"/>
      <c r="JTM38" s="19"/>
      <c r="JTV38" s="19"/>
      <c r="JTW38" s="19"/>
      <c r="JTX38" s="19"/>
      <c r="JTY38" s="19"/>
      <c r="JTZ38" s="21"/>
      <c r="JUA38" s="19"/>
      <c r="JUJ38" s="19"/>
      <c r="JUK38" s="19"/>
      <c r="JUL38" s="19"/>
      <c r="JUM38" s="19"/>
      <c r="JUN38" s="21"/>
      <c r="JUO38" s="19"/>
      <c r="JUX38" s="19"/>
      <c r="JUY38" s="19"/>
      <c r="JUZ38" s="19"/>
      <c r="JVA38" s="19"/>
      <c r="JVB38" s="21"/>
      <c r="JVC38" s="19"/>
      <c r="JVL38" s="19"/>
      <c r="JVM38" s="19"/>
      <c r="JVN38" s="19"/>
      <c r="JVO38" s="19"/>
      <c r="JVP38" s="21"/>
      <c r="JVQ38" s="19"/>
      <c r="JVZ38" s="19"/>
      <c r="JWA38" s="19"/>
      <c r="JWB38" s="19"/>
      <c r="JWC38" s="19"/>
      <c r="JWD38" s="21"/>
      <c r="JWE38" s="19"/>
      <c r="JWN38" s="19"/>
      <c r="JWO38" s="19"/>
      <c r="JWP38" s="19"/>
      <c r="JWQ38" s="19"/>
      <c r="JWR38" s="21"/>
      <c r="JWS38" s="19"/>
      <c r="JXB38" s="19"/>
      <c r="JXC38" s="19"/>
      <c r="JXD38" s="19"/>
      <c r="JXE38" s="19"/>
      <c r="JXF38" s="21"/>
      <c r="JXG38" s="19"/>
      <c r="JXP38" s="19"/>
      <c r="JXQ38" s="19"/>
      <c r="JXR38" s="19"/>
      <c r="JXS38" s="19"/>
      <c r="JXT38" s="21"/>
      <c r="JXU38" s="19"/>
      <c r="JYD38" s="19"/>
      <c r="JYE38" s="19"/>
      <c r="JYF38" s="19"/>
      <c r="JYG38" s="19"/>
      <c r="JYH38" s="21"/>
      <c r="JYI38" s="19"/>
      <c r="JYR38" s="19"/>
      <c r="JYS38" s="19"/>
      <c r="JYT38" s="19"/>
      <c r="JYU38" s="19"/>
      <c r="JYV38" s="21"/>
      <c r="JYW38" s="19"/>
      <c r="JZF38" s="19"/>
      <c r="JZG38" s="19"/>
      <c r="JZH38" s="19"/>
      <c r="JZI38" s="19"/>
      <c r="JZJ38" s="21"/>
      <c r="JZK38" s="19"/>
      <c r="JZT38" s="19"/>
      <c r="JZU38" s="19"/>
      <c r="JZV38" s="19"/>
      <c r="JZW38" s="19"/>
      <c r="JZX38" s="21"/>
      <c r="JZY38" s="19"/>
      <c r="KAH38" s="19"/>
      <c r="KAI38" s="19"/>
      <c r="KAJ38" s="19"/>
      <c r="KAK38" s="19"/>
      <c r="KAL38" s="21"/>
      <c r="KAM38" s="19"/>
      <c r="KAV38" s="19"/>
      <c r="KAW38" s="19"/>
      <c r="KAX38" s="19"/>
      <c r="KAY38" s="19"/>
      <c r="KAZ38" s="21"/>
      <c r="KBA38" s="19"/>
      <c r="KBJ38" s="19"/>
      <c r="KBK38" s="19"/>
      <c r="KBL38" s="19"/>
      <c r="KBM38" s="19"/>
      <c r="KBN38" s="21"/>
      <c r="KBO38" s="19"/>
      <c r="KBX38" s="19"/>
      <c r="KBY38" s="19"/>
      <c r="KBZ38" s="19"/>
      <c r="KCA38" s="19"/>
      <c r="KCB38" s="21"/>
      <c r="KCC38" s="19"/>
      <c r="KCL38" s="19"/>
      <c r="KCM38" s="19"/>
      <c r="KCN38" s="19"/>
      <c r="KCO38" s="19"/>
      <c r="KCP38" s="21"/>
      <c r="KCQ38" s="19"/>
      <c r="KCZ38" s="19"/>
      <c r="KDA38" s="19"/>
      <c r="KDB38" s="19"/>
      <c r="KDC38" s="19"/>
      <c r="KDD38" s="21"/>
      <c r="KDE38" s="19"/>
      <c r="KDN38" s="19"/>
      <c r="KDO38" s="19"/>
      <c r="KDP38" s="19"/>
      <c r="KDQ38" s="19"/>
      <c r="KDR38" s="21"/>
      <c r="KDS38" s="19"/>
      <c r="KEB38" s="19"/>
      <c r="KEC38" s="19"/>
      <c r="KED38" s="19"/>
      <c r="KEE38" s="19"/>
      <c r="KEF38" s="21"/>
      <c r="KEG38" s="19"/>
      <c r="KEP38" s="19"/>
      <c r="KEQ38" s="19"/>
      <c r="KER38" s="19"/>
      <c r="KES38" s="19"/>
      <c r="KET38" s="21"/>
      <c r="KEU38" s="19"/>
      <c r="KFD38" s="19"/>
      <c r="KFE38" s="19"/>
      <c r="KFF38" s="19"/>
      <c r="KFG38" s="19"/>
      <c r="KFH38" s="21"/>
      <c r="KFI38" s="19"/>
      <c r="KFR38" s="19"/>
      <c r="KFS38" s="19"/>
      <c r="KFT38" s="19"/>
      <c r="KFU38" s="19"/>
      <c r="KFV38" s="21"/>
      <c r="KFW38" s="19"/>
      <c r="KGF38" s="19"/>
      <c r="KGG38" s="19"/>
      <c r="KGH38" s="19"/>
      <c r="KGI38" s="19"/>
      <c r="KGJ38" s="21"/>
      <c r="KGK38" s="19"/>
      <c r="KGT38" s="19"/>
      <c r="KGU38" s="19"/>
      <c r="KGV38" s="19"/>
      <c r="KGW38" s="19"/>
      <c r="KGX38" s="21"/>
      <c r="KGY38" s="19"/>
      <c r="KHH38" s="19"/>
      <c r="KHI38" s="19"/>
      <c r="KHJ38" s="19"/>
      <c r="KHK38" s="19"/>
      <c r="KHL38" s="21"/>
      <c r="KHM38" s="19"/>
      <c r="KHV38" s="19"/>
      <c r="KHW38" s="19"/>
      <c r="KHX38" s="19"/>
      <c r="KHY38" s="19"/>
      <c r="KHZ38" s="21"/>
      <c r="KIA38" s="19"/>
      <c r="KIJ38" s="19"/>
      <c r="KIK38" s="19"/>
      <c r="KIL38" s="19"/>
      <c r="KIM38" s="19"/>
      <c r="KIN38" s="21"/>
      <c r="KIO38" s="19"/>
      <c r="KIX38" s="19"/>
      <c r="KIY38" s="19"/>
      <c r="KIZ38" s="19"/>
      <c r="KJA38" s="19"/>
      <c r="KJB38" s="21"/>
      <c r="KJC38" s="19"/>
      <c r="KJL38" s="19"/>
      <c r="KJM38" s="19"/>
      <c r="KJN38" s="19"/>
      <c r="KJO38" s="19"/>
      <c r="KJP38" s="21"/>
      <c r="KJQ38" s="19"/>
      <c r="KJZ38" s="19"/>
      <c r="KKA38" s="19"/>
      <c r="KKB38" s="19"/>
      <c r="KKC38" s="19"/>
      <c r="KKD38" s="21"/>
      <c r="KKE38" s="19"/>
      <c r="KKN38" s="19"/>
      <c r="KKO38" s="19"/>
      <c r="KKP38" s="19"/>
      <c r="KKQ38" s="19"/>
      <c r="KKR38" s="21"/>
      <c r="KKS38" s="19"/>
      <c r="KLB38" s="19"/>
      <c r="KLC38" s="19"/>
      <c r="KLD38" s="19"/>
      <c r="KLE38" s="19"/>
      <c r="KLF38" s="21"/>
      <c r="KLG38" s="19"/>
      <c r="KLP38" s="19"/>
      <c r="KLQ38" s="19"/>
      <c r="KLR38" s="19"/>
      <c r="KLS38" s="19"/>
      <c r="KLT38" s="21"/>
      <c r="KLU38" s="19"/>
      <c r="KMD38" s="19"/>
      <c r="KME38" s="19"/>
      <c r="KMF38" s="19"/>
      <c r="KMG38" s="19"/>
      <c r="KMH38" s="21"/>
      <c r="KMI38" s="19"/>
      <c r="KMR38" s="19"/>
      <c r="KMS38" s="19"/>
      <c r="KMT38" s="19"/>
      <c r="KMU38" s="19"/>
      <c r="KMV38" s="21"/>
      <c r="KMW38" s="19"/>
      <c r="KNF38" s="19"/>
      <c r="KNG38" s="19"/>
      <c r="KNH38" s="19"/>
      <c r="KNI38" s="19"/>
      <c r="KNJ38" s="21"/>
      <c r="KNK38" s="19"/>
      <c r="KNT38" s="19"/>
      <c r="KNU38" s="19"/>
      <c r="KNV38" s="19"/>
      <c r="KNW38" s="19"/>
      <c r="KNX38" s="21"/>
      <c r="KNY38" s="19"/>
      <c r="KOH38" s="19"/>
      <c r="KOI38" s="19"/>
      <c r="KOJ38" s="19"/>
      <c r="KOK38" s="19"/>
      <c r="KOL38" s="21"/>
      <c r="KOM38" s="19"/>
      <c r="KOV38" s="19"/>
      <c r="KOW38" s="19"/>
      <c r="KOX38" s="19"/>
      <c r="KOY38" s="19"/>
      <c r="KOZ38" s="21"/>
      <c r="KPA38" s="19"/>
      <c r="KPJ38" s="19"/>
      <c r="KPK38" s="19"/>
      <c r="KPL38" s="19"/>
      <c r="KPM38" s="19"/>
      <c r="KPN38" s="21"/>
      <c r="KPO38" s="19"/>
      <c r="KPX38" s="19"/>
      <c r="KPY38" s="19"/>
      <c r="KPZ38" s="19"/>
      <c r="KQA38" s="19"/>
      <c r="KQB38" s="21"/>
      <c r="KQC38" s="19"/>
      <c r="KQL38" s="19"/>
      <c r="KQM38" s="19"/>
      <c r="KQN38" s="19"/>
      <c r="KQO38" s="19"/>
      <c r="KQP38" s="21"/>
      <c r="KQQ38" s="19"/>
      <c r="KQZ38" s="19"/>
      <c r="KRA38" s="19"/>
      <c r="KRB38" s="19"/>
      <c r="KRC38" s="19"/>
      <c r="KRD38" s="21"/>
      <c r="KRE38" s="19"/>
      <c r="KRN38" s="19"/>
      <c r="KRO38" s="19"/>
      <c r="KRP38" s="19"/>
      <c r="KRQ38" s="19"/>
      <c r="KRR38" s="21"/>
      <c r="KRS38" s="19"/>
      <c r="KSB38" s="19"/>
      <c r="KSC38" s="19"/>
      <c r="KSD38" s="19"/>
      <c r="KSE38" s="19"/>
      <c r="KSF38" s="21"/>
      <c r="KSG38" s="19"/>
      <c r="KSP38" s="19"/>
      <c r="KSQ38" s="19"/>
      <c r="KSR38" s="19"/>
      <c r="KSS38" s="19"/>
      <c r="KST38" s="21"/>
      <c r="KSU38" s="19"/>
      <c r="KTD38" s="19"/>
      <c r="KTE38" s="19"/>
      <c r="KTF38" s="19"/>
      <c r="KTG38" s="19"/>
      <c r="KTH38" s="21"/>
      <c r="KTI38" s="19"/>
      <c r="KTR38" s="19"/>
      <c r="KTS38" s="19"/>
      <c r="KTT38" s="19"/>
      <c r="KTU38" s="19"/>
      <c r="KTV38" s="21"/>
      <c r="KTW38" s="19"/>
      <c r="KUF38" s="19"/>
      <c r="KUG38" s="19"/>
      <c r="KUH38" s="19"/>
      <c r="KUI38" s="19"/>
      <c r="KUJ38" s="21"/>
      <c r="KUK38" s="19"/>
      <c r="KUT38" s="19"/>
      <c r="KUU38" s="19"/>
      <c r="KUV38" s="19"/>
      <c r="KUW38" s="19"/>
      <c r="KUX38" s="21"/>
      <c r="KUY38" s="19"/>
      <c r="KVH38" s="19"/>
      <c r="KVI38" s="19"/>
      <c r="KVJ38" s="19"/>
      <c r="KVK38" s="19"/>
      <c r="KVL38" s="21"/>
      <c r="KVM38" s="19"/>
      <c r="KVV38" s="19"/>
      <c r="KVW38" s="19"/>
      <c r="KVX38" s="19"/>
      <c r="KVY38" s="19"/>
      <c r="KVZ38" s="21"/>
      <c r="KWA38" s="19"/>
      <c r="KWJ38" s="19"/>
      <c r="KWK38" s="19"/>
      <c r="KWL38" s="19"/>
      <c r="KWM38" s="19"/>
      <c r="KWN38" s="21"/>
      <c r="KWO38" s="19"/>
      <c r="KWX38" s="19"/>
      <c r="KWY38" s="19"/>
      <c r="KWZ38" s="19"/>
      <c r="KXA38" s="19"/>
      <c r="KXB38" s="21"/>
      <c r="KXC38" s="19"/>
      <c r="KXL38" s="19"/>
      <c r="KXM38" s="19"/>
      <c r="KXN38" s="19"/>
      <c r="KXO38" s="19"/>
      <c r="KXP38" s="21"/>
      <c r="KXQ38" s="19"/>
      <c r="KXZ38" s="19"/>
      <c r="KYA38" s="19"/>
      <c r="KYB38" s="19"/>
      <c r="KYC38" s="19"/>
      <c r="KYD38" s="21"/>
      <c r="KYE38" s="19"/>
      <c r="KYN38" s="19"/>
      <c r="KYO38" s="19"/>
      <c r="KYP38" s="19"/>
      <c r="KYQ38" s="19"/>
      <c r="KYR38" s="21"/>
      <c r="KYS38" s="19"/>
      <c r="KZB38" s="19"/>
      <c r="KZC38" s="19"/>
      <c r="KZD38" s="19"/>
      <c r="KZE38" s="19"/>
      <c r="KZF38" s="21"/>
      <c r="KZG38" s="19"/>
      <c r="KZP38" s="19"/>
      <c r="KZQ38" s="19"/>
      <c r="KZR38" s="19"/>
      <c r="KZS38" s="19"/>
      <c r="KZT38" s="21"/>
      <c r="KZU38" s="19"/>
      <c r="LAD38" s="19"/>
      <c r="LAE38" s="19"/>
      <c r="LAF38" s="19"/>
      <c r="LAG38" s="19"/>
      <c r="LAH38" s="21"/>
      <c r="LAI38" s="19"/>
      <c r="LAR38" s="19"/>
      <c r="LAS38" s="19"/>
      <c r="LAT38" s="19"/>
      <c r="LAU38" s="19"/>
      <c r="LAV38" s="21"/>
      <c r="LAW38" s="19"/>
      <c r="LBF38" s="19"/>
      <c r="LBG38" s="19"/>
      <c r="LBH38" s="19"/>
      <c r="LBI38" s="19"/>
      <c r="LBJ38" s="21"/>
      <c r="LBK38" s="19"/>
      <c r="LBT38" s="19"/>
      <c r="LBU38" s="19"/>
      <c r="LBV38" s="19"/>
      <c r="LBW38" s="19"/>
      <c r="LBX38" s="21"/>
      <c r="LBY38" s="19"/>
      <c r="LCH38" s="19"/>
      <c r="LCI38" s="19"/>
      <c r="LCJ38" s="19"/>
      <c r="LCK38" s="19"/>
      <c r="LCL38" s="21"/>
      <c r="LCM38" s="19"/>
      <c r="LCV38" s="19"/>
      <c r="LCW38" s="19"/>
      <c r="LCX38" s="19"/>
      <c r="LCY38" s="19"/>
      <c r="LCZ38" s="21"/>
      <c r="LDA38" s="19"/>
      <c r="LDJ38" s="19"/>
      <c r="LDK38" s="19"/>
      <c r="LDL38" s="19"/>
      <c r="LDM38" s="19"/>
      <c r="LDN38" s="21"/>
      <c r="LDO38" s="19"/>
      <c r="LDX38" s="19"/>
      <c r="LDY38" s="19"/>
      <c r="LDZ38" s="19"/>
      <c r="LEA38" s="19"/>
      <c r="LEB38" s="21"/>
      <c r="LEC38" s="19"/>
      <c r="LEL38" s="19"/>
      <c r="LEM38" s="19"/>
      <c r="LEN38" s="19"/>
      <c r="LEO38" s="19"/>
      <c r="LEP38" s="21"/>
      <c r="LEQ38" s="19"/>
      <c r="LEZ38" s="19"/>
      <c r="LFA38" s="19"/>
      <c r="LFB38" s="19"/>
      <c r="LFC38" s="19"/>
      <c r="LFD38" s="21"/>
      <c r="LFE38" s="19"/>
      <c r="LFN38" s="19"/>
      <c r="LFO38" s="19"/>
      <c r="LFP38" s="19"/>
      <c r="LFQ38" s="19"/>
      <c r="LFR38" s="21"/>
      <c r="LFS38" s="19"/>
      <c r="LGB38" s="19"/>
      <c r="LGC38" s="19"/>
      <c r="LGD38" s="19"/>
      <c r="LGE38" s="19"/>
      <c r="LGF38" s="21"/>
      <c r="LGG38" s="19"/>
      <c r="LGP38" s="19"/>
      <c r="LGQ38" s="19"/>
      <c r="LGR38" s="19"/>
      <c r="LGS38" s="19"/>
      <c r="LGT38" s="21"/>
      <c r="LGU38" s="19"/>
      <c r="LHD38" s="19"/>
      <c r="LHE38" s="19"/>
      <c r="LHF38" s="19"/>
      <c r="LHG38" s="19"/>
      <c r="LHH38" s="21"/>
      <c r="LHI38" s="19"/>
      <c r="LHR38" s="19"/>
      <c r="LHS38" s="19"/>
      <c r="LHT38" s="19"/>
      <c r="LHU38" s="19"/>
      <c r="LHV38" s="21"/>
      <c r="LHW38" s="19"/>
      <c r="LIF38" s="19"/>
      <c r="LIG38" s="19"/>
      <c r="LIH38" s="19"/>
      <c r="LII38" s="19"/>
      <c r="LIJ38" s="21"/>
      <c r="LIK38" s="19"/>
      <c r="LIT38" s="19"/>
      <c r="LIU38" s="19"/>
      <c r="LIV38" s="19"/>
      <c r="LIW38" s="19"/>
      <c r="LIX38" s="21"/>
      <c r="LIY38" s="19"/>
      <c r="LJH38" s="19"/>
      <c r="LJI38" s="19"/>
      <c r="LJJ38" s="19"/>
      <c r="LJK38" s="19"/>
      <c r="LJL38" s="21"/>
      <c r="LJM38" s="19"/>
      <c r="LJV38" s="19"/>
      <c r="LJW38" s="19"/>
      <c r="LJX38" s="19"/>
      <c r="LJY38" s="19"/>
      <c r="LJZ38" s="21"/>
      <c r="LKA38" s="19"/>
      <c r="LKJ38" s="19"/>
      <c r="LKK38" s="19"/>
      <c r="LKL38" s="19"/>
      <c r="LKM38" s="19"/>
      <c r="LKN38" s="21"/>
      <c r="LKO38" s="19"/>
      <c r="LKX38" s="19"/>
      <c r="LKY38" s="19"/>
      <c r="LKZ38" s="19"/>
      <c r="LLA38" s="19"/>
      <c r="LLB38" s="21"/>
      <c r="LLC38" s="19"/>
      <c r="LLL38" s="19"/>
      <c r="LLM38" s="19"/>
      <c r="LLN38" s="19"/>
      <c r="LLO38" s="19"/>
      <c r="LLP38" s="21"/>
      <c r="LLQ38" s="19"/>
      <c r="LLZ38" s="19"/>
      <c r="LMA38" s="19"/>
      <c r="LMB38" s="19"/>
      <c r="LMC38" s="19"/>
      <c r="LMD38" s="21"/>
      <c r="LME38" s="19"/>
      <c r="LMN38" s="19"/>
      <c r="LMO38" s="19"/>
      <c r="LMP38" s="19"/>
      <c r="LMQ38" s="19"/>
      <c r="LMR38" s="21"/>
      <c r="LMS38" s="19"/>
      <c r="LNB38" s="19"/>
      <c r="LNC38" s="19"/>
      <c r="LND38" s="19"/>
      <c r="LNE38" s="19"/>
      <c r="LNF38" s="21"/>
      <c r="LNG38" s="19"/>
      <c r="LNP38" s="19"/>
      <c r="LNQ38" s="19"/>
      <c r="LNR38" s="19"/>
      <c r="LNS38" s="19"/>
      <c r="LNT38" s="21"/>
      <c r="LNU38" s="19"/>
      <c r="LOD38" s="19"/>
      <c r="LOE38" s="19"/>
      <c r="LOF38" s="19"/>
      <c r="LOG38" s="19"/>
      <c r="LOH38" s="21"/>
      <c r="LOI38" s="19"/>
      <c r="LOR38" s="19"/>
      <c r="LOS38" s="19"/>
      <c r="LOT38" s="19"/>
      <c r="LOU38" s="19"/>
      <c r="LOV38" s="21"/>
      <c r="LOW38" s="19"/>
      <c r="LPF38" s="19"/>
      <c r="LPG38" s="19"/>
      <c r="LPH38" s="19"/>
      <c r="LPI38" s="19"/>
      <c r="LPJ38" s="21"/>
      <c r="LPK38" s="19"/>
      <c r="LPT38" s="19"/>
      <c r="LPU38" s="19"/>
      <c r="LPV38" s="19"/>
      <c r="LPW38" s="19"/>
      <c r="LPX38" s="21"/>
      <c r="LPY38" s="19"/>
      <c r="LQH38" s="19"/>
      <c r="LQI38" s="19"/>
      <c r="LQJ38" s="19"/>
      <c r="LQK38" s="19"/>
      <c r="LQL38" s="21"/>
      <c r="LQM38" s="19"/>
      <c r="LQV38" s="19"/>
      <c r="LQW38" s="19"/>
      <c r="LQX38" s="19"/>
      <c r="LQY38" s="19"/>
      <c r="LQZ38" s="21"/>
      <c r="LRA38" s="19"/>
      <c r="LRJ38" s="19"/>
      <c r="LRK38" s="19"/>
      <c r="LRL38" s="19"/>
      <c r="LRM38" s="19"/>
      <c r="LRN38" s="21"/>
      <c r="LRO38" s="19"/>
      <c r="LRX38" s="19"/>
      <c r="LRY38" s="19"/>
      <c r="LRZ38" s="19"/>
      <c r="LSA38" s="19"/>
      <c r="LSB38" s="21"/>
      <c r="LSC38" s="19"/>
      <c r="LSL38" s="19"/>
      <c r="LSM38" s="19"/>
      <c r="LSN38" s="19"/>
      <c r="LSO38" s="19"/>
      <c r="LSP38" s="21"/>
      <c r="LSQ38" s="19"/>
      <c r="LSZ38" s="19"/>
      <c r="LTA38" s="19"/>
      <c r="LTB38" s="19"/>
      <c r="LTC38" s="19"/>
      <c r="LTD38" s="21"/>
      <c r="LTE38" s="19"/>
      <c r="LTN38" s="19"/>
      <c r="LTO38" s="19"/>
      <c r="LTP38" s="19"/>
      <c r="LTQ38" s="19"/>
      <c r="LTR38" s="21"/>
      <c r="LTS38" s="19"/>
      <c r="LUB38" s="19"/>
      <c r="LUC38" s="19"/>
      <c r="LUD38" s="19"/>
      <c r="LUE38" s="19"/>
      <c r="LUF38" s="21"/>
      <c r="LUG38" s="19"/>
      <c r="LUP38" s="19"/>
      <c r="LUQ38" s="19"/>
      <c r="LUR38" s="19"/>
      <c r="LUS38" s="19"/>
      <c r="LUT38" s="21"/>
      <c r="LUU38" s="19"/>
      <c r="LVD38" s="19"/>
      <c r="LVE38" s="19"/>
      <c r="LVF38" s="19"/>
      <c r="LVG38" s="19"/>
      <c r="LVH38" s="21"/>
      <c r="LVI38" s="19"/>
      <c r="LVR38" s="19"/>
      <c r="LVS38" s="19"/>
      <c r="LVT38" s="19"/>
      <c r="LVU38" s="19"/>
      <c r="LVV38" s="21"/>
      <c r="LVW38" s="19"/>
      <c r="LWF38" s="19"/>
      <c r="LWG38" s="19"/>
      <c r="LWH38" s="19"/>
      <c r="LWI38" s="19"/>
      <c r="LWJ38" s="21"/>
      <c r="LWK38" s="19"/>
      <c r="LWT38" s="19"/>
      <c r="LWU38" s="19"/>
      <c r="LWV38" s="19"/>
      <c r="LWW38" s="19"/>
      <c r="LWX38" s="21"/>
      <c r="LWY38" s="19"/>
      <c r="LXH38" s="19"/>
      <c r="LXI38" s="19"/>
      <c r="LXJ38" s="19"/>
      <c r="LXK38" s="19"/>
      <c r="LXL38" s="21"/>
      <c r="LXM38" s="19"/>
      <c r="LXV38" s="19"/>
      <c r="LXW38" s="19"/>
      <c r="LXX38" s="19"/>
      <c r="LXY38" s="19"/>
      <c r="LXZ38" s="21"/>
      <c r="LYA38" s="19"/>
      <c r="LYJ38" s="19"/>
      <c r="LYK38" s="19"/>
      <c r="LYL38" s="19"/>
      <c r="LYM38" s="19"/>
      <c r="LYN38" s="21"/>
      <c r="LYO38" s="19"/>
      <c r="LYX38" s="19"/>
      <c r="LYY38" s="19"/>
      <c r="LYZ38" s="19"/>
      <c r="LZA38" s="19"/>
      <c r="LZB38" s="21"/>
      <c r="LZC38" s="19"/>
      <c r="LZL38" s="19"/>
      <c r="LZM38" s="19"/>
      <c r="LZN38" s="19"/>
      <c r="LZO38" s="19"/>
      <c r="LZP38" s="21"/>
      <c r="LZQ38" s="19"/>
      <c r="LZZ38" s="19"/>
      <c r="MAA38" s="19"/>
      <c r="MAB38" s="19"/>
      <c r="MAC38" s="19"/>
      <c r="MAD38" s="21"/>
      <c r="MAE38" s="19"/>
      <c r="MAN38" s="19"/>
      <c r="MAO38" s="19"/>
      <c r="MAP38" s="19"/>
      <c r="MAQ38" s="19"/>
      <c r="MAR38" s="21"/>
      <c r="MAS38" s="19"/>
      <c r="MBB38" s="19"/>
      <c r="MBC38" s="19"/>
      <c r="MBD38" s="19"/>
      <c r="MBE38" s="19"/>
      <c r="MBF38" s="21"/>
      <c r="MBG38" s="19"/>
      <c r="MBP38" s="19"/>
      <c r="MBQ38" s="19"/>
      <c r="MBR38" s="19"/>
      <c r="MBS38" s="19"/>
      <c r="MBT38" s="21"/>
      <c r="MBU38" s="19"/>
      <c r="MCD38" s="19"/>
      <c r="MCE38" s="19"/>
      <c r="MCF38" s="19"/>
      <c r="MCG38" s="19"/>
      <c r="MCH38" s="21"/>
      <c r="MCI38" s="19"/>
      <c r="MCR38" s="19"/>
      <c r="MCS38" s="19"/>
      <c r="MCT38" s="19"/>
      <c r="MCU38" s="19"/>
      <c r="MCV38" s="21"/>
      <c r="MCW38" s="19"/>
      <c r="MDF38" s="19"/>
      <c r="MDG38" s="19"/>
      <c r="MDH38" s="19"/>
      <c r="MDI38" s="19"/>
      <c r="MDJ38" s="21"/>
      <c r="MDK38" s="19"/>
      <c r="MDT38" s="19"/>
      <c r="MDU38" s="19"/>
      <c r="MDV38" s="19"/>
      <c r="MDW38" s="19"/>
      <c r="MDX38" s="21"/>
      <c r="MDY38" s="19"/>
      <c r="MEH38" s="19"/>
      <c r="MEI38" s="19"/>
      <c r="MEJ38" s="19"/>
      <c r="MEK38" s="19"/>
      <c r="MEL38" s="21"/>
      <c r="MEM38" s="19"/>
      <c r="MEV38" s="19"/>
      <c r="MEW38" s="19"/>
      <c r="MEX38" s="19"/>
      <c r="MEY38" s="19"/>
      <c r="MEZ38" s="21"/>
      <c r="MFA38" s="19"/>
      <c r="MFJ38" s="19"/>
      <c r="MFK38" s="19"/>
      <c r="MFL38" s="19"/>
      <c r="MFM38" s="19"/>
      <c r="MFN38" s="21"/>
      <c r="MFO38" s="19"/>
      <c r="MFX38" s="19"/>
      <c r="MFY38" s="19"/>
      <c r="MFZ38" s="19"/>
      <c r="MGA38" s="19"/>
      <c r="MGB38" s="21"/>
      <c r="MGC38" s="19"/>
      <c r="MGL38" s="19"/>
      <c r="MGM38" s="19"/>
      <c r="MGN38" s="19"/>
      <c r="MGO38" s="19"/>
      <c r="MGP38" s="21"/>
      <c r="MGQ38" s="19"/>
      <c r="MGZ38" s="19"/>
      <c r="MHA38" s="19"/>
      <c r="MHB38" s="19"/>
      <c r="MHC38" s="19"/>
      <c r="MHD38" s="21"/>
      <c r="MHE38" s="19"/>
      <c r="MHN38" s="19"/>
      <c r="MHO38" s="19"/>
      <c r="MHP38" s="19"/>
      <c r="MHQ38" s="19"/>
      <c r="MHR38" s="21"/>
      <c r="MHS38" s="19"/>
      <c r="MIB38" s="19"/>
      <c r="MIC38" s="19"/>
      <c r="MID38" s="19"/>
      <c r="MIE38" s="19"/>
      <c r="MIF38" s="21"/>
      <c r="MIG38" s="19"/>
      <c r="MIP38" s="19"/>
      <c r="MIQ38" s="19"/>
      <c r="MIR38" s="19"/>
      <c r="MIS38" s="19"/>
      <c r="MIT38" s="21"/>
      <c r="MIU38" s="19"/>
      <c r="MJD38" s="19"/>
      <c r="MJE38" s="19"/>
      <c r="MJF38" s="19"/>
      <c r="MJG38" s="19"/>
      <c r="MJH38" s="21"/>
      <c r="MJI38" s="19"/>
      <c r="MJR38" s="19"/>
      <c r="MJS38" s="19"/>
      <c r="MJT38" s="19"/>
      <c r="MJU38" s="19"/>
      <c r="MJV38" s="21"/>
      <c r="MJW38" s="19"/>
      <c r="MKF38" s="19"/>
      <c r="MKG38" s="19"/>
      <c r="MKH38" s="19"/>
      <c r="MKI38" s="19"/>
      <c r="MKJ38" s="21"/>
      <c r="MKK38" s="19"/>
      <c r="MKT38" s="19"/>
      <c r="MKU38" s="19"/>
      <c r="MKV38" s="19"/>
      <c r="MKW38" s="19"/>
      <c r="MKX38" s="21"/>
      <c r="MKY38" s="19"/>
      <c r="MLH38" s="19"/>
      <c r="MLI38" s="19"/>
      <c r="MLJ38" s="19"/>
      <c r="MLK38" s="19"/>
      <c r="MLL38" s="21"/>
      <c r="MLM38" s="19"/>
      <c r="MLV38" s="19"/>
      <c r="MLW38" s="19"/>
      <c r="MLX38" s="19"/>
      <c r="MLY38" s="19"/>
      <c r="MLZ38" s="21"/>
      <c r="MMA38" s="19"/>
      <c r="MMJ38" s="19"/>
      <c r="MMK38" s="19"/>
      <c r="MML38" s="19"/>
      <c r="MMM38" s="19"/>
      <c r="MMN38" s="21"/>
      <c r="MMO38" s="19"/>
      <c r="MMX38" s="19"/>
      <c r="MMY38" s="19"/>
      <c r="MMZ38" s="19"/>
      <c r="MNA38" s="19"/>
      <c r="MNB38" s="21"/>
      <c r="MNC38" s="19"/>
      <c r="MNL38" s="19"/>
      <c r="MNM38" s="19"/>
      <c r="MNN38" s="19"/>
      <c r="MNO38" s="19"/>
      <c r="MNP38" s="21"/>
      <c r="MNQ38" s="19"/>
      <c r="MNZ38" s="19"/>
      <c r="MOA38" s="19"/>
      <c r="MOB38" s="19"/>
      <c r="MOC38" s="19"/>
      <c r="MOD38" s="21"/>
      <c r="MOE38" s="19"/>
      <c r="MON38" s="19"/>
      <c r="MOO38" s="19"/>
      <c r="MOP38" s="19"/>
      <c r="MOQ38" s="19"/>
      <c r="MOR38" s="21"/>
      <c r="MOS38" s="19"/>
      <c r="MPB38" s="19"/>
      <c r="MPC38" s="19"/>
      <c r="MPD38" s="19"/>
      <c r="MPE38" s="19"/>
      <c r="MPF38" s="21"/>
      <c r="MPG38" s="19"/>
      <c r="MPP38" s="19"/>
      <c r="MPQ38" s="19"/>
      <c r="MPR38" s="19"/>
      <c r="MPS38" s="19"/>
      <c r="MPT38" s="21"/>
      <c r="MPU38" s="19"/>
      <c r="MQD38" s="19"/>
      <c r="MQE38" s="19"/>
      <c r="MQF38" s="19"/>
      <c r="MQG38" s="19"/>
      <c r="MQH38" s="21"/>
      <c r="MQI38" s="19"/>
      <c r="MQR38" s="19"/>
      <c r="MQS38" s="19"/>
      <c r="MQT38" s="19"/>
      <c r="MQU38" s="19"/>
      <c r="MQV38" s="21"/>
      <c r="MQW38" s="19"/>
      <c r="MRF38" s="19"/>
      <c r="MRG38" s="19"/>
      <c r="MRH38" s="19"/>
      <c r="MRI38" s="19"/>
      <c r="MRJ38" s="21"/>
      <c r="MRK38" s="19"/>
      <c r="MRT38" s="19"/>
      <c r="MRU38" s="19"/>
      <c r="MRV38" s="19"/>
      <c r="MRW38" s="19"/>
      <c r="MRX38" s="21"/>
      <c r="MRY38" s="19"/>
      <c r="MSH38" s="19"/>
      <c r="MSI38" s="19"/>
      <c r="MSJ38" s="19"/>
      <c r="MSK38" s="19"/>
      <c r="MSL38" s="21"/>
      <c r="MSM38" s="19"/>
      <c r="MSV38" s="19"/>
      <c r="MSW38" s="19"/>
      <c r="MSX38" s="19"/>
      <c r="MSY38" s="19"/>
      <c r="MSZ38" s="21"/>
      <c r="MTA38" s="19"/>
      <c r="MTJ38" s="19"/>
      <c r="MTK38" s="19"/>
      <c r="MTL38" s="19"/>
      <c r="MTM38" s="19"/>
      <c r="MTN38" s="21"/>
      <c r="MTO38" s="19"/>
      <c r="MTX38" s="19"/>
      <c r="MTY38" s="19"/>
      <c r="MTZ38" s="19"/>
      <c r="MUA38" s="19"/>
      <c r="MUB38" s="21"/>
      <c r="MUC38" s="19"/>
      <c r="MUL38" s="19"/>
      <c r="MUM38" s="19"/>
      <c r="MUN38" s="19"/>
      <c r="MUO38" s="19"/>
      <c r="MUP38" s="21"/>
      <c r="MUQ38" s="19"/>
      <c r="MUZ38" s="19"/>
      <c r="MVA38" s="19"/>
      <c r="MVB38" s="19"/>
      <c r="MVC38" s="19"/>
      <c r="MVD38" s="21"/>
      <c r="MVE38" s="19"/>
      <c r="MVN38" s="19"/>
      <c r="MVO38" s="19"/>
      <c r="MVP38" s="19"/>
      <c r="MVQ38" s="19"/>
      <c r="MVR38" s="21"/>
      <c r="MVS38" s="19"/>
      <c r="MWB38" s="19"/>
      <c r="MWC38" s="19"/>
      <c r="MWD38" s="19"/>
      <c r="MWE38" s="19"/>
      <c r="MWF38" s="21"/>
      <c r="MWG38" s="19"/>
      <c r="MWP38" s="19"/>
      <c r="MWQ38" s="19"/>
      <c r="MWR38" s="19"/>
      <c r="MWS38" s="19"/>
      <c r="MWT38" s="21"/>
      <c r="MWU38" s="19"/>
      <c r="MXD38" s="19"/>
      <c r="MXE38" s="19"/>
      <c r="MXF38" s="19"/>
      <c r="MXG38" s="19"/>
      <c r="MXH38" s="21"/>
      <c r="MXI38" s="19"/>
      <c r="MXR38" s="19"/>
      <c r="MXS38" s="19"/>
      <c r="MXT38" s="19"/>
      <c r="MXU38" s="19"/>
      <c r="MXV38" s="21"/>
      <c r="MXW38" s="19"/>
      <c r="MYF38" s="19"/>
      <c r="MYG38" s="19"/>
      <c r="MYH38" s="19"/>
      <c r="MYI38" s="19"/>
      <c r="MYJ38" s="21"/>
      <c r="MYK38" s="19"/>
      <c r="MYT38" s="19"/>
      <c r="MYU38" s="19"/>
      <c r="MYV38" s="19"/>
      <c r="MYW38" s="19"/>
      <c r="MYX38" s="21"/>
      <c r="MYY38" s="19"/>
      <c r="MZH38" s="19"/>
      <c r="MZI38" s="19"/>
      <c r="MZJ38" s="19"/>
      <c r="MZK38" s="19"/>
      <c r="MZL38" s="21"/>
      <c r="MZM38" s="19"/>
      <c r="MZV38" s="19"/>
      <c r="MZW38" s="19"/>
      <c r="MZX38" s="19"/>
      <c r="MZY38" s="19"/>
      <c r="MZZ38" s="21"/>
      <c r="NAA38" s="19"/>
      <c r="NAJ38" s="19"/>
      <c r="NAK38" s="19"/>
      <c r="NAL38" s="19"/>
      <c r="NAM38" s="19"/>
      <c r="NAN38" s="21"/>
      <c r="NAO38" s="19"/>
      <c r="NAX38" s="19"/>
      <c r="NAY38" s="19"/>
      <c r="NAZ38" s="19"/>
      <c r="NBA38" s="19"/>
      <c r="NBB38" s="21"/>
      <c r="NBC38" s="19"/>
      <c r="NBL38" s="19"/>
      <c r="NBM38" s="19"/>
      <c r="NBN38" s="19"/>
      <c r="NBO38" s="19"/>
      <c r="NBP38" s="21"/>
      <c r="NBQ38" s="19"/>
      <c r="NBZ38" s="19"/>
      <c r="NCA38" s="19"/>
      <c r="NCB38" s="19"/>
      <c r="NCC38" s="19"/>
      <c r="NCD38" s="21"/>
      <c r="NCE38" s="19"/>
      <c r="NCN38" s="19"/>
      <c r="NCO38" s="19"/>
      <c r="NCP38" s="19"/>
      <c r="NCQ38" s="19"/>
      <c r="NCR38" s="21"/>
      <c r="NCS38" s="19"/>
      <c r="NDB38" s="19"/>
      <c r="NDC38" s="19"/>
      <c r="NDD38" s="19"/>
      <c r="NDE38" s="19"/>
      <c r="NDF38" s="21"/>
      <c r="NDG38" s="19"/>
      <c r="NDP38" s="19"/>
      <c r="NDQ38" s="19"/>
      <c r="NDR38" s="19"/>
      <c r="NDS38" s="19"/>
      <c r="NDT38" s="21"/>
      <c r="NDU38" s="19"/>
      <c r="NED38" s="19"/>
      <c r="NEE38" s="19"/>
      <c r="NEF38" s="19"/>
      <c r="NEG38" s="19"/>
      <c r="NEH38" s="21"/>
      <c r="NEI38" s="19"/>
      <c r="NER38" s="19"/>
      <c r="NES38" s="19"/>
      <c r="NET38" s="19"/>
      <c r="NEU38" s="19"/>
      <c r="NEV38" s="21"/>
      <c r="NEW38" s="19"/>
      <c r="NFF38" s="19"/>
      <c r="NFG38" s="19"/>
      <c r="NFH38" s="19"/>
      <c r="NFI38" s="19"/>
      <c r="NFJ38" s="21"/>
      <c r="NFK38" s="19"/>
      <c r="NFT38" s="19"/>
      <c r="NFU38" s="19"/>
      <c r="NFV38" s="19"/>
      <c r="NFW38" s="19"/>
      <c r="NFX38" s="21"/>
      <c r="NFY38" s="19"/>
      <c r="NGH38" s="19"/>
      <c r="NGI38" s="19"/>
      <c r="NGJ38" s="19"/>
      <c r="NGK38" s="19"/>
      <c r="NGL38" s="21"/>
      <c r="NGM38" s="19"/>
      <c r="NGV38" s="19"/>
      <c r="NGW38" s="19"/>
      <c r="NGX38" s="19"/>
      <c r="NGY38" s="19"/>
      <c r="NGZ38" s="21"/>
      <c r="NHA38" s="19"/>
      <c r="NHJ38" s="19"/>
      <c r="NHK38" s="19"/>
      <c r="NHL38" s="19"/>
      <c r="NHM38" s="19"/>
      <c r="NHN38" s="21"/>
      <c r="NHO38" s="19"/>
      <c r="NHX38" s="19"/>
      <c r="NHY38" s="19"/>
      <c r="NHZ38" s="19"/>
      <c r="NIA38" s="19"/>
      <c r="NIB38" s="21"/>
      <c r="NIC38" s="19"/>
      <c r="NIL38" s="19"/>
      <c r="NIM38" s="19"/>
      <c r="NIN38" s="19"/>
      <c r="NIO38" s="19"/>
      <c r="NIP38" s="21"/>
      <c r="NIQ38" s="19"/>
      <c r="NIZ38" s="19"/>
      <c r="NJA38" s="19"/>
      <c r="NJB38" s="19"/>
      <c r="NJC38" s="19"/>
      <c r="NJD38" s="21"/>
      <c r="NJE38" s="19"/>
      <c r="NJN38" s="19"/>
      <c r="NJO38" s="19"/>
      <c r="NJP38" s="19"/>
      <c r="NJQ38" s="19"/>
      <c r="NJR38" s="21"/>
      <c r="NJS38" s="19"/>
      <c r="NKB38" s="19"/>
      <c r="NKC38" s="19"/>
      <c r="NKD38" s="19"/>
      <c r="NKE38" s="19"/>
      <c r="NKF38" s="21"/>
      <c r="NKG38" s="19"/>
      <c r="NKP38" s="19"/>
      <c r="NKQ38" s="19"/>
      <c r="NKR38" s="19"/>
      <c r="NKS38" s="19"/>
      <c r="NKT38" s="21"/>
      <c r="NKU38" s="19"/>
      <c r="NLD38" s="19"/>
      <c r="NLE38" s="19"/>
      <c r="NLF38" s="19"/>
      <c r="NLG38" s="19"/>
      <c r="NLH38" s="21"/>
      <c r="NLI38" s="19"/>
      <c r="NLR38" s="19"/>
      <c r="NLS38" s="19"/>
      <c r="NLT38" s="19"/>
      <c r="NLU38" s="19"/>
      <c r="NLV38" s="21"/>
      <c r="NLW38" s="19"/>
      <c r="NMF38" s="19"/>
      <c r="NMG38" s="19"/>
      <c r="NMH38" s="19"/>
      <c r="NMI38" s="19"/>
      <c r="NMJ38" s="21"/>
      <c r="NMK38" s="19"/>
      <c r="NMT38" s="19"/>
      <c r="NMU38" s="19"/>
      <c r="NMV38" s="19"/>
      <c r="NMW38" s="19"/>
      <c r="NMX38" s="21"/>
      <c r="NMY38" s="19"/>
      <c r="NNH38" s="19"/>
      <c r="NNI38" s="19"/>
      <c r="NNJ38" s="19"/>
      <c r="NNK38" s="19"/>
      <c r="NNL38" s="21"/>
      <c r="NNM38" s="19"/>
      <c r="NNV38" s="19"/>
      <c r="NNW38" s="19"/>
      <c r="NNX38" s="19"/>
      <c r="NNY38" s="19"/>
      <c r="NNZ38" s="21"/>
      <c r="NOA38" s="19"/>
      <c r="NOJ38" s="19"/>
      <c r="NOK38" s="19"/>
      <c r="NOL38" s="19"/>
      <c r="NOM38" s="19"/>
      <c r="NON38" s="21"/>
      <c r="NOO38" s="19"/>
      <c r="NOX38" s="19"/>
      <c r="NOY38" s="19"/>
      <c r="NOZ38" s="19"/>
      <c r="NPA38" s="19"/>
      <c r="NPB38" s="21"/>
      <c r="NPC38" s="19"/>
      <c r="NPL38" s="19"/>
      <c r="NPM38" s="19"/>
      <c r="NPN38" s="19"/>
      <c r="NPO38" s="19"/>
      <c r="NPP38" s="21"/>
      <c r="NPQ38" s="19"/>
      <c r="NPZ38" s="19"/>
      <c r="NQA38" s="19"/>
      <c r="NQB38" s="19"/>
      <c r="NQC38" s="19"/>
      <c r="NQD38" s="21"/>
      <c r="NQE38" s="19"/>
      <c r="NQN38" s="19"/>
      <c r="NQO38" s="19"/>
      <c r="NQP38" s="19"/>
      <c r="NQQ38" s="19"/>
      <c r="NQR38" s="21"/>
      <c r="NQS38" s="19"/>
      <c r="NRB38" s="19"/>
      <c r="NRC38" s="19"/>
      <c r="NRD38" s="19"/>
      <c r="NRE38" s="19"/>
      <c r="NRF38" s="21"/>
      <c r="NRG38" s="19"/>
      <c r="NRP38" s="19"/>
      <c r="NRQ38" s="19"/>
      <c r="NRR38" s="19"/>
      <c r="NRS38" s="19"/>
      <c r="NRT38" s="21"/>
      <c r="NRU38" s="19"/>
      <c r="NSD38" s="19"/>
      <c r="NSE38" s="19"/>
      <c r="NSF38" s="19"/>
      <c r="NSG38" s="19"/>
      <c r="NSH38" s="21"/>
      <c r="NSI38" s="19"/>
      <c r="NSR38" s="19"/>
      <c r="NSS38" s="19"/>
      <c r="NST38" s="19"/>
      <c r="NSU38" s="19"/>
      <c r="NSV38" s="21"/>
      <c r="NSW38" s="19"/>
      <c r="NTF38" s="19"/>
      <c r="NTG38" s="19"/>
      <c r="NTH38" s="19"/>
      <c r="NTI38" s="19"/>
      <c r="NTJ38" s="21"/>
      <c r="NTK38" s="19"/>
      <c r="NTT38" s="19"/>
      <c r="NTU38" s="19"/>
      <c r="NTV38" s="19"/>
      <c r="NTW38" s="19"/>
      <c r="NTX38" s="21"/>
      <c r="NTY38" s="19"/>
      <c r="NUH38" s="19"/>
      <c r="NUI38" s="19"/>
      <c r="NUJ38" s="19"/>
      <c r="NUK38" s="19"/>
      <c r="NUL38" s="21"/>
      <c r="NUM38" s="19"/>
      <c r="NUV38" s="19"/>
      <c r="NUW38" s="19"/>
      <c r="NUX38" s="19"/>
      <c r="NUY38" s="19"/>
      <c r="NUZ38" s="21"/>
      <c r="NVA38" s="19"/>
      <c r="NVJ38" s="19"/>
      <c r="NVK38" s="19"/>
      <c r="NVL38" s="19"/>
      <c r="NVM38" s="19"/>
      <c r="NVN38" s="21"/>
      <c r="NVO38" s="19"/>
      <c r="NVX38" s="19"/>
      <c r="NVY38" s="19"/>
      <c r="NVZ38" s="19"/>
      <c r="NWA38" s="19"/>
      <c r="NWB38" s="21"/>
      <c r="NWC38" s="19"/>
      <c r="NWL38" s="19"/>
      <c r="NWM38" s="19"/>
      <c r="NWN38" s="19"/>
      <c r="NWO38" s="19"/>
      <c r="NWP38" s="21"/>
      <c r="NWQ38" s="19"/>
      <c r="NWZ38" s="19"/>
      <c r="NXA38" s="19"/>
      <c r="NXB38" s="19"/>
      <c r="NXC38" s="19"/>
      <c r="NXD38" s="21"/>
      <c r="NXE38" s="19"/>
      <c r="NXN38" s="19"/>
      <c r="NXO38" s="19"/>
      <c r="NXP38" s="19"/>
      <c r="NXQ38" s="19"/>
      <c r="NXR38" s="21"/>
      <c r="NXS38" s="19"/>
      <c r="NYB38" s="19"/>
      <c r="NYC38" s="19"/>
      <c r="NYD38" s="19"/>
      <c r="NYE38" s="19"/>
      <c r="NYF38" s="21"/>
      <c r="NYG38" s="19"/>
      <c r="NYP38" s="19"/>
      <c r="NYQ38" s="19"/>
      <c r="NYR38" s="19"/>
      <c r="NYS38" s="19"/>
      <c r="NYT38" s="21"/>
      <c r="NYU38" s="19"/>
      <c r="NZD38" s="19"/>
      <c r="NZE38" s="19"/>
      <c r="NZF38" s="19"/>
      <c r="NZG38" s="19"/>
      <c r="NZH38" s="21"/>
      <c r="NZI38" s="19"/>
      <c r="NZR38" s="19"/>
      <c r="NZS38" s="19"/>
      <c r="NZT38" s="19"/>
      <c r="NZU38" s="19"/>
      <c r="NZV38" s="21"/>
      <c r="NZW38" s="19"/>
      <c r="OAF38" s="19"/>
      <c r="OAG38" s="19"/>
      <c r="OAH38" s="19"/>
      <c r="OAI38" s="19"/>
      <c r="OAJ38" s="21"/>
      <c r="OAK38" s="19"/>
      <c r="OAT38" s="19"/>
      <c r="OAU38" s="19"/>
      <c r="OAV38" s="19"/>
      <c r="OAW38" s="19"/>
      <c r="OAX38" s="21"/>
      <c r="OAY38" s="19"/>
      <c r="OBH38" s="19"/>
      <c r="OBI38" s="19"/>
      <c r="OBJ38" s="19"/>
      <c r="OBK38" s="19"/>
      <c r="OBL38" s="21"/>
      <c r="OBM38" s="19"/>
      <c r="OBV38" s="19"/>
      <c r="OBW38" s="19"/>
      <c r="OBX38" s="19"/>
      <c r="OBY38" s="19"/>
      <c r="OBZ38" s="21"/>
      <c r="OCA38" s="19"/>
      <c r="OCJ38" s="19"/>
      <c r="OCK38" s="19"/>
      <c r="OCL38" s="19"/>
      <c r="OCM38" s="19"/>
      <c r="OCN38" s="21"/>
      <c r="OCO38" s="19"/>
      <c r="OCX38" s="19"/>
      <c r="OCY38" s="19"/>
      <c r="OCZ38" s="19"/>
      <c r="ODA38" s="19"/>
      <c r="ODB38" s="21"/>
      <c r="ODC38" s="19"/>
      <c r="ODL38" s="19"/>
      <c r="ODM38" s="19"/>
      <c r="ODN38" s="19"/>
      <c r="ODO38" s="19"/>
      <c r="ODP38" s="21"/>
      <c r="ODQ38" s="19"/>
      <c r="ODZ38" s="19"/>
      <c r="OEA38" s="19"/>
      <c r="OEB38" s="19"/>
      <c r="OEC38" s="19"/>
      <c r="OED38" s="21"/>
      <c r="OEE38" s="19"/>
      <c r="OEN38" s="19"/>
      <c r="OEO38" s="19"/>
      <c r="OEP38" s="19"/>
      <c r="OEQ38" s="19"/>
      <c r="OER38" s="21"/>
      <c r="OES38" s="19"/>
      <c r="OFB38" s="19"/>
      <c r="OFC38" s="19"/>
      <c r="OFD38" s="19"/>
      <c r="OFE38" s="19"/>
      <c r="OFF38" s="21"/>
      <c r="OFG38" s="19"/>
      <c r="OFP38" s="19"/>
      <c r="OFQ38" s="19"/>
      <c r="OFR38" s="19"/>
      <c r="OFS38" s="19"/>
      <c r="OFT38" s="21"/>
      <c r="OFU38" s="19"/>
      <c r="OGD38" s="19"/>
      <c r="OGE38" s="19"/>
      <c r="OGF38" s="19"/>
      <c r="OGG38" s="19"/>
      <c r="OGH38" s="21"/>
      <c r="OGI38" s="19"/>
      <c r="OGR38" s="19"/>
      <c r="OGS38" s="19"/>
      <c r="OGT38" s="19"/>
      <c r="OGU38" s="19"/>
      <c r="OGV38" s="21"/>
      <c r="OGW38" s="19"/>
      <c r="OHF38" s="19"/>
      <c r="OHG38" s="19"/>
      <c r="OHH38" s="19"/>
      <c r="OHI38" s="19"/>
      <c r="OHJ38" s="21"/>
      <c r="OHK38" s="19"/>
      <c r="OHT38" s="19"/>
      <c r="OHU38" s="19"/>
      <c r="OHV38" s="19"/>
      <c r="OHW38" s="19"/>
      <c r="OHX38" s="21"/>
      <c r="OHY38" s="19"/>
      <c r="OIH38" s="19"/>
      <c r="OII38" s="19"/>
      <c r="OIJ38" s="19"/>
      <c r="OIK38" s="19"/>
      <c r="OIL38" s="21"/>
      <c r="OIM38" s="19"/>
      <c r="OIV38" s="19"/>
      <c r="OIW38" s="19"/>
      <c r="OIX38" s="19"/>
      <c r="OIY38" s="19"/>
      <c r="OIZ38" s="21"/>
      <c r="OJA38" s="19"/>
      <c r="OJJ38" s="19"/>
      <c r="OJK38" s="19"/>
      <c r="OJL38" s="19"/>
      <c r="OJM38" s="19"/>
      <c r="OJN38" s="21"/>
      <c r="OJO38" s="19"/>
      <c r="OJX38" s="19"/>
      <c r="OJY38" s="19"/>
      <c r="OJZ38" s="19"/>
      <c r="OKA38" s="19"/>
      <c r="OKB38" s="21"/>
      <c r="OKC38" s="19"/>
      <c r="OKL38" s="19"/>
      <c r="OKM38" s="19"/>
      <c r="OKN38" s="19"/>
      <c r="OKO38" s="19"/>
      <c r="OKP38" s="21"/>
      <c r="OKQ38" s="19"/>
      <c r="OKZ38" s="19"/>
      <c r="OLA38" s="19"/>
      <c r="OLB38" s="19"/>
      <c r="OLC38" s="19"/>
      <c r="OLD38" s="21"/>
      <c r="OLE38" s="19"/>
      <c r="OLN38" s="19"/>
      <c r="OLO38" s="19"/>
      <c r="OLP38" s="19"/>
      <c r="OLQ38" s="19"/>
      <c r="OLR38" s="21"/>
      <c r="OLS38" s="19"/>
      <c r="OMB38" s="19"/>
      <c r="OMC38" s="19"/>
      <c r="OMD38" s="19"/>
      <c r="OME38" s="19"/>
      <c r="OMF38" s="21"/>
      <c r="OMG38" s="19"/>
      <c r="OMP38" s="19"/>
      <c r="OMQ38" s="19"/>
      <c r="OMR38" s="19"/>
      <c r="OMS38" s="19"/>
      <c r="OMT38" s="21"/>
      <c r="OMU38" s="19"/>
      <c r="OND38" s="19"/>
      <c r="ONE38" s="19"/>
      <c r="ONF38" s="19"/>
      <c r="ONG38" s="19"/>
      <c r="ONH38" s="21"/>
      <c r="ONI38" s="19"/>
      <c r="ONR38" s="19"/>
      <c r="ONS38" s="19"/>
      <c r="ONT38" s="19"/>
      <c r="ONU38" s="19"/>
      <c r="ONV38" s="21"/>
      <c r="ONW38" s="19"/>
      <c r="OOF38" s="19"/>
      <c r="OOG38" s="19"/>
      <c r="OOH38" s="19"/>
      <c r="OOI38" s="19"/>
      <c r="OOJ38" s="21"/>
      <c r="OOK38" s="19"/>
      <c r="OOT38" s="19"/>
      <c r="OOU38" s="19"/>
      <c r="OOV38" s="19"/>
      <c r="OOW38" s="19"/>
      <c r="OOX38" s="21"/>
      <c r="OOY38" s="19"/>
      <c r="OPH38" s="19"/>
      <c r="OPI38" s="19"/>
      <c r="OPJ38" s="19"/>
      <c r="OPK38" s="19"/>
      <c r="OPL38" s="21"/>
      <c r="OPM38" s="19"/>
      <c r="OPV38" s="19"/>
      <c r="OPW38" s="19"/>
      <c r="OPX38" s="19"/>
      <c r="OPY38" s="19"/>
      <c r="OPZ38" s="21"/>
      <c r="OQA38" s="19"/>
      <c r="OQJ38" s="19"/>
      <c r="OQK38" s="19"/>
      <c r="OQL38" s="19"/>
      <c r="OQM38" s="19"/>
      <c r="OQN38" s="21"/>
      <c r="OQO38" s="19"/>
      <c r="OQX38" s="19"/>
      <c r="OQY38" s="19"/>
      <c r="OQZ38" s="19"/>
      <c r="ORA38" s="19"/>
      <c r="ORB38" s="21"/>
      <c r="ORC38" s="19"/>
      <c r="ORL38" s="19"/>
      <c r="ORM38" s="19"/>
      <c r="ORN38" s="19"/>
      <c r="ORO38" s="19"/>
      <c r="ORP38" s="21"/>
      <c r="ORQ38" s="19"/>
      <c r="ORZ38" s="19"/>
      <c r="OSA38" s="19"/>
      <c r="OSB38" s="19"/>
      <c r="OSC38" s="19"/>
      <c r="OSD38" s="21"/>
      <c r="OSE38" s="19"/>
      <c r="OSN38" s="19"/>
      <c r="OSO38" s="19"/>
      <c r="OSP38" s="19"/>
      <c r="OSQ38" s="19"/>
      <c r="OSR38" s="21"/>
      <c r="OSS38" s="19"/>
      <c r="OTB38" s="19"/>
      <c r="OTC38" s="19"/>
      <c r="OTD38" s="19"/>
      <c r="OTE38" s="19"/>
      <c r="OTF38" s="21"/>
      <c r="OTG38" s="19"/>
      <c r="OTP38" s="19"/>
      <c r="OTQ38" s="19"/>
      <c r="OTR38" s="19"/>
      <c r="OTS38" s="19"/>
      <c r="OTT38" s="21"/>
      <c r="OTU38" s="19"/>
      <c r="OUD38" s="19"/>
      <c r="OUE38" s="19"/>
      <c r="OUF38" s="19"/>
      <c r="OUG38" s="19"/>
      <c r="OUH38" s="21"/>
      <c r="OUI38" s="19"/>
      <c r="OUR38" s="19"/>
      <c r="OUS38" s="19"/>
      <c r="OUT38" s="19"/>
      <c r="OUU38" s="19"/>
      <c r="OUV38" s="21"/>
      <c r="OUW38" s="19"/>
      <c r="OVF38" s="19"/>
      <c r="OVG38" s="19"/>
      <c r="OVH38" s="19"/>
      <c r="OVI38" s="19"/>
      <c r="OVJ38" s="21"/>
      <c r="OVK38" s="19"/>
      <c r="OVT38" s="19"/>
      <c r="OVU38" s="19"/>
      <c r="OVV38" s="19"/>
      <c r="OVW38" s="19"/>
      <c r="OVX38" s="21"/>
      <c r="OVY38" s="19"/>
      <c r="OWH38" s="19"/>
      <c r="OWI38" s="19"/>
      <c r="OWJ38" s="19"/>
      <c r="OWK38" s="19"/>
      <c r="OWL38" s="21"/>
      <c r="OWM38" s="19"/>
      <c r="OWV38" s="19"/>
      <c r="OWW38" s="19"/>
      <c r="OWX38" s="19"/>
      <c r="OWY38" s="19"/>
      <c r="OWZ38" s="21"/>
      <c r="OXA38" s="19"/>
      <c r="OXJ38" s="19"/>
      <c r="OXK38" s="19"/>
      <c r="OXL38" s="19"/>
      <c r="OXM38" s="19"/>
      <c r="OXN38" s="21"/>
      <c r="OXO38" s="19"/>
      <c r="OXX38" s="19"/>
      <c r="OXY38" s="19"/>
      <c r="OXZ38" s="19"/>
      <c r="OYA38" s="19"/>
      <c r="OYB38" s="21"/>
      <c r="OYC38" s="19"/>
      <c r="OYL38" s="19"/>
      <c r="OYM38" s="19"/>
      <c r="OYN38" s="19"/>
      <c r="OYO38" s="19"/>
      <c r="OYP38" s="21"/>
      <c r="OYQ38" s="19"/>
      <c r="OYZ38" s="19"/>
      <c r="OZA38" s="19"/>
      <c r="OZB38" s="19"/>
      <c r="OZC38" s="19"/>
      <c r="OZD38" s="21"/>
      <c r="OZE38" s="19"/>
      <c r="OZN38" s="19"/>
      <c r="OZO38" s="19"/>
      <c r="OZP38" s="19"/>
      <c r="OZQ38" s="19"/>
      <c r="OZR38" s="21"/>
      <c r="OZS38" s="19"/>
      <c r="PAB38" s="19"/>
      <c r="PAC38" s="19"/>
      <c r="PAD38" s="19"/>
      <c r="PAE38" s="19"/>
      <c r="PAF38" s="21"/>
      <c r="PAG38" s="19"/>
      <c r="PAP38" s="19"/>
      <c r="PAQ38" s="19"/>
      <c r="PAR38" s="19"/>
      <c r="PAS38" s="19"/>
      <c r="PAT38" s="21"/>
      <c r="PAU38" s="19"/>
      <c r="PBD38" s="19"/>
      <c r="PBE38" s="19"/>
      <c r="PBF38" s="19"/>
      <c r="PBG38" s="19"/>
      <c r="PBH38" s="21"/>
      <c r="PBI38" s="19"/>
      <c r="PBR38" s="19"/>
      <c r="PBS38" s="19"/>
      <c r="PBT38" s="19"/>
      <c r="PBU38" s="19"/>
      <c r="PBV38" s="21"/>
      <c r="PBW38" s="19"/>
      <c r="PCF38" s="19"/>
      <c r="PCG38" s="19"/>
      <c r="PCH38" s="19"/>
      <c r="PCI38" s="19"/>
      <c r="PCJ38" s="21"/>
      <c r="PCK38" s="19"/>
      <c r="PCT38" s="19"/>
      <c r="PCU38" s="19"/>
      <c r="PCV38" s="19"/>
      <c r="PCW38" s="19"/>
      <c r="PCX38" s="21"/>
      <c r="PCY38" s="19"/>
      <c r="PDH38" s="19"/>
      <c r="PDI38" s="19"/>
      <c r="PDJ38" s="19"/>
      <c r="PDK38" s="19"/>
      <c r="PDL38" s="21"/>
      <c r="PDM38" s="19"/>
      <c r="PDV38" s="19"/>
      <c r="PDW38" s="19"/>
      <c r="PDX38" s="19"/>
      <c r="PDY38" s="19"/>
      <c r="PDZ38" s="21"/>
      <c r="PEA38" s="19"/>
      <c r="PEJ38" s="19"/>
      <c r="PEK38" s="19"/>
      <c r="PEL38" s="19"/>
      <c r="PEM38" s="19"/>
      <c r="PEN38" s="21"/>
      <c r="PEO38" s="19"/>
      <c r="PEX38" s="19"/>
      <c r="PEY38" s="19"/>
      <c r="PEZ38" s="19"/>
      <c r="PFA38" s="19"/>
      <c r="PFB38" s="21"/>
      <c r="PFC38" s="19"/>
      <c r="PFL38" s="19"/>
      <c r="PFM38" s="19"/>
      <c r="PFN38" s="19"/>
      <c r="PFO38" s="19"/>
      <c r="PFP38" s="21"/>
      <c r="PFQ38" s="19"/>
      <c r="PFZ38" s="19"/>
      <c r="PGA38" s="19"/>
      <c r="PGB38" s="19"/>
      <c r="PGC38" s="19"/>
      <c r="PGD38" s="21"/>
      <c r="PGE38" s="19"/>
      <c r="PGN38" s="19"/>
      <c r="PGO38" s="19"/>
      <c r="PGP38" s="19"/>
      <c r="PGQ38" s="19"/>
      <c r="PGR38" s="21"/>
      <c r="PGS38" s="19"/>
      <c r="PHB38" s="19"/>
      <c r="PHC38" s="19"/>
      <c r="PHD38" s="19"/>
      <c r="PHE38" s="19"/>
      <c r="PHF38" s="21"/>
      <c r="PHG38" s="19"/>
      <c r="PHP38" s="19"/>
      <c r="PHQ38" s="19"/>
      <c r="PHR38" s="19"/>
      <c r="PHS38" s="19"/>
      <c r="PHT38" s="21"/>
      <c r="PHU38" s="19"/>
      <c r="PID38" s="19"/>
      <c r="PIE38" s="19"/>
      <c r="PIF38" s="19"/>
      <c r="PIG38" s="19"/>
      <c r="PIH38" s="21"/>
      <c r="PII38" s="19"/>
      <c r="PIR38" s="19"/>
      <c r="PIS38" s="19"/>
      <c r="PIT38" s="19"/>
      <c r="PIU38" s="19"/>
      <c r="PIV38" s="21"/>
      <c r="PIW38" s="19"/>
      <c r="PJF38" s="19"/>
      <c r="PJG38" s="19"/>
      <c r="PJH38" s="19"/>
      <c r="PJI38" s="19"/>
      <c r="PJJ38" s="21"/>
      <c r="PJK38" s="19"/>
      <c r="PJT38" s="19"/>
      <c r="PJU38" s="19"/>
      <c r="PJV38" s="19"/>
      <c r="PJW38" s="19"/>
      <c r="PJX38" s="21"/>
      <c r="PJY38" s="19"/>
      <c r="PKH38" s="19"/>
      <c r="PKI38" s="19"/>
      <c r="PKJ38" s="19"/>
      <c r="PKK38" s="19"/>
      <c r="PKL38" s="21"/>
      <c r="PKM38" s="19"/>
      <c r="PKV38" s="19"/>
      <c r="PKW38" s="19"/>
      <c r="PKX38" s="19"/>
      <c r="PKY38" s="19"/>
      <c r="PKZ38" s="21"/>
      <c r="PLA38" s="19"/>
      <c r="PLJ38" s="19"/>
      <c r="PLK38" s="19"/>
      <c r="PLL38" s="19"/>
      <c r="PLM38" s="19"/>
      <c r="PLN38" s="21"/>
      <c r="PLO38" s="19"/>
      <c r="PLX38" s="19"/>
      <c r="PLY38" s="19"/>
      <c r="PLZ38" s="19"/>
      <c r="PMA38" s="19"/>
      <c r="PMB38" s="21"/>
      <c r="PMC38" s="19"/>
      <c r="PML38" s="19"/>
      <c r="PMM38" s="19"/>
      <c r="PMN38" s="19"/>
      <c r="PMO38" s="19"/>
      <c r="PMP38" s="21"/>
      <c r="PMQ38" s="19"/>
      <c r="PMZ38" s="19"/>
      <c r="PNA38" s="19"/>
      <c r="PNB38" s="19"/>
      <c r="PNC38" s="19"/>
      <c r="PND38" s="21"/>
      <c r="PNE38" s="19"/>
      <c r="PNN38" s="19"/>
      <c r="PNO38" s="19"/>
      <c r="PNP38" s="19"/>
      <c r="PNQ38" s="19"/>
      <c r="PNR38" s="21"/>
      <c r="PNS38" s="19"/>
      <c r="POB38" s="19"/>
      <c r="POC38" s="19"/>
      <c r="POD38" s="19"/>
      <c r="POE38" s="19"/>
      <c r="POF38" s="21"/>
      <c r="POG38" s="19"/>
      <c r="POP38" s="19"/>
      <c r="POQ38" s="19"/>
      <c r="POR38" s="19"/>
      <c r="POS38" s="19"/>
      <c r="POT38" s="21"/>
      <c r="POU38" s="19"/>
      <c r="PPD38" s="19"/>
      <c r="PPE38" s="19"/>
      <c r="PPF38" s="19"/>
      <c r="PPG38" s="19"/>
      <c r="PPH38" s="21"/>
      <c r="PPI38" s="19"/>
      <c r="PPR38" s="19"/>
      <c r="PPS38" s="19"/>
      <c r="PPT38" s="19"/>
      <c r="PPU38" s="19"/>
      <c r="PPV38" s="21"/>
      <c r="PPW38" s="19"/>
      <c r="PQF38" s="19"/>
      <c r="PQG38" s="19"/>
      <c r="PQH38" s="19"/>
      <c r="PQI38" s="19"/>
      <c r="PQJ38" s="21"/>
      <c r="PQK38" s="19"/>
      <c r="PQT38" s="19"/>
      <c r="PQU38" s="19"/>
      <c r="PQV38" s="19"/>
      <c r="PQW38" s="19"/>
      <c r="PQX38" s="21"/>
      <c r="PQY38" s="19"/>
      <c r="PRH38" s="19"/>
      <c r="PRI38" s="19"/>
      <c r="PRJ38" s="19"/>
      <c r="PRK38" s="19"/>
      <c r="PRL38" s="21"/>
      <c r="PRM38" s="19"/>
      <c r="PRV38" s="19"/>
      <c r="PRW38" s="19"/>
      <c r="PRX38" s="19"/>
      <c r="PRY38" s="19"/>
      <c r="PRZ38" s="21"/>
      <c r="PSA38" s="19"/>
      <c r="PSJ38" s="19"/>
      <c r="PSK38" s="19"/>
      <c r="PSL38" s="19"/>
      <c r="PSM38" s="19"/>
      <c r="PSN38" s="21"/>
      <c r="PSO38" s="19"/>
      <c r="PSX38" s="19"/>
      <c r="PSY38" s="19"/>
      <c r="PSZ38" s="19"/>
      <c r="PTA38" s="19"/>
      <c r="PTB38" s="21"/>
      <c r="PTC38" s="19"/>
      <c r="PTL38" s="19"/>
      <c r="PTM38" s="19"/>
      <c r="PTN38" s="19"/>
      <c r="PTO38" s="19"/>
      <c r="PTP38" s="21"/>
      <c r="PTQ38" s="19"/>
      <c r="PTZ38" s="19"/>
      <c r="PUA38" s="19"/>
      <c r="PUB38" s="19"/>
      <c r="PUC38" s="19"/>
      <c r="PUD38" s="21"/>
      <c r="PUE38" s="19"/>
      <c r="PUN38" s="19"/>
      <c r="PUO38" s="19"/>
      <c r="PUP38" s="19"/>
      <c r="PUQ38" s="19"/>
      <c r="PUR38" s="21"/>
      <c r="PUS38" s="19"/>
      <c r="PVB38" s="19"/>
      <c r="PVC38" s="19"/>
      <c r="PVD38" s="19"/>
      <c r="PVE38" s="19"/>
      <c r="PVF38" s="21"/>
      <c r="PVG38" s="19"/>
      <c r="PVP38" s="19"/>
      <c r="PVQ38" s="19"/>
      <c r="PVR38" s="19"/>
      <c r="PVS38" s="19"/>
      <c r="PVT38" s="21"/>
      <c r="PVU38" s="19"/>
      <c r="PWD38" s="19"/>
      <c r="PWE38" s="19"/>
      <c r="PWF38" s="19"/>
      <c r="PWG38" s="19"/>
      <c r="PWH38" s="21"/>
      <c r="PWI38" s="19"/>
      <c r="PWR38" s="19"/>
      <c r="PWS38" s="19"/>
      <c r="PWT38" s="19"/>
      <c r="PWU38" s="19"/>
      <c r="PWV38" s="21"/>
      <c r="PWW38" s="19"/>
      <c r="PXF38" s="19"/>
      <c r="PXG38" s="19"/>
      <c r="PXH38" s="19"/>
      <c r="PXI38" s="19"/>
      <c r="PXJ38" s="21"/>
      <c r="PXK38" s="19"/>
      <c r="PXT38" s="19"/>
      <c r="PXU38" s="19"/>
      <c r="PXV38" s="19"/>
      <c r="PXW38" s="19"/>
      <c r="PXX38" s="21"/>
      <c r="PXY38" s="19"/>
      <c r="PYH38" s="19"/>
      <c r="PYI38" s="19"/>
      <c r="PYJ38" s="19"/>
      <c r="PYK38" s="19"/>
      <c r="PYL38" s="21"/>
      <c r="PYM38" s="19"/>
      <c r="PYV38" s="19"/>
      <c r="PYW38" s="19"/>
      <c r="PYX38" s="19"/>
      <c r="PYY38" s="19"/>
      <c r="PYZ38" s="21"/>
      <c r="PZA38" s="19"/>
      <c r="PZJ38" s="19"/>
      <c r="PZK38" s="19"/>
      <c r="PZL38" s="19"/>
      <c r="PZM38" s="19"/>
      <c r="PZN38" s="21"/>
      <c r="PZO38" s="19"/>
      <c r="PZX38" s="19"/>
      <c r="PZY38" s="19"/>
      <c r="PZZ38" s="19"/>
      <c r="QAA38" s="19"/>
      <c r="QAB38" s="21"/>
      <c r="QAC38" s="19"/>
      <c r="QAL38" s="19"/>
      <c r="QAM38" s="19"/>
      <c r="QAN38" s="19"/>
      <c r="QAO38" s="19"/>
      <c r="QAP38" s="21"/>
      <c r="QAQ38" s="19"/>
      <c r="QAZ38" s="19"/>
      <c r="QBA38" s="19"/>
      <c r="QBB38" s="19"/>
      <c r="QBC38" s="19"/>
      <c r="QBD38" s="21"/>
      <c r="QBE38" s="19"/>
      <c r="QBN38" s="19"/>
      <c r="QBO38" s="19"/>
      <c r="QBP38" s="19"/>
      <c r="QBQ38" s="19"/>
      <c r="QBR38" s="21"/>
      <c r="QBS38" s="19"/>
      <c r="QCB38" s="19"/>
      <c r="QCC38" s="19"/>
      <c r="QCD38" s="19"/>
      <c r="QCE38" s="19"/>
      <c r="QCF38" s="21"/>
      <c r="QCG38" s="19"/>
      <c r="QCP38" s="19"/>
      <c r="QCQ38" s="19"/>
      <c r="QCR38" s="19"/>
      <c r="QCS38" s="19"/>
      <c r="QCT38" s="21"/>
      <c r="QCU38" s="19"/>
      <c r="QDD38" s="19"/>
      <c r="QDE38" s="19"/>
      <c r="QDF38" s="19"/>
      <c r="QDG38" s="19"/>
      <c r="QDH38" s="21"/>
      <c r="QDI38" s="19"/>
      <c r="QDR38" s="19"/>
      <c r="QDS38" s="19"/>
      <c r="QDT38" s="19"/>
      <c r="QDU38" s="19"/>
      <c r="QDV38" s="21"/>
      <c r="QDW38" s="19"/>
      <c r="QEF38" s="19"/>
      <c r="QEG38" s="19"/>
      <c r="QEH38" s="19"/>
      <c r="QEI38" s="19"/>
      <c r="QEJ38" s="21"/>
      <c r="QEK38" s="19"/>
      <c r="QET38" s="19"/>
      <c r="QEU38" s="19"/>
      <c r="QEV38" s="19"/>
      <c r="QEW38" s="19"/>
      <c r="QEX38" s="21"/>
      <c r="QEY38" s="19"/>
      <c r="QFH38" s="19"/>
      <c r="QFI38" s="19"/>
      <c r="QFJ38" s="19"/>
      <c r="QFK38" s="19"/>
      <c r="QFL38" s="21"/>
      <c r="QFM38" s="19"/>
      <c r="QFV38" s="19"/>
      <c r="QFW38" s="19"/>
      <c r="QFX38" s="19"/>
      <c r="QFY38" s="19"/>
      <c r="QFZ38" s="21"/>
      <c r="QGA38" s="19"/>
      <c r="QGJ38" s="19"/>
      <c r="QGK38" s="19"/>
      <c r="QGL38" s="19"/>
      <c r="QGM38" s="19"/>
      <c r="QGN38" s="21"/>
      <c r="QGO38" s="19"/>
      <c r="QGX38" s="19"/>
      <c r="QGY38" s="19"/>
      <c r="QGZ38" s="19"/>
      <c r="QHA38" s="19"/>
      <c r="QHB38" s="21"/>
      <c r="QHC38" s="19"/>
      <c r="QHL38" s="19"/>
      <c r="QHM38" s="19"/>
      <c r="QHN38" s="19"/>
      <c r="QHO38" s="19"/>
      <c r="QHP38" s="21"/>
      <c r="QHQ38" s="19"/>
      <c r="QHZ38" s="19"/>
      <c r="QIA38" s="19"/>
      <c r="QIB38" s="19"/>
      <c r="QIC38" s="19"/>
      <c r="QID38" s="21"/>
      <c r="QIE38" s="19"/>
      <c r="QIN38" s="19"/>
      <c r="QIO38" s="19"/>
      <c r="QIP38" s="19"/>
      <c r="QIQ38" s="19"/>
      <c r="QIR38" s="21"/>
      <c r="QIS38" s="19"/>
      <c r="QJB38" s="19"/>
      <c r="QJC38" s="19"/>
      <c r="QJD38" s="19"/>
      <c r="QJE38" s="19"/>
      <c r="QJF38" s="21"/>
      <c r="QJG38" s="19"/>
      <c r="QJP38" s="19"/>
      <c r="QJQ38" s="19"/>
      <c r="QJR38" s="19"/>
      <c r="QJS38" s="19"/>
      <c r="QJT38" s="21"/>
      <c r="QJU38" s="19"/>
      <c r="QKD38" s="19"/>
      <c r="QKE38" s="19"/>
      <c r="QKF38" s="19"/>
      <c r="QKG38" s="19"/>
      <c r="QKH38" s="21"/>
      <c r="QKI38" s="19"/>
      <c r="QKR38" s="19"/>
      <c r="QKS38" s="19"/>
      <c r="QKT38" s="19"/>
      <c r="QKU38" s="19"/>
      <c r="QKV38" s="21"/>
      <c r="QKW38" s="19"/>
      <c r="QLF38" s="19"/>
      <c r="QLG38" s="19"/>
      <c r="QLH38" s="19"/>
      <c r="QLI38" s="19"/>
      <c r="QLJ38" s="21"/>
      <c r="QLK38" s="19"/>
      <c r="QLT38" s="19"/>
      <c r="QLU38" s="19"/>
      <c r="QLV38" s="19"/>
      <c r="QLW38" s="19"/>
      <c r="QLX38" s="21"/>
      <c r="QLY38" s="19"/>
      <c r="QMH38" s="19"/>
      <c r="QMI38" s="19"/>
      <c r="QMJ38" s="19"/>
      <c r="QMK38" s="19"/>
      <c r="QML38" s="21"/>
      <c r="QMM38" s="19"/>
      <c r="QMV38" s="19"/>
      <c r="QMW38" s="19"/>
      <c r="QMX38" s="19"/>
      <c r="QMY38" s="19"/>
      <c r="QMZ38" s="21"/>
      <c r="QNA38" s="19"/>
      <c r="QNJ38" s="19"/>
      <c r="QNK38" s="19"/>
      <c r="QNL38" s="19"/>
      <c r="QNM38" s="19"/>
      <c r="QNN38" s="21"/>
      <c r="QNO38" s="19"/>
      <c r="QNX38" s="19"/>
      <c r="QNY38" s="19"/>
      <c r="QNZ38" s="19"/>
      <c r="QOA38" s="19"/>
      <c r="QOB38" s="21"/>
      <c r="QOC38" s="19"/>
      <c r="QOL38" s="19"/>
      <c r="QOM38" s="19"/>
      <c r="QON38" s="19"/>
      <c r="QOO38" s="19"/>
      <c r="QOP38" s="21"/>
      <c r="QOQ38" s="19"/>
      <c r="QOZ38" s="19"/>
      <c r="QPA38" s="19"/>
      <c r="QPB38" s="19"/>
      <c r="QPC38" s="19"/>
      <c r="QPD38" s="21"/>
      <c r="QPE38" s="19"/>
      <c r="QPN38" s="19"/>
      <c r="QPO38" s="19"/>
      <c r="QPP38" s="19"/>
      <c r="QPQ38" s="19"/>
      <c r="QPR38" s="21"/>
      <c r="QPS38" s="19"/>
      <c r="QQB38" s="19"/>
      <c r="QQC38" s="19"/>
      <c r="QQD38" s="19"/>
      <c r="QQE38" s="19"/>
      <c r="QQF38" s="21"/>
      <c r="QQG38" s="19"/>
      <c r="QQP38" s="19"/>
      <c r="QQQ38" s="19"/>
      <c r="QQR38" s="19"/>
      <c r="QQS38" s="19"/>
      <c r="QQT38" s="21"/>
      <c r="QQU38" s="19"/>
      <c r="QRD38" s="19"/>
      <c r="QRE38" s="19"/>
      <c r="QRF38" s="19"/>
      <c r="QRG38" s="19"/>
      <c r="QRH38" s="21"/>
      <c r="QRI38" s="19"/>
      <c r="QRR38" s="19"/>
      <c r="QRS38" s="19"/>
      <c r="QRT38" s="19"/>
      <c r="QRU38" s="19"/>
      <c r="QRV38" s="21"/>
      <c r="QRW38" s="19"/>
      <c r="QSF38" s="19"/>
      <c r="QSG38" s="19"/>
      <c r="QSH38" s="19"/>
      <c r="QSI38" s="19"/>
      <c r="QSJ38" s="21"/>
      <c r="QSK38" s="19"/>
      <c r="QST38" s="19"/>
      <c r="QSU38" s="19"/>
      <c r="QSV38" s="19"/>
      <c r="QSW38" s="19"/>
      <c r="QSX38" s="21"/>
      <c r="QSY38" s="19"/>
      <c r="QTH38" s="19"/>
      <c r="QTI38" s="19"/>
      <c r="QTJ38" s="19"/>
      <c r="QTK38" s="19"/>
      <c r="QTL38" s="21"/>
      <c r="QTM38" s="19"/>
      <c r="QTV38" s="19"/>
      <c r="QTW38" s="19"/>
      <c r="QTX38" s="19"/>
      <c r="QTY38" s="19"/>
      <c r="QTZ38" s="21"/>
      <c r="QUA38" s="19"/>
      <c r="QUJ38" s="19"/>
      <c r="QUK38" s="19"/>
      <c r="QUL38" s="19"/>
      <c r="QUM38" s="19"/>
      <c r="QUN38" s="21"/>
      <c r="QUO38" s="19"/>
      <c r="QUX38" s="19"/>
      <c r="QUY38" s="19"/>
      <c r="QUZ38" s="19"/>
      <c r="QVA38" s="19"/>
      <c r="QVB38" s="21"/>
      <c r="QVC38" s="19"/>
      <c r="QVL38" s="19"/>
      <c r="QVM38" s="19"/>
      <c r="QVN38" s="19"/>
      <c r="QVO38" s="19"/>
      <c r="QVP38" s="21"/>
      <c r="QVQ38" s="19"/>
      <c r="QVZ38" s="19"/>
      <c r="QWA38" s="19"/>
      <c r="QWB38" s="19"/>
      <c r="QWC38" s="19"/>
      <c r="QWD38" s="21"/>
      <c r="QWE38" s="19"/>
      <c r="QWN38" s="19"/>
      <c r="QWO38" s="19"/>
      <c r="QWP38" s="19"/>
      <c r="QWQ38" s="19"/>
      <c r="QWR38" s="21"/>
      <c r="QWS38" s="19"/>
      <c r="QXB38" s="19"/>
      <c r="QXC38" s="19"/>
      <c r="QXD38" s="19"/>
      <c r="QXE38" s="19"/>
      <c r="QXF38" s="21"/>
      <c r="QXG38" s="19"/>
      <c r="QXP38" s="19"/>
      <c r="QXQ38" s="19"/>
      <c r="QXR38" s="19"/>
      <c r="QXS38" s="19"/>
      <c r="QXT38" s="21"/>
      <c r="QXU38" s="19"/>
      <c r="QYD38" s="19"/>
      <c r="QYE38" s="19"/>
      <c r="QYF38" s="19"/>
      <c r="QYG38" s="19"/>
      <c r="QYH38" s="21"/>
      <c r="QYI38" s="19"/>
      <c r="QYR38" s="19"/>
      <c r="QYS38" s="19"/>
      <c r="QYT38" s="19"/>
      <c r="QYU38" s="19"/>
      <c r="QYV38" s="21"/>
      <c r="QYW38" s="19"/>
      <c r="QZF38" s="19"/>
      <c r="QZG38" s="19"/>
      <c r="QZH38" s="19"/>
      <c r="QZI38" s="19"/>
      <c r="QZJ38" s="21"/>
      <c r="QZK38" s="19"/>
      <c r="QZT38" s="19"/>
      <c r="QZU38" s="19"/>
      <c r="QZV38" s="19"/>
      <c r="QZW38" s="19"/>
      <c r="QZX38" s="21"/>
      <c r="QZY38" s="19"/>
      <c r="RAH38" s="19"/>
      <c r="RAI38" s="19"/>
      <c r="RAJ38" s="19"/>
      <c r="RAK38" s="19"/>
      <c r="RAL38" s="21"/>
      <c r="RAM38" s="19"/>
      <c r="RAV38" s="19"/>
      <c r="RAW38" s="19"/>
      <c r="RAX38" s="19"/>
      <c r="RAY38" s="19"/>
      <c r="RAZ38" s="21"/>
      <c r="RBA38" s="19"/>
      <c r="RBJ38" s="19"/>
      <c r="RBK38" s="19"/>
      <c r="RBL38" s="19"/>
      <c r="RBM38" s="19"/>
      <c r="RBN38" s="21"/>
      <c r="RBO38" s="19"/>
      <c r="RBX38" s="19"/>
      <c r="RBY38" s="19"/>
      <c r="RBZ38" s="19"/>
      <c r="RCA38" s="19"/>
      <c r="RCB38" s="21"/>
      <c r="RCC38" s="19"/>
      <c r="RCL38" s="19"/>
      <c r="RCM38" s="19"/>
      <c r="RCN38" s="19"/>
      <c r="RCO38" s="19"/>
      <c r="RCP38" s="21"/>
      <c r="RCQ38" s="19"/>
      <c r="RCZ38" s="19"/>
      <c r="RDA38" s="19"/>
      <c r="RDB38" s="19"/>
      <c r="RDC38" s="19"/>
      <c r="RDD38" s="21"/>
      <c r="RDE38" s="19"/>
      <c r="RDN38" s="19"/>
      <c r="RDO38" s="19"/>
      <c r="RDP38" s="19"/>
      <c r="RDQ38" s="19"/>
      <c r="RDR38" s="21"/>
      <c r="RDS38" s="19"/>
      <c r="REB38" s="19"/>
      <c r="REC38" s="19"/>
      <c r="RED38" s="19"/>
      <c r="REE38" s="19"/>
      <c r="REF38" s="21"/>
      <c r="REG38" s="19"/>
      <c r="REP38" s="19"/>
      <c r="REQ38" s="19"/>
      <c r="RER38" s="19"/>
      <c r="RES38" s="19"/>
      <c r="RET38" s="21"/>
      <c r="REU38" s="19"/>
      <c r="RFD38" s="19"/>
      <c r="RFE38" s="19"/>
      <c r="RFF38" s="19"/>
      <c r="RFG38" s="19"/>
      <c r="RFH38" s="21"/>
      <c r="RFI38" s="19"/>
      <c r="RFR38" s="19"/>
      <c r="RFS38" s="19"/>
      <c r="RFT38" s="19"/>
      <c r="RFU38" s="19"/>
      <c r="RFV38" s="21"/>
      <c r="RFW38" s="19"/>
      <c r="RGF38" s="19"/>
      <c r="RGG38" s="19"/>
      <c r="RGH38" s="19"/>
      <c r="RGI38" s="19"/>
      <c r="RGJ38" s="21"/>
      <c r="RGK38" s="19"/>
      <c r="RGT38" s="19"/>
      <c r="RGU38" s="19"/>
      <c r="RGV38" s="19"/>
      <c r="RGW38" s="19"/>
      <c r="RGX38" s="21"/>
      <c r="RGY38" s="19"/>
      <c r="RHH38" s="19"/>
      <c r="RHI38" s="19"/>
      <c r="RHJ38" s="19"/>
      <c r="RHK38" s="19"/>
      <c r="RHL38" s="21"/>
      <c r="RHM38" s="19"/>
      <c r="RHV38" s="19"/>
      <c r="RHW38" s="19"/>
      <c r="RHX38" s="19"/>
      <c r="RHY38" s="19"/>
      <c r="RHZ38" s="21"/>
      <c r="RIA38" s="19"/>
      <c r="RIJ38" s="19"/>
      <c r="RIK38" s="19"/>
      <c r="RIL38" s="19"/>
      <c r="RIM38" s="19"/>
      <c r="RIN38" s="21"/>
      <c r="RIO38" s="19"/>
      <c r="RIX38" s="19"/>
      <c r="RIY38" s="19"/>
      <c r="RIZ38" s="19"/>
      <c r="RJA38" s="19"/>
      <c r="RJB38" s="21"/>
      <c r="RJC38" s="19"/>
      <c r="RJL38" s="19"/>
      <c r="RJM38" s="19"/>
      <c r="RJN38" s="19"/>
      <c r="RJO38" s="19"/>
      <c r="RJP38" s="21"/>
      <c r="RJQ38" s="19"/>
      <c r="RJZ38" s="19"/>
      <c r="RKA38" s="19"/>
      <c r="RKB38" s="19"/>
      <c r="RKC38" s="19"/>
      <c r="RKD38" s="21"/>
      <c r="RKE38" s="19"/>
      <c r="RKN38" s="19"/>
      <c r="RKO38" s="19"/>
      <c r="RKP38" s="19"/>
      <c r="RKQ38" s="19"/>
      <c r="RKR38" s="21"/>
      <c r="RKS38" s="19"/>
      <c r="RLB38" s="19"/>
      <c r="RLC38" s="19"/>
      <c r="RLD38" s="19"/>
      <c r="RLE38" s="19"/>
      <c r="RLF38" s="21"/>
      <c r="RLG38" s="19"/>
      <c r="RLP38" s="19"/>
      <c r="RLQ38" s="19"/>
      <c r="RLR38" s="19"/>
      <c r="RLS38" s="19"/>
      <c r="RLT38" s="21"/>
      <c r="RLU38" s="19"/>
      <c r="RMD38" s="19"/>
      <c r="RME38" s="19"/>
      <c r="RMF38" s="19"/>
      <c r="RMG38" s="19"/>
      <c r="RMH38" s="21"/>
      <c r="RMI38" s="19"/>
      <c r="RMR38" s="19"/>
      <c r="RMS38" s="19"/>
      <c r="RMT38" s="19"/>
      <c r="RMU38" s="19"/>
      <c r="RMV38" s="21"/>
      <c r="RMW38" s="19"/>
      <c r="RNF38" s="19"/>
      <c r="RNG38" s="19"/>
      <c r="RNH38" s="19"/>
      <c r="RNI38" s="19"/>
      <c r="RNJ38" s="21"/>
      <c r="RNK38" s="19"/>
      <c r="RNT38" s="19"/>
      <c r="RNU38" s="19"/>
      <c r="RNV38" s="19"/>
      <c r="RNW38" s="19"/>
      <c r="RNX38" s="21"/>
      <c r="RNY38" s="19"/>
      <c r="ROH38" s="19"/>
      <c r="ROI38" s="19"/>
      <c r="ROJ38" s="19"/>
      <c r="ROK38" s="19"/>
      <c r="ROL38" s="21"/>
      <c r="ROM38" s="19"/>
      <c r="ROV38" s="19"/>
      <c r="ROW38" s="19"/>
      <c r="ROX38" s="19"/>
      <c r="ROY38" s="19"/>
      <c r="ROZ38" s="21"/>
      <c r="RPA38" s="19"/>
      <c r="RPJ38" s="19"/>
      <c r="RPK38" s="19"/>
      <c r="RPL38" s="19"/>
      <c r="RPM38" s="19"/>
      <c r="RPN38" s="21"/>
      <c r="RPO38" s="19"/>
      <c r="RPX38" s="19"/>
      <c r="RPY38" s="19"/>
      <c r="RPZ38" s="19"/>
      <c r="RQA38" s="19"/>
      <c r="RQB38" s="21"/>
      <c r="RQC38" s="19"/>
      <c r="RQL38" s="19"/>
      <c r="RQM38" s="19"/>
      <c r="RQN38" s="19"/>
      <c r="RQO38" s="19"/>
      <c r="RQP38" s="21"/>
      <c r="RQQ38" s="19"/>
      <c r="RQZ38" s="19"/>
      <c r="RRA38" s="19"/>
      <c r="RRB38" s="19"/>
      <c r="RRC38" s="19"/>
      <c r="RRD38" s="21"/>
      <c r="RRE38" s="19"/>
      <c r="RRN38" s="19"/>
      <c r="RRO38" s="19"/>
      <c r="RRP38" s="19"/>
      <c r="RRQ38" s="19"/>
      <c r="RRR38" s="21"/>
      <c r="RRS38" s="19"/>
      <c r="RSB38" s="19"/>
      <c r="RSC38" s="19"/>
      <c r="RSD38" s="19"/>
      <c r="RSE38" s="19"/>
      <c r="RSF38" s="21"/>
      <c r="RSG38" s="19"/>
      <c r="RSP38" s="19"/>
      <c r="RSQ38" s="19"/>
      <c r="RSR38" s="19"/>
      <c r="RSS38" s="19"/>
      <c r="RST38" s="21"/>
      <c r="RSU38" s="19"/>
      <c r="RTD38" s="19"/>
      <c r="RTE38" s="19"/>
      <c r="RTF38" s="19"/>
      <c r="RTG38" s="19"/>
      <c r="RTH38" s="21"/>
      <c r="RTI38" s="19"/>
      <c r="RTR38" s="19"/>
      <c r="RTS38" s="19"/>
      <c r="RTT38" s="19"/>
      <c r="RTU38" s="19"/>
      <c r="RTV38" s="21"/>
      <c r="RTW38" s="19"/>
      <c r="RUF38" s="19"/>
      <c r="RUG38" s="19"/>
      <c r="RUH38" s="19"/>
      <c r="RUI38" s="19"/>
      <c r="RUJ38" s="21"/>
      <c r="RUK38" s="19"/>
      <c r="RUT38" s="19"/>
      <c r="RUU38" s="19"/>
      <c r="RUV38" s="19"/>
      <c r="RUW38" s="19"/>
      <c r="RUX38" s="21"/>
      <c r="RUY38" s="19"/>
      <c r="RVH38" s="19"/>
      <c r="RVI38" s="19"/>
      <c r="RVJ38" s="19"/>
      <c r="RVK38" s="19"/>
      <c r="RVL38" s="21"/>
      <c r="RVM38" s="19"/>
      <c r="RVV38" s="19"/>
      <c r="RVW38" s="19"/>
      <c r="RVX38" s="19"/>
      <c r="RVY38" s="19"/>
      <c r="RVZ38" s="21"/>
      <c r="RWA38" s="19"/>
      <c r="RWJ38" s="19"/>
      <c r="RWK38" s="19"/>
      <c r="RWL38" s="19"/>
      <c r="RWM38" s="19"/>
      <c r="RWN38" s="21"/>
      <c r="RWO38" s="19"/>
      <c r="RWX38" s="19"/>
      <c r="RWY38" s="19"/>
      <c r="RWZ38" s="19"/>
      <c r="RXA38" s="19"/>
      <c r="RXB38" s="21"/>
      <c r="RXC38" s="19"/>
      <c r="RXL38" s="19"/>
      <c r="RXM38" s="19"/>
      <c r="RXN38" s="19"/>
      <c r="RXO38" s="19"/>
      <c r="RXP38" s="21"/>
      <c r="RXQ38" s="19"/>
      <c r="RXZ38" s="19"/>
      <c r="RYA38" s="19"/>
      <c r="RYB38" s="19"/>
      <c r="RYC38" s="19"/>
      <c r="RYD38" s="21"/>
      <c r="RYE38" s="19"/>
      <c r="RYN38" s="19"/>
      <c r="RYO38" s="19"/>
      <c r="RYP38" s="19"/>
      <c r="RYQ38" s="19"/>
      <c r="RYR38" s="21"/>
      <c r="RYS38" s="19"/>
      <c r="RZB38" s="19"/>
      <c r="RZC38" s="19"/>
      <c r="RZD38" s="19"/>
      <c r="RZE38" s="19"/>
      <c r="RZF38" s="21"/>
      <c r="RZG38" s="19"/>
      <c r="RZP38" s="19"/>
      <c r="RZQ38" s="19"/>
      <c r="RZR38" s="19"/>
      <c r="RZS38" s="19"/>
      <c r="RZT38" s="21"/>
      <c r="RZU38" s="19"/>
      <c r="SAD38" s="19"/>
      <c r="SAE38" s="19"/>
      <c r="SAF38" s="19"/>
      <c r="SAG38" s="19"/>
      <c r="SAH38" s="21"/>
      <c r="SAI38" s="19"/>
      <c r="SAR38" s="19"/>
      <c r="SAS38" s="19"/>
      <c r="SAT38" s="19"/>
      <c r="SAU38" s="19"/>
      <c r="SAV38" s="21"/>
      <c r="SAW38" s="19"/>
      <c r="SBF38" s="19"/>
      <c r="SBG38" s="19"/>
      <c r="SBH38" s="19"/>
      <c r="SBI38" s="19"/>
      <c r="SBJ38" s="21"/>
      <c r="SBK38" s="19"/>
      <c r="SBT38" s="19"/>
      <c r="SBU38" s="19"/>
      <c r="SBV38" s="19"/>
      <c r="SBW38" s="19"/>
      <c r="SBX38" s="21"/>
      <c r="SBY38" s="19"/>
      <c r="SCH38" s="19"/>
      <c r="SCI38" s="19"/>
      <c r="SCJ38" s="19"/>
      <c r="SCK38" s="19"/>
      <c r="SCL38" s="21"/>
      <c r="SCM38" s="19"/>
      <c r="SCV38" s="19"/>
      <c r="SCW38" s="19"/>
      <c r="SCX38" s="19"/>
      <c r="SCY38" s="19"/>
      <c r="SCZ38" s="21"/>
      <c r="SDA38" s="19"/>
      <c r="SDJ38" s="19"/>
      <c r="SDK38" s="19"/>
      <c r="SDL38" s="19"/>
      <c r="SDM38" s="19"/>
      <c r="SDN38" s="21"/>
      <c r="SDO38" s="19"/>
      <c r="SDX38" s="19"/>
      <c r="SDY38" s="19"/>
      <c r="SDZ38" s="19"/>
      <c r="SEA38" s="19"/>
      <c r="SEB38" s="21"/>
      <c r="SEC38" s="19"/>
      <c r="SEL38" s="19"/>
      <c r="SEM38" s="19"/>
      <c r="SEN38" s="19"/>
      <c r="SEO38" s="19"/>
      <c r="SEP38" s="21"/>
      <c r="SEQ38" s="19"/>
      <c r="SEZ38" s="19"/>
      <c r="SFA38" s="19"/>
      <c r="SFB38" s="19"/>
      <c r="SFC38" s="19"/>
      <c r="SFD38" s="21"/>
      <c r="SFE38" s="19"/>
      <c r="SFN38" s="19"/>
      <c r="SFO38" s="19"/>
      <c r="SFP38" s="19"/>
      <c r="SFQ38" s="19"/>
      <c r="SFR38" s="21"/>
      <c r="SFS38" s="19"/>
      <c r="SGB38" s="19"/>
      <c r="SGC38" s="19"/>
      <c r="SGD38" s="19"/>
      <c r="SGE38" s="19"/>
      <c r="SGF38" s="21"/>
      <c r="SGG38" s="19"/>
      <c r="SGP38" s="19"/>
      <c r="SGQ38" s="19"/>
      <c r="SGR38" s="19"/>
      <c r="SGS38" s="19"/>
      <c r="SGT38" s="21"/>
      <c r="SGU38" s="19"/>
      <c r="SHD38" s="19"/>
      <c r="SHE38" s="19"/>
      <c r="SHF38" s="19"/>
      <c r="SHG38" s="19"/>
      <c r="SHH38" s="21"/>
      <c r="SHI38" s="19"/>
      <c r="SHR38" s="19"/>
      <c r="SHS38" s="19"/>
      <c r="SHT38" s="19"/>
      <c r="SHU38" s="19"/>
      <c r="SHV38" s="21"/>
      <c r="SHW38" s="19"/>
      <c r="SIF38" s="19"/>
      <c r="SIG38" s="19"/>
      <c r="SIH38" s="19"/>
      <c r="SII38" s="19"/>
      <c r="SIJ38" s="21"/>
      <c r="SIK38" s="19"/>
      <c r="SIT38" s="19"/>
      <c r="SIU38" s="19"/>
      <c r="SIV38" s="19"/>
      <c r="SIW38" s="19"/>
      <c r="SIX38" s="21"/>
      <c r="SIY38" s="19"/>
      <c r="SJH38" s="19"/>
      <c r="SJI38" s="19"/>
      <c r="SJJ38" s="19"/>
      <c r="SJK38" s="19"/>
      <c r="SJL38" s="21"/>
      <c r="SJM38" s="19"/>
      <c r="SJV38" s="19"/>
      <c r="SJW38" s="19"/>
      <c r="SJX38" s="19"/>
      <c r="SJY38" s="19"/>
      <c r="SJZ38" s="21"/>
      <c r="SKA38" s="19"/>
      <c r="SKJ38" s="19"/>
      <c r="SKK38" s="19"/>
      <c r="SKL38" s="19"/>
      <c r="SKM38" s="19"/>
      <c r="SKN38" s="21"/>
      <c r="SKO38" s="19"/>
      <c r="SKX38" s="19"/>
      <c r="SKY38" s="19"/>
      <c r="SKZ38" s="19"/>
      <c r="SLA38" s="19"/>
      <c r="SLB38" s="21"/>
      <c r="SLC38" s="19"/>
      <c r="SLL38" s="19"/>
      <c r="SLM38" s="19"/>
      <c r="SLN38" s="19"/>
      <c r="SLO38" s="19"/>
      <c r="SLP38" s="21"/>
      <c r="SLQ38" s="19"/>
      <c r="SLZ38" s="19"/>
      <c r="SMA38" s="19"/>
      <c r="SMB38" s="19"/>
      <c r="SMC38" s="19"/>
      <c r="SMD38" s="21"/>
      <c r="SME38" s="19"/>
      <c r="SMN38" s="19"/>
      <c r="SMO38" s="19"/>
      <c r="SMP38" s="19"/>
      <c r="SMQ38" s="19"/>
      <c r="SMR38" s="21"/>
      <c r="SMS38" s="19"/>
      <c r="SNB38" s="19"/>
      <c r="SNC38" s="19"/>
      <c r="SND38" s="19"/>
      <c r="SNE38" s="19"/>
      <c r="SNF38" s="21"/>
      <c r="SNG38" s="19"/>
      <c r="SNP38" s="19"/>
      <c r="SNQ38" s="19"/>
      <c r="SNR38" s="19"/>
      <c r="SNS38" s="19"/>
      <c r="SNT38" s="21"/>
      <c r="SNU38" s="19"/>
      <c r="SOD38" s="19"/>
      <c r="SOE38" s="19"/>
      <c r="SOF38" s="19"/>
      <c r="SOG38" s="19"/>
      <c r="SOH38" s="21"/>
      <c r="SOI38" s="19"/>
      <c r="SOR38" s="19"/>
      <c r="SOS38" s="19"/>
      <c r="SOT38" s="19"/>
      <c r="SOU38" s="19"/>
      <c r="SOV38" s="21"/>
      <c r="SOW38" s="19"/>
      <c r="SPF38" s="19"/>
      <c r="SPG38" s="19"/>
      <c r="SPH38" s="19"/>
      <c r="SPI38" s="19"/>
      <c r="SPJ38" s="21"/>
      <c r="SPK38" s="19"/>
      <c r="SPT38" s="19"/>
      <c r="SPU38" s="19"/>
      <c r="SPV38" s="19"/>
      <c r="SPW38" s="19"/>
      <c r="SPX38" s="21"/>
      <c r="SPY38" s="19"/>
      <c r="SQH38" s="19"/>
      <c r="SQI38" s="19"/>
      <c r="SQJ38" s="19"/>
      <c r="SQK38" s="19"/>
      <c r="SQL38" s="21"/>
      <c r="SQM38" s="19"/>
      <c r="SQV38" s="19"/>
      <c r="SQW38" s="19"/>
      <c r="SQX38" s="19"/>
      <c r="SQY38" s="19"/>
      <c r="SQZ38" s="21"/>
      <c r="SRA38" s="19"/>
      <c r="SRJ38" s="19"/>
      <c r="SRK38" s="19"/>
      <c r="SRL38" s="19"/>
      <c r="SRM38" s="19"/>
      <c r="SRN38" s="21"/>
      <c r="SRO38" s="19"/>
      <c r="SRX38" s="19"/>
      <c r="SRY38" s="19"/>
      <c r="SRZ38" s="19"/>
      <c r="SSA38" s="19"/>
      <c r="SSB38" s="21"/>
      <c r="SSC38" s="19"/>
      <c r="SSL38" s="19"/>
      <c r="SSM38" s="19"/>
      <c r="SSN38" s="19"/>
      <c r="SSO38" s="19"/>
      <c r="SSP38" s="21"/>
      <c r="SSQ38" s="19"/>
      <c r="SSZ38" s="19"/>
      <c r="STA38" s="19"/>
      <c r="STB38" s="19"/>
      <c r="STC38" s="19"/>
      <c r="STD38" s="21"/>
      <c r="STE38" s="19"/>
      <c r="STN38" s="19"/>
      <c r="STO38" s="19"/>
      <c r="STP38" s="19"/>
      <c r="STQ38" s="19"/>
      <c r="STR38" s="21"/>
      <c r="STS38" s="19"/>
      <c r="SUB38" s="19"/>
      <c r="SUC38" s="19"/>
      <c r="SUD38" s="19"/>
      <c r="SUE38" s="19"/>
      <c r="SUF38" s="21"/>
      <c r="SUG38" s="19"/>
      <c r="SUP38" s="19"/>
      <c r="SUQ38" s="19"/>
      <c r="SUR38" s="19"/>
      <c r="SUS38" s="19"/>
      <c r="SUT38" s="21"/>
      <c r="SUU38" s="19"/>
      <c r="SVD38" s="19"/>
      <c r="SVE38" s="19"/>
      <c r="SVF38" s="19"/>
      <c r="SVG38" s="19"/>
      <c r="SVH38" s="21"/>
      <c r="SVI38" s="19"/>
      <c r="SVR38" s="19"/>
      <c r="SVS38" s="19"/>
      <c r="SVT38" s="19"/>
      <c r="SVU38" s="19"/>
      <c r="SVV38" s="21"/>
      <c r="SVW38" s="19"/>
      <c r="SWF38" s="19"/>
      <c r="SWG38" s="19"/>
      <c r="SWH38" s="19"/>
      <c r="SWI38" s="19"/>
      <c r="SWJ38" s="21"/>
      <c r="SWK38" s="19"/>
      <c r="SWT38" s="19"/>
      <c r="SWU38" s="19"/>
      <c r="SWV38" s="19"/>
      <c r="SWW38" s="19"/>
      <c r="SWX38" s="21"/>
      <c r="SWY38" s="19"/>
      <c r="SXH38" s="19"/>
      <c r="SXI38" s="19"/>
      <c r="SXJ38" s="19"/>
      <c r="SXK38" s="19"/>
      <c r="SXL38" s="21"/>
      <c r="SXM38" s="19"/>
      <c r="SXV38" s="19"/>
      <c r="SXW38" s="19"/>
      <c r="SXX38" s="19"/>
      <c r="SXY38" s="19"/>
      <c r="SXZ38" s="21"/>
      <c r="SYA38" s="19"/>
      <c r="SYJ38" s="19"/>
      <c r="SYK38" s="19"/>
      <c r="SYL38" s="19"/>
      <c r="SYM38" s="19"/>
      <c r="SYN38" s="21"/>
      <c r="SYO38" s="19"/>
      <c r="SYX38" s="19"/>
      <c r="SYY38" s="19"/>
      <c r="SYZ38" s="19"/>
      <c r="SZA38" s="19"/>
      <c r="SZB38" s="21"/>
      <c r="SZC38" s="19"/>
      <c r="SZL38" s="19"/>
      <c r="SZM38" s="19"/>
      <c r="SZN38" s="19"/>
      <c r="SZO38" s="19"/>
      <c r="SZP38" s="21"/>
      <c r="SZQ38" s="19"/>
      <c r="SZZ38" s="19"/>
      <c r="TAA38" s="19"/>
      <c r="TAB38" s="19"/>
      <c r="TAC38" s="19"/>
      <c r="TAD38" s="21"/>
      <c r="TAE38" s="19"/>
      <c r="TAN38" s="19"/>
      <c r="TAO38" s="19"/>
      <c r="TAP38" s="19"/>
      <c r="TAQ38" s="19"/>
      <c r="TAR38" s="21"/>
      <c r="TAS38" s="19"/>
      <c r="TBB38" s="19"/>
      <c r="TBC38" s="19"/>
      <c r="TBD38" s="19"/>
      <c r="TBE38" s="19"/>
      <c r="TBF38" s="21"/>
      <c r="TBG38" s="19"/>
      <c r="TBP38" s="19"/>
      <c r="TBQ38" s="19"/>
      <c r="TBR38" s="19"/>
      <c r="TBS38" s="19"/>
      <c r="TBT38" s="21"/>
      <c r="TBU38" s="19"/>
      <c r="TCD38" s="19"/>
      <c r="TCE38" s="19"/>
      <c r="TCF38" s="19"/>
      <c r="TCG38" s="19"/>
      <c r="TCH38" s="21"/>
      <c r="TCI38" s="19"/>
      <c r="TCR38" s="19"/>
      <c r="TCS38" s="19"/>
      <c r="TCT38" s="19"/>
      <c r="TCU38" s="19"/>
      <c r="TCV38" s="21"/>
      <c r="TCW38" s="19"/>
      <c r="TDF38" s="19"/>
      <c r="TDG38" s="19"/>
      <c r="TDH38" s="19"/>
      <c r="TDI38" s="19"/>
      <c r="TDJ38" s="21"/>
      <c r="TDK38" s="19"/>
      <c r="TDT38" s="19"/>
      <c r="TDU38" s="19"/>
      <c r="TDV38" s="19"/>
      <c r="TDW38" s="19"/>
      <c r="TDX38" s="21"/>
      <c r="TDY38" s="19"/>
      <c r="TEH38" s="19"/>
      <c r="TEI38" s="19"/>
      <c r="TEJ38" s="19"/>
      <c r="TEK38" s="19"/>
      <c r="TEL38" s="21"/>
      <c r="TEM38" s="19"/>
      <c r="TEV38" s="19"/>
      <c r="TEW38" s="19"/>
      <c r="TEX38" s="19"/>
      <c r="TEY38" s="19"/>
      <c r="TEZ38" s="21"/>
      <c r="TFA38" s="19"/>
      <c r="TFJ38" s="19"/>
      <c r="TFK38" s="19"/>
      <c r="TFL38" s="19"/>
      <c r="TFM38" s="19"/>
      <c r="TFN38" s="21"/>
      <c r="TFO38" s="19"/>
      <c r="TFX38" s="19"/>
      <c r="TFY38" s="19"/>
      <c r="TFZ38" s="19"/>
      <c r="TGA38" s="19"/>
      <c r="TGB38" s="21"/>
      <c r="TGC38" s="19"/>
      <c r="TGL38" s="19"/>
      <c r="TGM38" s="19"/>
      <c r="TGN38" s="19"/>
      <c r="TGO38" s="19"/>
      <c r="TGP38" s="21"/>
      <c r="TGQ38" s="19"/>
      <c r="TGZ38" s="19"/>
      <c r="THA38" s="19"/>
      <c r="THB38" s="19"/>
      <c r="THC38" s="19"/>
      <c r="THD38" s="21"/>
      <c r="THE38" s="19"/>
      <c r="THN38" s="19"/>
      <c r="THO38" s="19"/>
      <c r="THP38" s="19"/>
      <c r="THQ38" s="19"/>
      <c r="THR38" s="21"/>
      <c r="THS38" s="19"/>
      <c r="TIB38" s="19"/>
      <c r="TIC38" s="19"/>
      <c r="TID38" s="19"/>
      <c r="TIE38" s="19"/>
      <c r="TIF38" s="21"/>
      <c r="TIG38" s="19"/>
      <c r="TIP38" s="19"/>
      <c r="TIQ38" s="19"/>
      <c r="TIR38" s="19"/>
      <c r="TIS38" s="19"/>
      <c r="TIT38" s="21"/>
      <c r="TIU38" s="19"/>
      <c r="TJD38" s="19"/>
      <c r="TJE38" s="19"/>
      <c r="TJF38" s="19"/>
      <c r="TJG38" s="19"/>
      <c r="TJH38" s="21"/>
      <c r="TJI38" s="19"/>
      <c r="TJR38" s="19"/>
      <c r="TJS38" s="19"/>
      <c r="TJT38" s="19"/>
      <c r="TJU38" s="19"/>
      <c r="TJV38" s="21"/>
      <c r="TJW38" s="19"/>
      <c r="TKF38" s="19"/>
      <c r="TKG38" s="19"/>
      <c r="TKH38" s="19"/>
      <c r="TKI38" s="19"/>
      <c r="TKJ38" s="21"/>
      <c r="TKK38" s="19"/>
      <c r="TKT38" s="19"/>
      <c r="TKU38" s="19"/>
      <c r="TKV38" s="19"/>
      <c r="TKW38" s="19"/>
      <c r="TKX38" s="21"/>
      <c r="TKY38" s="19"/>
      <c r="TLH38" s="19"/>
      <c r="TLI38" s="19"/>
      <c r="TLJ38" s="19"/>
      <c r="TLK38" s="19"/>
      <c r="TLL38" s="21"/>
      <c r="TLM38" s="19"/>
      <c r="TLV38" s="19"/>
      <c r="TLW38" s="19"/>
      <c r="TLX38" s="19"/>
      <c r="TLY38" s="19"/>
      <c r="TLZ38" s="21"/>
      <c r="TMA38" s="19"/>
      <c r="TMJ38" s="19"/>
      <c r="TMK38" s="19"/>
      <c r="TML38" s="19"/>
      <c r="TMM38" s="19"/>
      <c r="TMN38" s="21"/>
      <c r="TMO38" s="19"/>
      <c r="TMX38" s="19"/>
      <c r="TMY38" s="19"/>
      <c r="TMZ38" s="19"/>
      <c r="TNA38" s="19"/>
      <c r="TNB38" s="21"/>
      <c r="TNC38" s="19"/>
      <c r="TNL38" s="19"/>
      <c r="TNM38" s="19"/>
      <c r="TNN38" s="19"/>
      <c r="TNO38" s="19"/>
      <c r="TNP38" s="21"/>
      <c r="TNQ38" s="19"/>
      <c r="TNZ38" s="19"/>
      <c r="TOA38" s="19"/>
      <c r="TOB38" s="19"/>
      <c r="TOC38" s="19"/>
      <c r="TOD38" s="21"/>
      <c r="TOE38" s="19"/>
      <c r="TON38" s="19"/>
      <c r="TOO38" s="19"/>
      <c r="TOP38" s="19"/>
      <c r="TOQ38" s="19"/>
      <c r="TOR38" s="21"/>
      <c r="TOS38" s="19"/>
      <c r="TPB38" s="19"/>
      <c r="TPC38" s="19"/>
      <c r="TPD38" s="19"/>
      <c r="TPE38" s="19"/>
      <c r="TPF38" s="21"/>
      <c r="TPG38" s="19"/>
      <c r="TPP38" s="19"/>
      <c r="TPQ38" s="19"/>
      <c r="TPR38" s="19"/>
      <c r="TPS38" s="19"/>
      <c r="TPT38" s="21"/>
      <c r="TPU38" s="19"/>
      <c r="TQD38" s="19"/>
      <c r="TQE38" s="19"/>
      <c r="TQF38" s="19"/>
      <c r="TQG38" s="19"/>
      <c r="TQH38" s="21"/>
      <c r="TQI38" s="19"/>
      <c r="TQR38" s="19"/>
      <c r="TQS38" s="19"/>
      <c r="TQT38" s="19"/>
      <c r="TQU38" s="19"/>
      <c r="TQV38" s="21"/>
      <c r="TQW38" s="19"/>
      <c r="TRF38" s="19"/>
      <c r="TRG38" s="19"/>
      <c r="TRH38" s="19"/>
      <c r="TRI38" s="19"/>
      <c r="TRJ38" s="21"/>
      <c r="TRK38" s="19"/>
      <c r="TRT38" s="19"/>
      <c r="TRU38" s="19"/>
      <c r="TRV38" s="19"/>
      <c r="TRW38" s="19"/>
      <c r="TRX38" s="21"/>
      <c r="TRY38" s="19"/>
      <c r="TSH38" s="19"/>
      <c r="TSI38" s="19"/>
      <c r="TSJ38" s="19"/>
      <c r="TSK38" s="19"/>
      <c r="TSL38" s="21"/>
      <c r="TSM38" s="19"/>
      <c r="TSV38" s="19"/>
      <c r="TSW38" s="19"/>
      <c r="TSX38" s="19"/>
      <c r="TSY38" s="19"/>
      <c r="TSZ38" s="21"/>
      <c r="TTA38" s="19"/>
      <c r="TTJ38" s="19"/>
      <c r="TTK38" s="19"/>
      <c r="TTL38" s="19"/>
      <c r="TTM38" s="19"/>
      <c r="TTN38" s="21"/>
      <c r="TTO38" s="19"/>
      <c r="TTX38" s="19"/>
      <c r="TTY38" s="19"/>
      <c r="TTZ38" s="19"/>
      <c r="TUA38" s="19"/>
      <c r="TUB38" s="21"/>
      <c r="TUC38" s="19"/>
      <c r="TUL38" s="19"/>
      <c r="TUM38" s="19"/>
      <c r="TUN38" s="19"/>
      <c r="TUO38" s="19"/>
      <c r="TUP38" s="21"/>
      <c r="TUQ38" s="19"/>
      <c r="TUZ38" s="19"/>
      <c r="TVA38" s="19"/>
      <c r="TVB38" s="19"/>
      <c r="TVC38" s="19"/>
      <c r="TVD38" s="21"/>
      <c r="TVE38" s="19"/>
      <c r="TVN38" s="19"/>
      <c r="TVO38" s="19"/>
      <c r="TVP38" s="19"/>
      <c r="TVQ38" s="19"/>
      <c r="TVR38" s="21"/>
      <c r="TVS38" s="19"/>
      <c r="TWB38" s="19"/>
      <c r="TWC38" s="19"/>
      <c r="TWD38" s="19"/>
      <c r="TWE38" s="19"/>
      <c r="TWF38" s="21"/>
      <c r="TWG38" s="19"/>
      <c r="TWP38" s="19"/>
      <c r="TWQ38" s="19"/>
      <c r="TWR38" s="19"/>
      <c r="TWS38" s="19"/>
      <c r="TWT38" s="21"/>
      <c r="TWU38" s="19"/>
      <c r="TXD38" s="19"/>
      <c r="TXE38" s="19"/>
      <c r="TXF38" s="19"/>
      <c r="TXG38" s="19"/>
      <c r="TXH38" s="21"/>
      <c r="TXI38" s="19"/>
      <c r="TXR38" s="19"/>
      <c r="TXS38" s="19"/>
      <c r="TXT38" s="19"/>
      <c r="TXU38" s="19"/>
      <c r="TXV38" s="21"/>
      <c r="TXW38" s="19"/>
      <c r="TYF38" s="19"/>
      <c r="TYG38" s="19"/>
      <c r="TYH38" s="19"/>
      <c r="TYI38" s="19"/>
      <c r="TYJ38" s="21"/>
      <c r="TYK38" s="19"/>
      <c r="TYT38" s="19"/>
      <c r="TYU38" s="19"/>
      <c r="TYV38" s="19"/>
      <c r="TYW38" s="19"/>
      <c r="TYX38" s="21"/>
      <c r="TYY38" s="19"/>
      <c r="TZH38" s="19"/>
      <c r="TZI38" s="19"/>
      <c r="TZJ38" s="19"/>
      <c r="TZK38" s="19"/>
      <c r="TZL38" s="21"/>
      <c r="TZM38" s="19"/>
      <c r="TZV38" s="19"/>
      <c r="TZW38" s="19"/>
      <c r="TZX38" s="19"/>
      <c r="TZY38" s="19"/>
      <c r="TZZ38" s="21"/>
      <c r="UAA38" s="19"/>
      <c r="UAJ38" s="19"/>
      <c r="UAK38" s="19"/>
      <c r="UAL38" s="19"/>
      <c r="UAM38" s="19"/>
      <c r="UAN38" s="21"/>
      <c r="UAO38" s="19"/>
      <c r="UAX38" s="19"/>
      <c r="UAY38" s="19"/>
      <c r="UAZ38" s="19"/>
      <c r="UBA38" s="19"/>
      <c r="UBB38" s="21"/>
      <c r="UBC38" s="19"/>
      <c r="UBL38" s="19"/>
      <c r="UBM38" s="19"/>
      <c r="UBN38" s="19"/>
      <c r="UBO38" s="19"/>
      <c r="UBP38" s="21"/>
      <c r="UBQ38" s="19"/>
      <c r="UBZ38" s="19"/>
      <c r="UCA38" s="19"/>
      <c r="UCB38" s="19"/>
      <c r="UCC38" s="19"/>
      <c r="UCD38" s="21"/>
      <c r="UCE38" s="19"/>
      <c r="UCN38" s="19"/>
      <c r="UCO38" s="19"/>
      <c r="UCP38" s="19"/>
      <c r="UCQ38" s="19"/>
      <c r="UCR38" s="21"/>
      <c r="UCS38" s="19"/>
      <c r="UDB38" s="19"/>
      <c r="UDC38" s="19"/>
      <c r="UDD38" s="19"/>
      <c r="UDE38" s="19"/>
      <c r="UDF38" s="21"/>
      <c r="UDG38" s="19"/>
      <c r="UDP38" s="19"/>
      <c r="UDQ38" s="19"/>
      <c r="UDR38" s="19"/>
      <c r="UDS38" s="19"/>
      <c r="UDT38" s="21"/>
      <c r="UDU38" s="19"/>
      <c r="UED38" s="19"/>
      <c r="UEE38" s="19"/>
      <c r="UEF38" s="19"/>
      <c r="UEG38" s="19"/>
      <c r="UEH38" s="21"/>
      <c r="UEI38" s="19"/>
      <c r="UER38" s="19"/>
      <c r="UES38" s="19"/>
      <c r="UET38" s="19"/>
      <c r="UEU38" s="19"/>
      <c r="UEV38" s="21"/>
      <c r="UEW38" s="19"/>
      <c r="UFF38" s="19"/>
      <c r="UFG38" s="19"/>
      <c r="UFH38" s="19"/>
      <c r="UFI38" s="19"/>
      <c r="UFJ38" s="21"/>
      <c r="UFK38" s="19"/>
      <c r="UFT38" s="19"/>
      <c r="UFU38" s="19"/>
      <c r="UFV38" s="19"/>
      <c r="UFW38" s="19"/>
      <c r="UFX38" s="21"/>
      <c r="UFY38" s="19"/>
      <c r="UGH38" s="19"/>
      <c r="UGI38" s="19"/>
      <c r="UGJ38" s="19"/>
      <c r="UGK38" s="19"/>
      <c r="UGL38" s="21"/>
      <c r="UGM38" s="19"/>
      <c r="UGV38" s="19"/>
      <c r="UGW38" s="19"/>
      <c r="UGX38" s="19"/>
      <c r="UGY38" s="19"/>
      <c r="UGZ38" s="21"/>
      <c r="UHA38" s="19"/>
      <c r="UHJ38" s="19"/>
      <c r="UHK38" s="19"/>
      <c r="UHL38" s="19"/>
      <c r="UHM38" s="19"/>
      <c r="UHN38" s="21"/>
      <c r="UHO38" s="19"/>
      <c r="UHX38" s="19"/>
      <c r="UHY38" s="19"/>
      <c r="UHZ38" s="19"/>
      <c r="UIA38" s="19"/>
      <c r="UIB38" s="21"/>
      <c r="UIC38" s="19"/>
      <c r="UIL38" s="19"/>
      <c r="UIM38" s="19"/>
      <c r="UIN38" s="19"/>
      <c r="UIO38" s="19"/>
      <c r="UIP38" s="21"/>
      <c r="UIQ38" s="19"/>
      <c r="UIZ38" s="19"/>
      <c r="UJA38" s="19"/>
      <c r="UJB38" s="19"/>
      <c r="UJC38" s="19"/>
      <c r="UJD38" s="21"/>
      <c r="UJE38" s="19"/>
      <c r="UJN38" s="19"/>
      <c r="UJO38" s="19"/>
      <c r="UJP38" s="19"/>
      <c r="UJQ38" s="19"/>
      <c r="UJR38" s="21"/>
      <c r="UJS38" s="19"/>
      <c r="UKB38" s="19"/>
      <c r="UKC38" s="19"/>
      <c r="UKD38" s="19"/>
      <c r="UKE38" s="19"/>
      <c r="UKF38" s="21"/>
      <c r="UKG38" s="19"/>
      <c r="UKP38" s="19"/>
      <c r="UKQ38" s="19"/>
      <c r="UKR38" s="19"/>
      <c r="UKS38" s="19"/>
      <c r="UKT38" s="21"/>
      <c r="UKU38" s="19"/>
      <c r="ULD38" s="19"/>
      <c r="ULE38" s="19"/>
      <c r="ULF38" s="19"/>
      <c r="ULG38" s="19"/>
      <c r="ULH38" s="21"/>
      <c r="ULI38" s="19"/>
      <c r="ULR38" s="19"/>
      <c r="ULS38" s="19"/>
      <c r="ULT38" s="19"/>
      <c r="ULU38" s="19"/>
      <c r="ULV38" s="21"/>
      <c r="ULW38" s="19"/>
      <c r="UMF38" s="19"/>
      <c r="UMG38" s="19"/>
      <c r="UMH38" s="19"/>
      <c r="UMI38" s="19"/>
      <c r="UMJ38" s="21"/>
      <c r="UMK38" s="19"/>
      <c r="UMT38" s="19"/>
      <c r="UMU38" s="19"/>
      <c r="UMV38" s="19"/>
      <c r="UMW38" s="19"/>
      <c r="UMX38" s="21"/>
      <c r="UMY38" s="19"/>
      <c r="UNH38" s="19"/>
      <c r="UNI38" s="19"/>
      <c r="UNJ38" s="19"/>
      <c r="UNK38" s="19"/>
      <c r="UNL38" s="21"/>
      <c r="UNM38" s="19"/>
      <c r="UNV38" s="19"/>
      <c r="UNW38" s="19"/>
      <c r="UNX38" s="19"/>
      <c r="UNY38" s="19"/>
      <c r="UNZ38" s="21"/>
      <c r="UOA38" s="19"/>
      <c r="UOJ38" s="19"/>
      <c r="UOK38" s="19"/>
      <c r="UOL38" s="19"/>
      <c r="UOM38" s="19"/>
      <c r="UON38" s="21"/>
      <c r="UOO38" s="19"/>
      <c r="UOX38" s="19"/>
      <c r="UOY38" s="19"/>
      <c r="UOZ38" s="19"/>
      <c r="UPA38" s="19"/>
      <c r="UPB38" s="21"/>
      <c r="UPC38" s="19"/>
      <c r="UPL38" s="19"/>
      <c r="UPM38" s="19"/>
      <c r="UPN38" s="19"/>
      <c r="UPO38" s="19"/>
      <c r="UPP38" s="21"/>
      <c r="UPQ38" s="19"/>
      <c r="UPZ38" s="19"/>
      <c r="UQA38" s="19"/>
      <c r="UQB38" s="19"/>
      <c r="UQC38" s="19"/>
      <c r="UQD38" s="21"/>
      <c r="UQE38" s="19"/>
      <c r="UQN38" s="19"/>
      <c r="UQO38" s="19"/>
      <c r="UQP38" s="19"/>
      <c r="UQQ38" s="19"/>
      <c r="UQR38" s="21"/>
      <c r="UQS38" s="19"/>
      <c r="URB38" s="19"/>
      <c r="URC38" s="19"/>
      <c r="URD38" s="19"/>
      <c r="URE38" s="19"/>
      <c r="URF38" s="21"/>
      <c r="URG38" s="19"/>
      <c r="URP38" s="19"/>
      <c r="URQ38" s="19"/>
      <c r="URR38" s="19"/>
      <c r="URS38" s="19"/>
      <c r="URT38" s="21"/>
      <c r="URU38" s="19"/>
      <c r="USD38" s="19"/>
      <c r="USE38" s="19"/>
      <c r="USF38" s="19"/>
      <c r="USG38" s="19"/>
      <c r="USH38" s="21"/>
      <c r="USI38" s="19"/>
      <c r="USR38" s="19"/>
      <c r="USS38" s="19"/>
      <c r="UST38" s="19"/>
      <c r="USU38" s="19"/>
      <c r="USV38" s="21"/>
      <c r="USW38" s="19"/>
      <c r="UTF38" s="19"/>
      <c r="UTG38" s="19"/>
      <c r="UTH38" s="19"/>
      <c r="UTI38" s="19"/>
      <c r="UTJ38" s="21"/>
      <c r="UTK38" s="19"/>
      <c r="UTT38" s="19"/>
      <c r="UTU38" s="19"/>
      <c r="UTV38" s="19"/>
      <c r="UTW38" s="19"/>
      <c r="UTX38" s="21"/>
      <c r="UTY38" s="19"/>
      <c r="UUH38" s="19"/>
      <c r="UUI38" s="19"/>
      <c r="UUJ38" s="19"/>
      <c r="UUK38" s="19"/>
      <c r="UUL38" s="21"/>
      <c r="UUM38" s="19"/>
      <c r="UUV38" s="19"/>
      <c r="UUW38" s="19"/>
      <c r="UUX38" s="19"/>
      <c r="UUY38" s="19"/>
      <c r="UUZ38" s="21"/>
      <c r="UVA38" s="19"/>
      <c r="UVJ38" s="19"/>
      <c r="UVK38" s="19"/>
      <c r="UVL38" s="19"/>
      <c r="UVM38" s="19"/>
      <c r="UVN38" s="21"/>
      <c r="UVO38" s="19"/>
      <c r="UVX38" s="19"/>
      <c r="UVY38" s="19"/>
      <c r="UVZ38" s="19"/>
      <c r="UWA38" s="19"/>
      <c r="UWB38" s="21"/>
      <c r="UWC38" s="19"/>
      <c r="UWL38" s="19"/>
      <c r="UWM38" s="19"/>
      <c r="UWN38" s="19"/>
      <c r="UWO38" s="19"/>
      <c r="UWP38" s="21"/>
      <c r="UWQ38" s="19"/>
      <c r="UWZ38" s="19"/>
      <c r="UXA38" s="19"/>
      <c r="UXB38" s="19"/>
      <c r="UXC38" s="19"/>
      <c r="UXD38" s="21"/>
      <c r="UXE38" s="19"/>
      <c r="UXN38" s="19"/>
      <c r="UXO38" s="19"/>
      <c r="UXP38" s="19"/>
      <c r="UXQ38" s="19"/>
      <c r="UXR38" s="21"/>
      <c r="UXS38" s="19"/>
      <c r="UYB38" s="19"/>
      <c r="UYC38" s="19"/>
      <c r="UYD38" s="19"/>
      <c r="UYE38" s="19"/>
      <c r="UYF38" s="21"/>
      <c r="UYG38" s="19"/>
      <c r="UYP38" s="19"/>
      <c r="UYQ38" s="19"/>
      <c r="UYR38" s="19"/>
      <c r="UYS38" s="19"/>
      <c r="UYT38" s="21"/>
      <c r="UYU38" s="19"/>
      <c r="UZD38" s="19"/>
      <c r="UZE38" s="19"/>
      <c r="UZF38" s="19"/>
      <c r="UZG38" s="19"/>
      <c r="UZH38" s="21"/>
      <c r="UZI38" s="19"/>
      <c r="UZR38" s="19"/>
      <c r="UZS38" s="19"/>
      <c r="UZT38" s="19"/>
      <c r="UZU38" s="19"/>
      <c r="UZV38" s="21"/>
      <c r="UZW38" s="19"/>
      <c r="VAF38" s="19"/>
      <c r="VAG38" s="19"/>
      <c r="VAH38" s="19"/>
      <c r="VAI38" s="19"/>
      <c r="VAJ38" s="21"/>
      <c r="VAK38" s="19"/>
      <c r="VAT38" s="19"/>
      <c r="VAU38" s="19"/>
      <c r="VAV38" s="19"/>
      <c r="VAW38" s="19"/>
      <c r="VAX38" s="21"/>
      <c r="VAY38" s="19"/>
      <c r="VBH38" s="19"/>
      <c r="VBI38" s="19"/>
      <c r="VBJ38" s="19"/>
      <c r="VBK38" s="19"/>
      <c r="VBL38" s="21"/>
      <c r="VBM38" s="19"/>
      <c r="VBV38" s="19"/>
      <c r="VBW38" s="19"/>
      <c r="VBX38" s="19"/>
      <c r="VBY38" s="19"/>
      <c r="VBZ38" s="21"/>
      <c r="VCA38" s="19"/>
      <c r="VCJ38" s="19"/>
      <c r="VCK38" s="19"/>
      <c r="VCL38" s="19"/>
      <c r="VCM38" s="19"/>
      <c r="VCN38" s="21"/>
      <c r="VCO38" s="19"/>
      <c r="VCX38" s="19"/>
      <c r="VCY38" s="19"/>
      <c r="VCZ38" s="19"/>
      <c r="VDA38" s="19"/>
      <c r="VDB38" s="21"/>
      <c r="VDC38" s="19"/>
      <c r="VDL38" s="19"/>
      <c r="VDM38" s="19"/>
      <c r="VDN38" s="19"/>
      <c r="VDO38" s="19"/>
      <c r="VDP38" s="21"/>
      <c r="VDQ38" s="19"/>
      <c r="VDZ38" s="19"/>
      <c r="VEA38" s="19"/>
      <c r="VEB38" s="19"/>
      <c r="VEC38" s="19"/>
      <c r="VED38" s="21"/>
      <c r="VEE38" s="19"/>
      <c r="VEN38" s="19"/>
      <c r="VEO38" s="19"/>
      <c r="VEP38" s="19"/>
      <c r="VEQ38" s="19"/>
      <c r="VER38" s="21"/>
      <c r="VES38" s="19"/>
      <c r="VFB38" s="19"/>
      <c r="VFC38" s="19"/>
      <c r="VFD38" s="19"/>
      <c r="VFE38" s="19"/>
      <c r="VFF38" s="21"/>
      <c r="VFG38" s="19"/>
      <c r="VFP38" s="19"/>
      <c r="VFQ38" s="19"/>
      <c r="VFR38" s="19"/>
      <c r="VFS38" s="19"/>
      <c r="VFT38" s="21"/>
      <c r="VFU38" s="19"/>
      <c r="VGD38" s="19"/>
      <c r="VGE38" s="19"/>
      <c r="VGF38" s="19"/>
      <c r="VGG38" s="19"/>
      <c r="VGH38" s="21"/>
      <c r="VGI38" s="19"/>
      <c r="VGR38" s="19"/>
      <c r="VGS38" s="19"/>
      <c r="VGT38" s="19"/>
      <c r="VGU38" s="19"/>
      <c r="VGV38" s="21"/>
      <c r="VGW38" s="19"/>
      <c r="VHF38" s="19"/>
      <c r="VHG38" s="19"/>
      <c r="VHH38" s="19"/>
      <c r="VHI38" s="19"/>
      <c r="VHJ38" s="21"/>
      <c r="VHK38" s="19"/>
      <c r="VHT38" s="19"/>
      <c r="VHU38" s="19"/>
      <c r="VHV38" s="19"/>
      <c r="VHW38" s="19"/>
      <c r="VHX38" s="21"/>
      <c r="VHY38" s="19"/>
      <c r="VIH38" s="19"/>
      <c r="VII38" s="19"/>
      <c r="VIJ38" s="19"/>
      <c r="VIK38" s="19"/>
      <c r="VIL38" s="21"/>
      <c r="VIM38" s="19"/>
      <c r="VIV38" s="19"/>
      <c r="VIW38" s="19"/>
      <c r="VIX38" s="19"/>
      <c r="VIY38" s="19"/>
      <c r="VIZ38" s="21"/>
      <c r="VJA38" s="19"/>
      <c r="VJJ38" s="19"/>
      <c r="VJK38" s="19"/>
      <c r="VJL38" s="19"/>
      <c r="VJM38" s="19"/>
      <c r="VJN38" s="21"/>
      <c r="VJO38" s="19"/>
      <c r="VJX38" s="19"/>
      <c r="VJY38" s="19"/>
      <c r="VJZ38" s="19"/>
      <c r="VKA38" s="19"/>
      <c r="VKB38" s="21"/>
      <c r="VKC38" s="19"/>
      <c r="VKL38" s="19"/>
      <c r="VKM38" s="19"/>
      <c r="VKN38" s="19"/>
      <c r="VKO38" s="19"/>
      <c r="VKP38" s="21"/>
      <c r="VKQ38" s="19"/>
      <c r="VKZ38" s="19"/>
      <c r="VLA38" s="19"/>
      <c r="VLB38" s="19"/>
      <c r="VLC38" s="19"/>
      <c r="VLD38" s="21"/>
      <c r="VLE38" s="19"/>
      <c r="VLN38" s="19"/>
      <c r="VLO38" s="19"/>
      <c r="VLP38" s="19"/>
      <c r="VLQ38" s="19"/>
      <c r="VLR38" s="21"/>
      <c r="VLS38" s="19"/>
      <c r="VMB38" s="19"/>
      <c r="VMC38" s="19"/>
      <c r="VMD38" s="19"/>
      <c r="VME38" s="19"/>
      <c r="VMF38" s="21"/>
      <c r="VMG38" s="19"/>
      <c r="VMP38" s="19"/>
      <c r="VMQ38" s="19"/>
      <c r="VMR38" s="19"/>
      <c r="VMS38" s="19"/>
      <c r="VMT38" s="21"/>
      <c r="VMU38" s="19"/>
      <c r="VND38" s="19"/>
      <c r="VNE38" s="19"/>
      <c r="VNF38" s="19"/>
      <c r="VNG38" s="19"/>
      <c r="VNH38" s="21"/>
      <c r="VNI38" s="19"/>
      <c r="VNR38" s="19"/>
      <c r="VNS38" s="19"/>
      <c r="VNT38" s="19"/>
      <c r="VNU38" s="19"/>
      <c r="VNV38" s="21"/>
      <c r="VNW38" s="19"/>
      <c r="VOF38" s="19"/>
      <c r="VOG38" s="19"/>
      <c r="VOH38" s="19"/>
      <c r="VOI38" s="19"/>
      <c r="VOJ38" s="21"/>
      <c r="VOK38" s="19"/>
      <c r="VOT38" s="19"/>
      <c r="VOU38" s="19"/>
      <c r="VOV38" s="19"/>
      <c r="VOW38" s="19"/>
      <c r="VOX38" s="21"/>
      <c r="VOY38" s="19"/>
      <c r="VPH38" s="19"/>
      <c r="VPI38" s="19"/>
      <c r="VPJ38" s="19"/>
      <c r="VPK38" s="19"/>
      <c r="VPL38" s="21"/>
      <c r="VPM38" s="19"/>
      <c r="VPV38" s="19"/>
      <c r="VPW38" s="19"/>
      <c r="VPX38" s="19"/>
      <c r="VPY38" s="19"/>
      <c r="VPZ38" s="21"/>
      <c r="VQA38" s="19"/>
      <c r="VQJ38" s="19"/>
      <c r="VQK38" s="19"/>
      <c r="VQL38" s="19"/>
      <c r="VQM38" s="19"/>
      <c r="VQN38" s="21"/>
      <c r="VQO38" s="19"/>
      <c r="VQX38" s="19"/>
      <c r="VQY38" s="19"/>
      <c r="VQZ38" s="19"/>
      <c r="VRA38" s="19"/>
      <c r="VRB38" s="21"/>
      <c r="VRC38" s="19"/>
      <c r="VRL38" s="19"/>
      <c r="VRM38" s="19"/>
      <c r="VRN38" s="19"/>
      <c r="VRO38" s="19"/>
      <c r="VRP38" s="21"/>
      <c r="VRQ38" s="19"/>
      <c r="VRZ38" s="19"/>
      <c r="VSA38" s="19"/>
      <c r="VSB38" s="19"/>
      <c r="VSC38" s="19"/>
      <c r="VSD38" s="21"/>
      <c r="VSE38" s="19"/>
      <c r="VSN38" s="19"/>
      <c r="VSO38" s="19"/>
      <c r="VSP38" s="19"/>
      <c r="VSQ38" s="19"/>
      <c r="VSR38" s="21"/>
      <c r="VSS38" s="19"/>
      <c r="VTB38" s="19"/>
      <c r="VTC38" s="19"/>
      <c r="VTD38" s="19"/>
      <c r="VTE38" s="19"/>
      <c r="VTF38" s="21"/>
      <c r="VTG38" s="19"/>
      <c r="VTP38" s="19"/>
      <c r="VTQ38" s="19"/>
      <c r="VTR38" s="19"/>
      <c r="VTS38" s="19"/>
      <c r="VTT38" s="21"/>
      <c r="VTU38" s="19"/>
      <c r="VUD38" s="19"/>
      <c r="VUE38" s="19"/>
      <c r="VUF38" s="19"/>
      <c r="VUG38" s="19"/>
      <c r="VUH38" s="21"/>
      <c r="VUI38" s="19"/>
      <c r="VUR38" s="19"/>
      <c r="VUS38" s="19"/>
      <c r="VUT38" s="19"/>
      <c r="VUU38" s="19"/>
      <c r="VUV38" s="21"/>
      <c r="VUW38" s="19"/>
      <c r="VVF38" s="19"/>
      <c r="VVG38" s="19"/>
      <c r="VVH38" s="19"/>
      <c r="VVI38" s="19"/>
      <c r="VVJ38" s="21"/>
      <c r="VVK38" s="19"/>
      <c r="VVT38" s="19"/>
      <c r="VVU38" s="19"/>
      <c r="VVV38" s="19"/>
      <c r="VVW38" s="19"/>
      <c r="VVX38" s="21"/>
      <c r="VVY38" s="19"/>
      <c r="VWH38" s="19"/>
      <c r="VWI38" s="19"/>
      <c r="VWJ38" s="19"/>
      <c r="VWK38" s="19"/>
      <c r="VWL38" s="21"/>
      <c r="VWM38" s="19"/>
      <c r="VWV38" s="19"/>
      <c r="VWW38" s="19"/>
      <c r="VWX38" s="19"/>
      <c r="VWY38" s="19"/>
      <c r="VWZ38" s="21"/>
      <c r="VXA38" s="19"/>
      <c r="VXJ38" s="19"/>
      <c r="VXK38" s="19"/>
      <c r="VXL38" s="19"/>
      <c r="VXM38" s="19"/>
      <c r="VXN38" s="21"/>
      <c r="VXO38" s="19"/>
      <c r="VXX38" s="19"/>
      <c r="VXY38" s="19"/>
      <c r="VXZ38" s="19"/>
      <c r="VYA38" s="19"/>
      <c r="VYB38" s="21"/>
      <c r="VYC38" s="19"/>
      <c r="VYL38" s="19"/>
      <c r="VYM38" s="19"/>
      <c r="VYN38" s="19"/>
      <c r="VYO38" s="19"/>
      <c r="VYP38" s="21"/>
      <c r="VYQ38" s="19"/>
      <c r="VYZ38" s="19"/>
      <c r="VZA38" s="19"/>
      <c r="VZB38" s="19"/>
      <c r="VZC38" s="19"/>
      <c r="VZD38" s="21"/>
      <c r="VZE38" s="19"/>
      <c r="VZN38" s="19"/>
      <c r="VZO38" s="19"/>
      <c r="VZP38" s="19"/>
      <c r="VZQ38" s="19"/>
      <c r="VZR38" s="21"/>
      <c r="VZS38" s="19"/>
      <c r="WAB38" s="19"/>
      <c r="WAC38" s="19"/>
      <c r="WAD38" s="19"/>
      <c r="WAE38" s="19"/>
      <c r="WAF38" s="21"/>
      <c r="WAG38" s="19"/>
      <c r="WAP38" s="19"/>
      <c r="WAQ38" s="19"/>
      <c r="WAR38" s="19"/>
      <c r="WAS38" s="19"/>
      <c r="WAT38" s="21"/>
      <c r="WAU38" s="19"/>
      <c r="WBD38" s="19"/>
      <c r="WBE38" s="19"/>
      <c r="WBF38" s="19"/>
      <c r="WBG38" s="19"/>
      <c r="WBH38" s="21"/>
      <c r="WBI38" s="19"/>
      <c r="WBR38" s="19"/>
      <c r="WBS38" s="19"/>
      <c r="WBT38" s="19"/>
      <c r="WBU38" s="19"/>
      <c r="WBV38" s="21"/>
      <c r="WBW38" s="19"/>
      <c r="WCF38" s="19"/>
      <c r="WCG38" s="19"/>
      <c r="WCH38" s="19"/>
      <c r="WCI38" s="19"/>
      <c r="WCJ38" s="21"/>
      <c r="WCK38" s="19"/>
      <c r="WCT38" s="19"/>
      <c r="WCU38" s="19"/>
      <c r="WCV38" s="19"/>
      <c r="WCW38" s="19"/>
      <c r="WCX38" s="21"/>
      <c r="WCY38" s="19"/>
      <c r="WDH38" s="19"/>
      <c r="WDI38" s="19"/>
      <c r="WDJ38" s="19"/>
      <c r="WDK38" s="19"/>
      <c r="WDL38" s="21"/>
      <c r="WDM38" s="19"/>
      <c r="WDV38" s="19"/>
      <c r="WDW38" s="19"/>
      <c r="WDX38" s="19"/>
      <c r="WDY38" s="19"/>
      <c r="WDZ38" s="21"/>
      <c r="WEA38" s="19"/>
      <c r="WEJ38" s="19"/>
      <c r="WEK38" s="19"/>
      <c r="WEL38" s="19"/>
      <c r="WEM38" s="19"/>
      <c r="WEN38" s="21"/>
      <c r="WEO38" s="19"/>
      <c r="WEX38" s="19"/>
      <c r="WEY38" s="19"/>
      <c r="WEZ38" s="19"/>
      <c r="WFA38" s="19"/>
      <c r="WFB38" s="21"/>
      <c r="WFC38" s="19"/>
      <c r="WFL38" s="19"/>
      <c r="WFM38" s="19"/>
      <c r="WFN38" s="19"/>
      <c r="WFO38" s="19"/>
      <c r="WFP38" s="21"/>
      <c r="WFQ38" s="19"/>
      <c r="WFZ38" s="19"/>
      <c r="WGA38" s="19"/>
      <c r="WGB38" s="19"/>
      <c r="WGC38" s="19"/>
      <c r="WGD38" s="21"/>
      <c r="WGE38" s="19"/>
      <c r="WGN38" s="19"/>
      <c r="WGO38" s="19"/>
      <c r="WGP38" s="19"/>
      <c r="WGQ38" s="19"/>
      <c r="WGR38" s="21"/>
      <c r="WGS38" s="19"/>
      <c r="WHB38" s="19"/>
      <c r="WHC38" s="19"/>
      <c r="WHD38" s="19"/>
      <c r="WHE38" s="19"/>
      <c r="WHF38" s="21"/>
      <c r="WHG38" s="19"/>
      <c r="WHP38" s="19"/>
      <c r="WHQ38" s="19"/>
      <c r="WHR38" s="19"/>
      <c r="WHS38" s="19"/>
      <c r="WHT38" s="21"/>
      <c r="WHU38" s="19"/>
      <c r="WID38" s="19"/>
      <c r="WIE38" s="19"/>
      <c r="WIF38" s="19"/>
      <c r="WIG38" s="19"/>
      <c r="WIH38" s="21"/>
      <c r="WII38" s="19"/>
      <c r="WIR38" s="19"/>
      <c r="WIS38" s="19"/>
      <c r="WIT38" s="19"/>
      <c r="WIU38" s="19"/>
      <c r="WIV38" s="21"/>
      <c r="WIW38" s="19"/>
      <c r="WJF38" s="19"/>
      <c r="WJG38" s="19"/>
      <c r="WJH38" s="19"/>
      <c r="WJI38" s="19"/>
      <c r="WJJ38" s="21"/>
      <c r="WJK38" s="19"/>
      <c r="WJT38" s="19"/>
      <c r="WJU38" s="19"/>
      <c r="WJV38" s="19"/>
      <c r="WJW38" s="19"/>
      <c r="WJX38" s="21"/>
      <c r="WJY38" s="19"/>
      <c r="WKH38" s="19"/>
      <c r="WKI38" s="19"/>
      <c r="WKJ38" s="19"/>
      <c r="WKK38" s="19"/>
      <c r="WKL38" s="21"/>
      <c r="WKM38" s="19"/>
      <c r="WKV38" s="19"/>
      <c r="WKW38" s="19"/>
      <c r="WKX38" s="19"/>
      <c r="WKY38" s="19"/>
      <c r="WKZ38" s="21"/>
      <c r="WLA38" s="19"/>
      <c r="WLJ38" s="19"/>
      <c r="WLK38" s="19"/>
      <c r="WLL38" s="19"/>
      <c r="WLM38" s="19"/>
      <c r="WLN38" s="21"/>
      <c r="WLO38" s="19"/>
      <c r="WLX38" s="19"/>
      <c r="WLY38" s="19"/>
      <c r="WLZ38" s="19"/>
      <c r="WMA38" s="19"/>
      <c r="WMB38" s="21"/>
      <c r="WMC38" s="19"/>
      <c r="WML38" s="19"/>
      <c r="WMM38" s="19"/>
      <c r="WMN38" s="19"/>
      <c r="WMO38" s="19"/>
      <c r="WMP38" s="21"/>
      <c r="WMQ38" s="19"/>
      <c r="WMZ38" s="19"/>
      <c r="WNA38" s="19"/>
      <c r="WNB38" s="19"/>
      <c r="WNC38" s="19"/>
      <c r="WND38" s="21"/>
      <c r="WNE38" s="19"/>
      <c r="WNN38" s="19"/>
      <c r="WNO38" s="19"/>
      <c r="WNP38" s="19"/>
      <c r="WNQ38" s="19"/>
      <c r="WNR38" s="21"/>
      <c r="WNS38" s="19"/>
      <c r="WOB38" s="19"/>
      <c r="WOC38" s="19"/>
      <c r="WOD38" s="19"/>
      <c r="WOE38" s="19"/>
      <c r="WOF38" s="21"/>
      <c r="WOG38" s="19"/>
      <c r="WOP38" s="19"/>
      <c r="WOQ38" s="19"/>
      <c r="WOR38" s="19"/>
      <c r="WOS38" s="19"/>
      <c r="WOT38" s="21"/>
      <c r="WOU38" s="19"/>
      <c r="WPD38" s="19"/>
      <c r="WPE38" s="19"/>
      <c r="WPF38" s="19"/>
      <c r="WPG38" s="19"/>
      <c r="WPH38" s="21"/>
      <c r="WPI38" s="19"/>
      <c r="WPR38" s="19"/>
      <c r="WPS38" s="19"/>
      <c r="WPT38" s="19"/>
      <c r="WPU38" s="19"/>
      <c r="WPV38" s="21"/>
      <c r="WPW38" s="19"/>
      <c r="WQF38" s="19"/>
      <c r="WQG38" s="19"/>
      <c r="WQH38" s="19"/>
      <c r="WQI38" s="19"/>
      <c r="WQJ38" s="21"/>
      <c r="WQK38" s="19"/>
      <c r="WQT38" s="19"/>
      <c r="WQU38" s="19"/>
      <c r="WQV38" s="19"/>
      <c r="WQW38" s="19"/>
      <c r="WQX38" s="21"/>
      <c r="WQY38" s="19"/>
      <c r="WRH38" s="19"/>
      <c r="WRI38" s="19"/>
      <c r="WRJ38" s="19"/>
      <c r="WRK38" s="19"/>
      <c r="WRL38" s="21"/>
      <c r="WRM38" s="19"/>
      <c r="WRV38" s="19"/>
      <c r="WRW38" s="19"/>
      <c r="WRX38" s="19"/>
      <c r="WRY38" s="19"/>
      <c r="WRZ38" s="21"/>
      <c r="WSA38" s="19"/>
      <c r="WSJ38" s="19"/>
      <c r="WSK38" s="19"/>
      <c r="WSL38" s="19"/>
      <c r="WSM38" s="19"/>
      <c r="WSN38" s="21"/>
      <c r="WSO38" s="19"/>
      <c r="WSX38" s="19"/>
      <c r="WSY38" s="19"/>
      <c r="WSZ38" s="19"/>
      <c r="WTA38" s="19"/>
      <c r="WTB38" s="21"/>
      <c r="WTC38" s="19"/>
      <c r="WTL38" s="19"/>
      <c r="WTM38" s="19"/>
      <c r="WTN38" s="19"/>
      <c r="WTO38" s="19"/>
      <c r="WTP38" s="21"/>
      <c r="WTQ38" s="19"/>
      <c r="WTZ38" s="19"/>
      <c r="WUA38" s="19"/>
      <c r="WUB38" s="19"/>
      <c r="WUC38" s="19"/>
      <c r="WUD38" s="21"/>
      <c r="WUE38" s="19"/>
      <c r="WUN38" s="19"/>
      <c r="WUO38" s="19"/>
      <c r="WUP38" s="19"/>
      <c r="WUQ38" s="19"/>
      <c r="WUR38" s="21"/>
      <c r="WUS38" s="19"/>
      <c r="WVB38" s="19"/>
      <c r="WVC38" s="19"/>
      <c r="WVD38" s="19"/>
      <c r="WVE38" s="19"/>
      <c r="WVF38" s="21"/>
      <c r="WVG38" s="19"/>
      <c r="WVP38" s="19"/>
      <c r="WVQ38" s="19"/>
      <c r="WVR38" s="19"/>
      <c r="WVS38" s="19"/>
      <c r="WVT38" s="21"/>
      <c r="WVU38" s="19"/>
      <c r="WWD38" s="19"/>
      <c r="WWE38" s="19"/>
      <c r="WWF38" s="19"/>
      <c r="WWG38" s="19"/>
      <c r="WWH38" s="21"/>
      <c r="WWI38" s="19"/>
      <c r="WWR38" s="19"/>
      <c r="WWS38" s="19"/>
      <c r="WWT38" s="19"/>
      <c r="WWU38" s="19"/>
      <c r="WWV38" s="21"/>
      <c r="WWW38" s="19"/>
      <c r="WXF38" s="19"/>
      <c r="WXG38" s="19"/>
      <c r="WXH38" s="19"/>
      <c r="WXI38" s="19"/>
      <c r="WXJ38" s="21"/>
      <c r="WXK38" s="19"/>
      <c r="WXT38" s="19"/>
      <c r="WXU38" s="19"/>
      <c r="WXV38" s="19"/>
      <c r="WXW38" s="19"/>
      <c r="WXX38" s="21"/>
      <c r="WXY38" s="19"/>
      <c r="WYH38" s="19"/>
      <c r="WYI38" s="19"/>
      <c r="WYJ38" s="19"/>
      <c r="WYK38" s="19"/>
      <c r="WYL38" s="21"/>
      <c r="WYM38" s="19"/>
      <c r="WYV38" s="19"/>
      <c r="WYW38" s="19"/>
      <c r="WYX38" s="19"/>
      <c r="WYY38" s="19"/>
      <c r="WYZ38" s="21"/>
      <c r="WZA38" s="19"/>
      <c r="WZJ38" s="19"/>
      <c r="WZK38" s="19"/>
      <c r="WZL38" s="19"/>
      <c r="WZM38" s="19"/>
      <c r="WZN38" s="21"/>
      <c r="WZO38" s="19"/>
      <c r="WZX38" s="19"/>
      <c r="WZY38" s="19"/>
      <c r="WZZ38" s="19"/>
      <c r="XAA38" s="19"/>
      <c r="XAB38" s="21"/>
      <c r="XAC38" s="19"/>
      <c r="XAL38" s="19"/>
      <c r="XAM38" s="19"/>
      <c r="XAN38" s="19"/>
      <c r="XAO38" s="19"/>
      <c r="XAP38" s="21"/>
      <c r="XAQ38" s="19"/>
      <c r="XAZ38" s="19"/>
      <c r="XBA38" s="19"/>
      <c r="XBB38" s="19"/>
      <c r="XBC38" s="19"/>
      <c r="XBD38" s="21"/>
      <c r="XBE38" s="19"/>
      <c r="XBN38" s="19"/>
      <c r="XBO38" s="19"/>
      <c r="XBP38" s="19"/>
      <c r="XBQ38" s="19"/>
      <c r="XBR38" s="21"/>
      <c r="XBS38" s="19"/>
      <c r="XCB38" s="19"/>
      <c r="XCC38" s="19"/>
      <c r="XCD38" s="19"/>
      <c r="XCE38" s="19"/>
      <c r="XCF38" s="21"/>
      <c r="XCG38" s="19"/>
      <c r="XCP38" s="19"/>
      <c r="XCQ38" s="19"/>
      <c r="XCR38" s="19"/>
      <c r="XCS38" s="19"/>
      <c r="XCT38" s="21"/>
      <c r="XCU38" s="19"/>
      <c r="XDD38" s="19"/>
      <c r="XDE38" s="19"/>
      <c r="XDF38" s="19"/>
      <c r="XDG38" s="19"/>
      <c r="XDH38" s="21"/>
      <c r="XDI38" s="19"/>
      <c r="XDR38" s="19"/>
      <c r="XDS38" s="19"/>
      <c r="XDT38" s="19"/>
      <c r="XDU38" s="19"/>
      <c r="XDV38" s="21"/>
      <c r="XDW38" s="19"/>
      <c r="XEF38" s="19"/>
      <c r="XEG38" s="19"/>
      <c r="XEH38" s="19"/>
      <c r="XEI38" s="19"/>
      <c r="XEJ38" s="21"/>
      <c r="XEK38" s="19"/>
    </row>
    <row r="39" spans="1:1021 1030:2043 2052:3065 3074:7167 7176:8189 8198:9211 9220:10233 10242:14335 14344:15357 15366:16365" s="20" customFormat="1" ht="16" customHeight="1">
      <c r="A39" s="19">
        <v>3</v>
      </c>
      <c r="B39" s="21">
        <v>6</v>
      </c>
      <c r="C39" s="20" t="s">
        <v>134</v>
      </c>
      <c r="D39" s="20">
        <v>6</v>
      </c>
      <c r="E39" s="20">
        <v>3</v>
      </c>
      <c r="F39" s="20">
        <v>2</v>
      </c>
      <c r="G39" s="20">
        <v>0</v>
      </c>
      <c r="H39" s="20">
        <v>1</v>
      </c>
      <c r="I39" s="20">
        <v>3</v>
      </c>
      <c r="J39" s="20">
        <v>4</v>
      </c>
      <c r="K39" s="20">
        <v>-1</v>
      </c>
      <c r="L39" s="27"/>
      <c r="M39" s="19"/>
      <c r="V39" s="19"/>
      <c r="W39" s="19"/>
      <c r="X39" s="19"/>
      <c r="Y39" s="19"/>
      <c r="Z39" s="21"/>
      <c r="AA39" s="19"/>
      <c r="AJ39" s="19"/>
      <c r="AK39" s="19"/>
      <c r="AL39" s="19"/>
      <c r="AM39" s="19"/>
      <c r="AN39" s="21"/>
      <c r="AO39" s="19"/>
      <c r="AX39" s="19"/>
      <c r="AY39" s="19"/>
      <c r="AZ39" s="19"/>
      <c r="BA39" s="19"/>
      <c r="BB39" s="21"/>
      <c r="BC39" s="19"/>
      <c r="BL39" s="19"/>
      <c r="BM39" s="19"/>
      <c r="BN39" s="19"/>
      <c r="BO39" s="19"/>
      <c r="BP39" s="21"/>
      <c r="BQ39" s="19"/>
      <c r="BZ39" s="19"/>
      <c r="CA39" s="19"/>
      <c r="CB39" s="19"/>
      <c r="CC39" s="19"/>
      <c r="CD39" s="21"/>
      <c r="CE39" s="19"/>
      <c r="CN39" s="19"/>
      <c r="CO39" s="19"/>
      <c r="CP39" s="19"/>
      <c r="CQ39" s="19"/>
      <c r="CR39" s="21"/>
      <c r="CS39" s="19"/>
      <c r="DB39" s="19"/>
      <c r="DC39" s="19"/>
      <c r="DD39" s="19"/>
      <c r="DE39" s="19"/>
      <c r="DF39" s="21"/>
      <c r="DG39" s="19"/>
      <c r="DP39" s="19"/>
      <c r="DQ39" s="19"/>
      <c r="DR39" s="19"/>
      <c r="DS39" s="19"/>
      <c r="DT39" s="21"/>
      <c r="DU39" s="19"/>
      <c r="ED39" s="19"/>
      <c r="EE39" s="19"/>
      <c r="EF39" s="19"/>
      <c r="EG39" s="19"/>
      <c r="EH39" s="21"/>
      <c r="EI39" s="19"/>
      <c r="ER39" s="19"/>
      <c r="ES39" s="19"/>
      <c r="ET39" s="19"/>
      <c r="EU39" s="19"/>
      <c r="EV39" s="21"/>
      <c r="EW39" s="19"/>
      <c r="FF39" s="19"/>
      <c r="FG39" s="19"/>
      <c r="FH39" s="19"/>
      <c r="FI39" s="19"/>
      <c r="FJ39" s="21"/>
      <c r="FK39" s="19"/>
      <c r="FT39" s="19"/>
      <c r="FU39" s="19"/>
      <c r="FV39" s="19"/>
      <c r="FW39" s="19"/>
      <c r="FX39" s="21"/>
      <c r="FY39" s="19"/>
      <c r="GH39" s="19"/>
      <c r="GI39" s="19"/>
      <c r="GJ39" s="19"/>
      <c r="GK39" s="19"/>
      <c r="GL39" s="21"/>
      <c r="GM39" s="19"/>
      <c r="GV39" s="19"/>
      <c r="GW39" s="19"/>
      <c r="GX39" s="19"/>
      <c r="GY39" s="19"/>
      <c r="GZ39" s="21"/>
      <c r="HA39" s="19"/>
      <c r="HJ39" s="19"/>
      <c r="HK39" s="19"/>
      <c r="HL39" s="19"/>
      <c r="HM39" s="19"/>
      <c r="HN39" s="21"/>
      <c r="HO39" s="19"/>
      <c r="HX39" s="19"/>
      <c r="HY39" s="19"/>
      <c r="HZ39" s="19"/>
      <c r="IA39" s="19"/>
      <c r="IB39" s="21"/>
      <c r="IC39" s="19"/>
      <c r="IL39" s="19"/>
      <c r="IM39" s="19"/>
      <c r="IN39" s="19"/>
      <c r="IO39" s="19"/>
      <c r="IP39" s="21"/>
      <c r="IQ39" s="19"/>
      <c r="IZ39" s="19"/>
      <c r="JA39" s="19"/>
      <c r="JB39" s="19"/>
      <c r="JC39" s="19"/>
      <c r="JD39" s="21"/>
      <c r="JE39" s="19"/>
      <c r="JN39" s="19"/>
      <c r="JO39" s="19"/>
      <c r="JP39" s="19"/>
      <c r="JQ39" s="19"/>
      <c r="JR39" s="21"/>
      <c r="JS39" s="19"/>
      <c r="KB39" s="19"/>
      <c r="KC39" s="19"/>
      <c r="KD39" s="19"/>
      <c r="KE39" s="19"/>
      <c r="KF39" s="21"/>
      <c r="KG39" s="19"/>
      <c r="KP39" s="19"/>
      <c r="KQ39" s="19"/>
      <c r="KR39" s="19"/>
      <c r="KS39" s="19"/>
      <c r="KT39" s="21"/>
      <c r="KU39" s="19"/>
      <c r="LD39" s="19"/>
      <c r="LE39" s="19"/>
      <c r="LF39" s="19"/>
      <c r="LG39" s="19"/>
      <c r="LH39" s="21"/>
      <c r="LI39" s="19"/>
      <c r="LR39" s="19"/>
      <c r="LS39" s="19"/>
      <c r="LT39" s="19"/>
      <c r="LU39" s="19"/>
      <c r="LV39" s="21"/>
      <c r="LW39" s="19"/>
      <c r="MF39" s="19"/>
      <c r="MG39" s="19"/>
      <c r="MH39" s="19"/>
      <c r="MI39" s="19"/>
      <c r="MJ39" s="21"/>
      <c r="MK39" s="19"/>
      <c r="MT39" s="19"/>
      <c r="MU39" s="19"/>
      <c r="MV39" s="19"/>
      <c r="MW39" s="19"/>
      <c r="MX39" s="21"/>
      <c r="MY39" s="19"/>
      <c r="NH39" s="19"/>
      <c r="NI39" s="19"/>
      <c r="NJ39" s="19"/>
      <c r="NK39" s="19"/>
      <c r="NL39" s="21"/>
      <c r="NM39" s="19"/>
      <c r="NV39" s="19"/>
      <c r="NW39" s="19"/>
      <c r="NX39" s="19"/>
      <c r="NY39" s="19"/>
      <c r="NZ39" s="21"/>
      <c r="OA39" s="19"/>
      <c r="OJ39" s="19"/>
      <c r="OK39" s="19"/>
      <c r="OL39" s="19"/>
      <c r="OM39" s="19"/>
      <c r="ON39" s="21"/>
      <c r="OO39" s="19"/>
      <c r="OX39" s="19"/>
      <c r="OY39" s="19"/>
      <c r="OZ39" s="19"/>
      <c r="PA39" s="19"/>
      <c r="PB39" s="21"/>
      <c r="PC39" s="19"/>
      <c r="PL39" s="19"/>
      <c r="PM39" s="19"/>
      <c r="PN39" s="19"/>
      <c r="PO39" s="19"/>
      <c r="PP39" s="21"/>
      <c r="PQ39" s="19"/>
      <c r="PZ39" s="19"/>
      <c r="QA39" s="19"/>
      <c r="QB39" s="19"/>
      <c r="QC39" s="19"/>
      <c r="QD39" s="21"/>
      <c r="QE39" s="19"/>
      <c r="QN39" s="19"/>
      <c r="QO39" s="19"/>
      <c r="QP39" s="19"/>
      <c r="QQ39" s="19"/>
      <c r="QR39" s="21"/>
      <c r="QS39" s="19"/>
      <c r="RB39" s="19"/>
      <c r="RC39" s="19"/>
      <c r="RD39" s="19"/>
      <c r="RE39" s="19"/>
      <c r="RF39" s="21"/>
      <c r="RG39" s="19"/>
      <c r="RP39" s="19"/>
      <c r="RQ39" s="19"/>
      <c r="RR39" s="19"/>
      <c r="RS39" s="19"/>
      <c r="RT39" s="21"/>
      <c r="RU39" s="19"/>
      <c r="SD39" s="19"/>
      <c r="SE39" s="19"/>
      <c r="SF39" s="19"/>
      <c r="SG39" s="19"/>
      <c r="SH39" s="21"/>
      <c r="SI39" s="19"/>
      <c r="SR39" s="19"/>
      <c r="SS39" s="19"/>
      <c r="ST39" s="19"/>
      <c r="SU39" s="19"/>
      <c r="SV39" s="21"/>
      <c r="SW39" s="19"/>
      <c r="TF39" s="19"/>
      <c r="TG39" s="19"/>
      <c r="TH39" s="19"/>
      <c r="TI39" s="19"/>
      <c r="TJ39" s="21"/>
      <c r="TK39" s="19"/>
      <c r="TT39" s="19"/>
      <c r="TU39" s="19"/>
      <c r="TV39" s="19"/>
      <c r="TW39" s="19"/>
      <c r="TX39" s="21"/>
      <c r="TY39" s="19"/>
      <c r="UH39" s="19"/>
      <c r="UI39" s="19"/>
      <c r="UJ39" s="19"/>
      <c r="UK39" s="19"/>
      <c r="UL39" s="21"/>
      <c r="UM39" s="19"/>
      <c r="UV39" s="19"/>
      <c r="UW39" s="19"/>
      <c r="UX39" s="19"/>
      <c r="UY39" s="19"/>
      <c r="UZ39" s="21"/>
      <c r="VA39" s="19"/>
      <c r="VJ39" s="19"/>
      <c r="VK39" s="19"/>
      <c r="VL39" s="19"/>
      <c r="VM39" s="19"/>
      <c r="VN39" s="21"/>
      <c r="VO39" s="19"/>
      <c r="VX39" s="19"/>
      <c r="VY39" s="19"/>
      <c r="VZ39" s="19"/>
      <c r="WA39" s="19"/>
      <c r="WB39" s="21"/>
      <c r="WC39" s="19"/>
      <c r="WL39" s="19"/>
      <c r="WM39" s="19"/>
      <c r="WN39" s="19"/>
      <c r="WO39" s="19"/>
      <c r="WP39" s="21"/>
      <c r="WQ39" s="19"/>
      <c r="WZ39" s="19"/>
      <c r="XA39" s="19"/>
      <c r="XB39" s="19"/>
      <c r="XC39" s="19"/>
      <c r="XD39" s="21"/>
      <c r="XE39" s="19"/>
      <c r="XN39" s="19"/>
      <c r="XO39" s="19"/>
      <c r="XP39" s="19"/>
      <c r="XQ39" s="19"/>
      <c r="XR39" s="21"/>
      <c r="XS39" s="19"/>
      <c r="YB39" s="19"/>
      <c r="YC39" s="19"/>
      <c r="YD39" s="19"/>
      <c r="YE39" s="19"/>
      <c r="YF39" s="21"/>
      <c r="YG39" s="19"/>
      <c r="YP39" s="19"/>
      <c r="YQ39" s="19"/>
      <c r="YR39" s="19"/>
      <c r="YS39" s="19"/>
      <c r="YT39" s="21"/>
      <c r="YU39" s="19"/>
      <c r="ZD39" s="19"/>
      <c r="ZE39" s="19"/>
      <c r="ZF39" s="19"/>
      <c r="ZG39" s="19"/>
      <c r="ZH39" s="21"/>
      <c r="ZI39" s="19"/>
      <c r="ZR39" s="19"/>
      <c r="ZS39" s="19"/>
      <c r="ZT39" s="19"/>
      <c r="ZU39" s="19"/>
      <c r="ZV39" s="21"/>
      <c r="ZW39" s="19"/>
      <c r="AAF39" s="19"/>
      <c r="AAG39" s="19"/>
      <c r="AAH39" s="19"/>
      <c r="AAI39" s="19"/>
      <c r="AAJ39" s="21"/>
      <c r="AAK39" s="19"/>
      <c r="AAT39" s="19"/>
      <c r="AAU39" s="19"/>
      <c r="AAV39" s="19"/>
      <c r="AAW39" s="19"/>
      <c r="AAX39" s="21"/>
      <c r="AAY39" s="19"/>
      <c r="ABH39" s="19"/>
      <c r="ABI39" s="19"/>
      <c r="ABJ39" s="19"/>
      <c r="ABK39" s="19"/>
      <c r="ABL39" s="21"/>
      <c r="ABM39" s="19"/>
      <c r="ABV39" s="19"/>
      <c r="ABW39" s="19"/>
      <c r="ABX39" s="19"/>
      <c r="ABY39" s="19"/>
      <c r="ABZ39" s="21"/>
      <c r="ACA39" s="19"/>
      <c r="ACJ39" s="19"/>
      <c r="ACK39" s="19"/>
      <c r="ACL39" s="19"/>
      <c r="ACM39" s="19"/>
      <c r="ACN39" s="21"/>
      <c r="ACO39" s="19"/>
      <c r="ACX39" s="19"/>
      <c r="ACY39" s="19"/>
      <c r="ACZ39" s="19"/>
      <c r="ADA39" s="19"/>
      <c r="ADB39" s="21"/>
      <c r="ADC39" s="19"/>
      <c r="ADL39" s="19"/>
      <c r="ADM39" s="19"/>
      <c r="ADN39" s="19"/>
      <c r="ADO39" s="19"/>
      <c r="ADP39" s="21"/>
      <c r="ADQ39" s="19"/>
      <c r="ADZ39" s="19"/>
      <c r="AEA39" s="19"/>
      <c r="AEB39" s="19"/>
      <c r="AEC39" s="19"/>
      <c r="AED39" s="21"/>
      <c r="AEE39" s="19"/>
      <c r="AEN39" s="19"/>
      <c r="AEO39" s="19"/>
      <c r="AEP39" s="19"/>
      <c r="AEQ39" s="19"/>
      <c r="AER39" s="21"/>
      <c r="AES39" s="19"/>
      <c r="AFB39" s="19"/>
      <c r="AFC39" s="19"/>
      <c r="AFD39" s="19"/>
      <c r="AFE39" s="19"/>
      <c r="AFF39" s="21"/>
      <c r="AFG39" s="19"/>
      <c r="AFP39" s="19"/>
      <c r="AFQ39" s="19"/>
      <c r="AFR39" s="19"/>
      <c r="AFS39" s="19"/>
      <c r="AFT39" s="21"/>
      <c r="AFU39" s="19"/>
      <c r="AGD39" s="19"/>
      <c r="AGE39" s="19"/>
      <c r="AGF39" s="19"/>
      <c r="AGG39" s="19"/>
      <c r="AGH39" s="21"/>
      <c r="AGI39" s="19"/>
      <c r="AGR39" s="19"/>
      <c r="AGS39" s="19"/>
      <c r="AGT39" s="19"/>
      <c r="AGU39" s="19"/>
      <c r="AGV39" s="21"/>
      <c r="AGW39" s="19"/>
      <c r="AHF39" s="19"/>
      <c r="AHG39" s="19"/>
      <c r="AHH39" s="19"/>
      <c r="AHI39" s="19"/>
      <c r="AHJ39" s="21"/>
      <c r="AHK39" s="19"/>
      <c r="AHT39" s="19"/>
      <c r="AHU39" s="19"/>
      <c r="AHV39" s="19"/>
      <c r="AHW39" s="19"/>
      <c r="AHX39" s="21"/>
      <c r="AHY39" s="19"/>
      <c r="AIH39" s="19"/>
      <c r="AII39" s="19"/>
      <c r="AIJ39" s="19"/>
      <c r="AIK39" s="19"/>
      <c r="AIL39" s="21"/>
      <c r="AIM39" s="19"/>
      <c r="AIV39" s="19"/>
      <c r="AIW39" s="19"/>
      <c r="AIX39" s="19"/>
      <c r="AIY39" s="19"/>
      <c r="AIZ39" s="21"/>
      <c r="AJA39" s="19"/>
      <c r="AJJ39" s="19"/>
      <c r="AJK39" s="19"/>
      <c r="AJL39" s="19"/>
      <c r="AJM39" s="19"/>
      <c r="AJN39" s="21"/>
      <c r="AJO39" s="19"/>
      <c r="AJX39" s="19"/>
      <c r="AJY39" s="19"/>
      <c r="AJZ39" s="19"/>
      <c r="AKA39" s="19"/>
      <c r="AKB39" s="21"/>
      <c r="AKC39" s="19"/>
      <c r="AKL39" s="19"/>
      <c r="AKM39" s="19"/>
      <c r="AKN39" s="19"/>
      <c r="AKO39" s="19"/>
      <c r="AKP39" s="21"/>
      <c r="AKQ39" s="19"/>
      <c r="AKZ39" s="19"/>
      <c r="ALA39" s="19"/>
      <c r="ALB39" s="19"/>
      <c r="ALC39" s="19"/>
      <c r="ALD39" s="21"/>
      <c r="ALE39" s="19"/>
      <c r="ALN39" s="19"/>
      <c r="ALO39" s="19"/>
      <c r="ALP39" s="19"/>
      <c r="ALQ39" s="19"/>
      <c r="ALR39" s="21"/>
      <c r="ALS39" s="19"/>
      <c r="AMB39" s="19"/>
      <c r="AMC39" s="19"/>
      <c r="AMD39" s="19"/>
      <c r="AME39" s="19"/>
      <c r="AMF39" s="21"/>
      <c r="AMG39" s="19"/>
      <c r="AMP39" s="19"/>
      <c r="AMQ39" s="19"/>
      <c r="AMR39" s="19"/>
      <c r="AMS39" s="19"/>
      <c r="AMT39" s="21"/>
      <c r="AMU39" s="19"/>
      <c r="AND39" s="19"/>
      <c r="ANE39" s="19"/>
      <c r="ANF39" s="19"/>
      <c r="ANG39" s="19"/>
      <c r="ANH39" s="21"/>
      <c r="ANI39" s="19"/>
      <c r="ANR39" s="19"/>
      <c r="ANS39" s="19"/>
      <c r="ANT39" s="19"/>
      <c r="ANU39" s="19"/>
      <c r="ANV39" s="21"/>
      <c r="ANW39" s="19"/>
      <c r="AOF39" s="19"/>
      <c r="AOG39" s="19"/>
      <c r="AOH39" s="19"/>
      <c r="AOI39" s="19"/>
      <c r="AOJ39" s="21"/>
      <c r="AOK39" s="19"/>
      <c r="AOT39" s="19"/>
      <c r="AOU39" s="19"/>
      <c r="AOV39" s="19"/>
      <c r="AOW39" s="19"/>
      <c r="AOX39" s="21"/>
      <c r="AOY39" s="19"/>
      <c r="APH39" s="19"/>
      <c r="API39" s="19"/>
      <c r="APJ39" s="19"/>
      <c r="APK39" s="19"/>
      <c r="APL39" s="21"/>
      <c r="APM39" s="19"/>
      <c r="APV39" s="19"/>
      <c r="APW39" s="19"/>
      <c r="APX39" s="19"/>
      <c r="APY39" s="19"/>
      <c r="APZ39" s="21"/>
      <c r="AQA39" s="19"/>
      <c r="AQJ39" s="19"/>
      <c r="AQK39" s="19"/>
      <c r="AQL39" s="19"/>
      <c r="AQM39" s="19"/>
      <c r="AQN39" s="21"/>
      <c r="AQO39" s="19"/>
      <c r="AQX39" s="19"/>
      <c r="AQY39" s="19"/>
      <c r="AQZ39" s="19"/>
      <c r="ARA39" s="19"/>
      <c r="ARB39" s="21"/>
      <c r="ARC39" s="19"/>
      <c r="ARL39" s="19"/>
      <c r="ARM39" s="19"/>
      <c r="ARN39" s="19"/>
      <c r="ARO39" s="19"/>
      <c r="ARP39" s="21"/>
      <c r="ARQ39" s="19"/>
      <c r="ARZ39" s="19"/>
      <c r="ASA39" s="19"/>
      <c r="ASB39" s="19"/>
      <c r="ASC39" s="19"/>
      <c r="ASD39" s="21"/>
      <c r="ASE39" s="19"/>
      <c r="ASN39" s="19"/>
      <c r="ASO39" s="19"/>
      <c r="ASP39" s="19"/>
      <c r="ASQ39" s="19"/>
      <c r="ASR39" s="21"/>
      <c r="ASS39" s="19"/>
      <c r="ATB39" s="19"/>
      <c r="ATC39" s="19"/>
      <c r="ATD39" s="19"/>
      <c r="ATE39" s="19"/>
      <c r="ATF39" s="21"/>
      <c r="ATG39" s="19"/>
      <c r="ATP39" s="19"/>
      <c r="ATQ39" s="19"/>
      <c r="ATR39" s="19"/>
      <c r="ATS39" s="19"/>
      <c r="ATT39" s="21"/>
      <c r="ATU39" s="19"/>
      <c r="AUD39" s="19"/>
      <c r="AUE39" s="19"/>
      <c r="AUF39" s="19"/>
      <c r="AUG39" s="19"/>
      <c r="AUH39" s="21"/>
      <c r="AUI39" s="19"/>
      <c r="AUR39" s="19"/>
      <c r="AUS39" s="19"/>
      <c r="AUT39" s="19"/>
      <c r="AUU39" s="19"/>
      <c r="AUV39" s="21"/>
      <c r="AUW39" s="19"/>
      <c r="AVF39" s="19"/>
      <c r="AVG39" s="19"/>
      <c r="AVH39" s="19"/>
      <c r="AVI39" s="19"/>
      <c r="AVJ39" s="21"/>
      <c r="AVK39" s="19"/>
      <c r="AVT39" s="19"/>
      <c r="AVU39" s="19"/>
      <c r="AVV39" s="19"/>
      <c r="AVW39" s="19"/>
      <c r="AVX39" s="21"/>
      <c r="AVY39" s="19"/>
      <c r="AWH39" s="19"/>
      <c r="AWI39" s="19"/>
      <c r="AWJ39" s="19"/>
      <c r="AWK39" s="19"/>
      <c r="AWL39" s="21"/>
      <c r="AWM39" s="19"/>
      <c r="AWV39" s="19"/>
      <c r="AWW39" s="19"/>
      <c r="AWX39" s="19"/>
      <c r="AWY39" s="19"/>
      <c r="AWZ39" s="21"/>
      <c r="AXA39" s="19"/>
      <c r="AXJ39" s="19"/>
      <c r="AXK39" s="19"/>
      <c r="AXL39" s="19"/>
      <c r="AXM39" s="19"/>
      <c r="AXN39" s="21"/>
      <c r="AXO39" s="19"/>
      <c r="AXX39" s="19"/>
      <c r="AXY39" s="19"/>
      <c r="AXZ39" s="19"/>
      <c r="AYA39" s="19"/>
      <c r="AYB39" s="21"/>
      <c r="AYC39" s="19"/>
      <c r="AYL39" s="19"/>
      <c r="AYM39" s="19"/>
      <c r="AYN39" s="19"/>
      <c r="AYO39" s="19"/>
      <c r="AYP39" s="21"/>
      <c r="AYQ39" s="19"/>
      <c r="AYZ39" s="19"/>
      <c r="AZA39" s="19"/>
      <c r="AZB39" s="19"/>
      <c r="AZC39" s="19"/>
      <c r="AZD39" s="21"/>
      <c r="AZE39" s="19"/>
      <c r="AZN39" s="19"/>
      <c r="AZO39" s="19"/>
      <c r="AZP39" s="19"/>
      <c r="AZQ39" s="19"/>
      <c r="AZR39" s="21"/>
      <c r="AZS39" s="19"/>
      <c r="BAB39" s="19"/>
      <c r="BAC39" s="19"/>
      <c r="BAD39" s="19"/>
      <c r="BAE39" s="19"/>
      <c r="BAF39" s="21"/>
      <c r="BAG39" s="19"/>
      <c r="BAP39" s="19"/>
      <c r="BAQ39" s="19"/>
      <c r="BAR39" s="19"/>
      <c r="BAS39" s="19"/>
      <c r="BAT39" s="21"/>
      <c r="BAU39" s="19"/>
      <c r="BBD39" s="19"/>
      <c r="BBE39" s="19"/>
      <c r="BBF39" s="19"/>
      <c r="BBG39" s="19"/>
      <c r="BBH39" s="21"/>
      <c r="BBI39" s="19"/>
      <c r="BBR39" s="19"/>
      <c r="BBS39" s="19"/>
      <c r="BBT39" s="19"/>
      <c r="BBU39" s="19"/>
      <c r="BBV39" s="21"/>
      <c r="BBW39" s="19"/>
      <c r="BCF39" s="19"/>
      <c r="BCG39" s="19"/>
      <c r="BCH39" s="19"/>
      <c r="BCI39" s="19"/>
      <c r="BCJ39" s="21"/>
      <c r="BCK39" s="19"/>
      <c r="BCT39" s="19"/>
      <c r="BCU39" s="19"/>
      <c r="BCV39" s="19"/>
      <c r="BCW39" s="19"/>
      <c r="BCX39" s="21"/>
      <c r="BCY39" s="19"/>
      <c r="BDH39" s="19"/>
      <c r="BDI39" s="19"/>
      <c r="BDJ39" s="19"/>
      <c r="BDK39" s="19"/>
      <c r="BDL39" s="21"/>
      <c r="BDM39" s="19"/>
      <c r="BDV39" s="19"/>
      <c r="BDW39" s="19"/>
      <c r="BDX39" s="19"/>
      <c r="BDY39" s="19"/>
      <c r="BDZ39" s="21"/>
      <c r="BEA39" s="19"/>
      <c r="BEJ39" s="19"/>
      <c r="BEK39" s="19"/>
      <c r="BEL39" s="19"/>
      <c r="BEM39" s="19"/>
      <c r="BEN39" s="21"/>
      <c r="BEO39" s="19"/>
      <c r="BEX39" s="19"/>
      <c r="BEY39" s="19"/>
      <c r="BEZ39" s="19"/>
      <c r="BFA39" s="19"/>
      <c r="BFB39" s="21"/>
      <c r="BFC39" s="19"/>
      <c r="BFL39" s="19"/>
      <c r="BFM39" s="19"/>
      <c r="BFN39" s="19"/>
      <c r="BFO39" s="19"/>
      <c r="BFP39" s="21"/>
      <c r="BFQ39" s="19"/>
      <c r="BFZ39" s="19"/>
      <c r="BGA39" s="19"/>
      <c r="BGB39" s="19"/>
      <c r="BGC39" s="19"/>
      <c r="BGD39" s="21"/>
      <c r="BGE39" s="19"/>
      <c r="BGN39" s="19"/>
      <c r="BGO39" s="19"/>
      <c r="BGP39" s="19"/>
      <c r="BGQ39" s="19"/>
      <c r="BGR39" s="21"/>
      <c r="BGS39" s="19"/>
      <c r="BHB39" s="19"/>
      <c r="BHC39" s="19"/>
      <c r="BHD39" s="19"/>
      <c r="BHE39" s="19"/>
      <c r="BHF39" s="21"/>
      <c r="BHG39" s="19"/>
      <c r="BHP39" s="19"/>
      <c r="BHQ39" s="19"/>
      <c r="BHR39" s="19"/>
      <c r="BHS39" s="19"/>
      <c r="BHT39" s="21"/>
      <c r="BHU39" s="19"/>
      <c r="BID39" s="19"/>
      <c r="BIE39" s="19"/>
      <c r="BIF39" s="19"/>
      <c r="BIG39" s="19"/>
      <c r="BIH39" s="21"/>
      <c r="BII39" s="19"/>
      <c r="BIR39" s="19"/>
      <c r="BIS39" s="19"/>
      <c r="BIT39" s="19"/>
      <c r="BIU39" s="19"/>
      <c r="BIV39" s="21"/>
      <c r="BIW39" s="19"/>
      <c r="BJF39" s="19"/>
      <c r="BJG39" s="19"/>
      <c r="BJH39" s="19"/>
      <c r="BJI39" s="19"/>
      <c r="BJJ39" s="21"/>
      <c r="BJK39" s="19"/>
      <c r="BJT39" s="19"/>
      <c r="BJU39" s="19"/>
      <c r="BJV39" s="19"/>
      <c r="BJW39" s="19"/>
      <c r="BJX39" s="21"/>
      <c r="BJY39" s="19"/>
      <c r="BKH39" s="19"/>
      <c r="BKI39" s="19"/>
      <c r="BKJ39" s="19"/>
      <c r="BKK39" s="19"/>
      <c r="BKL39" s="21"/>
      <c r="BKM39" s="19"/>
      <c r="BKV39" s="19"/>
      <c r="BKW39" s="19"/>
      <c r="BKX39" s="19"/>
      <c r="BKY39" s="19"/>
      <c r="BKZ39" s="21"/>
      <c r="BLA39" s="19"/>
      <c r="BLJ39" s="19"/>
      <c r="BLK39" s="19"/>
      <c r="BLL39" s="19"/>
      <c r="BLM39" s="19"/>
      <c r="BLN39" s="21"/>
      <c r="BLO39" s="19"/>
      <c r="BLX39" s="19"/>
      <c r="BLY39" s="19"/>
      <c r="BLZ39" s="19"/>
      <c r="BMA39" s="19"/>
      <c r="BMB39" s="21"/>
      <c r="BMC39" s="19"/>
      <c r="BML39" s="19"/>
      <c r="BMM39" s="19"/>
      <c r="BMN39" s="19"/>
      <c r="BMO39" s="19"/>
      <c r="BMP39" s="21"/>
      <c r="BMQ39" s="19"/>
      <c r="BMZ39" s="19"/>
      <c r="BNA39" s="19"/>
      <c r="BNB39" s="19"/>
      <c r="BNC39" s="19"/>
      <c r="BND39" s="21"/>
      <c r="BNE39" s="19"/>
      <c r="BNN39" s="19"/>
      <c r="BNO39" s="19"/>
      <c r="BNP39" s="19"/>
      <c r="BNQ39" s="19"/>
      <c r="BNR39" s="21"/>
      <c r="BNS39" s="19"/>
      <c r="BOB39" s="19"/>
      <c r="BOC39" s="19"/>
      <c r="BOD39" s="19"/>
      <c r="BOE39" s="19"/>
      <c r="BOF39" s="21"/>
      <c r="BOG39" s="19"/>
      <c r="BOP39" s="19"/>
      <c r="BOQ39" s="19"/>
      <c r="BOR39" s="19"/>
      <c r="BOS39" s="19"/>
      <c r="BOT39" s="21"/>
      <c r="BOU39" s="19"/>
      <c r="BPD39" s="19"/>
      <c r="BPE39" s="19"/>
      <c r="BPF39" s="19"/>
      <c r="BPG39" s="19"/>
      <c r="BPH39" s="21"/>
      <c r="BPI39" s="19"/>
      <c r="BPR39" s="19"/>
      <c r="BPS39" s="19"/>
      <c r="BPT39" s="19"/>
      <c r="BPU39" s="19"/>
      <c r="BPV39" s="21"/>
      <c r="BPW39" s="19"/>
      <c r="BQF39" s="19"/>
      <c r="BQG39" s="19"/>
      <c r="BQH39" s="19"/>
      <c r="BQI39" s="19"/>
      <c r="BQJ39" s="21"/>
      <c r="BQK39" s="19"/>
      <c r="BQT39" s="19"/>
      <c r="BQU39" s="19"/>
      <c r="BQV39" s="19"/>
      <c r="BQW39" s="19"/>
      <c r="BQX39" s="21"/>
      <c r="BQY39" s="19"/>
      <c r="BRH39" s="19"/>
      <c r="BRI39" s="19"/>
      <c r="BRJ39" s="19"/>
      <c r="BRK39" s="19"/>
      <c r="BRL39" s="21"/>
      <c r="BRM39" s="19"/>
      <c r="BRV39" s="19"/>
      <c r="BRW39" s="19"/>
      <c r="BRX39" s="19"/>
      <c r="BRY39" s="19"/>
      <c r="BRZ39" s="21"/>
      <c r="BSA39" s="19"/>
      <c r="BSJ39" s="19"/>
      <c r="BSK39" s="19"/>
      <c r="BSL39" s="19"/>
      <c r="BSM39" s="19"/>
      <c r="BSN39" s="21"/>
      <c r="BSO39" s="19"/>
      <c r="BSX39" s="19"/>
      <c r="BSY39" s="19"/>
      <c r="BSZ39" s="19"/>
      <c r="BTA39" s="19"/>
      <c r="BTB39" s="21"/>
      <c r="BTC39" s="19"/>
      <c r="BTL39" s="19"/>
      <c r="BTM39" s="19"/>
      <c r="BTN39" s="19"/>
      <c r="BTO39" s="19"/>
      <c r="BTP39" s="21"/>
      <c r="BTQ39" s="19"/>
      <c r="BTZ39" s="19"/>
      <c r="BUA39" s="19"/>
      <c r="BUB39" s="19"/>
      <c r="BUC39" s="19"/>
      <c r="BUD39" s="21"/>
      <c r="BUE39" s="19"/>
      <c r="BUN39" s="19"/>
      <c r="BUO39" s="19"/>
      <c r="BUP39" s="19"/>
      <c r="BUQ39" s="19"/>
      <c r="BUR39" s="21"/>
      <c r="BUS39" s="19"/>
      <c r="BVB39" s="19"/>
      <c r="BVC39" s="19"/>
      <c r="BVD39" s="19"/>
      <c r="BVE39" s="19"/>
      <c r="BVF39" s="21"/>
      <c r="BVG39" s="19"/>
      <c r="BVP39" s="19"/>
      <c r="BVQ39" s="19"/>
      <c r="BVR39" s="19"/>
      <c r="BVS39" s="19"/>
      <c r="BVT39" s="21"/>
      <c r="BVU39" s="19"/>
      <c r="BWD39" s="19"/>
      <c r="BWE39" s="19"/>
      <c r="BWF39" s="19"/>
      <c r="BWG39" s="19"/>
      <c r="BWH39" s="21"/>
      <c r="BWI39" s="19"/>
      <c r="BWR39" s="19"/>
      <c r="BWS39" s="19"/>
      <c r="BWT39" s="19"/>
      <c r="BWU39" s="19"/>
      <c r="BWV39" s="21"/>
      <c r="BWW39" s="19"/>
      <c r="BXF39" s="19"/>
      <c r="BXG39" s="19"/>
      <c r="BXH39" s="19"/>
      <c r="BXI39" s="19"/>
      <c r="BXJ39" s="21"/>
      <c r="BXK39" s="19"/>
      <c r="BXT39" s="19"/>
      <c r="BXU39" s="19"/>
      <c r="BXV39" s="19"/>
      <c r="BXW39" s="19"/>
      <c r="BXX39" s="21"/>
      <c r="BXY39" s="19"/>
      <c r="BYH39" s="19"/>
      <c r="BYI39" s="19"/>
      <c r="BYJ39" s="19"/>
      <c r="BYK39" s="19"/>
      <c r="BYL39" s="21"/>
      <c r="BYM39" s="19"/>
      <c r="BYV39" s="19"/>
      <c r="BYW39" s="19"/>
      <c r="BYX39" s="19"/>
      <c r="BYY39" s="19"/>
      <c r="BYZ39" s="21"/>
      <c r="BZA39" s="19"/>
      <c r="BZJ39" s="19"/>
      <c r="BZK39" s="19"/>
      <c r="BZL39" s="19"/>
      <c r="BZM39" s="19"/>
      <c r="BZN39" s="21"/>
      <c r="BZO39" s="19"/>
      <c r="BZX39" s="19"/>
      <c r="BZY39" s="19"/>
      <c r="BZZ39" s="19"/>
      <c r="CAA39" s="19"/>
      <c r="CAB39" s="21"/>
      <c r="CAC39" s="19"/>
      <c r="CAL39" s="19"/>
      <c r="CAM39" s="19"/>
      <c r="CAN39" s="19"/>
      <c r="CAO39" s="19"/>
      <c r="CAP39" s="21"/>
      <c r="CAQ39" s="19"/>
      <c r="CAZ39" s="19"/>
      <c r="CBA39" s="19"/>
      <c r="CBB39" s="19"/>
      <c r="CBC39" s="19"/>
      <c r="CBD39" s="21"/>
      <c r="CBE39" s="19"/>
      <c r="CBN39" s="19"/>
      <c r="CBO39" s="19"/>
      <c r="CBP39" s="19"/>
      <c r="CBQ39" s="19"/>
      <c r="CBR39" s="21"/>
      <c r="CBS39" s="19"/>
      <c r="CCB39" s="19"/>
      <c r="CCC39" s="19"/>
      <c r="CCD39" s="19"/>
      <c r="CCE39" s="19"/>
      <c r="CCF39" s="21"/>
      <c r="CCG39" s="19"/>
      <c r="CCP39" s="19"/>
      <c r="CCQ39" s="19"/>
      <c r="CCR39" s="19"/>
      <c r="CCS39" s="19"/>
      <c r="CCT39" s="21"/>
      <c r="CCU39" s="19"/>
      <c r="CDD39" s="19"/>
      <c r="CDE39" s="19"/>
      <c r="CDF39" s="19"/>
      <c r="CDG39" s="19"/>
      <c r="CDH39" s="21"/>
      <c r="CDI39" s="19"/>
      <c r="CDR39" s="19"/>
      <c r="CDS39" s="19"/>
      <c r="CDT39" s="19"/>
      <c r="CDU39" s="19"/>
      <c r="CDV39" s="21"/>
      <c r="CDW39" s="19"/>
      <c r="CEF39" s="19"/>
      <c r="CEG39" s="19"/>
      <c r="CEH39" s="19"/>
      <c r="CEI39" s="19"/>
      <c r="CEJ39" s="21"/>
      <c r="CEK39" s="19"/>
      <c r="CET39" s="19"/>
      <c r="CEU39" s="19"/>
      <c r="CEV39" s="19"/>
      <c r="CEW39" s="19"/>
      <c r="CEX39" s="21"/>
      <c r="CEY39" s="19"/>
      <c r="CFH39" s="19"/>
      <c r="CFI39" s="19"/>
      <c r="CFJ39" s="19"/>
      <c r="CFK39" s="19"/>
      <c r="CFL39" s="21"/>
      <c r="CFM39" s="19"/>
      <c r="CFV39" s="19"/>
      <c r="CFW39" s="19"/>
      <c r="CFX39" s="19"/>
      <c r="CFY39" s="19"/>
      <c r="CFZ39" s="21"/>
      <c r="CGA39" s="19"/>
      <c r="CGJ39" s="19"/>
      <c r="CGK39" s="19"/>
      <c r="CGL39" s="19"/>
      <c r="CGM39" s="19"/>
      <c r="CGN39" s="21"/>
      <c r="CGO39" s="19"/>
      <c r="CGX39" s="19"/>
      <c r="CGY39" s="19"/>
      <c r="CGZ39" s="19"/>
      <c r="CHA39" s="19"/>
      <c r="CHB39" s="21"/>
      <c r="CHC39" s="19"/>
      <c r="CHL39" s="19"/>
      <c r="CHM39" s="19"/>
      <c r="CHN39" s="19"/>
      <c r="CHO39" s="19"/>
      <c r="CHP39" s="21"/>
      <c r="CHQ39" s="19"/>
      <c r="CHZ39" s="19"/>
      <c r="CIA39" s="19"/>
      <c r="CIB39" s="19"/>
      <c r="CIC39" s="19"/>
      <c r="CID39" s="21"/>
      <c r="CIE39" s="19"/>
      <c r="CIN39" s="19"/>
      <c r="CIO39" s="19"/>
      <c r="CIP39" s="19"/>
      <c r="CIQ39" s="19"/>
      <c r="CIR39" s="21"/>
      <c r="CIS39" s="19"/>
      <c r="CJB39" s="19"/>
      <c r="CJC39" s="19"/>
      <c r="CJD39" s="19"/>
      <c r="CJE39" s="19"/>
      <c r="CJF39" s="21"/>
      <c r="CJG39" s="19"/>
      <c r="CJP39" s="19"/>
      <c r="CJQ39" s="19"/>
      <c r="CJR39" s="19"/>
      <c r="CJS39" s="19"/>
      <c r="CJT39" s="21"/>
      <c r="CJU39" s="19"/>
      <c r="CKD39" s="19"/>
      <c r="CKE39" s="19"/>
      <c r="CKF39" s="19"/>
      <c r="CKG39" s="19"/>
      <c r="CKH39" s="21"/>
      <c r="CKI39" s="19"/>
      <c r="CKR39" s="19"/>
      <c r="CKS39" s="19"/>
      <c r="CKT39" s="19"/>
      <c r="CKU39" s="19"/>
      <c r="CKV39" s="21"/>
      <c r="CKW39" s="19"/>
      <c r="CLF39" s="19"/>
      <c r="CLG39" s="19"/>
      <c r="CLH39" s="19"/>
      <c r="CLI39" s="19"/>
      <c r="CLJ39" s="21"/>
      <c r="CLK39" s="19"/>
      <c r="CLT39" s="19"/>
      <c r="CLU39" s="19"/>
      <c r="CLV39" s="19"/>
      <c r="CLW39" s="19"/>
      <c r="CLX39" s="21"/>
      <c r="CLY39" s="19"/>
      <c r="CMH39" s="19"/>
      <c r="CMI39" s="19"/>
      <c r="CMJ39" s="19"/>
      <c r="CMK39" s="19"/>
      <c r="CML39" s="21"/>
      <c r="CMM39" s="19"/>
      <c r="CMV39" s="19"/>
      <c r="CMW39" s="19"/>
      <c r="CMX39" s="19"/>
      <c r="CMY39" s="19"/>
      <c r="CMZ39" s="21"/>
      <c r="CNA39" s="19"/>
      <c r="CNJ39" s="19"/>
      <c r="CNK39" s="19"/>
      <c r="CNL39" s="19"/>
      <c r="CNM39" s="19"/>
      <c r="CNN39" s="21"/>
      <c r="CNO39" s="19"/>
      <c r="CNX39" s="19"/>
      <c r="CNY39" s="19"/>
      <c r="CNZ39" s="19"/>
      <c r="COA39" s="19"/>
      <c r="COB39" s="21"/>
      <c r="COC39" s="19"/>
      <c r="COL39" s="19"/>
      <c r="COM39" s="19"/>
      <c r="CON39" s="19"/>
      <c r="COO39" s="19"/>
      <c r="COP39" s="21"/>
      <c r="COQ39" s="19"/>
      <c r="COZ39" s="19"/>
      <c r="CPA39" s="19"/>
      <c r="CPB39" s="19"/>
      <c r="CPC39" s="19"/>
      <c r="CPD39" s="21"/>
      <c r="CPE39" s="19"/>
      <c r="CPN39" s="19"/>
      <c r="CPO39" s="19"/>
      <c r="CPP39" s="19"/>
      <c r="CPQ39" s="19"/>
      <c r="CPR39" s="21"/>
      <c r="CPS39" s="19"/>
      <c r="CQB39" s="19"/>
      <c r="CQC39" s="19"/>
      <c r="CQD39" s="19"/>
      <c r="CQE39" s="19"/>
      <c r="CQF39" s="21"/>
      <c r="CQG39" s="19"/>
      <c r="CQP39" s="19"/>
      <c r="CQQ39" s="19"/>
      <c r="CQR39" s="19"/>
      <c r="CQS39" s="19"/>
      <c r="CQT39" s="21"/>
      <c r="CQU39" s="19"/>
      <c r="CRD39" s="19"/>
      <c r="CRE39" s="19"/>
      <c r="CRF39" s="19"/>
      <c r="CRG39" s="19"/>
      <c r="CRH39" s="21"/>
      <c r="CRI39" s="19"/>
      <c r="CRR39" s="19"/>
      <c r="CRS39" s="19"/>
      <c r="CRT39" s="19"/>
      <c r="CRU39" s="19"/>
      <c r="CRV39" s="21"/>
      <c r="CRW39" s="19"/>
      <c r="CSF39" s="19"/>
      <c r="CSG39" s="19"/>
      <c r="CSH39" s="19"/>
      <c r="CSI39" s="19"/>
      <c r="CSJ39" s="21"/>
      <c r="CSK39" s="19"/>
      <c r="CST39" s="19"/>
      <c r="CSU39" s="19"/>
      <c r="CSV39" s="19"/>
      <c r="CSW39" s="19"/>
      <c r="CSX39" s="21"/>
      <c r="CSY39" s="19"/>
      <c r="CTH39" s="19"/>
      <c r="CTI39" s="19"/>
      <c r="CTJ39" s="19"/>
      <c r="CTK39" s="19"/>
      <c r="CTL39" s="21"/>
      <c r="CTM39" s="19"/>
      <c r="CTV39" s="19"/>
      <c r="CTW39" s="19"/>
      <c r="CTX39" s="19"/>
      <c r="CTY39" s="19"/>
      <c r="CTZ39" s="21"/>
      <c r="CUA39" s="19"/>
      <c r="CUJ39" s="19"/>
      <c r="CUK39" s="19"/>
      <c r="CUL39" s="19"/>
      <c r="CUM39" s="19"/>
      <c r="CUN39" s="21"/>
      <c r="CUO39" s="19"/>
      <c r="CUX39" s="19"/>
      <c r="CUY39" s="19"/>
      <c r="CUZ39" s="19"/>
      <c r="CVA39" s="19"/>
      <c r="CVB39" s="21"/>
      <c r="CVC39" s="19"/>
      <c r="CVL39" s="19"/>
      <c r="CVM39" s="19"/>
      <c r="CVN39" s="19"/>
      <c r="CVO39" s="19"/>
      <c r="CVP39" s="21"/>
      <c r="CVQ39" s="19"/>
      <c r="CVZ39" s="19"/>
      <c r="CWA39" s="19"/>
      <c r="CWB39" s="19"/>
      <c r="CWC39" s="19"/>
      <c r="CWD39" s="21"/>
      <c r="CWE39" s="19"/>
      <c r="CWN39" s="19"/>
      <c r="CWO39" s="19"/>
      <c r="CWP39" s="19"/>
      <c r="CWQ39" s="19"/>
      <c r="CWR39" s="21"/>
      <c r="CWS39" s="19"/>
      <c r="CXB39" s="19"/>
      <c r="CXC39" s="19"/>
      <c r="CXD39" s="19"/>
      <c r="CXE39" s="19"/>
      <c r="CXF39" s="21"/>
      <c r="CXG39" s="19"/>
      <c r="CXP39" s="19"/>
      <c r="CXQ39" s="19"/>
      <c r="CXR39" s="19"/>
      <c r="CXS39" s="19"/>
      <c r="CXT39" s="21"/>
      <c r="CXU39" s="19"/>
      <c r="CYD39" s="19"/>
      <c r="CYE39" s="19"/>
      <c r="CYF39" s="19"/>
      <c r="CYG39" s="19"/>
      <c r="CYH39" s="21"/>
      <c r="CYI39" s="19"/>
      <c r="CYR39" s="19"/>
      <c r="CYS39" s="19"/>
      <c r="CYT39" s="19"/>
      <c r="CYU39" s="19"/>
      <c r="CYV39" s="21"/>
      <c r="CYW39" s="19"/>
      <c r="CZF39" s="19"/>
      <c r="CZG39" s="19"/>
      <c r="CZH39" s="19"/>
      <c r="CZI39" s="19"/>
      <c r="CZJ39" s="21"/>
      <c r="CZK39" s="19"/>
      <c r="CZT39" s="19"/>
      <c r="CZU39" s="19"/>
      <c r="CZV39" s="19"/>
      <c r="CZW39" s="19"/>
      <c r="CZX39" s="21"/>
      <c r="CZY39" s="19"/>
      <c r="DAH39" s="19"/>
      <c r="DAI39" s="19"/>
      <c r="DAJ39" s="19"/>
      <c r="DAK39" s="19"/>
      <c r="DAL39" s="21"/>
      <c r="DAM39" s="19"/>
      <c r="DAV39" s="19"/>
      <c r="DAW39" s="19"/>
      <c r="DAX39" s="19"/>
      <c r="DAY39" s="19"/>
      <c r="DAZ39" s="21"/>
      <c r="DBA39" s="19"/>
      <c r="DBJ39" s="19"/>
      <c r="DBK39" s="19"/>
      <c r="DBL39" s="19"/>
      <c r="DBM39" s="19"/>
      <c r="DBN39" s="21"/>
      <c r="DBO39" s="19"/>
      <c r="DBX39" s="19"/>
      <c r="DBY39" s="19"/>
      <c r="DBZ39" s="19"/>
      <c r="DCA39" s="19"/>
      <c r="DCB39" s="21"/>
      <c r="DCC39" s="19"/>
      <c r="DCL39" s="19"/>
      <c r="DCM39" s="19"/>
      <c r="DCN39" s="19"/>
      <c r="DCO39" s="19"/>
      <c r="DCP39" s="21"/>
      <c r="DCQ39" s="19"/>
      <c r="DCZ39" s="19"/>
      <c r="DDA39" s="19"/>
      <c r="DDB39" s="19"/>
      <c r="DDC39" s="19"/>
      <c r="DDD39" s="21"/>
      <c r="DDE39" s="19"/>
      <c r="DDN39" s="19"/>
      <c r="DDO39" s="19"/>
      <c r="DDP39" s="19"/>
      <c r="DDQ39" s="19"/>
      <c r="DDR39" s="21"/>
      <c r="DDS39" s="19"/>
      <c r="DEB39" s="19"/>
      <c r="DEC39" s="19"/>
      <c r="DED39" s="19"/>
      <c r="DEE39" s="19"/>
      <c r="DEF39" s="21"/>
      <c r="DEG39" s="19"/>
      <c r="DEP39" s="19"/>
      <c r="DEQ39" s="19"/>
      <c r="DER39" s="19"/>
      <c r="DES39" s="19"/>
      <c r="DET39" s="21"/>
      <c r="DEU39" s="19"/>
      <c r="DFD39" s="19"/>
      <c r="DFE39" s="19"/>
      <c r="DFF39" s="19"/>
      <c r="DFG39" s="19"/>
      <c r="DFH39" s="21"/>
      <c r="DFI39" s="19"/>
      <c r="DFR39" s="19"/>
      <c r="DFS39" s="19"/>
      <c r="DFT39" s="19"/>
      <c r="DFU39" s="19"/>
      <c r="DFV39" s="21"/>
      <c r="DFW39" s="19"/>
      <c r="DGF39" s="19"/>
      <c r="DGG39" s="19"/>
      <c r="DGH39" s="19"/>
      <c r="DGI39" s="19"/>
      <c r="DGJ39" s="21"/>
      <c r="DGK39" s="19"/>
      <c r="DGT39" s="19"/>
      <c r="DGU39" s="19"/>
      <c r="DGV39" s="19"/>
      <c r="DGW39" s="19"/>
      <c r="DGX39" s="21"/>
      <c r="DGY39" s="19"/>
      <c r="DHH39" s="19"/>
      <c r="DHI39" s="19"/>
      <c r="DHJ39" s="19"/>
      <c r="DHK39" s="19"/>
      <c r="DHL39" s="21"/>
      <c r="DHM39" s="19"/>
      <c r="DHV39" s="19"/>
      <c r="DHW39" s="19"/>
      <c r="DHX39" s="19"/>
      <c r="DHY39" s="19"/>
      <c r="DHZ39" s="21"/>
      <c r="DIA39" s="19"/>
      <c r="DIJ39" s="19"/>
      <c r="DIK39" s="19"/>
      <c r="DIL39" s="19"/>
      <c r="DIM39" s="19"/>
      <c r="DIN39" s="21"/>
      <c r="DIO39" s="19"/>
      <c r="DIX39" s="19"/>
      <c r="DIY39" s="19"/>
      <c r="DIZ39" s="19"/>
      <c r="DJA39" s="19"/>
      <c r="DJB39" s="21"/>
      <c r="DJC39" s="19"/>
      <c r="DJL39" s="19"/>
      <c r="DJM39" s="19"/>
      <c r="DJN39" s="19"/>
      <c r="DJO39" s="19"/>
      <c r="DJP39" s="21"/>
      <c r="DJQ39" s="19"/>
      <c r="DJZ39" s="19"/>
      <c r="DKA39" s="19"/>
      <c r="DKB39" s="19"/>
      <c r="DKC39" s="19"/>
      <c r="DKD39" s="21"/>
      <c r="DKE39" s="19"/>
      <c r="DKN39" s="19"/>
      <c r="DKO39" s="19"/>
      <c r="DKP39" s="19"/>
      <c r="DKQ39" s="19"/>
      <c r="DKR39" s="21"/>
      <c r="DKS39" s="19"/>
      <c r="DLB39" s="19"/>
      <c r="DLC39" s="19"/>
      <c r="DLD39" s="19"/>
      <c r="DLE39" s="19"/>
      <c r="DLF39" s="21"/>
      <c r="DLG39" s="19"/>
      <c r="DLP39" s="19"/>
      <c r="DLQ39" s="19"/>
      <c r="DLR39" s="19"/>
      <c r="DLS39" s="19"/>
      <c r="DLT39" s="21"/>
      <c r="DLU39" s="19"/>
      <c r="DMD39" s="19"/>
      <c r="DME39" s="19"/>
      <c r="DMF39" s="19"/>
      <c r="DMG39" s="19"/>
      <c r="DMH39" s="21"/>
      <c r="DMI39" s="19"/>
      <c r="DMR39" s="19"/>
      <c r="DMS39" s="19"/>
      <c r="DMT39" s="19"/>
      <c r="DMU39" s="19"/>
      <c r="DMV39" s="21"/>
      <c r="DMW39" s="19"/>
      <c r="DNF39" s="19"/>
      <c r="DNG39" s="19"/>
      <c r="DNH39" s="19"/>
      <c r="DNI39" s="19"/>
      <c r="DNJ39" s="21"/>
      <c r="DNK39" s="19"/>
      <c r="DNT39" s="19"/>
      <c r="DNU39" s="19"/>
      <c r="DNV39" s="19"/>
      <c r="DNW39" s="19"/>
      <c r="DNX39" s="21"/>
      <c r="DNY39" s="19"/>
      <c r="DOH39" s="19"/>
      <c r="DOI39" s="19"/>
      <c r="DOJ39" s="19"/>
      <c r="DOK39" s="19"/>
      <c r="DOL39" s="21"/>
      <c r="DOM39" s="19"/>
      <c r="DOV39" s="19"/>
      <c r="DOW39" s="19"/>
      <c r="DOX39" s="19"/>
      <c r="DOY39" s="19"/>
      <c r="DOZ39" s="21"/>
      <c r="DPA39" s="19"/>
      <c r="DPJ39" s="19"/>
      <c r="DPK39" s="19"/>
      <c r="DPL39" s="19"/>
      <c r="DPM39" s="19"/>
      <c r="DPN39" s="21"/>
      <c r="DPO39" s="19"/>
      <c r="DPX39" s="19"/>
      <c r="DPY39" s="19"/>
      <c r="DPZ39" s="19"/>
      <c r="DQA39" s="19"/>
      <c r="DQB39" s="21"/>
      <c r="DQC39" s="19"/>
      <c r="DQL39" s="19"/>
      <c r="DQM39" s="19"/>
      <c r="DQN39" s="19"/>
      <c r="DQO39" s="19"/>
      <c r="DQP39" s="21"/>
      <c r="DQQ39" s="19"/>
      <c r="DQZ39" s="19"/>
      <c r="DRA39" s="19"/>
      <c r="DRB39" s="19"/>
      <c r="DRC39" s="19"/>
      <c r="DRD39" s="21"/>
      <c r="DRE39" s="19"/>
      <c r="DRN39" s="19"/>
      <c r="DRO39" s="19"/>
      <c r="DRP39" s="19"/>
      <c r="DRQ39" s="19"/>
      <c r="DRR39" s="21"/>
      <c r="DRS39" s="19"/>
      <c r="DSB39" s="19"/>
      <c r="DSC39" s="19"/>
      <c r="DSD39" s="19"/>
      <c r="DSE39" s="19"/>
      <c r="DSF39" s="21"/>
      <c r="DSG39" s="19"/>
      <c r="DSP39" s="19"/>
      <c r="DSQ39" s="19"/>
      <c r="DSR39" s="19"/>
      <c r="DSS39" s="19"/>
      <c r="DST39" s="21"/>
      <c r="DSU39" s="19"/>
      <c r="DTD39" s="19"/>
      <c r="DTE39" s="19"/>
      <c r="DTF39" s="19"/>
      <c r="DTG39" s="19"/>
      <c r="DTH39" s="21"/>
      <c r="DTI39" s="19"/>
      <c r="DTR39" s="19"/>
      <c r="DTS39" s="19"/>
      <c r="DTT39" s="19"/>
      <c r="DTU39" s="19"/>
      <c r="DTV39" s="21"/>
      <c r="DTW39" s="19"/>
      <c r="DUF39" s="19"/>
      <c r="DUG39" s="19"/>
      <c r="DUH39" s="19"/>
      <c r="DUI39" s="19"/>
      <c r="DUJ39" s="21"/>
      <c r="DUK39" s="19"/>
      <c r="DUT39" s="19"/>
      <c r="DUU39" s="19"/>
      <c r="DUV39" s="19"/>
      <c r="DUW39" s="19"/>
      <c r="DUX39" s="21"/>
      <c r="DUY39" s="19"/>
      <c r="DVH39" s="19"/>
      <c r="DVI39" s="19"/>
      <c r="DVJ39" s="19"/>
      <c r="DVK39" s="19"/>
      <c r="DVL39" s="21"/>
      <c r="DVM39" s="19"/>
      <c r="DVV39" s="19"/>
      <c r="DVW39" s="19"/>
      <c r="DVX39" s="19"/>
      <c r="DVY39" s="19"/>
      <c r="DVZ39" s="21"/>
      <c r="DWA39" s="19"/>
      <c r="DWJ39" s="19"/>
      <c r="DWK39" s="19"/>
      <c r="DWL39" s="19"/>
      <c r="DWM39" s="19"/>
      <c r="DWN39" s="21"/>
      <c r="DWO39" s="19"/>
      <c r="DWX39" s="19"/>
      <c r="DWY39" s="19"/>
      <c r="DWZ39" s="19"/>
      <c r="DXA39" s="19"/>
      <c r="DXB39" s="21"/>
      <c r="DXC39" s="19"/>
      <c r="DXL39" s="19"/>
      <c r="DXM39" s="19"/>
      <c r="DXN39" s="19"/>
      <c r="DXO39" s="19"/>
      <c r="DXP39" s="21"/>
      <c r="DXQ39" s="19"/>
      <c r="DXZ39" s="19"/>
      <c r="DYA39" s="19"/>
      <c r="DYB39" s="19"/>
      <c r="DYC39" s="19"/>
      <c r="DYD39" s="21"/>
      <c r="DYE39" s="19"/>
      <c r="DYN39" s="19"/>
      <c r="DYO39" s="19"/>
      <c r="DYP39" s="19"/>
      <c r="DYQ39" s="19"/>
      <c r="DYR39" s="21"/>
      <c r="DYS39" s="19"/>
      <c r="DZB39" s="19"/>
      <c r="DZC39" s="19"/>
      <c r="DZD39" s="19"/>
      <c r="DZE39" s="19"/>
      <c r="DZF39" s="21"/>
      <c r="DZG39" s="19"/>
      <c r="DZP39" s="19"/>
      <c r="DZQ39" s="19"/>
      <c r="DZR39" s="19"/>
      <c r="DZS39" s="19"/>
      <c r="DZT39" s="21"/>
      <c r="DZU39" s="19"/>
      <c r="EAD39" s="19"/>
      <c r="EAE39" s="19"/>
      <c r="EAF39" s="19"/>
      <c r="EAG39" s="19"/>
      <c r="EAH39" s="21"/>
      <c r="EAI39" s="19"/>
      <c r="EAR39" s="19"/>
      <c r="EAS39" s="19"/>
      <c r="EAT39" s="19"/>
      <c r="EAU39" s="19"/>
      <c r="EAV39" s="21"/>
      <c r="EAW39" s="19"/>
      <c r="EBF39" s="19"/>
      <c r="EBG39" s="19"/>
      <c r="EBH39" s="19"/>
      <c r="EBI39" s="19"/>
      <c r="EBJ39" s="21"/>
      <c r="EBK39" s="19"/>
      <c r="EBT39" s="19"/>
      <c r="EBU39" s="19"/>
      <c r="EBV39" s="19"/>
      <c r="EBW39" s="19"/>
      <c r="EBX39" s="21"/>
      <c r="EBY39" s="19"/>
      <c r="ECH39" s="19"/>
      <c r="ECI39" s="19"/>
      <c r="ECJ39" s="19"/>
      <c r="ECK39" s="19"/>
      <c r="ECL39" s="21"/>
      <c r="ECM39" s="19"/>
      <c r="ECV39" s="19"/>
      <c r="ECW39" s="19"/>
      <c r="ECX39" s="19"/>
      <c r="ECY39" s="19"/>
      <c r="ECZ39" s="21"/>
      <c r="EDA39" s="19"/>
      <c r="EDJ39" s="19"/>
      <c r="EDK39" s="19"/>
      <c r="EDL39" s="19"/>
      <c r="EDM39" s="19"/>
      <c r="EDN39" s="21"/>
      <c r="EDO39" s="19"/>
      <c r="EDX39" s="19"/>
      <c r="EDY39" s="19"/>
      <c r="EDZ39" s="19"/>
      <c r="EEA39" s="19"/>
      <c r="EEB39" s="21"/>
      <c r="EEC39" s="19"/>
      <c r="EEL39" s="19"/>
      <c r="EEM39" s="19"/>
      <c r="EEN39" s="19"/>
      <c r="EEO39" s="19"/>
      <c r="EEP39" s="21"/>
      <c r="EEQ39" s="19"/>
      <c r="EEZ39" s="19"/>
      <c r="EFA39" s="19"/>
      <c r="EFB39" s="19"/>
      <c r="EFC39" s="19"/>
      <c r="EFD39" s="21"/>
      <c r="EFE39" s="19"/>
      <c r="EFN39" s="19"/>
      <c r="EFO39" s="19"/>
      <c r="EFP39" s="19"/>
      <c r="EFQ39" s="19"/>
      <c r="EFR39" s="21"/>
      <c r="EFS39" s="19"/>
      <c r="EGB39" s="19"/>
      <c r="EGC39" s="19"/>
      <c r="EGD39" s="19"/>
      <c r="EGE39" s="19"/>
      <c r="EGF39" s="21"/>
      <c r="EGG39" s="19"/>
      <c r="EGP39" s="19"/>
      <c r="EGQ39" s="19"/>
      <c r="EGR39" s="19"/>
      <c r="EGS39" s="19"/>
      <c r="EGT39" s="21"/>
      <c r="EGU39" s="19"/>
      <c r="EHD39" s="19"/>
      <c r="EHE39" s="19"/>
      <c r="EHF39" s="19"/>
      <c r="EHG39" s="19"/>
      <c r="EHH39" s="21"/>
      <c r="EHI39" s="19"/>
      <c r="EHR39" s="19"/>
      <c r="EHS39" s="19"/>
      <c r="EHT39" s="19"/>
      <c r="EHU39" s="19"/>
      <c r="EHV39" s="21"/>
      <c r="EHW39" s="19"/>
      <c r="EIF39" s="19"/>
      <c r="EIG39" s="19"/>
      <c r="EIH39" s="19"/>
      <c r="EII39" s="19"/>
      <c r="EIJ39" s="21"/>
      <c r="EIK39" s="19"/>
      <c r="EIT39" s="19"/>
      <c r="EIU39" s="19"/>
      <c r="EIV39" s="19"/>
      <c r="EIW39" s="19"/>
      <c r="EIX39" s="21"/>
      <c r="EIY39" s="19"/>
      <c r="EJH39" s="19"/>
      <c r="EJI39" s="19"/>
      <c r="EJJ39" s="19"/>
      <c r="EJK39" s="19"/>
      <c r="EJL39" s="21"/>
      <c r="EJM39" s="19"/>
      <c r="EJV39" s="19"/>
      <c r="EJW39" s="19"/>
      <c r="EJX39" s="19"/>
      <c r="EJY39" s="19"/>
      <c r="EJZ39" s="21"/>
      <c r="EKA39" s="19"/>
      <c r="EKJ39" s="19"/>
      <c r="EKK39" s="19"/>
      <c r="EKL39" s="19"/>
      <c r="EKM39" s="19"/>
      <c r="EKN39" s="21"/>
      <c r="EKO39" s="19"/>
      <c r="EKX39" s="19"/>
      <c r="EKY39" s="19"/>
      <c r="EKZ39" s="19"/>
      <c r="ELA39" s="19"/>
      <c r="ELB39" s="21"/>
      <c r="ELC39" s="19"/>
      <c r="ELL39" s="19"/>
      <c r="ELM39" s="19"/>
      <c r="ELN39" s="19"/>
      <c r="ELO39" s="19"/>
      <c r="ELP39" s="21"/>
      <c r="ELQ39" s="19"/>
      <c r="ELZ39" s="19"/>
      <c r="EMA39" s="19"/>
      <c r="EMB39" s="19"/>
      <c r="EMC39" s="19"/>
      <c r="EMD39" s="21"/>
      <c r="EME39" s="19"/>
      <c r="EMN39" s="19"/>
      <c r="EMO39" s="19"/>
      <c r="EMP39" s="19"/>
      <c r="EMQ39" s="19"/>
      <c r="EMR39" s="21"/>
      <c r="EMS39" s="19"/>
      <c r="ENB39" s="19"/>
      <c r="ENC39" s="19"/>
      <c r="END39" s="19"/>
      <c r="ENE39" s="19"/>
      <c r="ENF39" s="21"/>
      <c r="ENG39" s="19"/>
      <c r="ENP39" s="19"/>
      <c r="ENQ39" s="19"/>
      <c r="ENR39" s="19"/>
      <c r="ENS39" s="19"/>
      <c r="ENT39" s="21"/>
      <c r="ENU39" s="19"/>
      <c r="EOD39" s="19"/>
      <c r="EOE39" s="19"/>
      <c r="EOF39" s="19"/>
      <c r="EOG39" s="19"/>
      <c r="EOH39" s="21"/>
      <c r="EOI39" s="19"/>
      <c r="EOR39" s="19"/>
      <c r="EOS39" s="19"/>
      <c r="EOT39" s="19"/>
      <c r="EOU39" s="19"/>
      <c r="EOV39" s="21"/>
      <c r="EOW39" s="19"/>
      <c r="EPF39" s="19"/>
      <c r="EPG39" s="19"/>
      <c r="EPH39" s="19"/>
      <c r="EPI39" s="19"/>
      <c r="EPJ39" s="21"/>
      <c r="EPK39" s="19"/>
      <c r="EPT39" s="19"/>
      <c r="EPU39" s="19"/>
      <c r="EPV39" s="19"/>
      <c r="EPW39" s="19"/>
      <c r="EPX39" s="21"/>
      <c r="EPY39" s="19"/>
      <c r="EQH39" s="19"/>
      <c r="EQI39" s="19"/>
      <c r="EQJ39" s="19"/>
      <c r="EQK39" s="19"/>
      <c r="EQL39" s="21"/>
      <c r="EQM39" s="19"/>
      <c r="EQV39" s="19"/>
      <c r="EQW39" s="19"/>
      <c r="EQX39" s="19"/>
      <c r="EQY39" s="19"/>
      <c r="EQZ39" s="21"/>
      <c r="ERA39" s="19"/>
      <c r="ERJ39" s="19"/>
      <c r="ERK39" s="19"/>
      <c r="ERL39" s="19"/>
      <c r="ERM39" s="19"/>
      <c r="ERN39" s="21"/>
      <c r="ERO39" s="19"/>
      <c r="ERX39" s="19"/>
      <c r="ERY39" s="19"/>
      <c r="ERZ39" s="19"/>
      <c r="ESA39" s="19"/>
      <c r="ESB39" s="21"/>
      <c r="ESC39" s="19"/>
      <c r="ESL39" s="19"/>
      <c r="ESM39" s="19"/>
      <c r="ESN39" s="19"/>
      <c r="ESO39" s="19"/>
      <c r="ESP39" s="21"/>
      <c r="ESQ39" s="19"/>
      <c r="ESZ39" s="19"/>
      <c r="ETA39" s="19"/>
      <c r="ETB39" s="19"/>
      <c r="ETC39" s="19"/>
      <c r="ETD39" s="21"/>
      <c r="ETE39" s="19"/>
      <c r="ETN39" s="19"/>
      <c r="ETO39" s="19"/>
      <c r="ETP39" s="19"/>
      <c r="ETQ39" s="19"/>
      <c r="ETR39" s="21"/>
      <c r="ETS39" s="19"/>
      <c r="EUB39" s="19"/>
      <c r="EUC39" s="19"/>
      <c r="EUD39" s="19"/>
      <c r="EUE39" s="19"/>
      <c r="EUF39" s="21"/>
      <c r="EUG39" s="19"/>
      <c r="EUP39" s="19"/>
      <c r="EUQ39" s="19"/>
      <c r="EUR39" s="19"/>
      <c r="EUS39" s="19"/>
      <c r="EUT39" s="21"/>
      <c r="EUU39" s="19"/>
      <c r="EVD39" s="19"/>
      <c r="EVE39" s="19"/>
      <c r="EVF39" s="19"/>
      <c r="EVG39" s="19"/>
      <c r="EVH39" s="21"/>
      <c r="EVI39" s="19"/>
      <c r="EVR39" s="19"/>
      <c r="EVS39" s="19"/>
      <c r="EVT39" s="19"/>
      <c r="EVU39" s="19"/>
      <c r="EVV39" s="21"/>
      <c r="EVW39" s="19"/>
      <c r="EWF39" s="19"/>
      <c r="EWG39" s="19"/>
      <c r="EWH39" s="19"/>
      <c r="EWI39" s="19"/>
      <c r="EWJ39" s="21"/>
      <c r="EWK39" s="19"/>
      <c r="EWT39" s="19"/>
      <c r="EWU39" s="19"/>
      <c r="EWV39" s="19"/>
      <c r="EWW39" s="19"/>
      <c r="EWX39" s="21"/>
      <c r="EWY39" s="19"/>
      <c r="EXH39" s="19"/>
      <c r="EXI39" s="19"/>
      <c r="EXJ39" s="19"/>
      <c r="EXK39" s="19"/>
      <c r="EXL39" s="21"/>
      <c r="EXM39" s="19"/>
      <c r="EXV39" s="19"/>
      <c r="EXW39" s="19"/>
      <c r="EXX39" s="19"/>
      <c r="EXY39" s="19"/>
      <c r="EXZ39" s="21"/>
      <c r="EYA39" s="19"/>
      <c r="EYJ39" s="19"/>
      <c r="EYK39" s="19"/>
      <c r="EYL39" s="19"/>
      <c r="EYM39" s="19"/>
      <c r="EYN39" s="21"/>
      <c r="EYO39" s="19"/>
      <c r="EYX39" s="19"/>
      <c r="EYY39" s="19"/>
      <c r="EYZ39" s="19"/>
      <c r="EZA39" s="19"/>
      <c r="EZB39" s="21"/>
      <c r="EZC39" s="19"/>
      <c r="EZL39" s="19"/>
      <c r="EZM39" s="19"/>
      <c r="EZN39" s="19"/>
      <c r="EZO39" s="19"/>
      <c r="EZP39" s="21"/>
      <c r="EZQ39" s="19"/>
      <c r="EZZ39" s="19"/>
      <c r="FAA39" s="19"/>
      <c r="FAB39" s="19"/>
      <c r="FAC39" s="19"/>
      <c r="FAD39" s="21"/>
      <c r="FAE39" s="19"/>
      <c r="FAN39" s="19"/>
      <c r="FAO39" s="19"/>
      <c r="FAP39" s="19"/>
      <c r="FAQ39" s="19"/>
      <c r="FAR39" s="21"/>
      <c r="FAS39" s="19"/>
      <c r="FBB39" s="19"/>
      <c r="FBC39" s="19"/>
      <c r="FBD39" s="19"/>
      <c r="FBE39" s="19"/>
      <c r="FBF39" s="21"/>
      <c r="FBG39" s="19"/>
      <c r="FBP39" s="19"/>
      <c r="FBQ39" s="19"/>
      <c r="FBR39" s="19"/>
      <c r="FBS39" s="19"/>
      <c r="FBT39" s="21"/>
      <c r="FBU39" s="19"/>
      <c r="FCD39" s="19"/>
      <c r="FCE39" s="19"/>
      <c r="FCF39" s="19"/>
      <c r="FCG39" s="19"/>
      <c r="FCH39" s="21"/>
      <c r="FCI39" s="19"/>
      <c r="FCR39" s="19"/>
      <c r="FCS39" s="19"/>
      <c r="FCT39" s="19"/>
      <c r="FCU39" s="19"/>
      <c r="FCV39" s="21"/>
      <c r="FCW39" s="19"/>
      <c r="FDF39" s="19"/>
      <c r="FDG39" s="19"/>
      <c r="FDH39" s="19"/>
      <c r="FDI39" s="19"/>
      <c r="FDJ39" s="21"/>
      <c r="FDK39" s="19"/>
      <c r="FDT39" s="19"/>
      <c r="FDU39" s="19"/>
      <c r="FDV39" s="19"/>
      <c r="FDW39" s="19"/>
      <c r="FDX39" s="21"/>
      <c r="FDY39" s="19"/>
      <c r="FEH39" s="19"/>
      <c r="FEI39" s="19"/>
      <c r="FEJ39" s="19"/>
      <c r="FEK39" s="19"/>
      <c r="FEL39" s="21"/>
      <c r="FEM39" s="19"/>
      <c r="FEV39" s="19"/>
      <c r="FEW39" s="19"/>
      <c r="FEX39" s="19"/>
      <c r="FEY39" s="19"/>
      <c r="FEZ39" s="21"/>
      <c r="FFA39" s="19"/>
      <c r="FFJ39" s="19"/>
      <c r="FFK39" s="19"/>
      <c r="FFL39" s="19"/>
      <c r="FFM39" s="19"/>
      <c r="FFN39" s="21"/>
      <c r="FFO39" s="19"/>
      <c r="FFX39" s="19"/>
      <c r="FFY39" s="19"/>
      <c r="FFZ39" s="19"/>
      <c r="FGA39" s="19"/>
      <c r="FGB39" s="21"/>
      <c r="FGC39" s="19"/>
      <c r="FGL39" s="19"/>
      <c r="FGM39" s="19"/>
      <c r="FGN39" s="19"/>
      <c r="FGO39" s="19"/>
      <c r="FGP39" s="21"/>
      <c r="FGQ39" s="19"/>
      <c r="FGZ39" s="19"/>
      <c r="FHA39" s="19"/>
      <c r="FHB39" s="19"/>
      <c r="FHC39" s="19"/>
      <c r="FHD39" s="21"/>
      <c r="FHE39" s="19"/>
      <c r="FHN39" s="19"/>
      <c r="FHO39" s="19"/>
      <c r="FHP39" s="19"/>
      <c r="FHQ39" s="19"/>
      <c r="FHR39" s="21"/>
      <c r="FHS39" s="19"/>
      <c r="FIB39" s="19"/>
      <c r="FIC39" s="19"/>
      <c r="FID39" s="19"/>
      <c r="FIE39" s="19"/>
      <c r="FIF39" s="21"/>
      <c r="FIG39" s="19"/>
      <c r="FIP39" s="19"/>
      <c r="FIQ39" s="19"/>
      <c r="FIR39" s="19"/>
      <c r="FIS39" s="19"/>
      <c r="FIT39" s="21"/>
      <c r="FIU39" s="19"/>
      <c r="FJD39" s="19"/>
      <c r="FJE39" s="19"/>
      <c r="FJF39" s="19"/>
      <c r="FJG39" s="19"/>
      <c r="FJH39" s="21"/>
      <c r="FJI39" s="19"/>
      <c r="FJR39" s="19"/>
      <c r="FJS39" s="19"/>
      <c r="FJT39" s="19"/>
      <c r="FJU39" s="19"/>
      <c r="FJV39" s="21"/>
      <c r="FJW39" s="19"/>
      <c r="FKF39" s="19"/>
      <c r="FKG39" s="19"/>
      <c r="FKH39" s="19"/>
      <c r="FKI39" s="19"/>
      <c r="FKJ39" s="21"/>
      <c r="FKK39" s="19"/>
      <c r="FKT39" s="19"/>
      <c r="FKU39" s="19"/>
      <c r="FKV39" s="19"/>
      <c r="FKW39" s="19"/>
      <c r="FKX39" s="21"/>
      <c r="FKY39" s="19"/>
      <c r="FLH39" s="19"/>
      <c r="FLI39" s="19"/>
      <c r="FLJ39" s="19"/>
      <c r="FLK39" s="19"/>
      <c r="FLL39" s="21"/>
      <c r="FLM39" s="19"/>
      <c r="FLV39" s="19"/>
      <c r="FLW39" s="19"/>
      <c r="FLX39" s="19"/>
      <c r="FLY39" s="19"/>
      <c r="FLZ39" s="21"/>
      <c r="FMA39" s="19"/>
      <c r="FMJ39" s="19"/>
      <c r="FMK39" s="19"/>
      <c r="FML39" s="19"/>
      <c r="FMM39" s="19"/>
      <c r="FMN39" s="21"/>
      <c r="FMO39" s="19"/>
      <c r="FMX39" s="19"/>
      <c r="FMY39" s="19"/>
      <c r="FMZ39" s="19"/>
      <c r="FNA39" s="19"/>
      <c r="FNB39" s="21"/>
      <c r="FNC39" s="19"/>
      <c r="FNL39" s="19"/>
      <c r="FNM39" s="19"/>
      <c r="FNN39" s="19"/>
      <c r="FNO39" s="19"/>
      <c r="FNP39" s="21"/>
      <c r="FNQ39" s="19"/>
      <c r="FNZ39" s="19"/>
      <c r="FOA39" s="19"/>
      <c r="FOB39" s="19"/>
      <c r="FOC39" s="19"/>
      <c r="FOD39" s="21"/>
      <c r="FOE39" s="19"/>
      <c r="FON39" s="19"/>
      <c r="FOO39" s="19"/>
      <c r="FOP39" s="19"/>
      <c r="FOQ39" s="19"/>
      <c r="FOR39" s="21"/>
      <c r="FOS39" s="19"/>
      <c r="FPB39" s="19"/>
      <c r="FPC39" s="19"/>
      <c r="FPD39" s="19"/>
      <c r="FPE39" s="19"/>
      <c r="FPF39" s="21"/>
      <c r="FPG39" s="19"/>
      <c r="FPP39" s="19"/>
      <c r="FPQ39" s="19"/>
      <c r="FPR39" s="19"/>
      <c r="FPS39" s="19"/>
      <c r="FPT39" s="21"/>
      <c r="FPU39" s="19"/>
      <c r="FQD39" s="19"/>
      <c r="FQE39" s="19"/>
      <c r="FQF39" s="19"/>
      <c r="FQG39" s="19"/>
      <c r="FQH39" s="21"/>
      <c r="FQI39" s="19"/>
      <c r="FQR39" s="19"/>
      <c r="FQS39" s="19"/>
      <c r="FQT39" s="19"/>
      <c r="FQU39" s="19"/>
      <c r="FQV39" s="21"/>
      <c r="FQW39" s="19"/>
      <c r="FRF39" s="19"/>
      <c r="FRG39" s="19"/>
      <c r="FRH39" s="19"/>
      <c r="FRI39" s="19"/>
      <c r="FRJ39" s="21"/>
      <c r="FRK39" s="19"/>
      <c r="FRT39" s="19"/>
      <c r="FRU39" s="19"/>
      <c r="FRV39" s="19"/>
      <c r="FRW39" s="19"/>
      <c r="FRX39" s="21"/>
      <c r="FRY39" s="19"/>
      <c r="FSH39" s="19"/>
      <c r="FSI39" s="19"/>
      <c r="FSJ39" s="19"/>
      <c r="FSK39" s="19"/>
      <c r="FSL39" s="21"/>
      <c r="FSM39" s="19"/>
      <c r="FSV39" s="19"/>
      <c r="FSW39" s="19"/>
      <c r="FSX39" s="19"/>
      <c r="FSY39" s="19"/>
      <c r="FSZ39" s="21"/>
      <c r="FTA39" s="19"/>
      <c r="FTJ39" s="19"/>
      <c r="FTK39" s="19"/>
      <c r="FTL39" s="19"/>
      <c r="FTM39" s="19"/>
      <c r="FTN39" s="21"/>
      <c r="FTO39" s="19"/>
      <c r="FTX39" s="19"/>
      <c r="FTY39" s="19"/>
      <c r="FTZ39" s="19"/>
      <c r="FUA39" s="19"/>
      <c r="FUB39" s="21"/>
      <c r="FUC39" s="19"/>
      <c r="FUL39" s="19"/>
      <c r="FUM39" s="19"/>
      <c r="FUN39" s="19"/>
      <c r="FUO39" s="19"/>
      <c r="FUP39" s="21"/>
      <c r="FUQ39" s="19"/>
      <c r="FUZ39" s="19"/>
      <c r="FVA39" s="19"/>
      <c r="FVB39" s="19"/>
      <c r="FVC39" s="19"/>
      <c r="FVD39" s="21"/>
      <c r="FVE39" s="19"/>
      <c r="FVN39" s="19"/>
      <c r="FVO39" s="19"/>
      <c r="FVP39" s="19"/>
      <c r="FVQ39" s="19"/>
      <c r="FVR39" s="21"/>
      <c r="FVS39" s="19"/>
      <c r="FWB39" s="19"/>
      <c r="FWC39" s="19"/>
      <c r="FWD39" s="19"/>
      <c r="FWE39" s="19"/>
      <c r="FWF39" s="21"/>
      <c r="FWG39" s="19"/>
      <c r="FWP39" s="19"/>
      <c r="FWQ39" s="19"/>
      <c r="FWR39" s="19"/>
      <c r="FWS39" s="19"/>
      <c r="FWT39" s="21"/>
      <c r="FWU39" s="19"/>
      <c r="FXD39" s="19"/>
      <c r="FXE39" s="19"/>
      <c r="FXF39" s="19"/>
      <c r="FXG39" s="19"/>
      <c r="FXH39" s="21"/>
      <c r="FXI39" s="19"/>
      <c r="FXR39" s="19"/>
      <c r="FXS39" s="19"/>
      <c r="FXT39" s="19"/>
      <c r="FXU39" s="19"/>
      <c r="FXV39" s="21"/>
      <c r="FXW39" s="19"/>
      <c r="FYF39" s="19"/>
      <c r="FYG39" s="19"/>
      <c r="FYH39" s="19"/>
      <c r="FYI39" s="19"/>
      <c r="FYJ39" s="21"/>
      <c r="FYK39" s="19"/>
      <c r="FYT39" s="19"/>
      <c r="FYU39" s="19"/>
      <c r="FYV39" s="19"/>
      <c r="FYW39" s="19"/>
      <c r="FYX39" s="21"/>
      <c r="FYY39" s="19"/>
      <c r="FZH39" s="19"/>
      <c r="FZI39" s="19"/>
      <c r="FZJ39" s="19"/>
      <c r="FZK39" s="19"/>
      <c r="FZL39" s="21"/>
      <c r="FZM39" s="19"/>
      <c r="FZV39" s="19"/>
      <c r="FZW39" s="19"/>
      <c r="FZX39" s="19"/>
      <c r="FZY39" s="19"/>
      <c r="FZZ39" s="21"/>
      <c r="GAA39" s="19"/>
      <c r="GAJ39" s="19"/>
      <c r="GAK39" s="19"/>
      <c r="GAL39" s="19"/>
      <c r="GAM39" s="19"/>
      <c r="GAN39" s="21"/>
      <c r="GAO39" s="19"/>
      <c r="GAX39" s="19"/>
      <c r="GAY39" s="19"/>
      <c r="GAZ39" s="19"/>
      <c r="GBA39" s="19"/>
      <c r="GBB39" s="21"/>
      <c r="GBC39" s="19"/>
      <c r="GBL39" s="19"/>
      <c r="GBM39" s="19"/>
      <c r="GBN39" s="19"/>
      <c r="GBO39" s="19"/>
      <c r="GBP39" s="21"/>
      <c r="GBQ39" s="19"/>
      <c r="GBZ39" s="19"/>
      <c r="GCA39" s="19"/>
      <c r="GCB39" s="19"/>
      <c r="GCC39" s="19"/>
      <c r="GCD39" s="21"/>
      <c r="GCE39" s="19"/>
      <c r="GCN39" s="19"/>
      <c r="GCO39" s="19"/>
      <c r="GCP39" s="19"/>
      <c r="GCQ39" s="19"/>
      <c r="GCR39" s="21"/>
      <c r="GCS39" s="19"/>
      <c r="GDB39" s="19"/>
      <c r="GDC39" s="19"/>
      <c r="GDD39" s="19"/>
      <c r="GDE39" s="19"/>
      <c r="GDF39" s="21"/>
      <c r="GDG39" s="19"/>
      <c r="GDP39" s="19"/>
      <c r="GDQ39" s="19"/>
      <c r="GDR39" s="19"/>
      <c r="GDS39" s="19"/>
      <c r="GDT39" s="21"/>
      <c r="GDU39" s="19"/>
      <c r="GED39" s="19"/>
      <c r="GEE39" s="19"/>
      <c r="GEF39" s="19"/>
      <c r="GEG39" s="19"/>
      <c r="GEH39" s="21"/>
      <c r="GEI39" s="19"/>
      <c r="GER39" s="19"/>
      <c r="GES39" s="19"/>
      <c r="GET39" s="19"/>
      <c r="GEU39" s="19"/>
      <c r="GEV39" s="21"/>
      <c r="GEW39" s="19"/>
      <c r="GFF39" s="19"/>
      <c r="GFG39" s="19"/>
      <c r="GFH39" s="19"/>
      <c r="GFI39" s="19"/>
      <c r="GFJ39" s="21"/>
      <c r="GFK39" s="19"/>
      <c r="GFT39" s="19"/>
      <c r="GFU39" s="19"/>
      <c r="GFV39" s="19"/>
      <c r="GFW39" s="19"/>
      <c r="GFX39" s="21"/>
      <c r="GFY39" s="19"/>
      <c r="GGH39" s="19"/>
      <c r="GGI39" s="19"/>
      <c r="GGJ39" s="19"/>
      <c r="GGK39" s="19"/>
      <c r="GGL39" s="21"/>
      <c r="GGM39" s="19"/>
      <c r="GGV39" s="19"/>
      <c r="GGW39" s="19"/>
      <c r="GGX39" s="19"/>
      <c r="GGY39" s="19"/>
      <c r="GGZ39" s="21"/>
      <c r="GHA39" s="19"/>
      <c r="GHJ39" s="19"/>
      <c r="GHK39" s="19"/>
      <c r="GHL39" s="19"/>
      <c r="GHM39" s="19"/>
      <c r="GHN39" s="21"/>
      <c r="GHO39" s="19"/>
      <c r="GHX39" s="19"/>
      <c r="GHY39" s="19"/>
      <c r="GHZ39" s="19"/>
      <c r="GIA39" s="19"/>
      <c r="GIB39" s="21"/>
      <c r="GIC39" s="19"/>
      <c r="GIL39" s="19"/>
      <c r="GIM39" s="19"/>
      <c r="GIN39" s="19"/>
      <c r="GIO39" s="19"/>
      <c r="GIP39" s="21"/>
      <c r="GIQ39" s="19"/>
      <c r="GIZ39" s="19"/>
      <c r="GJA39" s="19"/>
      <c r="GJB39" s="19"/>
      <c r="GJC39" s="19"/>
      <c r="GJD39" s="21"/>
      <c r="GJE39" s="19"/>
      <c r="GJN39" s="19"/>
      <c r="GJO39" s="19"/>
      <c r="GJP39" s="19"/>
      <c r="GJQ39" s="19"/>
      <c r="GJR39" s="21"/>
      <c r="GJS39" s="19"/>
      <c r="GKB39" s="19"/>
      <c r="GKC39" s="19"/>
      <c r="GKD39" s="19"/>
      <c r="GKE39" s="19"/>
      <c r="GKF39" s="21"/>
      <c r="GKG39" s="19"/>
      <c r="GKP39" s="19"/>
      <c r="GKQ39" s="19"/>
      <c r="GKR39" s="19"/>
      <c r="GKS39" s="19"/>
      <c r="GKT39" s="21"/>
      <c r="GKU39" s="19"/>
      <c r="GLD39" s="19"/>
      <c r="GLE39" s="19"/>
      <c r="GLF39" s="19"/>
      <c r="GLG39" s="19"/>
      <c r="GLH39" s="21"/>
      <c r="GLI39" s="19"/>
      <c r="GLR39" s="19"/>
      <c r="GLS39" s="19"/>
      <c r="GLT39" s="19"/>
      <c r="GLU39" s="19"/>
      <c r="GLV39" s="21"/>
      <c r="GLW39" s="19"/>
      <c r="GMF39" s="19"/>
      <c r="GMG39" s="19"/>
      <c r="GMH39" s="19"/>
      <c r="GMI39" s="19"/>
      <c r="GMJ39" s="21"/>
      <c r="GMK39" s="19"/>
      <c r="GMT39" s="19"/>
      <c r="GMU39" s="19"/>
      <c r="GMV39" s="19"/>
      <c r="GMW39" s="19"/>
      <c r="GMX39" s="21"/>
      <c r="GMY39" s="19"/>
      <c r="GNH39" s="19"/>
      <c r="GNI39" s="19"/>
      <c r="GNJ39" s="19"/>
      <c r="GNK39" s="19"/>
      <c r="GNL39" s="21"/>
      <c r="GNM39" s="19"/>
      <c r="GNV39" s="19"/>
      <c r="GNW39" s="19"/>
      <c r="GNX39" s="19"/>
      <c r="GNY39" s="19"/>
      <c r="GNZ39" s="21"/>
      <c r="GOA39" s="19"/>
      <c r="GOJ39" s="19"/>
      <c r="GOK39" s="19"/>
      <c r="GOL39" s="19"/>
      <c r="GOM39" s="19"/>
      <c r="GON39" s="21"/>
      <c r="GOO39" s="19"/>
      <c r="GOX39" s="19"/>
      <c r="GOY39" s="19"/>
      <c r="GOZ39" s="19"/>
      <c r="GPA39" s="19"/>
      <c r="GPB39" s="21"/>
      <c r="GPC39" s="19"/>
      <c r="GPL39" s="19"/>
      <c r="GPM39" s="19"/>
      <c r="GPN39" s="19"/>
      <c r="GPO39" s="19"/>
      <c r="GPP39" s="21"/>
      <c r="GPQ39" s="19"/>
      <c r="GPZ39" s="19"/>
      <c r="GQA39" s="19"/>
      <c r="GQB39" s="19"/>
      <c r="GQC39" s="19"/>
      <c r="GQD39" s="21"/>
      <c r="GQE39" s="19"/>
      <c r="GQN39" s="19"/>
      <c r="GQO39" s="19"/>
      <c r="GQP39" s="19"/>
      <c r="GQQ39" s="19"/>
      <c r="GQR39" s="21"/>
      <c r="GQS39" s="19"/>
      <c r="GRB39" s="19"/>
      <c r="GRC39" s="19"/>
      <c r="GRD39" s="19"/>
      <c r="GRE39" s="19"/>
      <c r="GRF39" s="21"/>
      <c r="GRG39" s="19"/>
      <c r="GRP39" s="19"/>
      <c r="GRQ39" s="19"/>
      <c r="GRR39" s="19"/>
      <c r="GRS39" s="19"/>
      <c r="GRT39" s="21"/>
      <c r="GRU39" s="19"/>
      <c r="GSD39" s="19"/>
      <c r="GSE39" s="19"/>
      <c r="GSF39" s="19"/>
      <c r="GSG39" s="19"/>
      <c r="GSH39" s="21"/>
      <c r="GSI39" s="19"/>
      <c r="GSR39" s="19"/>
      <c r="GSS39" s="19"/>
      <c r="GST39" s="19"/>
      <c r="GSU39" s="19"/>
      <c r="GSV39" s="21"/>
      <c r="GSW39" s="19"/>
      <c r="GTF39" s="19"/>
      <c r="GTG39" s="19"/>
      <c r="GTH39" s="19"/>
      <c r="GTI39" s="19"/>
      <c r="GTJ39" s="21"/>
      <c r="GTK39" s="19"/>
      <c r="GTT39" s="19"/>
      <c r="GTU39" s="19"/>
      <c r="GTV39" s="19"/>
      <c r="GTW39" s="19"/>
      <c r="GTX39" s="21"/>
      <c r="GTY39" s="19"/>
      <c r="GUH39" s="19"/>
      <c r="GUI39" s="19"/>
      <c r="GUJ39" s="19"/>
      <c r="GUK39" s="19"/>
      <c r="GUL39" s="21"/>
      <c r="GUM39" s="19"/>
      <c r="GUV39" s="19"/>
      <c r="GUW39" s="19"/>
      <c r="GUX39" s="19"/>
      <c r="GUY39" s="19"/>
      <c r="GUZ39" s="21"/>
      <c r="GVA39" s="19"/>
      <c r="GVJ39" s="19"/>
      <c r="GVK39" s="19"/>
      <c r="GVL39" s="19"/>
      <c r="GVM39" s="19"/>
      <c r="GVN39" s="21"/>
      <c r="GVO39" s="19"/>
      <c r="GVX39" s="19"/>
      <c r="GVY39" s="19"/>
      <c r="GVZ39" s="19"/>
      <c r="GWA39" s="19"/>
      <c r="GWB39" s="21"/>
      <c r="GWC39" s="19"/>
      <c r="GWL39" s="19"/>
      <c r="GWM39" s="19"/>
      <c r="GWN39" s="19"/>
      <c r="GWO39" s="19"/>
      <c r="GWP39" s="21"/>
      <c r="GWQ39" s="19"/>
      <c r="GWZ39" s="19"/>
      <c r="GXA39" s="19"/>
      <c r="GXB39" s="19"/>
      <c r="GXC39" s="19"/>
      <c r="GXD39" s="21"/>
      <c r="GXE39" s="19"/>
      <c r="GXN39" s="19"/>
      <c r="GXO39" s="19"/>
      <c r="GXP39" s="19"/>
      <c r="GXQ39" s="19"/>
      <c r="GXR39" s="21"/>
      <c r="GXS39" s="19"/>
      <c r="GYB39" s="19"/>
      <c r="GYC39" s="19"/>
      <c r="GYD39" s="19"/>
      <c r="GYE39" s="19"/>
      <c r="GYF39" s="21"/>
      <c r="GYG39" s="19"/>
      <c r="GYP39" s="19"/>
      <c r="GYQ39" s="19"/>
      <c r="GYR39" s="19"/>
      <c r="GYS39" s="19"/>
      <c r="GYT39" s="21"/>
      <c r="GYU39" s="19"/>
      <c r="GZD39" s="19"/>
      <c r="GZE39" s="19"/>
      <c r="GZF39" s="19"/>
      <c r="GZG39" s="19"/>
      <c r="GZH39" s="21"/>
      <c r="GZI39" s="19"/>
      <c r="GZR39" s="19"/>
      <c r="GZS39" s="19"/>
      <c r="GZT39" s="19"/>
      <c r="GZU39" s="19"/>
      <c r="GZV39" s="21"/>
      <c r="GZW39" s="19"/>
      <c r="HAF39" s="19"/>
      <c r="HAG39" s="19"/>
      <c r="HAH39" s="19"/>
      <c r="HAI39" s="19"/>
      <c r="HAJ39" s="21"/>
      <c r="HAK39" s="19"/>
      <c r="HAT39" s="19"/>
      <c r="HAU39" s="19"/>
      <c r="HAV39" s="19"/>
      <c r="HAW39" s="19"/>
      <c r="HAX39" s="21"/>
      <c r="HAY39" s="19"/>
      <c r="HBH39" s="19"/>
      <c r="HBI39" s="19"/>
      <c r="HBJ39" s="19"/>
      <c r="HBK39" s="19"/>
      <c r="HBL39" s="21"/>
      <c r="HBM39" s="19"/>
      <c r="HBV39" s="19"/>
      <c r="HBW39" s="19"/>
      <c r="HBX39" s="19"/>
      <c r="HBY39" s="19"/>
      <c r="HBZ39" s="21"/>
      <c r="HCA39" s="19"/>
      <c r="HCJ39" s="19"/>
      <c r="HCK39" s="19"/>
      <c r="HCL39" s="19"/>
      <c r="HCM39" s="19"/>
      <c r="HCN39" s="21"/>
      <c r="HCO39" s="19"/>
      <c r="HCX39" s="19"/>
      <c r="HCY39" s="19"/>
      <c r="HCZ39" s="19"/>
      <c r="HDA39" s="19"/>
      <c r="HDB39" s="21"/>
      <c r="HDC39" s="19"/>
      <c r="HDL39" s="19"/>
      <c r="HDM39" s="19"/>
      <c r="HDN39" s="19"/>
      <c r="HDO39" s="19"/>
      <c r="HDP39" s="21"/>
      <c r="HDQ39" s="19"/>
      <c r="HDZ39" s="19"/>
      <c r="HEA39" s="19"/>
      <c r="HEB39" s="19"/>
      <c r="HEC39" s="19"/>
      <c r="HED39" s="21"/>
      <c r="HEE39" s="19"/>
      <c r="HEN39" s="19"/>
      <c r="HEO39" s="19"/>
      <c r="HEP39" s="19"/>
      <c r="HEQ39" s="19"/>
      <c r="HER39" s="21"/>
      <c r="HES39" s="19"/>
      <c r="HFB39" s="19"/>
      <c r="HFC39" s="19"/>
      <c r="HFD39" s="19"/>
      <c r="HFE39" s="19"/>
      <c r="HFF39" s="21"/>
      <c r="HFG39" s="19"/>
      <c r="HFP39" s="19"/>
      <c r="HFQ39" s="19"/>
      <c r="HFR39" s="19"/>
      <c r="HFS39" s="19"/>
      <c r="HFT39" s="21"/>
      <c r="HFU39" s="19"/>
      <c r="HGD39" s="19"/>
      <c r="HGE39" s="19"/>
      <c r="HGF39" s="19"/>
      <c r="HGG39" s="19"/>
      <c r="HGH39" s="21"/>
      <c r="HGI39" s="19"/>
      <c r="HGR39" s="19"/>
      <c r="HGS39" s="19"/>
      <c r="HGT39" s="19"/>
      <c r="HGU39" s="19"/>
      <c r="HGV39" s="21"/>
      <c r="HGW39" s="19"/>
      <c r="HHF39" s="19"/>
      <c r="HHG39" s="19"/>
      <c r="HHH39" s="19"/>
      <c r="HHI39" s="19"/>
      <c r="HHJ39" s="21"/>
      <c r="HHK39" s="19"/>
      <c r="HHT39" s="19"/>
      <c r="HHU39" s="19"/>
      <c r="HHV39" s="19"/>
      <c r="HHW39" s="19"/>
      <c r="HHX39" s="21"/>
      <c r="HHY39" s="19"/>
      <c r="HIH39" s="19"/>
      <c r="HII39" s="19"/>
      <c r="HIJ39" s="19"/>
      <c r="HIK39" s="19"/>
      <c r="HIL39" s="21"/>
      <c r="HIM39" s="19"/>
      <c r="HIV39" s="19"/>
      <c r="HIW39" s="19"/>
      <c r="HIX39" s="19"/>
      <c r="HIY39" s="19"/>
      <c r="HIZ39" s="21"/>
      <c r="HJA39" s="19"/>
      <c r="HJJ39" s="19"/>
      <c r="HJK39" s="19"/>
      <c r="HJL39" s="19"/>
      <c r="HJM39" s="19"/>
      <c r="HJN39" s="21"/>
      <c r="HJO39" s="19"/>
      <c r="HJX39" s="19"/>
      <c r="HJY39" s="19"/>
      <c r="HJZ39" s="19"/>
      <c r="HKA39" s="19"/>
      <c r="HKB39" s="21"/>
      <c r="HKC39" s="19"/>
      <c r="HKL39" s="19"/>
      <c r="HKM39" s="19"/>
      <c r="HKN39" s="19"/>
      <c r="HKO39" s="19"/>
      <c r="HKP39" s="21"/>
      <c r="HKQ39" s="19"/>
      <c r="HKZ39" s="19"/>
      <c r="HLA39" s="19"/>
      <c r="HLB39" s="19"/>
      <c r="HLC39" s="19"/>
      <c r="HLD39" s="21"/>
      <c r="HLE39" s="19"/>
      <c r="HLN39" s="19"/>
      <c r="HLO39" s="19"/>
      <c r="HLP39" s="19"/>
      <c r="HLQ39" s="19"/>
      <c r="HLR39" s="21"/>
      <c r="HLS39" s="19"/>
      <c r="HMB39" s="19"/>
      <c r="HMC39" s="19"/>
      <c r="HMD39" s="19"/>
      <c r="HME39" s="19"/>
      <c r="HMF39" s="21"/>
      <c r="HMG39" s="19"/>
      <c r="HMP39" s="19"/>
      <c r="HMQ39" s="19"/>
      <c r="HMR39" s="19"/>
      <c r="HMS39" s="19"/>
      <c r="HMT39" s="21"/>
      <c r="HMU39" s="19"/>
      <c r="HND39" s="19"/>
      <c r="HNE39" s="19"/>
      <c r="HNF39" s="19"/>
      <c r="HNG39" s="19"/>
      <c r="HNH39" s="21"/>
      <c r="HNI39" s="19"/>
      <c r="HNR39" s="19"/>
      <c r="HNS39" s="19"/>
      <c r="HNT39" s="19"/>
      <c r="HNU39" s="19"/>
      <c r="HNV39" s="21"/>
      <c r="HNW39" s="19"/>
      <c r="HOF39" s="19"/>
      <c r="HOG39" s="19"/>
      <c r="HOH39" s="19"/>
      <c r="HOI39" s="19"/>
      <c r="HOJ39" s="21"/>
      <c r="HOK39" s="19"/>
      <c r="HOT39" s="19"/>
      <c r="HOU39" s="19"/>
      <c r="HOV39" s="19"/>
      <c r="HOW39" s="19"/>
      <c r="HOX39" s="21"/>
      <c r="HOY39" s="19"/>
      <c r="HPH39" s="19"/>
      <c r="HPI39" s="19"/>
      <c r="HPJ39" s="19"/>
      <c r="HPK39" s="19"/>
      <c r="HPL39" s="21"/>
      <c r="HPM39" s="19"/>
      <c r="HPV39" s="19"/>
      <c r="HPW39" s="19"/>
      <c r="HPX39" s="19"/>
      <c r="HPY39" s="19"/>
      <c r="HPZ39" s="21"/>
      <c r="HQA39" s="19"/>
      <c r="HQJ39" s="19"/>
      <c r="HQK39" s="19"/>
      <c r="HQL39" s="19"/>
      <c r="HQM39" s="19"/>
      <c r="HQN39" s="21"/>
      <c r="HQO39" s="19"/>
      <c r="HQX39" s="19"/>
      <c r="HQY39" s="19"/>
      <c r="HQZ39" s="19"/>
      <c r="HRA39" s="19"/>
      <c r="HRB39" s="21"/>
      <c r="HRC39" s="19"/>
      <c r="HRL39" s="19"/>
      <c r="HRM39" s="19"/>
      <c r="HRN39" s="19"/>
      <c r="HRO39" s="19"/>
      <c r="HRP39" s="21"/>
      <c r="HRQ39" s="19"/>
      <c r="HRZ39" s="19"/>
      <c r="HSA39" s="19"/>
      <c r="HSB39" s="19"/>
      <c r="HSC39" s="19"/>
      <c r="HSD39" s="21"/>
      <c r="HSE39" s="19"/>
      <c r="HSN39" s="19"/>
      <c r="HSO39" s="19"/>
      <c r="HSP39" s="19"/>
      <c r="HSQ39" s="19"/>
      <c r="HSR39" s="21"/>
      <c r="HSS39" s="19"/>
      <c r="HTB39" s="19"/>
      <c r="HTC39" s="19"/>
      <c r="HTD39" s="19"/>
      <c r="HTE39" s="19"/>
      <c r="HTF39" s="21"/>
      <c r="HTG39" s="19"/>
      <c r="HTP39" s="19"/>
      <c r="HTQ39" s="19"/>
      <c r="HTR39" s="19"/>
      <c r="HTS39" s="19"/>
      <c r="HTT39" s="21"/>
      <c r="HTU39" s="19"/>
      <c r="HUD39" s="19"/>
      <c r="HUE39" s="19"/>
      <c r="HUF39" s="19"/>
      <c r="HUG39" s="19"/>
      <c r="HUH39" s="21"/>
      <c r="HUI39" s="19"/>
      <c r="HUR39" s="19"/>
      <c r="HUS39" s="19"/>
      <c r="HUT39" s="19"/>
      <c r="HUU39" s="19"/>
      <c r="HUV39" s="21"/>
      <c r="HUW39" s="19"/>
      <c r="HVF39" s="19"/>
      <c r="HVG39" s="19"/>
      <c r="HVH39" s="19"/>
      <c r="HVI39" s="19"/>
      <c r="HVJ39" s="21"/>
      <c r="HVK39" s="19"/>
      <c r="HVT39" s="19"/>
      <c r="HVU39" s="19"/>
      <c r="HVV39" s="19"/>
      <c r="HVW39" s="19"/>
      <c r="HVX39" s="21"/>
      <c r="HVY39" s="19"/>
      <c r="HWH39" s="19"/>
      <c r="HWI39" s="19"/>
      <c r="HWJ39" s="19"/>
      <c r="HWK39" s="19"/>
      <c r="HWL39" s="21"/>
      <c r="HWM39" s="19"/>
      <c r="HWV39" s="19"/>
      <c r="HWW39" s="19"/>
      <c r="HWX39" s="19"/>
      <c r="HWY39" s="19"/>
      <c r="HWZ39" s="21"/>
      <c r="HXA39" s="19"/>
      <c r="HXJ39" s="19"/>
      <c r="HXK39" s="19"/>
      <c r="HXL39" s="19"/>
      <c r="HXM39" s="19"/>
      <c r="HXN39" s="21"/>
      <c r="HXO39" s="19"/>
      <c r="HXX39" s="19"/>
      <c r="HXY39" s="19"/>
      <c r="HXZ39" s="19"/>
      <c r="HYA39" s="19"/>
      <c r="HYB39" s="21"/>
      <c r="HYC39" s="19"/>
      <c r="HYL39" s="19"/>
      <c r="HYM39" s="19"/>
      <c r="HYN39" s="19"/>
      <c r="HYO39" s="19"/>
      <c r="HYP39" s="21"/>
      <c r="HYQ39" s="19"/>
      <c r="HYZ39" s="19"/>
      <c r="HZA39" s="19"/>
      <c r="HZB39" s="19"/>
      <c r="HZC39" s="19"/>
      <c r="HZD39" s="21"/>
      <c r="HZE39" s="19"/>
      <c r="HZN39" s="19"/>
      <c r="HZO39" s="19"/>
      <c r="HZP39" s="19"/>
      <c r="HZQ39" s="19"/>
      <c r="HZR39" s="21"/>
      <c r="HZS39" s="19"/>
      <c r="IAB39" s="19"/>
      <c r="IAC39" s="19"/>
      <c r="IAD39" s="19"/>
      <c r="IAE39" s="19"/>
      <c r="IAF39" s="21"/>
      <c r="IAG39" s="19"/>
      <c r="IAP39" s="19"/>
      <c r="IAQ39" s="19"/>
      <c r="IAR39" s="19"/>
      <c r="IAS39" s="19"/>
      <c r="IAT39" s="21"/>
      <c r="IAU39" s="19"/>
      <c r="IBD39" s="19"/>
      <c r="IBE39" s="19"/>
      <c r="IBF39" s="19"/>
      <c r="IBG39" s="19"/>
      <c r="IBH39" s="21"/>
      <c r="IBI39" s="19"/>
      <c r="IBR39" s="19"/>
      <c r="IBS39" s="19"/>
      <c r="IBT39" s="19"/>
      <c r="IBU39" s="19"/>
      <c r="IBV39" s="21"/>
      <c r="IBW39" s="19"/>
      <c r="ICF39" s="19"/>
      <c r="ICG39" s="19"/>
      <c r="ICH39" s="19"/>
      <c r="ICI39" s="19"/>
      <c r="ICJ39" s="21"/>
      <c r="ICK39" s="19"/>
      <c r="ICT39" s="19"/>
      <c r="ICU39" s="19"/>
      <c r="ICV39" s="19"/>
      <c r="ICW39" s="19"/>
      <c r="ICX39" s="21"/>
      <c r="ICY39" s="19"/>
      <c r="IDH39" s="19"/>
      <c r="IDI39" s="19"/>
      <c r="IDJ39" s="19"/>
      <c r="IDK39" s="19"/>
      <c r="IDL39" s="21"/>
      <c r="IDM39" s="19"/>
      <c r="IDV39" s="19"/>
      <c r="IDW39" s="19"/>
      <c r="IDX39" s="19"/>
      <c r="IDY39" s="19"/>
      <c r="IDZ39" s="21"/>
      <c r="IEA39" s="19"/>
      <c r="IEJ39" s="19"/>
      <c r="IEK39" s="19"/>
      <c r="IEL39" s="19"/>
      <c r="IEM39" s="19"/>
      <c r="IEN39" s="21"/>
      <c r="IEO39" s="19"/>
      <c r="IEX39" s="19"/>
      <c r="IEY39" s="19"/>
      <c r="IEZ39" s="19"/>
      <c r="IFA39" s="19"/>
      <c r="IFB39" s="21"/>
      <c r="IFC39" s="19"/>
      <c r="IFL39" s="19"/>
      <c r="IFM39" s="19"/>
      <c r="IFN39" s="19"/>
      <c r="IFO39" s="19"/>
      <c r="IFP39" s="21"/>
      <c r="IFQ39" s="19"/>
      <c r="IFZ39" s="19"/>
      <c r="IGA39" s="19"/>
      <c r="IGB39" s="19"/>
      <c r="IGC39" s="19"/>
      <c r="IGD39" s="21"/>
      <c r="IGE39" s="19"/>
      <c r="IGN39" s="19"/>
      <c r="IGO39" s="19"/>
      <c r="IGP39" s="19"/>
      <c r="IGQ39" s="19"/>
      <c r="IGR39" s="21"/>
      <c r="IGS39" s="19"/>
      <c r="IHB39" s="19"/>
      <c r="IHC39" s="19"/>
      <c r="IHD39" s="19"/>
      <c r="IHE39" s="19"/>
      <c r="IHF39" s="21"/>
      <c r="IHG39" s="19"/>
      <c r="IHP39" s="19"/>
      <c r="IHQ39" s="19"/>
      <c r="IHR39" s="19"/>
      <c r="IHS39" s="19"/>
      <c r="IHT39" s="21"/>
      <c r="IHU39" s="19"/>
      <c r="IID39" s="19"/>
      <c r="IIE39" s="19"/>
      <c r="IIF39" s="19"/>
      <c r="IIG39" s="19"/>
      <c r="IIH39" s="21"/>
      <c r="III39" s="19"/>
      <c r="IIR39" s="19"/>
      <c r="IIS39" s="19"/>
      <c r="IIT39" s="19"/>
      <c r="IIU39" s="19"/>
      <c r="IIV39" s="21"/>
      <c r="IIW39" s="19"/>
      <c r="IJF39" s="19"/>
      <c r="IJG39" s="19"/>
      <c r="IJH39" s="19"/>
      <c r="IJI39" s="19"/>
      <c r="IJJ39" s="21"/>
      <c r="IJK39" s="19"/>
      <c r="IJT39" s="19"/>
      <c r="IJU39" s="19"/>
      <c r="IJV39" s="19"/>
      <c r="IJW39" s="19"/>
      <c r="IJX39" s="21"/>
      <c r="IJY39" s="19"/>
      <c r="IKH39" s="19"/>
      <c r="IKI39" s="19"/>
      <c r="IKJ39" s="19"/>
      <c r="IKK39" s="19"/>
      <c r="IKL39" s="21"/>
      <c r="IKM39" s="19"/>
      <c r="IKV39" s="19"/>
      <c r="IKW39" s="19"/>
      <c r="IKX39" s="19"/>
      <c r="IKY39" s="19"/>
      <c r="IKZ39" s="21"/>
      <c r="ILA39" s="19"/>
      <c r="ILJ39" s="19"/>
      <c r="ILK39" s="19"/>
      <c r="ILL39" s="19"/>
      <c r="ILM39" s="19"/>
      <c r="ILN39" s="21"/>
      <c r="ILO39" s="19"/>
      <c r="ILX39" s="19"/>
      <c r="ILY39" s="19"/>
      <c r="ILZ39" s="19"/>
      <c r="IMA39" s="19"/>
      <c r="IMB39" s="21"/>
      <c r="IMC39" s="19"/>
      <c r="IML39" s="19"/>
      <c r="IMM39" s="19"/>
      <c r="IMN39" s="19"/>
      <c r="IMO39" s="19"/>
      <c r="IMP39" s="21"/>
      <c r="IMQ39" s="19"/>
      <c r="IMZ39" s="19"/>
      <c r="INA39" s="19"/>
      <c r="INB39" s="19"/>
      <c r="INC39" s="19"/>
      <c r="IND39" s="21"/>
      <c r="INE39" s="19"/>
      <c r="INN39" s="19"/>
      <c r="INO39" s="19"/>
      <c r="INP39" s="19"/>
      <c r="INQ39" s="19"/>
      <c r="INR39" s="21"/>
      <c r="INS39" s="19"/>
      <c r="IOB39" s="19"/>
      <c r="IOC39" s="19"/>
      <c r="IOD39" s="19"/>
      <c r="IOE39" s="19"/>
      <c r="IOF39" s="21"/>
      <c r="IOG39" s="19"/>
      <c r="IOP39" s="19"/>
      <c r="IOQ39" s="19"/>
      <c r="IOR39" s="19"/>
      <c r="IOS39" s="19"/>
      <c r="IOT39" s="21"/>
      <c r="IOU39" s="19"/>
      <c r="IPD39" s="19"/>
      <c r="IPE39" s="19"/>
      <c r="IPF39" s="19"/>
      <c r="IPG39" s="19"/>
      <c r="IPH39" s="21"/>
      <c r="IPI39" s="19"/>
      <c r="IPR39" s="19"/>
      <c r="IPS39" s="19"/>
      <c r="IPT39" s="19"/>
      <c r="IPU39" s="19"/>
      <c r="IPV39" s="21"/>
      <c r="IPW39" s="19"/>
      <c r="IQF39" s="19"/>
      <c r="IQG39" s="19"/>
      <c r="IQH39" s="19"/>
      <c r="IQI39" s="19"/>
      <c r="IQJ39" s="21"/>
      <c r="IQK39" s="19"/>
      <c r="IQT39" s="19"/>
      <c r="IQU39" s="19"/>
      <c r="IQV39" s="19"/>
      <c r="IQW39" s="19"/>
      <c r="IQX39" s="21"/>
      <c r="IQY39" s="19"/>
      <c r="IRH39" s="19"/>
      <c r="IRI39" s="19"/>
      <c r="IRJ39" s="19"/>
      <c r="IRK39" s="19"/>
      <c r="IRL39" s="21"/>
      <c r="IRM39" s="19"/>
      <c r="IRV39" s="19"/>
      <c r="IRW39" s="19"/>
      <c r="IRX39" s="19"/>
      <c r="IRY39" s="19"/>
      <c r="IRZ39" s="21"/>
      <c r="ISA39" s="19"/>
      <c r="ISJ39" s="19"/>
      <c r="ISK39" s="19"/>
      <c r="ISL39" s="19"/>
      <c r="ISM39" s="19"/>
      <c r="ISN39" s="21"/>
      <c r="ISO39" s="19"/>
      <c r="ISX39" s="19"/>
      <c r="ISY39" s="19"/>
      <c r="ISZ39" s="19"/>
      <c r="ITA39" s="19"/>
      <c r="ITB39" s="21"/>
      <c r="ITC39" s="19"/>
      <c r="ITL39" s="19"/>
      <c r="ITM39" s="19"/>
      <c r="ITN39" s="19"/>
      <c r="ITO39" s="19"/>
      <c r="ITP39" s="21"/>
      <c r="ITQ39" s="19"/>
      <c r="ITZ39" s="19"/>
      <c r="IUA39" s="19"/>
      <c r="IUB39" s="19"/>
      <c r="IUC39" s="19"/>
      <c r="IUD39" s="21"/>
      <c r="IUE39" s="19"/>
      <c r="IUN39" s="19"/>
      <c r="IUO39" s="19"/>
      <c r="IUP39" s="19"/>
      <c r="IUQ39" s="19"/>
      <c r="IUR39" s="21"/>
      <c r="IUS39" s="19"/>
      <c r="IVB39" s="19"/>
      <c r="IVC39" s="19"/>
      <c r="IVD39" s="19"/>
      <c r="IVE39" s="19"/>
      <c r="IVF39" s="21"/>
      <c r="IVG39" s="19"/>
      <c r="IVP39" s="19"/>
      <c r="IVQ39" s="19"/>
      <c r="IVR39" s="19"/>
      <c r="IVS39" s="19"/>
      <c r="IVT39" s="21"/>
      <c r="IVU39" s="19"/>
      <c r="IWD39" s="19"/>
      <c r="IWE39" s="19"/>
      <c r="IWF39" s="19"/>
      <c r="IWG39" s="19"/>
      <c r="IWH39" s="21"/>
      <c r="IWI39" s="19"/>
      <c r="IWR39" s="19"/>
      <c r="IWS39" s="19"/>
      <c r="IWT39" s="19"/>
      <c r="IWU39" s="19"/>
      <c r="IWV39" s="21"/>
      <c r="IWW39" s="19"/>
      <c r="IXF39" s="19"/>
      <c r="IXG39" s="19"/>
      <c r="IXH39" s="19"/>
      <c r="IXI39" s="19"/>
      <c r="IXJ39" s="21"/>
      <c r="IXK39" s="19"/>
      <c r="IXT39" s="19"/>
      <c r="IXU39" s="19"/>
      <c r="IXV39" s="19"/>
      <c r="IXW39" s="19"/>
      <c r="IXX39" s="21"/>
      <c r="IXY39" s="19"/>
      <c r="IYH39" s="19"/>
      <c r="IYI39" s="19"/>
      <c r="IYJ39" s="19"/>
      <c r="IYK39" s="19"/>
      <c r="IYL39" s="21"/>
      <c r="IYM39" s="19"/>
      <c r="IYV39" s="19"/>
      <c r="IYW39" s="19"/>
      <c r="IYX39" s="19"/>
      <c r="IYY39" s="19"/>
      <c r="IYZ39" s="21"/>
      <c r="IZA39" s="19"/>
      <c r="IZJ39" s="19"/>
      <c r="IZK39" s="19"/>
      <c r="IZL39" s="19"/>
      <c r="IZM39" s="19"/>
      <c r="IZN39" s="21"/>
      <c r="IZO39" s="19"/>
      <c r="IZX39" s="19"/>
      <c r="IZY39" s="19"/>
      <c r="IZZ39" s="19"/>
      <c r="JAA39" s="19"/>
      <c r="JAB39" s="21"/>
      <c r="JAC39" s="19"/>
      <c r="JAL39" s="19"/>
      <c r="JAM39" s="19"/>
      <c r="JAN39" s="19"/>
      <c r="JAO39" s="19"/>
      <c r="JAP39" s="21"/>
      <c r="JAQ39" s="19"/>
      <c r="JAZ39" s="19"/>
      <c r="JBA39" s="19"/>
      <c r="JBB39" s="19"/>
      <c r="JBC39" s="19"/>
      <c r="JBD39" s="21"/>
      <c r="JBE39" s="19"/>
      <c r="JBN39" s="19"/>
      <c r="JBO39" s="19"/>
      <c r="JBP39" s="19"/>
      <c r="JBQ39" s="19"/>
      <c r="JBR39" s="21"/>
      <c r="JBS39" s="19"/>
      <c r="JCB39" s="19"/>
      <c r="JCC39" s="19"/>
      <c r="JCD39" s="19"/>
      <c r="JCE39" s="19"/>
      <c r="JCF39" s="21"/>
      <c r="JCG39" s="19"/>
      <c r="JCP39" s="19"/>
      <c r="JCQ39" s="19"/>
      <c r="JCR39" s="19"/>
      <c r="JCS39" s="19"/>
      <c r="JCT39" s="21"/>
      <c r="JCU39" s="19"/>
      <c r="JDD39" s="19"/>
      <c r="JDE39" s="19"/>
      <c r="JDF39" s="19"/>
      <c r="JDG39" s="19"/>
      <c r="JDH39" s="21"/>
      <c r="JDI39" s="19"/>
      <c r="JDR39" s="19"/>
      <c r="JDS39" s="19"/>
      <c r="JDT39" s="19"/>
      <c r="JDU39" s="19"/>
      <c r="JDV39" s="21"/>
      <c r="JDW39" s="19"/>
      <c r="JEF39" s="19"/>
      <c r="JEG39" s="19"/>
      <c r="JEH39" s="19"/>
      <c r="JEI39" s="19"/>
      <c r="JEJ39" s="21"/>
      <c r="JEK39" s="19"/>
      <c r="JET39" s="19"/>
      <c r="JEU39" s="19"/>
      <c r="JEV39" s="19"/>
      <c r="JEW39" s="19"/>
      <c r="JEX39" s="21"/>
      <c r="JEY39" s="19"/>
      <c r="JFH39" s="19"/>
      <c r="JFI39" s="19"/>
      <c r="JFJ39" s="19"/>
      <c r="JFK39" s="19"/>
      <c r="JFL39" s="21"/>
      <c r="JFM39" s="19"/>
      <c r="JFV39" s="19"/>
      <c r="JFW39" s="19"/>
      <c r="JFX39" s="19"/>
      <c r="JFY39" s="19"/>
      <c r="JFZ39" s="21"/>
      <c r="JGA39" s="19"/>
      <c r="JGJ39" s="19"/>
      <c r="JGK39" s="19"/>
      <c r="JGL39" s="19"/>
      <c r="JGM39" s="19"/>
      <c r="JGN39" s="21"/>
      <c r="JGO39" s="19"/>
      <c r="JGX39" s="19"/>
      <c r="JGY39" s="19"/>
      <c r="JGZ39" s="19"/>
      <c r="JHA39" s="19"/>
      <c r="JHB39" s="21"/>
      <c r="JHC39" s="19"/>
      <c r="JHL39" s="19"/>
      <c r="JHM39" s="19"/>
      <c r="JHN39" s="19"/>
      <c r="JHO39" s="19"/>
      <c r="JHP39" s="21"/>
      <c r="JHQ39" s="19"/>
      <c r="JHZ39" s="19"/>
      <c r="JIA39" s="19"/>
      <c r="JIB39" s="19"/>
      <c r="JIC39" s="19"/>
      <c r="JID39" s="21"/>
      <c r="JIE39" s="19"/>
      <c r="JIN39" s="19"/>
      <c r="JIO39" s="19"/>
      <c r="JIP39" s="19"/>
      <c r="JIQ39" s="19"/>
      <c r="JIR39" s="21"/>
      <c r="JIS39" s="19"/>
      <c r="JJB39" s="19"/>
      <c r="JJC39" s="19"/>
      <c r="JJD39" s="19"/>
      <c r="JJE39" s="19"/>
      <c r="JJF39" s="21"/>
      <c r="JJG39" s="19"/>
      <c r="JJP39" s="19"/>
      <c r="JJQ39" s="19"/>
      <c r="JJR39" s="19"/>
      <c r="JJS39" s="19"/>
      <c r="JJT39" s="21"/>
      <c r="JJU39" s="19"/>
      <c r="JKD39" s="19"/>
      <c r="JKE39" s="19"/>
      <c r="JKF39" s="19"/>
      <c r="JKG39" s="19"/>
      <c r="JKH39" s="21"/>
      <c r="JKI39" s="19"/>
      <c r="JKR39" s="19"/>
      <c r="JKS39" s="19"/>
      <c r="JKT39" s="19"/>
      <c r="JKU39" s="19"/>
      <c r="JKV39" s="21"/>
      <c r="JKW39" s="19"/>
      <c r="JLF39" s="19"/>
      <c r="JLG39" s="19"/>
      <c r="JLH39" s="19"/>
      <c r="JLI39" s="19"/>
      <c r="JLJ39" s="21"/>
      <c r="JLK39" s="19"/>
      <c r="JLT39" s="19"/>
      <c r="JLU39" s="19"/>
      <c r="JLV39" s="19"/>
      <c r="JLW39" s="19"/>
      <c r="JLX39" s="21"/>
      <c r="JLY39" s="19"/>
      <c r="JMH39" s="19"/>
      <c r="JMI39" s="19"/>
      <c r="JMJ39" s="19"/>
      <c r="JMK39" s="19"/>
      <c r="JML39" s="21"/>
      <c r="JMM39" s="19"/>
      <c r="JMV39" s="19"/>
      <c r="JMW39" s="19"/>
      <c r="JMX39" s="19"/>
      <c r="JMY39" s="19"/>
      <c r="JMZ39" s="21"/>
      <c r="JNA39" s="19"/>
      <c r="JNJ39" s="19"/>
      <c r="JNK39" s="19"/>
      <c r="JNL39" s="19"/>
      <c r="JNM39" s="19"/>
      <c r="JNN39" s="21"/>
      <c r="JNO39" s="19"/>
      <c r="JNX39" s="19"/>
      <c r="JNY39" s="19"/>
      <c r="JNZ39" s="19"/>
      <c r="JOA39" s="19"/>
      <c r="JOB39" s="21"/>
      <c r="JOC39" s="19"/>
      <c r="JOL39" s="19"/>
      <c r="JOM39" s="19"/>
      <c r="JON39" s="19"/>
      <c r="JOO39" s="19"/>
      <c r="JOP39" s="21"/>
      <c r="JOQ39" s="19"/>
      <c r="JOZ39" s="19"/>
      <c r="JPA39" s="19"/>
      <c r="JPB39" s="19"/>
      <c r="JPC39" s="19"/>
      <c r="JPD39" s="21"/>
      <c r="JPE39" s="19"/>
      <c r="JPN39" s="19"/>
      <c r="JPO39" s="19"/>
      <c r="JPP39" s="19"/>
      <c r="JPQ39" s="19"/>
      <c r="JPR39" s="21"/>
      <c r="JPS39" s="19"/>
      <c r="JQB39" s="19"/>
      <c r="JQC39" s="19"/>
      <c r="JQD39" s="19"/>
      <c r="JQE39" s="19"/>
      <c r="JQF39" s="21"/>
      <c r="JQG39" s="19"/>
      <c r="JQP39" s="19"/>
      <c r="JQQ39" s="19"/>
      <c r="JQR39" s="19"/>
      <c r="JQS39" s="19"/>
      <c r="JQT39" s="21"/>
      <c r="JQU39" s="19"/>
      <c r="JRD39" s="19"/>
      <c r="JRE39" s="19"/>
      <c r="JRF39" s="19"/>
      <c r="JRG39" s="19"/>
      <c r="JRH39" s="21"/>
      <c r="JRI39" s="19"/>
      <c r="JRR39" s="19"/>
      <c r="JRS39" s="19"/>
      <c r="JRT39" s="19"/>
      <c r="JRU39" s="19"/>
      <c r="JRV39" s="21"/>
      <c r="JRW39" s="19"/>
      <c r="JSF39" s="19"/>
      <c r="JSG39" s="19"/>
      <c r="JSH39" s="19"/>
      <c r="JSI39" s="19"/>
      <c r="JSJ39" s="21"/>
      <c r="JSK39" s="19"/>
      <c r="JST39" s="19"/>
      <c r="JSU39" s="19"/>
      <c r="JSV39" s="19"/>
      <c r="JSW39" s="19"/>
      <c r="JSX39" s="21"/>
      <c r="JSY39" s="19"/>
      <c r="JTH39" s="19"/>
      <c r="JTI39" s="19"/>
      <c r="JTJ39" s="19"/>
      <c r="JTK39" s="19"/>
      <c r="JTL39" s="21"/>
      <c r="JTM39" s="19"/>
      <c r="JTV39" s="19"/>
      <c r="JTW39" s="19"/>
      <c r="JTX39" s="19"/>
      <c r="JTY39" s="19"/>
      <c r="JTZ39" s="21"/>
      <c r="JUA39" s="19"/>
      <c r="JUJ39" s="19"/>
      <c r="JUK39" s="19"/>
      <c r="JUL39" s="19"/>
      <c r="JUM39" s="19"/>
      <c r="JUN39" s="21"/>
      <c r="JUO39" s="19"/>
      <c r="JUX39" s="19"/>
      <c r="JUY39" s="19"/>
      <c r="JUZ39" s="19"/>
      <c r="JVA39" s="19"/>
      <c r="JVB39" s="21"/>
      <c r="JVC39" s="19"/>
      <c r="JVL39" s="19"/>
      <c r="JVM39" s="19"/>
      <c r="JVN39" s="19"/>
      <c r="JVO39" s="19"/>
      <c r="JVP39" s="21"/>
      <c r="JVQ39" s="19"/>
      <c r="JVZ39" s="19"/>
      <c r="JWA39" s="19"/>
      <c r="JWB39" s="19"/>
      <c r="JWC39" s="19"/>
      <c r="JWD39" s="21"/>
      <c r="JWE39" s="19"/>
      <c r="JWN39" s="19"/>
      <c r="JWO39" s="19"/>
      <c r="JWP39" s="19"/>
      <c r="JWQ39" s="19"/>
      <c r="JWR39" s="21"/>
      <c r="JWS39" s="19"/>
      <c r="JXB39" s="19"/>
      <c r="JXC39" s="19"/>
      <c r="JXD39" s="19"/>
      <c r="JXE39" s="19"/>
      <c r="JXF39" s="21"/>
      <c r="JXG39" s="19"/>
      <c r="JXP39" s="19"/>
      <c r="JXQ39" s="19"/>
      <c r="JXR39" s="19"/>
      <c r="JXS39" s="19"/>
      <c r="JXT39" s="21"/>
      <c r="JXU39" s="19"/>
      <c r="JYD39" s="19"/>
      <c r="JYE39" s="19"/>
      <c r="JYF39" s="19"/>
      <c r="JYG39" s="19"/>
      <c r="JYH39" s="21"/>
      <c r="JYI39" s="19"/>
      <c r="JYR39" s="19"/>
      <c r="JYS39" s="19"/>
      <c r="JYT39" s="19"/>
      <c r="JYU39" s="19"/>
      <c r="JYV39" s="21"/>
      <c r="JYW39" s="19"/>
      <c r="JZF39" s="19"/>
      <c r="JZG39" s="19"/>
      <c r="JZH39" s="19"/>
      <c r="JZI39" s="19"/>
      <c r="JZJ39" s="21"/>
      <c r="JZK39" s="19"/>
      <c r="JZT39" s="19"/>
      <c r="JZU39" s="19"/>
      <c r="JZV39" s="19"/>
      <c r="JZW39" s="19"/>
      <c r="JZX39" s="21"/>
      <c r="JZY39" s="19"/>
      <c r="KAH39" s="19"/>
      <c r="KAI39" s="19"/>
      <c r="KAJ39" s="19"/>
      <c r="KAK39" s="19"/>
      <c r="KAL39" s="21"/>
      <c r="KAM39" s="19"/>
      <c r="KAV39" s="19"/>
      <c r="KAW39" s="19"/>
      <c r="KAX39" s="19"/>
      <c r="KAY39" s="19"/>
      <c r="KAZ39" s="21"/>
      <c r="KBA39" s="19"/>
      <c r="KBJ39" s="19"/>
      <c r="KBK39" s="19"/>
      <c r="KBL39" s="19"/>
      <c r="KBM39" s="19"/>
      <c r="KBN39" s="21"/>
      <c r="KBO39" s="19"/>
      <c r="KBX39" s="19"/>
      <c r="KBY39" s="19"/>
      <c r="KBZ39" s="19"/>
      <c r="KCA39" s="19"/>
      <c r="KCB39" s="21"/>
      <c r="KCC39" s="19"/>
      <c r="KCL39" s="19"/>
      <c r="KCM39" s="19"/>
      <c r="KCN39" s="19"/>
      <c r="KCO39" s="19"/>
      <c r="KCP39" s="21"/>
      <c r="KCQ39" s="19"/>
      <c r="KCZ39" s="19"/>
      <c r="KDA39" s="19"/>
      <c r="KDB39" s="19"/>
      <c r="KDC39" s="19"/>
      <c r="KDD39" s="21"/>
      <c r="KDE39" s="19"/>
      <c r="KDN39" s="19"/>
      <c r="KDO39" s="19"/>
      <c r="KDP39" s="19"/>
      <c r="KDQ39" s="19"/>
      <c r="KDR39" s="21"/>
      <c r="KDS39" s="19"/>
      <c r="KEB39" s="19"/>
      <c r="KEC39" s="19"/>
      <c r="KED39" s="19"/>
      <c r="KEE39" s="19"/>
      <c r="KEF39" s="21"/>
      <c r="KEG39" s="19"/>
      <c r="KEP39" s="19"/>
      <c r="KEQ39" s="19"/>
      <c r="KER39" s="19"/>
      <c r="KES39" s="19"/>
      <c r="KET39" s="21"/>
      <c r="KEU39" s="19"/>
      <c r="KFD39" s="19"/>
      <c r="KFE39" s="19"/>
      <c r="KFF39" s="19"/>
      <c r="KFG39" s="19"/>
      <c r="KFH39" s="21"/>
      <c r="KFI39" s="19"/>
      <c r="KFR39" s="19"/>
      <c r="KFS39" s="19"/>
      <c r="KFT39" s="19"/>
      <c r="KFU39" s="19"/>
      <c r="KFV39" s="21"/>
      <c r="KFW39" s="19"/>
      <c r="KGF39" s="19"/>
      <c r="KGG39" s="19"/>
      <c r="KGH39" s="19"/>
      <c r="KGI39" s="19"/>
      <c r="KGJ39" s="21"/>
      <c r="KGK39" s="19"/>
      <c r="KGT39" s="19"/>
      <c r="KGU39" s="19"/>
      <c r="KGV39" s="19"/>
      <c r="KGW39" s="19"/>
      <c r="KGX39" s="21"/>
      <c r="KGY39" s="19"/>
      <c r="KHH39" s="19"/>
      <c r="KHI39" s="19"/>
      <c r="KHJ39" s="19"/>
      <c r="KHK39" s="19"/>
      <c r="KHL39" s="21"/>
      <c r="KHM39" s="19"/>
      <c r="KHV39" s="19"/>
      <c r="KHW39" s="19"/>
      <c r="KHX39" s="19"/>
      <c r="KHY39" s="19"/>
      <c r="KHZ39" s="21"/>
      <c r="KIA39" s="19"/>
      <c r="KIJ39" s="19"/>
      <c r="KIK39" s="19"/>
      <c r="KIL39" s="19"/>
      <c r="KIM39" s="19"/>
      <c r="KIN39" s="21"/>
      <c r="KIO39" s="19"/>
      <c r="KIX39" s="19"/>
      <c r="KIY39" s="19"/>
      <c r="KIZ39" s="19"/>
      <c r="KJA39" s="19"/>
      <c r="KJB39" s="21"/>
      <c r="KJC39" s="19"/>
      <c r="KJL39" s="19"/>
      <c r="KJM39" s="19"/>
      <c r="KJN39" s="19"/>
      <c r="KJO39" s="19"/>
      <c r="KJP39" s="21"/>
      <c r="KJQ39" s="19"/>
      <c r="KJZ39" s="19"/>
      <c r="KKA39" s="19"/>
      <c r="KKB39" s="19"/>
      <c r="KKC39" s="19"/>
      <c r="KKD39" s="21"/>
      <c r="KKE39" s="19"/>
      <c r="KKN39" s="19"/>
      <c r="KKO39" s="19"/>
      <c r="KKP39" s="19"/>
      <c r="KKQ39" s="19"/>
      <c r="KKR39" s="21"/>
      <c r="KKS39" s="19"/>
      <c r="KLB39" s="19"/>
      <c r="KLC39" s="19"/>
      <c r="KLD39" s="19"/>
      <c r="KLE39" s="19"/>
      <c r="KLF39" s="21"/>
      <c r="KLG39" s="19"/>
      <c r="KLP39" s="19"/>
      <c r="KLQ39" s="19"/>
      <c r="KLR39" s="19"/>
      <c r="KLS39" s="19"/>
      <c r="KLT39" s="21"/>
      <c r="KLU39" s="19"/>
      <c r="KMD39" s="19"/>
      <c r="KME39" s="19"/>
      <c r="KMF39" s="19"/>
      <c r="KMG39" s="19"/>
      <c r="KMH39" s="21"/>
      <c r="KMI39" s="19"/>
      <c r="KMR39" s="19"/>
      <c r="KMS39" s="19"/>
      <c r="KMT39" s="19"/>
      <c r="KMU39" s="19"/>
      <c r="KMV39" s="21"/>
      <c r="KMW39" s="19"/>
      <c r="KNF39" s="19"/>
      <c r="KNG39" s="19"/>
      <c r="KNH39" s="19"/>
      <c r="KNI39" s="19"/>
      <c r="KNJ39" s="21"/>
      <c r="KNK39" s="19"/>
      <c r="KNT39" s="19"/>
      <c r="KNU39" s="19"/>
      <c r="KNV39" s="19"/>
      <c r="KNW39" s="19"/>
      <c r="KNX39" s="21"/>
      <c r="KNY39" s="19"/>
      <c r="KOH39" s="19"/>
      <c r="KOI39" s="19"/>
      <c r="KOJ39" s="19"/>
      <c r="KOK39" s="19"/>
      <c r="KOL39" s="21"/>
      <c r="KOM39" s="19"/>
      <c r="KOV39" s="19"/>
      <c r="KOW39" s="19"/>
      <c r="KOX39" s="19"/>
      <c r="KOY39" s="19"/>
      <c r="KOZ39" s="21"/>
      <c r="KPA39" s="19"/>
      <c r="KPJ39" s="19"/>
      <c r="KPK39" s="19"/>
      <c r="KPL39" s="19"/>
      <c r="KPM39" s="19"/>
      <c r="KPN39" s="21"/>
      <c r="KPO39" s="19"/>
      <c r="KPX39" s="19"/>
      <c r="KPY39" s="19"/>
      <c r="KPZ39" s="19"/>
      <c r="KQA39" s="19"/>
      <c r="KQB39" s="21"/>
      <c r="KQC39" s="19"/>
      <c r="KQL39" s="19"/>
      <c r="KQM39" s="19"/>
      <c r="KQN39" s="19"/>
      <c r="KQO39" s="19"/>
      <c r="KQP39" s="21"/>
      <c r="KQQ39" s="19"/>
      <c r="KQZ39" s="19"/>
      <c r="KRA39" s="19"/>
      <c r="KRB39" s="19"/>
      <c r="KRC39" s="19"/>
      <c r="KRD39" s="21"/>
      <c r="KRE39" s="19"/>
      <c r="KRN39" s="19"/>
      <c r="KRO39" s="19"/>
      <c r="KRP39" s="19"/>
      <c r="KRQ39" s="19"/>
      <c r="KRR39" s="21"/>
      <c r="KRS39" s="19"/>
      <c r="KSB39" s="19"/>
      <c r="KSC39" s="19"/>
      <c r="KSD39" s="19"/>
      <c r="KSE39" s="19"/>
      <c r="KSF39" s="21"/>
      <c r="KSG39" s="19"/>
      <c r="KSP39" s="19"/>
      <c r="KSQ39" s="19"/>
      <c r="KSR39" s="19"/>
      <c r="KSS39" s="19"/>
      <c r="KST39" s="21"/>
      <c r="KSU39" s="19"/>
      <c r="KTD39" s="19"/>
      <c r="KTE39" s="19"/>
      <c r="KTF39" s="19"/>
      <c r="KTG39" s="19"/>
      <c r="KTH39" s="21"/>
      <c r="KTI39" s="19"/>
      <c r="KTR39" s="19"/>
      <c r="KTS39" s="19"/>
      <c r="KTT39" s="19"/>
      <c r="KTU39" s="19"/>
      <c r="KTV39" s="21"/>
      <c r="KTW39" s="19"/>
      <c r="KUF39" s="19"/>
      <c r="KUG39" s="19"/>
      <c r="KUH39" s="19"/>
      <c r="KUI39" s="19"/>
      <c r="KUJ39" s="21"/>
      <c r="KUK39" s="19"/>
      <c r="KUT39" s="19"/>
      <c r="KUU39" s="19"/>
      <c r="KUV39" s="19"/>
      <c r="KUW39" s="19"/>
      <c r="KUX39" s="21"/>
      <c r="KUY39" s="19"/>
      <c r="KVH39" s="19"/>
      <c r="KVI39" s="19"/>
      <c r="KVJ39" s="19"/>
      <c r="KVK39" s="19"/>
      <c r="KVL39" s="21"/>
      <c r="KVM39" s="19"/>
      <c r="KVV39" s="19"/>
      <c r="KVW39" s="19"/>
      <c r="KVX39" s="19"/>
      <c r="KVY39" s="19"/>
      <c r="KVZ39" s="21"/>
      <c r="KWA39" s="19"/>
      <c r="KWJ39" s="19"/>
      <c r="KWK39" s="19"/>
      <c r="KWL39" s="19"/>
      <c r="KWM39" s="19"/>
      <c r="KWN39" s="21"/>
      <c r="KWO39" s="19"/>
      <c r="KWX39" s="19"/>
      <c r="KWY39" s="19"/>
      <c r="KWZ39" s="19"/>
      <c r="KXA39" s="19"/>
      <c r="KXB39" s="21"/>
      <c r="KXC39" s="19"/>
      <c r="KXL39" s="19"/>
      <c r="KXM39" s="19"/>
      <c r="KXN39" s="19"/>
      <c r="KXO39" s="19"/>
      <c r="KXP39" s="21"/>
      <c r="KXQ39" s="19"/>
      <c r="KXZ39" s="19"/>
      <c r="KYA39" s="19"/>
      <c r="KYB39" s="19"/>
      <c r="KYC39" s="19"/>
      <c r="KYD39" s="21"/>
      <c r="KYE39" s="19"/>
      <c r="KYN39" s="19"/>
      <c r="KYO39" s="19"/>
      <c r="KYP39" s="19"/>
      <c r="KYQ39" s="19"/>
      <c r="KYR39" s="21"/>
      <c r="KYS39" s="19"/>
      <c r="KZB39" s="19"/>
      <c r="KZC39" s="19"/>
      <c r="KZD39" s="19"/>
      <c r="KZE39" s="19"/>
      <c r="KZF39" s="21"/>
      <c r="KZG39" s="19"/>
      <c r="KZP39" s="19"/>
      <c r="KZQ39" s="19"/>
      <c r="KZR39" s="19"/>
      <c r="KZS39" s="19"/>
      <c r="KZT39" s="21"/>
      <c r="KZU39" s="19"/>
      <c r="LAD39" s="19"/>
      <c r="LAE39" s="19"/>
      <c r="LAF39" s="19"/>
      <c r="LAG39" s="19"/>
      <c r="LAH39" s="21"/>
      <c r="LAI39" s="19"/>
      <c r="LAR39" s="19"/>
      <c r="LAS39" s="19"/>
      <c r="LAT39" s="19"/>
      <c r="LAU39" s="19"/>
      <c r="LAV39" s="21"/>
      <c r="LAW39" s="19"/>
      <c r="LBF39" s="19"/>
      <c r="LBG39" s="19"/>
      <c r="LBH39" s="19"/>
      <c r="LBI39" s="19"/>
      <c r="LBJ39" s="21"/>
      <c r="LBK39" s="19"/>
      <c r="LBT39" s="19"/>
      <c r="LBU39" s="19"/>
      <c r="LBV39" s="19"/>
      <c r="LBW39" s="19"/>
      <c r="LBX39" s="21"/>
      <c r="LBY39" s="19"/>
      <c r="LCH39" s="19"/>
      <c r="LCI39" s="19"/>
      <c r="LCJ39" s="19"/>
      <c r="LCK39" s="19"/>
      <c r="LCL39" s="21"/>
      <c r="LCM39" s="19"/>
      <c r="LCV39" s="19"/>
      <c r="LCW39" s="19"/>
      <c r="LCX39" s="19"/>
      <c r="LCY39" s="19"/>
      <c r="LCZ39" s="21"/>
      <c r="LDA39" s="19"/>
      <c r="LDJ39" s="19"/>
      <c r="LDK39" s="19"/>
      <c r="LDL39" s="19"/>
      <c r="LDM39" s="19"/>
      <c r="LDN39" s="21"/>
      <c r="LDO39" s="19"/>
      <c r="LDX39" s="19"/>
      <c r="LDY39" s="19"/>
      <c r="LDZ39" s="19"/>
      <c r="LEA39" s="19"/>
      <c r="LEB39" s="21"/>
      <c r="LEC39" s="19"/>
      <c r="LEL39" s="19"/>
      <c r="LEM39" s="19"/>
      <c r="LEN39" s="19"/>
      <c r="LEO39" s="19"/>
      <c r="LEP39" s="21"/>
      <c r="LEQ39" s="19"/>
      <c r="LEZ39" s="19"/>
      <c r="LFA39" s="19"/>
      <c r="LFB39" s="19"/>
      <c r="LFC39" s="19"/>
      <c r="LFD39" s="21"/>
      <c r="LFE39" s="19"/>
      <c r="LFN39" s="19"/>
      <c r="LFO39" s="19"/>
      <c r="LFP39" s="19"/>
      <c r="LFQ39" s="19"/>
      <c r="LFR39" s="21"/>
      <c r="LFS39" s="19"/>
      <c r="LGB39" s="19"/>
      <c r="LGC39" s="19"/>
      <c r="LGD39" s="19"/>
      <c r="LGE39" s="19"/>
      <c r="LGF39" s="21"/>
      <c r="LGG39" s="19"/>
      <c r="LGP39" s="19"/>
      <c r="LGQ39" s="19"/>
      <c r="LGR39" s="19"/>
      <c r="LGS39" s="19"/>
      <c r="LGT39" s="21"/>
      <c r="LGU39" s="19"/>
      <c r="LHD39" s="19"/>
      <c r="LHE39" s="19"/>
      <c r="LHF39" s="19"/>
      <c r="LHG39" s="19"/>
      <c r="LHH39" s="21"/>
      <c r="LHI39" s="19"/>
      <c r="LHR39" s="19"/>
      <c r="LHS39" s="19"/>
      <c r="LHT39" s="19"/>
      <c r="LHU39" s="19"/>
      <c r="LHV39" s="21"/>
      <c r="LHW39" s="19"/>
      <c r="LIF39" s="19"/>
      <c r="LIG39" s="19"/>
      <c r="LIH39" s="19"/>
      <c r="LII39" s="19"/>
      <c r="LIJ39" s="21"/>
      <c r="LIK39" s="19"/>
      <c r="LIT39" s="19"/>
      <c r="LIU39" s="19"/>
      <c r="LIV39" s="19"/>
      <c r="LIW39" s="19"/>
      <c r="LIX39" s="21"/>
      <c r="LIY39" s="19"/>
      <c r="LJH39" s="19"/>
      <c r="LJI39" s="19"/>
      <c r="LJJ39" s="19"/>
      <c r="LJK39" s="19"/>
      <c r="LJL39" s="21"/>
      <c r="LJM39" s="19"/>
      <c r="LJV39" s="19"/>
      <c r="LJW39" s="19"/>
      <c r="LJX39" s="19"/>
      <c r="LJY39" s="19"/>
      <c r="LJZ39" s="21"/>
      <c r="LKA39" s="19"/>
      <c r="LKJ39" s="19"/>
      <c r="LKK39" s="19"/>
      <c r="LKL39" s="19"/>
      <c r="LKM39" s="19"/>
      <c r="LKN39" s="21"/>
      <c r="LKO39" s="19"/>
      <c r="LKX39" s="19"/>
      <c r="LKY39" s="19"/>
      <c r="LKZ39" s="19"/>
      <c r="LLA39" s="19"/>
      <c r="LLB39" s="21"/>
      <c r="LLC39" s="19"/>
      <c r="LLL39" s="19"/>
      <c r="LLM39" s="19"/>
      <c r="LLN39" s="19"/>
      <c r="LLO39" s="19"/>
      <c r="LLP39" s="21"/>
      <c r="LLQ39" s="19"/>
      <c r="LLZ39" s="19"/>
      <c r="LMA39" s="19"/>
      <c r="LMB39" s="19"/>
      <c r="LMC39" s="19"/>
      <c r="LMD39" s="21"/>
      <c r="LME39" s="19"/>
      <c r="LMN39" s="19"/>
      <c r="LMO39" s="19"/>
      <c r="LMP39" s="19"/>
      <c r="LMQ39" s="19"/>
      <c r="LMR39" s="21"/>
      <c r="LMS39" s="19"/>
      <c r="LNB39" s="19"/>
      <c r="LNC39" s="19"/>
      <c r="LND39" s="19"/>
      <c r="LNE39" s="19"/>
      <c r="LNF39" s="21"/>
      <c r="LNG39" s="19"/>
      <c r="LNP39" s="19"/>
      <c r="LNQ39" s="19"/>
      <c r="LNR39" s="19"/>
      <c r="LNS39" s="19"/>
      <c r="LNT39" s="21"/>
      <c r="LNU39" s="19"/>
      <c r="LOD39" s="19"/>
      <c r="LOE39" s="19"/>
      <c r="LOF39" s="19"/>
      <c r="LOG39" s="19"/>
      <c r="LOH39" s="21"/>
      <c r="LOI39" s="19"/>
      <c r="LOR39" s="19"/>
      <c r="LOS39" s="19"/>
      <c r="LOT39" s="19"/>
      <c r="LOU39" s="19"/>
      <c r="LOV39" s="21"/>
      <c r="LOW39" s="19"/>
      <c r="LPF39" s="19"/>
      <c r="LPG39" s="19"/>
      <c r="LPH39" s="19"/>
      <c r="LPI39" s="19"/>
      <c r="LPJ39" s="21"/>
      <c r="LPK39" s="19"/>
      <c r="LPT39" s="19"/>
      <c r="LPU39" s="19"/>
      <c r="LPV39" s="19"/>
      <c r="LPW39" s="19"/>
      <c r="LPX39" s="21"/>
      <c r="LPY39" s="19"/>
      <c r="LQH39" s="19"/>
      <c r="LQI39" s="19"/>
      <c r="LQJ39" s="19"/>
      <c r="LQK39" s="19"/>
      <c r="LQL39" s="21"/>
      <c r="LQM39" s="19"/>
      <c r="LQV39" s="19"/>
      <c r="LQW39" s="19"/>
      <c r="LQX39" s="19"/>
      <c r="LQY39" s="19"/>
      <c r="LQZ39" s="21"/>
      <c r="LRA39" s="19"/>
      <c r="LRJ39" s="19"/>
      <c r="LRK39" s="19"/>
      <c r="LRL39" s="19"/>
      <c r="LRM39" s="19"/>
      <c r="LRN39" s="21"/>
      <c r="LRO39" s="19"/>
      <c r="LRX39" s="19"/>
      <c r="LRY39" s="19"/>
      <c r="LRZ39" s="19"/>
      <c r="LSA39" s="19"/>
      <c r="LSB39" s="21"/>
      <c r="LSC39" s="19"/>
      <c r="LSL39" s="19"/>
      <c r="LSM39" s="19"/>
      <c r="LSN39" s="19"/>
      <c r="LSO39" s="19"/>
      <c r="LSP39" s="21"/>
      <c r="LSQ39" s="19"/>
      <c r="LSZ39" s="19"/>
      <c r="LTA39" s="19"/>
      <c r="LTB39" s="19"/>
      <c r="LTC39" s="19"/>
      <c r="LTD39" s="21"/>
      <c r="LTE39" s="19"/>
      <c r="LTN39" s="19"/>
      <c r="LTO39" s="19"/>
      <c r="LTP39" s="19"/>
      <c r="LTQ39" s="19"/>
      <c r="LTR39" s="21"/>
      <c r="LTS39" s="19"/>
      <c r="LUB39" s="19"/>
      <c r="LUC39" s="19"/>
      <c r="LUD39" s="19"/>
      <c r="LUE39" s="19"/>
      <c r="LUF39" s="21"/>
      <c r="LUG39" s="19"/>
      <c r="LUP39" s="19"/>
      <c r="LUQ39" s="19"/>
      <c r="LUR39" s="19"/>
      <c r="LUS39" s="19"/>
      <c r="LUT39" s="21"/>
      <c r="LUU39" s="19"/>
      <c r="LVD39" s="19"/>
      <c r="LVE39" s="19"/>
      <c r="LVF39" s="19"/>
      <c r="LVG39" s="19"/>
      <c r="LVH39" s="21"/>
      <c r="LVI39" s="19"/>
      <c r="LVR39" s="19"/>
      <c r="LVS39" s="19"/>
      <c r="LVT39" s="19"/>
      <c r="LVU39" s="19"/>
      <c r="LVV39" s="21"/>
      <c r="LVW39" s="19"/>
      <c r="LWF39" s="19"/>
      <c r="LWG39" s="19"/>
      <c r="LWH39" s="19"/>
      <c r="LWI39" s="19"/>
      <c r="LWJ39" s="21"/>
      <c r="LWK39" s="19"/>
      <c r="LWT39" s="19"/>
      <c r="LWU39" s="19"/>
      <c r="LWV39" s="19"/>
      <c r="LWW39" s="19"/>
      <c r="LWX39" s="21"/>
      <c r="LWY39" s="19"/>
      <c r="LXH39" s="19"/>
      <c r="LXI39" s="19"/>
      <c r="LXJ39" s="19"/>
      <c r="LXK39" s="19"/>
      <c r="LXL39" s="21"/>
      <c r="LXM39" s="19"/>
      <c r="LXV39" s="19"/>
      <c r="LXW39" s="19"/>
      <c r="LXX39" s="19"/>
      <c r="LXY39" s="19"/>
      <c r="LXZ39" s="21"/>
      <c r="LYA39" s="19"/>
      <c r="LYJ39" s="19"/>
      <c r="LYK39" s="19"/>
      <c r="LYL39" s="19"/>
      <c r="LYM39" s="19"/>
      <c r="LYN39" s="21"/>
      <c r="LYO39" s="19"/>
      <c r="LYX39" s="19"/>
      <c r="LYY39" s="19"/>
      <c r="LYZ39" s="19"/>
      <c r="LZA39" s="19"/>
      <c r="LZB39" s="21"/>
      <c r="LZC39" s="19"/>
      <c r="LZL39" s="19"/>
      <c r="LZM39" s="19"/>
      <c r="LZN39" s="19"/>
      <c r="LZO39" s="19"/>
      <c r="LZP39" s="21"/>
      <c r="LZQ39" s="19"/>
      <c r="LZZ39" s="19"/>
      <c r="MAA39" s="19"/>
      <c r="MAB39" s="19"/>
      <c r="MAC39" s="19"/>
      <c r="MAD39" s="21"/>
      <c r="MAE39" s="19"/>
      <c r="MAN39" s="19"/>
      <c r="MAO39" s="19"/>
      <c r="MAP39" s="19"/>
      <c r="MAQ39" s="19"/>
      <c r="MAR39" s="21"/>
      <c r="MAS39" s="19"/>
      <c r="MBB39" s="19"/>
      <c r="MBC39" s="19"/>
      <c r="MBD39" s="19"/>
      <c r="MBE39" s="19"/>
      <c r="MBF39" s="21"/>
      <c r="MBG39" s="19"/>
      <c r="MBP39" s="19"/>
      <c r="MBQ39" s="19"/>
      <c r="MBR39" s="19"/>
      <c r="MBS39" s="19"/>
      <c r="MBT39" s="21"/>
      <c r="MBU39" s="19"/>
      <c r="MCD39" s="19"/>
      <c r="MCE39" s="19"/>
      <c r="MCF39" s="19"/>
      <c r="MCG39" s="19"/>
      <c r="MCH39" s="21"/>
      <c r="MCI39" s="19"/>
      <c r="MCR39" s="19"/>
      <c r="MCS39" s="19"/>
      <c r="MCT39" s="19"/>
      <c r="MCU39" s="19"/>
      <c r="MCV39" s="21"/>
      <c r="MCW39" s="19"/>
      <c r="MDF39" s="19"/>
      <c r="MDG39" s="19"/>
      <c r="MDH39" s="19"/>
      <c r="MDI39" s="19"/>
      <c r="MDJ39" s="21"/>
      <c r="MDK39" s="19"/>
      <c r="MDT39" s="19"/>
      <c r="MDU39" s="19"/>
      <c r="MDV39" s="19"/>
      <c r="MDW39" s="19"/>
      <c r="MDX39" s="21"/>
      <c r="MDY39" s="19"/>
      <c r="MEH39" s="19"/>
      <c r="MEI39" s="19"/>
      <c r="MEJ39" s="19"/>
      <c r="MEK39" s="19"/>
      <c r="MEL39" s="21"/>
      <c r="MEM39" s="19"/>
      <c r="MEV39" s="19"/>
      <c r="MEW39" s="19"/>
      <c r="MEX39" s="19"/>
      <c r="MEY39" s="19"/>
      <c r="MEZ39" s="21"/>
      <c r="MFA39" s="19"/>
      <c r="MFJ39" s="19"/>
      <c r="MFK39" s="19"/>
      <c r="MFL39" s="19"/>
      <c r="MFM39" s="19"/>
      <c r="MFN39" s="21"/>
      <c r="MFO39" s="19"/>
      <c r="MFX39" s="19"/>
      <c r="MFY39" s="19"/>
      <c r="MFZ39" s="19"/>
      <c r="MGA39" s="19"/>
      <c r="MGB39" s="21"/>
      <c r="MGC39" s="19"/>
      <c r="MGL39" s="19"/>
      <c r="MGM39" s="19"/>
      <c r="MGN39" s="19"/>
      <c r="MGO39" s="19"/>
      <c r="MGP39" s="21"/>
      <c r="MGQ39" s="19"/>
      <c r="MGZ39" s="19"/>
      <c r="MHA39" s="19"/>
      <c r="MHB39" s="19"/>
      <c r="MHC39" s="19"/>
      <c r="MHD39" s="21"/>
      <c r="MHE39" s="19"/>
      <c r="MHN39" s="19"/>
      <c r="MHO39" s="19"/>
      <c r="MHP39" s="19"/>
      <c r="MHQ39" s="19"/>
      <c r="MHR39" s="21"/>
      <c r="MHS39" s="19"/>
      <c r="MIB39" s="19"/>
      <c r="MIC39" s="19"/>
      <c r="MID39" s="19"/>
      <c r="MIE39" s="19"/>
      <c r="MIF39" s="21"/>
      <c r="MIG39" s="19"/>
      <c r="MIP39" s="19"/>
      <c r="MIQ39" s="19"/>
      <c r="MIR39" s="19"/>
      <c r="MIS39" s="19"/>
      <c r="MIT39" s="21"/>
      <c r="MIU39" s="19"/>
      <c r="MJD39" s="19"/>
      <c r="MJE39" s="19"/>
      <c r="MJF39" s="19"/>
      <c r="MJG39" s="19"/>
      <c r="MJH39" s="21"/>
      <c r="MJI39" s="19"/>
      <c r="MJR39" s="19"/>
      <c r="MJS39" s="19"/>
      <c r="MJT39" s="19"/>
      <c r="MJU39" s="19"/>
      <c r="MJV39" s="21"/>
      <c r="MJW39" s="19"/>
      <c r="MKF39" s="19"/>
      <c r="MKG39" s="19"/>
      <c r="MKH39" s="19"/>
      <c r="MKI39" s="19"/>
      <c r="MKJ39" s="21"/>
      <c r="MKK39" s="19"/>
      <c r="MKT39" s="19"/>
      <c r="MKU39" s="19"/>
      <c r="MKV39" s="19"/>
      <c r="MKW39" s="19"/>
      <c r="MKX39" s="21"/>
      <c r="MKY39" s="19"/>
      <c r="MLH39" s="19"/>
      <c r="MLI39" s="19"/>
      <c r="MLJ39" s="19"/>
      <c r="MLK39" s="19"/>
      <c r="MLL39" s="21"/>
      <c r="MLM39" s="19"/>
      <c r="MLV39" s="19"/>
      <c r="MLW39" s="19"/>
      <c r="MLX39" s="19"/>
      <c r="MLY39" s="19"/>
      <c r="MLZ39" s="21"/>
      <c r="MMA39" s="19"/>
      <c r="MMJ39" s="19"/>
      <c r="MMK39" s="19"/>
      <c r="MML39" s="19"/>
      <c r="MMM39" s="19"/>
      <c r="MMN39" s="21"/>
      <c r="MMO39" s="19"/>
      <c r="MMX39" s="19"/>
      <c r="MMY39" s="19"/>
      <c r="MMZ39" s="19"/>
      <c r="MNA39" s="19"/>
      <c r="MNB39" s="21"/>
      <c r="MNC39" s="19"/>
      <c r="MNL39" s="19"/>
      <c r="MNM39" s="19"/>
      <c r="MNN39" s="19"/>
      <c r="MNO39" s="19"/>
      <c r="MNP39" s="21"/>
      <c r="MNQ39" s="19"/>
      <c r="MNZ39" s="19"/>
      <c r="MOA39" s="19"/>
      <c r="MOB39" s="19"/>
      <c r="MOC39" s="19"/>
      <c r="MOD39" s="21"/>
      <c r="MOE39" s="19"/>
      <c r="MON39" s="19"/>
      <c r="MOO39" s="19"/>
      <c r="MOP39" s="19"/>
      <c r="MOQ39" s="19"/>
      <c r="MOR39" s="21"/>
      <c r="MOS39" s="19"/>
      <c r="MPB39" s="19"/>
      <c r="MPC39" s="19"/>
      <c r="MPD39" s="19"/>
      <c r="MPE39" s="19"/>
      <c r="MPF39" s="21"/>
      <c r="MPG39" s="19"/>
      <c r="MPP39" s="19"/>
      <c r="MPQ39" s="19"/>
      <c r="MPR39" s="19"/>
      <c r="MPS39" s="19"/>
      <c r="MPT39" s="21"/>
      <c r="MPU39" s="19"/>
      <c r="MQD39" s="19"/>
      <c r="MQE39" s="19"/>
      <c r="MQF39" s="19"/>
      <c r="MQG39" s="19"/>
      <c r="MQH39" s="21"/>
      <c r="MQI39" s="19"/>
      <c r="MQR39" s="19"/>
      <c r="MQS39" s="19"/>
      <c r="MQT39" s="19"/>
      <c r="MQU39" s="19"/>
      <c r="MQV39" s="21"/>
      <c r="MQW39" s="19"/>
      <c r="MRF39" s="19"/>
      <c r="MRG39" s="19"/>
      <c r="MRH39" s="19"/>
      <c r="MRI39" s="19"/>
      <c r="MRJ39" s="21"/>
      <c r="MRK39" s="19"/>
      <c r="MRT39" s="19"/>
      <c r="MRU39" s="19"/>
      <c r="MRV39" s="19"/>
      <c r="MRW39" s="19"/>
      <c r="MRX39" s="21"/>
      <c r="MRY39" s="19"/>
      <c r="MSH39" s="19"/>
      <c r="MSI39" s="19"/>
      <c r="MSJ39" s="19"/>
      <c r="MSK39" s="19"/>
      <c r="MSL39" s="21"/>
      <c r="MSM39" s="19"/>
      <c r="MSV39" s="19"/>
      <c r="MSW39" s="19"/>
      <c r="MSX39" s="19"/>
      <c r="MSY39" s="19"/>
      <c r="MSZ39" s="21"/>
      <c r="MTA39" s="19"/>
      <c r="MTJ39" s="19"/>
      <c r="MTK39" s="19"/>
      <c r="MTL39" s="19"/>
      <c r="MTM39" s="19"/>
      <c r="MTN39" s="21"/>
      <c r="MTO39" s="19"/>
      <c r="MTX39" s="19"/>
      <c r="MTY39" s="19"/>
      <c r="MTZ39" s="19"/>
      <c r="MUA39" s="19"/>
      <c r="MUB39" s="21"/>
      <c r="MUC39" s="19"/>
      <c r="MUL39" s="19"/>
      <c r="MUM39" s="19"/>
      <c r="MUN39" s="19"/>
      <c r="MUO39" s="19"/>
      <c r="MUP39" s="21"/>
      <c r="MUQ39" s="19"/>
      <c r="MUZ39" s="19"/>
      <c r="MVA39" s="19"/>
      <c r="MVB39" s="19"/>
      <c r="MVC39" s="19"/>
      <c r="MVD39" s="21"/>
      <c r="MVE39" s="19"/>
      <c r="MVN39" s="19"/>
      <c r="MVO39" s="19"/>
      <c r="MVP39" s="19"/>
      <c r="MVQ39" s="19"/>
      <c r="MVR39" s="21"/>
      <c r="MVS39" s="19"/>
      <c r="MWB39" s="19"/>
      <c r="MWC39" s="19"/>
      <c r="MWD39" s="19"/>
      <c r="MWE39" s="19"/>
      <c r="MWF39" s="21"/>
      <c r="MWG39" s="19"/>
      <c r="MWP39" s="19"/>
      <c r="MWQ39" s="19"/>
      <c r="MWR39" s="19"/>
      <c r="MWS39" s="19"/>
      <c r="MWT39" s="21"/>
      <c r="MWU39" s="19"/>
      <c r="MXD39" s="19"/>
      <c r="MXE39" s="19"/>
      <c r="MXF39" s="19"/>
      <c r="MXG39" s="19"/>
      <c r="MXH39" s="21"/>
      <c r="MXI39" s="19"/>
      <c r="MXR39" s="19"/>
      <c r="MXS39" s="19"/>
      <c r="MXT39" s="19"/>
      <c r="MXU39" s="19"/>
      <c r="MXV39" s="21"/>
      <c r="MXW39" s="19"/>
      <c r="MYF39" s="19"/>
      <c r="MYG39" s="19"/>
      <c r="MYH39" s="19"/>
      <c r="MYI39" s="19"/>
      <c r="MYJ39" s="21"/>
      <c r="MYK39" s="19"/>
      <c r="MYT39" s="19"/>
      <c r="MYU39" s="19"/>
      <c r="MYV39" s="19"/>
      <c r="MYW39" s="19"/>
      <c r="MYX39" s="21"/>
      <c r="MYY39" s="19"/>
      <c r="MZH39" s="19"/>
      <c r="MZI39" s="19"/>
      <c r="MZJ39" s="19"/>
      <c r="MZK39" s="19"/>
      <c r="MZL39" s="21"/>
      <c r="MZM39" s="19"/>
      <c r="MZV39" s="19"/>
      <c r="MZW39" s="19"/>
      <c r="MZX39" s="19"/>
      <c r="MZY39" s="19"/>
      <c r="MZZ39" s="21"/>
      <c r="NAA39" s="19"/>
      <c r="NAJ39" s="19"/>
      <c r="NAK39" s="19"/>
      <c r="NAL39" s="19"/>
      <c r="NAM39" s="19"/>
      <c r="NAN39" s="21"/>
      <c r="NAO39" s="19"/>
      <c r="NAX39" s="19"/>
      <c r="NAY39" s="19"/>
      <c r="NAZ39" s="19"/>
      <c r="NBA39" s="19"/>
      <c r="NBB39" s="21"/>
      <c r="NBC39" s="19"/>
      <c r="NBL39" s="19"/>
      <c r="NBM39" s="19"/>
      <c r="NBN39" s="19"/>
      <c r="NBO39" s="19"/>
      <c r="NBP39" s="21"/>
      <c r="NBQ39" s="19"/>
      <c r="NBZ39" s="19"/>
      <c r="NCA39" s="19"/>
      <c r="NCB39" s="19"/>
      <c r="NCC39" s="19"/>
      <c r="NCD39" s="21"/>
      <c r="NCE39" s="19"/>
      <c r="NCN39" s="19"/>
      <c r="NCO39" s="19"/>
      <c r="NCP39" s="19"/>
      <c r="NCQ39" s="19"/>
      <c r="NCR39" s="21"/>
      <c r="NCS39" s="19"/>
      <c r="NDB39" s="19"/>
      <c r="NDC39" s="19"/>
      <c r="NDD39" s="19"/>
      <c r="NDE39" s="19"/>
      <c r="NDF39" s="21"/>
      <c r="NDG39" s="19"/>
      <c r="NDP39" s="19"/>
      <c r="NDQ39" s="19"/>
      <c r="NDR39" s="19"/>
      <c r="NDS39" s="19"/>
      <c r="NDT39" s="21"/>
      <c r="NDU39" s="19"/>
      <c r="NED39" s="19"/>
      <c r="NEE39" s="19"/>
      <c r="NEF39" s="19"/>
      <c r="NEG39" s="19"/>
      <c r="NEH39" s="21"/>
      <c r="NEI39" s="19"/>
      <c r="NER39" s="19"/>
      <c r="NES39" s="19"/>
      <c r="NET39" s="19"/>
      <c r="NEU39" s="19"/>
      <c r="NEV39" s="21"/>
      <c r="NEW39" s="19"/>
      <c r="NFF39" s="19"/>
      <c r="NFG39" s="19"/>
      <c r="NFH39" s="19"/>
      <c r="NFI39" s="19"/>
      <c r="NFJ39" s="21"/>
      <c r="NFK39" s="19"/>
      <c r="NFT39" s="19"/>
      <c r="NFU39" s="19"/>
      <c r="NFV39" s="19"/>
      <c r="NFW39" s="19"/>
      <c r="NFX39" s="21"/>
      <c r="NFY39" s="19"/>
      <c r="NGH39" s="19"/>
      <c r="NGI39" s="19"/>
      <c r="NGJ39" s="19"/>
      <c r="NGK39" s="19"/>
      <c r="NGL39" s="21"/>
      <c r="NGM39" s="19"/>
      <c r="NGV39" s="19"/>
      <c r="NGW39" s="19"/>
      <c r="NGX39" s="19"/>
      <c r="NGY39" s="19"/>
      <c r="NGZ39" s="21"/>
      <c r="NHA39" s="19"/>
      <c r="NHJ39" s="19"/>
      <c r="NHK39" s="19"/>
      <c r="NHL39" s="19"/>
      <c r="NHM39" s="19"/>
      <c r="NHN39" s="21"/>
      <c r="NHO39" s="19"/>
      <c r="NHX39" s="19"/>
      <c r="NHY39" s="19"/>
      <c r="NHZ39" s="19"/>
      <c r="NIA39" s="19"/>
      <c r="NIB39" s="21"/>
      <c r="NIC39" s="19"/>
      <c r="NIL39" s="19"/>
      <c r="NIM39" s="19"/>
      <c r="NIN39" s="19"/>
      <c r="NIO39" s="19"/>
      <c r="NIP39" s="21"/>
      <c r="NIQ39" s="19"/>
      <c r="NIZ39" s="19"/>
      <c r="NJA39" s="19"/>
      <c r="NJB39" s="19"/>
      <c r="NJC39" s="19"/>
      <c r="NJD39" s="21"/>
      <c r="NJE39" s="19"/>
      <c r="NJN39" s="19"/>
      <c r="NJO39" s="19"/>
      <c r="NJP39" s="19"/>
      <c r="NJQ39" s="19"/>
      <c r="NJR39" s="21"/>
      <c r="NJS39" s="19"/>
      <c r="NKB39" s="19"/>
      <c r="NKC39" s="19"/>
      <c r="NKD39" s="19"/>
      <c r="NKE39" s="19"/>
      <c r="NKF39" s="21"/>
      <c r="NKG39" s="19"/>
      <c r="NKP39" s="19"/>
      <c r="NKQ39" s="19"/>
      <c r="NKR39" s="19"/>
      <c r="NKS39" s="19"/>
      <c r="NKT39" s="21"/>
      <c r="NKU39" s="19"/>
      <c r="NLD39" s="19"/>
      <c r="NLE39" s="19"/>
      <c r="NLF39" s="19"/>
      <c r="NLG39" s="19"/>
      <c r="NLH39" s="21"/>
      <c r="NLI39" s="19"/>
      <c r="NLR39" s="19"/>
      <c r="NLS39" s="19"/>
      <c r="NLT39" s="19"/>
      <c r="NLU39" s="19"/>
      <c r="NLV39" s="21"/>
      <c r="NLW39" s="19"/>
      <c r="NMF39" s="19"/>
      <c r="NMG39" s="19"/>
      <c r="NMH39" s="19"/>
      <c r="NMI39" s="19"/>
      <c r="NMJ39" s="21"/>
      <c r="NMK39" s="19"/>
      <c r="NMT39" s="19"/>
      <c r="NMU39" s="19"/>
      <c r="NMV39" s="19"/>
      <c r="NMW39" s="19"/>
      <c r="NMX39" s="21"/>
      <c r="NMY39" s="19"/>
      <c r="NNH39" s="19"/>
      <c r="NNI39" s="19"/>
      <c r="NNJ39" s="19"/>
      <c r="NNK39" s="19"/>
      <c r="NNL39" s="21"/>
      <c r="NNM39" s="19"/>
      <c r="NNV39" s="19"/>
      <c r="NNW39" s="19"/>
      <c r="NNX39" s="19"/>
      <c r="NNY39" s="19"/>
      <c r="NNZ39" s="21"/>
      <c r="NOA39" s="19"/>
      <c r="NOJ39" s="19"/>
      <c r="NOK39" s="19"/>
      <c r="NOL39" s="19"/>
      <c r="NOM39" s="19"/>
      <c r="NON39" s="21"/>
      <c r="NOO39" s="19"/>
      <c r="NOX39" s="19"/>
      <c r="NOY39" s="19"/>
      <c r="NOZ39" s="19"/>
      <c r="NPA39" s="19"/>
      <c r="NPB39" s="21"/>
      <c r="NPC39" s="19"/>
      <c r="NPL39" s="19"/>
      <c r="NPM39" s="19"/>
      <c r="NPN39" s="19"/>
      <c r="NPO39" s="19"/>
      <c r="NPP39" s="21"/>
      <c r="NPQ39" s="19"/>
      <c r="NPZ39" s="19"/>
      <c r="NQA39" s="19"/>
      <c r="NQB39" s="19"/>
      <c r="NQC39" s="19"/>
      <c r="NQD39" s="21"/>
      <c r="NQE39" s="19"/>
      <c r="NQN39" s="19"/>
      <c r="NQO39" s="19"/>
      <c r="NQP39" s="19"/>
      <c r="NQQ39" s="19"/>
      <c r="NQR39" s="21"/>
      <c r="NQS39" s="19"/>
      <c r="NRB39" s="19"/>
      <c r="NRC39" s="19"/>
      <c r="NRD39" s="19"/>
      <c r="NRE39" s="19"/>
      <c r="NRF39" s="21"/>
      <c r="NRG39" s="19"/>
      <c r="NRP39" s="19"/>
      <c r="NRQ39" s="19"/>
      <c r="NRR39" s="19"/>
      <c r="NRS39" s="19"/>
      <c r="NRT39" s="21"/>
      <c r="NRU39" s="19"/>
      <c r="NSD39" s="19"/>
      <c r="NSE39" s="19"/>
      <c r="NSF39" s="19"/>
      <c r="NSG39" s="19"/>
      <c r="NSH39" s="21"/>
      <c r="NSI39" s="19"/>
      <c r="NSR39" s="19"/>
      <c r="NSS39" s="19"/>
      <c r="NST39" s="19"/>
      <c r="NSU39" s="19"/>
      <c r="NSV39" s="21"/>
      <c r="NSW39" s="19"/>
      <c r="NTF39" s="19"/>
      <c r="NTG39" s="19"/>
      <c r="NTH39" s="19"/>
      <c r="NTI39" s="19"/>
      <c r="NTJ39" s="21"/>
      <c r="NTK39" s="19"/>
      <c r="NTT39" s="19"/>
      <c r="NTU39" s="19"/>
      <c r="NTV39" s="19"/>
      <c r="NTW39" s="19"/>
      <c r="NTX39" s="21"/>
      <c r="NTY39" s="19"/>
      <c r="NUH39" s="19"/>
      <c r="NUI39" s="19"/>
      <c r="NUJ39" s="19"/>
      <c r="NUK39" s="19"/>
      <c r="NUL39" s="21"/>
      <c r="NUM39" s="19"/>
      <c r="NUV39" s="19"/>
      <c r="NUW39" s="19"/>
      <c r="NUX39" s="19"/>
      <c r="NUY39" s="19"/>
      <c r="NUZ39" s="21"/>
      <c r="NVA39" s="19"/>
      <c r="NVJ39" s="19"/>
      <c r="NVK39" s="19"/>
      <c r="NVL39" s="19"/>
      <c r="NVM39" s="19"/>
      <c r="NVN39" s="21"/>
      <c r="NVO39" s="19"/>
      <c r="NVX39" s="19"/>
      <c r="NVY39" s="19"/>
      <c r="NVZ39" s="19"/>
      <c r="NWA39" s="19"/>
      <c r="NWB39" s="21"/>
      <c r="NWC39" s="19"/>
      <c r="NWL39" s="19"/>
      <c r="NWM39" s="19"/>
      <c r="NWN39" s="19"/>
      <c r="NWO39" s="19"/>
      <c r="NWP39" s="21"/>
      <c r="NWQ39" s="19"/>
      <c r="NWZ39" s="19"/>
      <c r="NXA39" s="19"/>
      <c r="NXB39" s="19"/>
      <c r="NXC39" s="19"/>
      <c r="NXD39" s="21"/>
      <c r="NXE39" s="19"/>
      <c r="NXN39" s="19"/>
      <c r="NXO39" s="19"/>
      <c r="NXP39" s="19"/>
      <c r="NXQ39" s="19"/>
      <c r="NXR39" s="21"/>
      <c r="NXS39" s="19"/>
      <c r="NYB39" s="19"/>
      <c r="NYC39" s="19"/>
      <c r="NYD39" s="19"/>
      <c r="NYE39" s="19"/>
      <c r="NYF39" s="21"/>
      <c r="NYG39" s="19"/>
      <c r="NYP39" s="19"/>
      <c r="NYQ39" s="19"/>
      <c r="NYR39" s="19"/>
      <c r="NYS39" s="19"/>
      <c r="NYT39" s="21"/>
      <c r="NYU39" s="19"/>
      <c r="NZD39" s="19"/>
      <c r="NZE39" s="19"/>
      <c r="NZF39" s="19"/>
      <c r="NZG39" s="19"/>
      <c r="NZH39" s="21"/>
      <c r="NZI39" s="19"/>
      <c r="NZR39" s="19"/>
      <c r="NZS39" s="19"/>
      <c r="NZT39" s="19"/>
      <c r="NZU39" s="19"/>
      <c r="NZV39" s="21"/>
      <c r="NZW39" s="19"/>
      <c r="OAF39" s="19"/>
      <c r="OAG39" s="19"/>
      <c r="OAH39" s="19"/>
      <c r="OAI39" s="19"/>
      <c r="OAJ39" s="21"/>
      <c r="OAK39" s="19"/>
      <c r="OAT39" s="19"/>
      <c r="OAU39" s="19"/>
      <c r="OAV39" s="19"/>
      <c r="OAW39" s="19"/>
      <c r="OAX39" s="21"/>
      <c r="OAY39" s="19"/>
      <c r="OBH39" s="19"/>
      <c r="OBI39" s="19"/>
      <c r="OBJ39" s="19"/>
      <c r="OBK39" s="19"/>
      <c r="OBL39" s="21"/>
      <c r="OBM39" s="19"/>
      <c r="OBV39" s="19"/>
      <c r="OBW39" s="19"/>
      <c r="OBX39" s="19"/>
      <c r="OBY39" s="19"/>
      <c r="OBZ39" s="21"/>
      <c r="OCA39" s="19"/>
      <c r="OCJ39" s="19"/>
      <c r="OCK39" s="19"/>
      <c r="OCL39" s="19"/>
      <c r="OCM39" s="19"/>
      <c r="OCN39" s="21"/>
      <c r="OCO39" s="19"/>
      <c r="OCX39" s="19"/>
      <c r="OCY39" s="19"/>
      <c r="OCZ39" s="19"/>
      <c r="ODA39" s="19"/>
      <c r="ODB39" s="21"/>
      <c r="ODC39" s="19"/>
      <c r="ODL39" s="19"/>
      <c r="ODM39" s="19"/>
      <c r="ODN39" s="19"/>
      <c r="ODO39" s="19"/>
      <c r="ODP39" s="21"/>
      <c r="ODQ39" s="19"/>
      <c r="ODZ39" s="19"/>
      <c r="OEA39" s="19"/>
      <c r="OEB39" s="19"/>
      <c r="OEC39" s="19"/>
      <c r="OED39" s="21"/>
      <c r="OEE39" s="19"/>
      <c r="OEN39" s="19"/>
      <c r="OEO39" s="19"/>
      <c r="OEP39" s="19"/>
      <c r="OEQ39" s="19"/>
      <c r="OER39" s="21"/>
      <c r="OES39" s="19"/>
      <c r="OFB39" s="19"/>
      <c r="OFC39" s="19"/>
      <c r="OFD39" s="19"/>
      <c r="OFE39" s="19"/>
      <c r="OFF39" s="21"/>
      <c r="OFG39" s="19"/>
      <c r="OFP39" s="19"/>
      <c r="OFQ39" s="19"/>
      <c r="OFR39" s="19"/>
      <c r="OFS39" s="19"/>
      <c r="OFT39" s="21"/>
      <c r="OFU39" s="19"/>
      <c r="OGD39" s="19"/>
      <c r="OGE39" s="19"/>
      <c r="OGF39" s="19"/>
      <c r="OGG39" s="19"/>
      <c r="OGH39" s="21"/>
      <c r="OGI39" s="19"/>
      <c r="OGR39" s="19"/>
      <c r="OGS39" s="19"/>
      <c r="OGT39" s="19"/>
      <c r="OGU39" s="19"/>
      <c r="OGV39" s="21"/>
      <c r="OGW39" s="19"/>
      <c r="OHF39" s="19"/>
      <c r="OHG39" s="19"/>
      <c r="OHH39" s="19"/>
      <c r="OHI39" s="19"/>
      <c r="OHJ39" s="21"/>
      <c r="OHK39" s="19"/>
      <c r="OHT39" s="19"/>
      <c r="OHU39" s="19"/>
      <c r="OHV39" s="19"/>
      <c r="OHW39" s="19"/>
      <c r="OHX39" s="21"/>
      <c r="OHY39" s="19"/>
      <c r="OIH39" s="19"/>
      <c r="OII39" s="19"/>
      <c r="OIJ39" s="19"/>
      <c r="OIK39" s="19"/>
      <c r="OIL39" s="21"/>
      <c r="OIM39" s="19"/>
      <c r="OIV39" s="19"/>
      <c r="OIW39" s="19"/>
      <c r="OIX39" s="19"/>
      <c r="OIY39" s="19"/>
      <c r="OIZ39" s="21"/>
      <c r="OJA39" s="19"/>
      <c r="OJJ39" s="19"/>
      <c r="OJK39" s="19"/>
      <c r="OJL39" s="19"/>
      <c r="OJM39" s="19"/>
      <c r="OJN39" s="21"/>
      <c r="OJO39" s="19"/>
      <c r="OJX39" s="19"/>
      <c r="OJY39" s="19"/>
      <c r="OJZ39" s="19"/>
      <c r="OKA39" s="19"/>
      <c r="OKB39" s="21"/>
      <c r="OKC39" s="19"/>
      <c r="OKL39" s="19"/>
      <c r="OKM39" s="19"/>
      <c r="OKN39" s="19"/>
      <c r="OKO39" s="19"/>
      <c r="OKP39" s="21"/>
      <c r="OKQ39" s="19"/>
      <c r="OKZ39" s="19"/>
      <c r="OLA39" s="19"/>
      <c r="OLB39" s="19"/>
      <c r="OLC39" s="19"/>
      <c r="OLD39" s="21"/>
      <c r="OLE39" s="19"/>
      <c r="OLN39" s="19"/>
      <c r="OLO39" s="19"/>
      <c r="OLP39" s="19"/>
      <c r="OLQ39" s="19"/>
      <c r="OLR39" s="21"/>
      <c r="OLS39" s="19"/>
      <c r="OMB39" s="19"/>
      <c r="OMC39" s="19"/>
      <c r="OMD39" s="19"/>
      <c r="OME39" s="19"/>
      <c r="OMF39" s="21"/>
      <c r="OMG39" s="19"/>
      <c r="OMP39" s="19"/>
      <c r="OMQ39" s="19"/>
      <c r="OMR39" s="19"/>
      <c r="OMS39" s="19"/>
      <c r="OMT39" s="21"/>
      <c r="OMU39" s="19"/>
      <c r="OND39" s="19"/>
      <c r="ONE39" s="19"/>
      <c r="ONF39" s="19"/>
      <c r="ONG39" s="19"/>
      <c r="ONH39" s="21"/>
      <c r="ONI39" s="19"/>
      <c r="ONR39" s="19"/>
      <c r="ONS39" s="19"/>
      <c r="ONT39" s="19"/>
      <c r="ONU39" s="19"/>
      <c r="ONV39" s="21"/>
      <c r="ONW39" s="19"/>
      <c r="OOF39" s="19"/>
      <c r="OOG39" s="19"/>
      <c r="OOH39" s="19"/>
      <c r="OOI39" s="19"/>
      <c r="OOJ39" s="21"/>
      <c r="OOK39" s="19"/>
      <c r="OOT39" s="19"/>
      <c r="OOU39" s="19"/>
      <c r="OOV39" s="19"/>
      <c r="OOW39" s="19"/>
      <c r="OOX39" s="21"/>
      <c r="OOY39" s="19"/>
      <c r="OPH39" s="19"/>
      <c r="OPI39" s="19"/>
      <c r="OPJ39" s="19"/>
      <c r="OPK39" s="19"/>
      <c r="OPL39" s="21"/>
      <c r="OPM39" s="19"/>
      <c r="OPV39" s="19"/>
      <c r="OPW39" s="19"/>
      <c r="OPX39" s="19"/>
      <c r="OPY39" s="19"/>
      <c r="OPZ39" s="21"/>
      <c r="OQA39" s="19"/>
      <c r="OQJ39" s="19"/>
      <c r="OQK39" s="19"/>
      <c r="OQL39" s="19"/>
      <c r="OQM39" s="19"/>
      <c r="OQN39" s="21"/>
      <c r="OQO39" s="19"/>
      <c r="OQX39" s="19"/>
      <c r="OQY39" s="19"/>
      <c r="OQZ39" s="19"/>
      <c r="ORA39" s="19"/>
      <c r="ORB39" s="21"/>
      <c r="ORC39" s="19"/>
      <c r="ORL39" s="19"/>
      <c r="ORM39" s="19"/>
      <c r="ORN39" s="19"/>
      <c r="ORO39" s="19"/>
      <c r="ORP39" s="21"/>
      <c r="ORQ39" s="19"/>
      <c r="ORZ39" s="19"/>
      <c r="OSA39" s="19"/>
      <c r="OSB39" s="19"/>
      <c r="OSC39" s="19"/>
      <c r="OSD39" s="21"/>
      <c r="OSE39" s="19"/>
      <c r="OSN39" s="19"/>
      <c r="OSO39" s="19"/>
      <c r="OSP39" s="19"/>
      <c r="OSQ39" s="19"/>
      <c r="OSR39" s="21"/>
      <c r="OSS39" s="19"/>
      <c r="OTB39" s="19"/>
      <c r="OTC39" s="19"/>
      <c r="OTD39" s="19"/>
      <c r="OTE39" s="19"/>
      <c r="OTF39" s="21"/>
      <c r="OTG39" s="19"/>
      <c r="OTP39" s="19"/>
      <c r="OTQ39" s="19"/>
      <c r="OTR39" s="19"/>
      <c r="OTS39" s="19"/>
      <c r="OTT39" s="21"/>
      <c r="OTU39" s="19"/>
      <c r="OUD39" s="19"/>
      <c r="OUE39" s="19"/>
      <c r="OUF39" s="19"/>
      <c r="OUG39" s="19"/>
      <c r="OUH39" s="21"/>
      <c r="OUI39" s="19"/>
      <c r="OUR39" s="19"/>
      <c r="OUS39" s="19"/>
      <c r="OUT39" s="19"/>
      <c r="OUU39" s="19"/>
      <c r="OUV39" s="21"/>
      <c r="OUW39" s="19"/>
      <c r="OVF39" s="19"/>
      <c r="OVG39" s="19"/>
      <c r="OVH39" s="19"/>
      <c r="OVI39" s="19"/>
      <c r="OVJ39" s="21"/>
      <c r="OVK39" s="19"/>
      <c r="OVT39" s="19"/>
      <c r="OVU39" s="19"/>
      <c r="OVV39" s="19"/>
      <c r="OVW39" s="19"/>
      <c r="OVX39" s="21"/>
      <c r="OVY39" s="19"/>
      <c r="OWH39" s="19"/>
      <c r="OWI39" s="19"/>
      <c r="OWJ39" s="19"/>
      <c r="OWK39" s="19"/>
      <c r="OWL39" s="21"/>
      <c r="OWM39" s="19"/>
      <c r="OWV39" s="19"/>
      <c r="OWW39" s="19"/>
      <c r="OWX39" s="19"/>
      <c r="OWY39" s="19"/>
      <c r="OWZ39" s="21"/>
      <c r="OXA39" s="19"/>
      <c r="OXJ39" s="19"/>
      <c r="OXK39" s="19"/>
      <c r="OXL39" s="19"/>
      <c r="OXM39" s="19"/>
      <c r="OXN39" s="21"/>
      <c r="OXO39" s="19"/>
      <c r="OXX39" s="19"/>
      <c r="OXY39" s="19"/>
      <c r="OXZ39" s="19"/>
      <c r="OYA39" s="19"/>
      <c r="OYB39" s="21"/>
      <c r="OYC39" s="19"/>
      <c r="OYL39" s="19"/>
      <c r="OYM39" s="19"/>
      <c r="OYN39" s="19"/>
      <c r="OYO39" s="19"/>
      <c r="OYP39" s="21"/>
      <c r="OYQ39" s="19"/>
      <c r="OYZ39" s="19"/>
      <c r="OZA39" s="19"/>
      <c r="OZB39" s="19"/>
      <c r="OZC39" s="19"/>
      <c r="OZD39" s="21"/>
      <c r="OZE39" s="19"/>
      <c r="OZN39" s="19"/>
      <c r="OZO39" s="19"/>
      <c r="OZP39" s="19"/>
      <c r="OZQ39" s="19"/>
      <c r="OZR39" s="21"/>
      <c r="OZS39" s="19"/>
      <c r="PAB39" s="19"/>
      <c r="PAC39" s="19"/>
      <c r="PAD39" s="19"/>
      <c r="PAE39" s="19"/>
      <c r="PAF39" s="21"/>
      <c r="PAG39" s="19"/>
      <c r="PAP39" s="19"/>
      <c r="PAQ39" s="19"/>
      <c r="PAR39" s="19"/>
      <c r="PAS39" s="19"/>
      <c r="PAT39" s="21"/>
      <c r="PAU39" s="19"/>
      <c r="PBD39" s="19"/>
      <c r="PBE39" s="19"/>
      <c r="PBF39" s="19"/>
      <c r="PBG39" s="19"/>
      <c r="PBH39" s="21"/>
      <c r="PBI39" s="19"/>
      <c r="PBR39" s="19"/>
      <c r="PBS39" s="19"/>
      <c r="PBT39" s="19"/>
      <c r="PBU39" s="19"/>
      <c r="PBV39" s="21"/>
      <c r="PBW39" s="19"/>
      <c r="PCF39" s="19"/>
      <c r="PCG39" s="19"/>
      <c r="PCH39" s="19"/>
      <c r="PCI39" s="19"/>
      <c r="PCJ39" s="21"/>
      <c r="PCK39" s="19"/>
      <c r="PCT39" s="19"/>
      <c r="PCU39" s="19"/>
      <c r="PCV39" s="19"/>
      <c r="PCW39" s="19"/>
      <c r="PCX39" s="21"/>
      <c r="PCY39" s="19"/>
      <c r="PDH39" s="19"/>
      <c r="PDI39" s="19"/>
      <c r="PDJ39" s="19"/>
      <c r="PDK39" s="19"/>
      <c r="PDL39" s="21"/>
      <c r="PDM39" s="19"/>
      <c r="PDV39" s="19"/>
      <c r="PDW39" s="19"/>
      <c r="PDX39" s="19"/>
      <c r="PDY39" s="19"/>
      <c r="PDZ39" s="21"/>
      <c r="PEA39" s="19"/>
      <c r="PEJ39" s="19"/>
      <c r="PEK39" s="19"/>
      <c r="PEL39" s="19"/>
      <c r="PEM39" s="19"/>
      <c r="PEN39" s="21"/>
      <c r="PEO39" s="19"/>
      <c r="PEX39" s="19"/>
      <c r="PEY39" s="19"/>
      <c r="PEZ39" s="19"/>
      <c r="PFA39" s="19"/>
      <c r="PFB39" s="21"/>
      <c r="PFC39" s="19"/>
      <c r="PFL39" s="19"/>
      <c r="PFM39" s="19"/>
      <c r="PFN39" s="19"/>
      <c r="PFO39" s="19"/>
      <c r="PFP39" s="21"/>
      <c r="PFQ39" s="19"/>
      <c r="PFZ39" s="19"/>
      <c r="PGA39" s="19"/>
      <c r="PGB39" s="19"/>
      <c r="PGC39" s="19"/>
      <c r="PGD39" s="21"/>
      <c r="PGE39" s="19"/>
      <c r="PGN39" s="19"/>
      <c r="PGO39" s="19"/>
      <c r="PGP39" s="19"/>
      <c r="PGQ39" s="19"/>
      <c r="PGR39" s="21"/>
      <c r="PGS39" s="19"/>
      <c r="PHB39" s="19"/>
      <c r="PHC39" s="19"/>
      <c r="PHD39" s="19"/>
      <c r="PHE39" s="19"/>
      <c r="PHF39" s="21"/>
      <c r="PHG39" s="19"/>
      <c r="PHP39" s="19"/>
      <c r="PHQ39" s="19"/>
      <c r="PHR39" s="19"/>
      <c r="PHS39" s="19"/>
      <c r="PHT39" s="21"/>
      <c r="PHU39" s="19"/>
      <c r="PID39" s="19"/>
      <c r="PIE39" s="19"/>
      <c r="PIF39" s="19"/>
      <c r="PIG39" s="19"/>
      <c r="PIH39" s="21"/>
      <c r="PII39" s="19"/>
      <c r="PIR39" s="19"/>
      <c r="PIS39" s="19"/>
      <c r="PIT39" s="19"/>
      <c r="PIU39" s="19"/>
      <c r="PIV39" s="21"/>
      <c r="PIW39" s="19"/>
      <c r="PJF39" s="19"/>
      <c r="PJG39" s="19"/>
      <c r="PJH39" s="19"/>
      <c r="PJI39" s="19"/>
      <c r="PJJ39" s="21"/>
      <c r="PJK39" s="19"/>
      <c r="PJT39" s="19"/>
      <c r="PJU39" s="19"/>
      <c r="PJV39" s="19"/>
      <c r="PJW39" s="19"/>
      <c r="PJX39" s="21"/>
      <c r="PJY39" s="19"/>
      <c r="PKH39" s="19"/>
      <c r="PKI39" s="19"/>
      <c r="PKJ39" s="19"/>
      <c r="PKK39" s="19"/>
      <c r="PKL39" s="21"/>
      <c r="PKM39" s="19"/>
      <c r="PKV39" s="19"/>
      <c r="PKW39" s="19"/>
      <c r="PKX39" s="19"/>
      <c r="PKY39" s="19"/>
      <c r="PKZ39" s="21"/>
      <c r="PLA39" s="19"/>
      <c r="PLJ39" s="19"/>
      <c r="PLK39" s="19"/>
      <c r="PLL39" s="19"/>
      <c r="PLM39" s="19"/>
      <c r="PLN39" s="21"/>
      <c r="PLO39" s="19"/>
      <c r="PLX39" s="19"/>
      <c r="PLY39" s="19"/>
      <c r="PLZ39" s="19"/>
      <c r="PMA39" s="19"/>
      <c r="PMB39" s="21"/>
      <c r="PMC39" s="19"/>
      <c r="PML39" s="19"/>
      <c r="PMM39" s="19"/>
      <c r="PMN39" s="19"/>
      <c r="PMO39" s="19"/>
      <c r="PMP39" s="21"/>
      <c r="PMQ39" s="19"/>
      <c r="PMZ39" s="19"/>
      <c r="PNA39" s="19"/>
      <c r="PNB39" s="19"/>
      <c r="PNC39" s="19"/>
      <c r="PND39" s="21"/>
      <c r="PNE39" s="19"/>
      <c r="PNN39" s="19"/>
      <c r="PNO39" s="19"/>
      <c r="PNP39" s="19"/>
      <c r="PNQ39" s="19"/>
      <c r="PNR39" s="21"/>
      <c r="PNS39" s="19"/>
      <c r="POB39" s="19"/>
      <c r="POC39" s="19"/>
      <c r="POD39" s="19"/>
      <c r="POE39" s="19"/>
      <c r="POF39" s="21"/>
      <c r="POG39" s="19"/>
      <c r="POP39" s="19"/>
      <c r="POQ39" s="19"/>
      <c r="POR39" s="19"/>
      <c r="POS39" s="19"/>
      <c r="POT39" s="21"/>
      <c r="POU39" s="19"/>
      <c r="PPD39" s="19"/>
      <c r="PPE39" s="19"/>
      <c r="PPF39" s="19"/>
      <c r="PPG39" s="19"/>
      <c r="PPH39" s="21"/>
      <c r="PPI39" s="19"/>
      <c r="PPR39" s="19"/>
      <c r="PPS39" s="19"/>
      <c r="PPT39" s="19"/>
      <c r="PPU39" s="19"/>
      <c r="PPV39" s="21"/>
      <c r="PPW39" s="19"/>
      <c r="PQF39" s="19"/>
      <c r="PQG39" s="19"/>
      <c r="PQH39" s="19"/>
      <c r="PQI39" s="19"/>
      <c r="PQJ39" s="21"/>
      <c r="PQK39" s="19"/>
      <c r="PQT39" s="19"/>
      <c r="PQU39" s="19"/>
      <c r="PQV39" s="19"/>
      <c r="PQW39" s="19"/>
      <c r="PQX39" s="21"/>
      <c r="PQY39" s="19"/>
      <c r="PRH39" s="19"/>
      <c r="PRI39" s="19"/>
      <c r="PRJ39" s="19"/>
      <c r="PRK39" s="19"/>
      <c r="PRL39" s="21"/>
      <c r="PRM39" s="19"/>
      <c r="PRV39" s="19"/>
      <c r="PRW39" s="19"/>
      <c r="PRX39" s="19"/>
      <c r="PRY39" s="19"/>
      <c r="PRZ39" s="21"/>
      <c r="PSA39" s="19"/>
      <c r="PSJ39" s="19"/>
      <c r="PSK39" s="19"/>
      <c r="PSL39" s="19"/>
      <c r="PSM39" s="19"/>
      <c r="PSN39" s="21"/>
      <c r="PSO39" s="19"/>
      <c r="PSX39" s="19"/>
      <c r="PSY39" s="19"/>
      <c r="PSZ39" s="19"/>
      <c r="PTA39" s="19"/>
      <c r="PTB39" s="21"/>
      <c r="PTC39" s="19"/>
      <c r="PTL39" s="19"/>
      <c r="PTM39" s="19"/>
      <c r="PTN39" s="19"/>
      <c r="PTO39" s="19"/>
      <c r="PTP39" s="21"/>
      <c r="PTQ39" s="19"/>
      <c r="PTZ39" s="19"/>
      <c r="PUA39" s="19"/>
      <c r="PUB39" s="19"/>
      <c r="PUC39" s="19"/>
      <c r="PUD39" s="21"/>
      <c r="PUE39" s="19"/>
      <c r="PUN39" s="19"/>
      <c r="PUO39" s="19"/>
      <c r="PUP39" s="19"/>
      <c r="PUQ39" s="19"/>
      <c r="PUR39" s="21"/>
      <c r="PUS39" s="19"/>
      <c r="PVB39" s="19"/>
      <c r="PVC39" s="19"/>
      <c r="PVD39" s="19"/>
      <c r="PVE39" s="19"/>
      <c r="PVF39" s="21"/>
      <c r="PVG39" s="19"/>
      <c r="PVP39" s="19"/>
      <c r="PVQ39" s="19"/>
      <c r="PVR39" s="19"/>
      <c r="PVS39" s="19"/>
      <c r="PVT39" s="21"/>
      <c r="PVU39" s="19"/>
      <c r="PWD39" s="19"/>
      <c r="PWE39" s="19"/>
      <c r="PWF39" s="19"/>
      <c r="PWG39" s="19"/>
      <c r="PWH39" s="21"/>
      <c r="PWI39" s="19"/>
      <c r="PWR39" s="19"/>
      <c r="PWS39" s="19"/>
      <c r="PWT39" s="19"/>
      <c r="PWU39" s="19"/>
      <c r="PWV39" s="21"/>
      <c r="PWW39" s="19"/>
      <c r="PXF39" s="19"/>
      <c r="PXG39" s="19"/>
      <c r="PXH39" s="19"/>
      <c r="PXI39" s="19"/>
      <c r="PXJ39" s="21"/>
      <c r="PXK39" s="19"/>
      <c r="PXT39" s="19"/>
      <c r="PXU39" s="19"/>
      <c r="PXV39" s="19"/>
      <c r="PXW39" s="19"/>
      <c r="PXX39" s="21"/>
      <c r="PXY39" s="19"/>
      <c r="PYH39" s="19"/>
      <c r="PYI39" s="19"/>
      <c r="PYJ39" s="19"/>
      <c r="PYK39" s="19"/>
      <c r="PYL39" s="21"/>
      <c r="PYM39" s="19"/>
      <c r="PYV39" s="19"/>
      <c r="PYW39" s="19"/>
      <c r="PYX39" s="19"/>
      <c r="PYY39" s="19"/>
      <c r="PYZ39" s="21"/>
      <c r="PZA39" s="19"/>
      <c r="PZJ39" s="19"/>
      <c r="PZK39" s="19"/>
      <c r="PZL39" s="19"/>
      <c r="PZM39" s="19"/>
      <c r="PZN39" s="21"/>
      <c r="PZO39" s="19"/>
      <c r="PZX39" s="19"/>
      <c r="PZY39" s="19"/>
      <c r="PZZ39" s="19"/>
      <c r="QAA39" s="19"/>
      <c r="QAB39" s="21"/>
      <c r="QAC39" s="19"/>
      <c r="QAL39" s="19"/>
      <c r="QAM39" s="19"/>
      <c r="QAN39" s="19"/>
      <c r="QAO39" s="19"/>
      <c r="QAP39" s="21"/>
      <c r="QAQ39" s="19"/>
      <c r="QAZ39" s="19"/>
      <c r="QBA39" s="19"/>
      <c r="QBB39" s="19"/>
      <c r="QBC39" s="19"/>
      <c r="QBD39" s="21"/>
      <c r="QBE39" s="19"/>
      <c r="QBN39" s="19"/>
      <c r="QBO39" s="19"/>
      <c r="QBP39" s="19"/>
      <c r="QBQ39" s="19"/>
      <c r="QBR39" s="21"/>
      <c r="QBS39" s="19"/>
      <c r="QCB39" s="19"/>
      <c r="QCC39" s="19"/>
      <c r="QCD39" s="19"/>
      <c r="QCE39" s="19"/>
      <c r="QCF39" s="21"/>
      <c r="QCG39" s="19"/>
      <c r="QCP39" s="19"/>
      <c r="QCQ39" s="19"/>
      <c r="QCR39" s="19"/>
      <c r="QCS39" s="19"/>
      <c r="QCT39" s="21"/>
      <c r="QCU39" s="19"/>
      <c r="QDD39" s="19"/>
      <c r="QDE39" s="19"/>
      <c r="QDF39" s="19"/>
      <c r="QDG39" s="19"/>
      <c r="QDH39" s="21"/>
      <c r="QDI39" s="19"/>
      <c r="QDR39" s="19"/>
      <c r="QDS39" s="19"/>
      <c r="QDT39" s="19"/>
      <c r="QDU39" s="19"/>
      <c r="QDV39" s="21"/>
      <c r="QDW39" s="19"/>
      <c r="QEF39" s="19"/>
      <c r="QEG39" s="19"/>
      <c r="QEH39" s="19"/>
      <c r="QEI39" s="19"/>
      <c r="QEJ39" s="21"/>
      <c r="QEK39" s="19"/>
      <c r="QET39" s="19"/>
      <c r="QEU39" s="19"/>
      <c r="QEV39" s="19"/>
      <c r="QEW39" s="19"/>
      <c r="QEX39" s="21"/>
      <c r="QEY39" s="19"/>
      <c r="QFH39" s="19"/>
      <c r="QFI39" s="19"/>
      <c r="QFJ39" s="19"/>
      <c r="QFK39" s="19"/>
      <c r="QFL39" s="21"/>
      <c r="QFM39" s="19"/>
      <c r="QFV39" s="19"/>
      <c r="QFW39" s="19"/>
      <c r="QFX39" s="19"/>
      <c r="QFY39" s="19"/>
      <c r="QFZ39" s="21"/>
      <c r="QGA39" s="19"/>
      <c r="QGJ39" s="19"/>
      <c r="QGK39" s="19"/>
      <c r="QGL39" s="19"/>
      <c r="QGM39" s="19"/>
      <c r="QGN39" s="21"/>
      <c r="QGO39" s="19"/>
      <c r="QGX39" s="19"/>
      <c r="QGY39" s="19"/>
      <c r="QGZ39" s="19"/>
      <c r="QHA39" s="19"/>
      <c r="QHB39" s="21"/>
      <c r="QHC39" s="19"/>
      <c r="QHL39" s="19"/>
      <c r="QHM39" s="19"/>
      <c r="QHN39" s="19"/>
      <c r="QHO39" s="19"/>
      <c r="QHP39" s="21"/>
      <c r="QHQ39" s="19"/>
      <c r="QHZ39" s="19"/>
      <c r="QIA39" s="19"/>
      <c r="QIB39" s="19"/>
      <c r="QIC39" s="19"/>
      <c r="QID39" s="21"/>
      <c r="QIE39" s="19"/>
      <c r="QIN39" s="19"/>
      <c r="QIO39" s="19"/>
      <c r="QIP39" s="19"/>
      <c r="QIQ39" s="19"/>
      <c r="QIR39" s="21"/>
      <c r="QIS39" s="19"/>
      <c r="QJB39" s="19"/>
      <c r="QJC39" s="19"/>
      <c r="QJD39" s="19"/>
      <c r="QJE39" s="19"/>
      <c r="QJF39" s="21"/>
      <c r="QJG39" s="19"/>
      <c r="QJP39" s="19"/>
      <c r="QJQ39" s="19"/>
      <c r="QJR39" s="19"/>
      <c r="QJS39" s="19"/>
      <c r="QJT39" s="21"/>
      <c r="QJU39" s="19"/>
      <c r="QKD39" s="19"/>
      <c r="QKE39" s="19"/>
      <c r="QKF39" s="19"/>
      <c r="QKG39" s="19"/>
      <c r="QKH39" s="21"/>
      <c r="QKI39" s="19"/>
      <c r="QKR39" s="19"/>
      <c r="QKS39" s="19"/>
      <c r="QKT39" s="19"/>
      <c r="QKU39" s="19"/>
      <c r="QKV39" s="21"/>
      <c r="QKW39" s="19"/>
      <c r="QLF39" s="19"/>
      <c r="QLG39" s="19"/>
      <c r="QLH39" s="19"/>
      <c r="QLI39" s="19"/>
      <c r="QLJ39" s="21"/>
      <c r="QLK39" s="19"/>
      <c r="QLT39" s="19"/>
      <c r="QLU39" s="19"/>
      <c r="QLV39" s="19"/>
      <c r="QLW39" s="19"/>
      <c r="QLX39" s="21"/>
      <c r="QLY39" s="19"/>
      <c r="QMH39" s="19"/>
      <c r="QMI39" s="19"/>
      <c r="QMJ39" s="19"/>
      <c r="QMK39" s="19"/>
      <c r="QML39" s="21"/>
      <c r="QMM39" s="19"/>
      <c r="QMV39" s="19"/>
      <c r="QMW39" s="19"/>
      <c r="QMX39" s="19"/>
      <c r="QMY39" s="19"/>
      <c r="QMZ39" s="21"/>
      <c r="QNA39" s="19"/>
      <c r="QNJ39" s="19"/>
      <c r="QNK39" s="19"/>
      <c r="QNL39" s="19"/>
      <c r="QNM39" s="19"/>
      <c r="QNN39" s="21"/>
      <c r="QNO39" s="19"/>
      <c r="QNX39" s="19"/>
      <c r="QNY39" s="19"/>
      <c r="QNZ39" s="19"/>
      <c r="QOA39" s="19"/>
      <c r="QOB39" s="21"/>
      <c r="QOC39" s="19"/>
      <c r="QOL39" s="19"/>
      <c r="QOM39" s="19"/>
      <c r="QON39" s="19"/>
      <c r="QOO39" s="19"/>
      <c r="QOP39" s="21"/>
      <c r="QOQ39" s="19"/>
      <c r="QOZ39" s="19"/>
      <c r="QPA39" s="19"/>
      <c r="QPB39" s="19"/>
      <c r="QPC39" s="19"/>
      <c r="QPD39" s="21"/>
      <c r="QPE39" s="19"/>
      <c r="QPN39" s="19"/>
      <c r="QPO39" s="19"/>
      <c r="QPP39" s="19"/>
      <c r="QPQ39" s="19"/>
      <c r="QPR39" s="21"/>
      <c r="QPS39" s="19"/>
      <c r="QQB39" s="19"/>
      <c r="QQC39" s="19"/>
      <c r="QQD39" s="19"/>
      <c r="QQE39" s="19"/>
      <c r="QQF39" s="21"/>
      <c r="QQG39" s="19"/>
      <c r="QQP39" s="19"/>
      <c r="QQQ39" s="19"/>
      <c r="QQR39" s="19"/>
      <c r="QQS39" s="19"/>
      <c r="QQT39" s="21"/>
      <c r="QQU39" s="19"/>
      <c r="QRD39" s="19"/>
      <c r="QRE39" s="19"/>
      <c r="QRF39" s="19"/>
      <c r="QRG39" s="19"/>
      <c r="QRH39" s="21"/>
      <c r="QRI39" s="19"/>
      <c r="QRR39" s="19"/>
      <c r="QRS39" s="19"/>
      <c r="QRT39" s="19"/>
      <c r="QRU39" s="19"/>
      <c r="QRV39" s="21"/>
      <c r="QRW39" s="19"/>
      <c r="QSF39" s="19"/>
      <c r="QSG39" s="19"/>
      <c r="QSH39" s="19"/>
      <c r="QSI39" s="19"/>
      <c r="QSJ39" s="21"/>
      <c r="QSK39" s="19"/>
      <c r="QST39" s="19"/>
      <c r="QSU39" s="19"/>
      <c r="QSV39" s="19"/>
      <c r="QSW39" s="19"/>
      <c r="QSX39" s="21"/>
      <c r="QSY39" s="19"/>
      <c r="QTH39" s="19"/>
      <c r="QTI39" s="19"/>
      <c r="QTJ39" s="19"/>
      <c r="QTK39" s="19"/>
      <c r="QTL39" s="21"/>
      <c r="QTM39" s="19"/>
      <c r="QTV39" s="19"/>
      <c r="QTW39" s="19"/>
      <c r="QTX39" s="19"/>
      <c r="QTY39" s="19"/>
      <c r="QTZ39" s="21"/>
      <c r="QUA39" s="19"/>
      <c r="QUJ39" s="19"/>
      <c r="QUK39" s="19"/>
      <c r="QUL39" s="19"/>
      <c r="QUM39" s="19"/>
      <c r="QUN39" s="21"/>
      <c r="QUO39" s="19"/>
      <c r="QUX39" s="19"/>
      <c r="QUY39" s="19"/>
      <c r="QUZ39" s="19"/>
      <c r="QVA39" s="19"/>
      <c r="QVB39" s="21"/>
      <c r="QVC39" s="19"/>
      <c r="QVL39" s="19"/>
      <c r="QVM39" s="19"/>
      <c r="QVN39" s="19"/>
      <c r="QVO39" s="19"/>
      <c r="QVP39" s="21"/>
      <c r="QVQ39" s="19"/>
      <c r="QVZ39" s="19"/>
      <c r="QWA39" s="19"/>
      <c r="QWB39" s="19"/>
      <c r="QWC39" s="19"/>
      <c r="QWD39" s="21"/>
      <c r="QWE39" s="19"/>
      <c r="QWN39" s="19"/>
      <c r="QWO39" s="19"/>
      <c r="QWP39" s="19"/>
      <c r="QWQ39" s="19"/>
      <c r="QWR39" s="21"/>
      <c r="QWS39" s="19"/>
      <c r="QXB39" s="19"/>
      <c r="QXC39" s="19"/>
      <c r="QXD39" s="19"/>
      <c r="QXE39" s="19"/>
      <c r="QXF39" s="21"/>
      <c r="QXG39" s="19"/>
      <c r="QXP39" s="19"/>
      <c r="QXQ39" s="19"/>
      <c r="QXR39" s="19"/>
      <c r="QXS39" s="19"/>
      <c r="QXT39" s="21"/>
      <c r="QXU39" s="19"/>
      <c r="QYD39" s="19"/>
      <c r="QYE39" s="19"/>
      <c r="QYF39" s="19"/>
      <c r="QYG39" s="19"/>
      <c r="QYH39" s="21"/>
      <c r="QYI39" s="19"/>
      <c r="QYR39" s="19"/>
      <c r="QYS39" s="19"/>
      <c r="QYT39" s="19"/>
      <c r="QYU39" s="19"/>
      <c r="QYV39" s="21"/>
      <c r="QYW39" s="19"/>
      <c r="QZF39" s="19"/>
      <c r="QZG39" s="19"/>
      <c r="QZH39" s="19"/>
      <c r="QZI39" s="19"/>
      <c r="QZJ39" s="21"/>
      <c r="QZK39" s="19"/>
      <c r="QZT39" s="19"/>
      <c r="QZU39" s="19"/>
      <c r="QZV39" s="19"/>
      <c r="QZW39" s="19"/>
      <c r="QZX39" s="21"/>
      <c r="QZY39" s="19"/>
      <c r="RAH39" s="19"/>
      <c r="RAI39" s="19"/>
      <c r="RAJ39" s="19"/>
      <c r="RAK39" s="19"/>
      <c r="RAL39" s="21"/>
      <c r="RAM39" s="19"/>
      <c r="RAV39" s="19"/>
      <c r="RAW39" s="19"/>
      <c r="RAX39" s="19"/>
      <c r="RAY39" s="19"/>
      <c r="RAZ39" s="21"/>
      <c r="RBA39" s="19"/>
      <c r="RBJ39" s="19"/>
      <c r="RBK39" s="19"/>
      <c r="RBL39" s="19"/>
      <c r="RBM39" s="19"/>
      <c r="RBN39" s="21"/>
      <c r="RBO39" s="19"/>
      <c r="RBX39" s="19"/>
      <c r="RBY39" s="19"/>
      <c r="RBZ39" s="19"/>
      <c r="RCA39" s="19"/>
      <c r="RCB39" s="21"/>
      <c r="RCC39" s="19"/>
      <c r="RCL39" s="19"/>
      <c r="RCM39" s="19"/>
      <c r="RCN39" s="19"/>
      <c r="RCO39" s="19"/>
      <c r="RCP39" s="21"/>
      <c r="RCQ39" s="19"/>
      <c r="RCZ39" s="19"/>
      <c r="RDA39" s="19"/>
      <c r="RDB39" s="19"/>
      <c r="RDC39" s="19"/>
      <c r="RDD39" s="21"/>
      <c r="RDE39" s="19"/>
      <c r="RDN39" s="19"/>
      <c r="RDO39" s="19"/>
      <c r="RDP39" s="19"/>
      <c r="RDQ39" s="19"/>
      <c r="RDR39" s="21"/>
      <c r="RDS39" s="19"/>
      <c r="REB39" s="19"/>
      <c r="REC39" s="19"/>
      <c r="RED39" s="19"/>
      <c r="REE39" s="19"/>
      <c r="REF39" s="21"/>
      <c r="REG39" s="19"/>
      <c r="REP39" s="19"/>
      <c r="REQ39" s="19"/>
      <c r="RER39" s="19"/>
      <c r="RES39" s="19"/>
      <c r="RET39" s="21"/>
      <c r="REU39" s="19"/>
      <c r="RFD39" s="19"/>
      <c r="RFE39" s="19"/>
      <c r="RFF39" s="19"/>
      <c r="RFG39" s="19"/>
      <c r="RFH39" s="21"/>
      <c r="RFI39" s="19"/>
      <c r="RFR39" s="19"/>
      <c r="RFS39" s="19"/>
      <c r="RFT39" s="19"/>
      <c r="RFU39" s="19"/>
      <c r="RFV39" s="21"/>
      <c r="RFW39" s="19"/>
      <c r="RGF39" s="19"/>
      <c r="RGG39" s="19"/>
      <c r="RGH39" s="19"/>
      <c r="RGI39" s="19"/>
      <c r="RGJ39" s="21"/>
      <c r="RGK39" s="19"/>
      <c r="RGT39" s="19"/>
      <c r="RGU39" s="19"/>
      <c r="RGV39" s="19"/>
      <c r="RGW39" s="19"/>
      <c r="RGX39" s="21"/>
      <c r="RGY39" s="19"/>
      <c r="RHH39" s="19"/>
      <c r="RHI39" s="19"/>
      <c r="RHJ39" s="19"/>
      <c r="RHK39" s="19"/>
      <c r="RHL39" s="21"/>
      <c r="RHM39" s="19"/>
      <c r="RHV39" s="19"/>
      <c r="RHW39" s="19"/>
      <c r="RHX39" s="19"/>
      <c r="RHY39" s="19"/>
      <c r="RHZ39" s="21"/>
      <c r="RIA39" s="19"/>
      <c r="RIJ39" s="19"/>
      <c r="RIK39" s="19"/>
      <c r="RIL39" s="19"/>
      <c r="RIM39" s="19"/>
      <c r="RIN39" s="21"/>
      <c r="RIO39" s="19"/>
      <c r="RIX39" s="19"/>
      <c r="RIY39" s="19"/>
      <c r="RIZ39" s="19"/>
      <c r="RJA39" s="19"/>
      <c r="RJB39" s="21"/>
      <c r="RJC39" s="19"/>
      <c r="RJL39" s="19"/>
      <c r="RJM39" s="19"/>
      <c r="RJN39" s="19"/>
      <c r="RJO39" s="19"/>
      <c r="RJP39" s="21"/>
      <c r="RJQ39" s="19"/>
      <c r="RJZ39" s="19"/>
      <c r="RKA39" s="19"/>
      <c r="RKB39" s="19"/>
      <c r="RKC39" s="19"/>
      <c r="RKD39" s="21"/>
      <c r="RKE39" s="19"/>
      <c r="RKN39" s="19"/>
      <c r="RKO39" s="19"/>
      <c r="RKP39" s="19"/>
      <c r="RKQ39" s="19"/>
      <c r="RKR39" s="21"/>
      <c r="RKS39" s="19"/>
      <c r="RLB39" s="19"/>
      <c r="RLC39" s="19"/>
      <c r="RLD39" s="19"/>
      <c r="RLE39" s="19"/>
      <c r="RLF39" s="21"/>
      <c r="RLG39" s="19"/>
      <c r="RLP39" s="19"/>
      <c r="RLQ39" s="19"/>
      <c r="RLR39" s="19"/>
      <c r="RLS39" s="19"/>
      <c r="RLT39" s="21"/>
      <c r="RLU39" s="19"/>
      <c r="RMD39" s="19"/>
      <c r="RME39" s="19"/>
      <c r="RMF39" s="19"/>
      <c r="RMG39" s="19"/>
      <c r="RMH39" s="21"/>
      <c r="RMI39" s="19"/>
      <c r="RMR39" s="19"/>
      <c r="RMS39" s="19"/>
      <c r="RMT39" s="19"/>
      <c r="RMU39" s="19"/>
      <c r="RMV39" s="21"/>
      <c r="RMW39" s="19"/>
      <c r="RNF39" s="19"/>
      <c r="RNG39" s="19"/>
      <c r="RNH39" s="19"/>
      <c r="RNI39" s="19"/>
      <c r="RNJ39" s="21"/>
      <c r="RNK39" s="19"/>
      <c r="RNT39" s="19"/>
      <c r="RNU39" s="19"/>
      <c r="RNV39" s="19"/>
      <c r="RNW39" s="19"/>
      <c r="RNX39" s="21"/>
      <c r="RNY39" s="19"/>
      <c r="ROH39" s="19"/>
      <c r="ROI39" s="19"/>
      <c r="ROJ39" s="19"/>
      <c r="ROK39" s="19"/>
      <c r="ROL39" s="21"/>
      <c r="ROM39" s="19"/>
      <c r="ROV39" s="19"/>
      <c r="ROW39" s="19"/>
      <c r="ROX39" s="19"/>
      <c r="ROY39" s="19"/>
      <c r="ROZ39" s="21"/>
      <c r="RPA39" s="19"/>
      <c r="RPJ39" s="19"/>
      <c r="RPK39" s="19"/>
      <c r="RPL39" s="19"/>
      <c r="RPM39" s="19"/>
      <c r="RPN39" s="21"/>
      <c r="RPO39" s="19"/>
      <c r="RPX39" s="19"/>
      <c r="RPY39" s="19"/>
      <c r="RPZ39" s="19"/>
      <c r="RQA39" s="19"/>
      <c r="RQB39" s="21"/>
      <c r="RQC39" s="19"/>
      <c r="RQL39" s="19"/>
      <c r="RQM39" s="19"/>
      <c r="RQN39" s="19"/>
      <c r="RQO39" s="19"/>
      <c r="RQP39" s="21"/>
      <c r="RQQ39" s="19"/>
      <c r="RQZ39" s="19"/>
      <c r="RRA39" s="19"/>
      <c r="RRB39" s="19"/>
      <c r="RRC39" s="19"/>
      <c r="RRD39" s="21"/>
      <c r="RRE39" s="19"/>
      <c r="RRN39" s="19"/>
      <c r="RRO39" s="19"/>
      <c r="RRP39" s="19"/>
      <c r="RRQ39" s="19"/>
      <c r="RRR39" s="21"/>
      <c r="RRS39" s="19"/>
      <c r="RSB39" s="19"/>
      <c r="RSC39" s="19"/>
      <c r="RSD39" s="19"/>
      <c r="RSE39" s="19"/>
      <c r="RSF39" s="21"/>
      <c r="RSG39" s="19"/>
      <c r="RSP39" s="19"/>
      <c r="RSQ39" s="19"/>
      <c r="RSR39" s="19"/>
      <c r="RSS39" s="19"/>
      <c r="RST39" s="21"/>
      <c r="RSU39" s="19"/>
      <c r="RTD39" s="19"/>
      <c r="RTE39" s="19"/>
      <c r="RTF39" s="19"/>
      <c r="RTG39" s="19"/>
      <c r="RTH39" s="21"/>
      <c r="RTI39" s="19"/>
      <c r="RTR39" s="19"/>
      <c r="RTS39" s="19"/>
      <c r="RTT39" s="19"/>
      <c r="RTU39" s="19"/>
      <c r="RTV39" s="21"/>
      <c r="RTW39" s="19"/>
      <c r="RUF39" s="19"/>
      <c r="RUG39" s="19"/>
      <c r="RUH39" s="19"/>
      <c r="RUI39" s="19"/>
      <c r="RUJ39" s="21"/>
      <c r="RUK39" s="19"/>
      <c r="RUT39" s="19"/>
      <c r="RUU39" s="19"/>
      <c r="RUV39" s="19"/>
      <c r="RUW39" s="19"/>
      <c r="RUX39" s="21"/>
      <c r="RUY39" s="19"/>
      <c r="RVH39" s="19"/>
      <c r="RVI39" s="19"/>
      <c r="RVJ39" s="19"/>
      <c r="RVK39" s="19"/>
      <c r="RVL39" s="21"/>
      <c r="RVM39" s="19"/>
      <c r="RVV39" s="19"/>
      <c r="RVW39" s="19"/>
      <c r="RVX39" s="19"/>
      <c r="RVY39" s="19"/>
      <c r="RVZ39" s="21"/>
      <c r="RWA39" s="19"/>
      <c r="RWJ39" s="19"/>
      <c r="RWK39" s="19"/>
      <c r="RWL39" s="19"/>
      <c r="RWM39" s="19"/>
      <c r="RWN39" s="21"/>
      <c r="RWO39" s="19"/>
      <c r="RWX39" s="19"/>
      <c r="RWY39" s="19"/>
      <c r="RWZ39" s="19"/>
      <c r="RXA39" s="19"/>
      <c r="RXB39" s="21"/>
      <c r="RXC39" s="19"/>
      <c r="RXL39" s="19"/>
      <c r="RXM39" s="19"/>
      <c r="RXN39" s="19"/>
      <c r="RXO39" s="19"/>
      <c r="RXP39" s="21"/>
      <c r="RXQ39" s="19"/>
      <c r="RXZ39" s="19"/>
      <c r="RYA39" s="19"/>
      <c r="RYB39" s="19"/>
      <c r="RYC39" s="19"/>
      <c r="RYD39" s="21"/>
      <c r="RYE39" s="19"/>
      <c r="RYN39" s="19"/>
      <c r="RYO39" s="19"/>
      <c r="RYP39" s="19"/>
      <c r="RYQ39" s="19"/>
      <c r="RYR39" s="21"/>
      <c r="RYS39" s="19"/>
      <c r="RZB39" s="19"/>
      <c r="RZC39" s="19"/>
      <c r="RZD39" s="19"/>
      <c r="RZE39" s="19"/>
      <c r="RZF39" s="21"/>
      <c r="RZG39" s="19"/>
      <c r="RZP39" s="19"/>
      <c r="RZQ39" s="19"/>
      <c r="RZR39" s="19"/>
      <c r="RZS39" s="19"/>
      <c r="RZT39" s="21"/>
      <c r="RZU39" s="19"/>
      <c r="SAD39" s="19"/>
      <c r="SAE39" s="19"/>
      <c r="SAF39" s="19"/>
      <c r="SAG39" s="19"/>
      <c r="SAH39" s="21"/>
      <c r="SAI39" s="19"/>
      <c r="SAR39" s="19"/>
      <c r="SAS39" s="19"/>
      <c r="SAT39" s="19"/>
      <c r="SAU39" s="19"/>
      <c r="SAV39" s="21"/>
      <c r="SAW39" s="19"/>
      <c r="SBF39" s="19"/>
      <c r="SBG39" s="19"/>
      <c r="SBH39" s="19"/>
      <c r="SBI39" s="19"/>
      <c r="SBJ39" s="21"/>
      <c r="SBK39" s="19"/>
      <c r="SBT39" s="19"/>
      <c r="SBU39" s="19"/>
      <c r="SBV39" s="19"/>
      <c r="SBW39" s="19"/>
      <c r="SBX39" s="21"/>
      <c r="SBY39" s="19"/>
      <c r="SCH39" s="19"/>
      <c r="SCI39" s="19"/>
      <c r="SCJ39" s="19"/>
      <c r="SCK39" s="19"/>
      <c r="SCL39" s="21"/>
      <c r="SCM39" s="19"/>
      <c r="SCV39" s="19"/>
      <c r="SCW39" s="19"/>
      <c r="SCX39" s="19"/>
      <c r="SCY39" s="19"/>
      <c r="SCZ39" s="21"/>
      <c r="SDA39" s="19"/>
      <c r="SDJ39" s="19"/>
      <c r="SDK39" s="19"/>
      <c r="SDL39" s="19"/>
      <c r="SDM39" s="19"/>
      <c r="SDN39" s="21"/>
      <c r="SDO39" s="19"/>
      <c r="SDX39" s="19"/>
      <c r="SDY39" s="19"/>
      <c r="SDZ39" s="19"/>
      <c r="SEA39" s="19"/>
      <c r="SEB39" s="21"/>
      <c r="SEC39" s="19"/>
      <c r="SEL39" s="19"/>
      <c r="SEM39" s="19"/>
      <c r="SEN39" s="19"/>
      <c r="SEO39" s="19"/>
      <c r="SEP39" s="21"/>
      <c r="SEQ39" s="19"/>
      <c r="SEZ39" s="19"/>
      <c r="SFA39" s="19"/>
      <c r="SFB39" s="19"/>
      <c r="SFC39" s="19"/>
      <c r="SFD39" s="21"/>
      <c r="SFE39" s="19"/>
      <c r="SFN39" s="19"/>
      <c r="SFO39" s="19"/>
      <c r="SFP39" s="19"/>
      <c r="SFQ39" s="19"/>
      <c r="SFR39" s="21"/>
      <c r="SFS39" s="19"/>
      <c r="SGB39" s="19"/>
      <c r="SGC39" s="19"/>
      <c r="SGD39" s="19"/>
      <c r="SGE39" s="19"/>
      <c r="SGF39" s="21"/>
      <c r="SGG39" s="19"/>
      <c r="SGP39" s="19"/>
      <c r="SGQ39" s="19"/>
      <c r="SGR39" s="19"/>
      <c r="SGS39" s="19"/>
      <c r="SGT39" s="21"/>
      <c r="SGU39" s="19"/>
      <c r="SHD39" s="19"/>
      <c r="SHE39" s="19"/>
      <c r="SHF39" s="19"/>
      <c r="SHG39" s="19"/>
      <c r="SHH39" s="21"/>
      <c r="SHI39" s="19"/>
      <c r="SHR39" s="19"/>
      <c r="SHS39" s="19"/>
      <c r="SHT39" s="19"/>
      <c r="SHU39" s="19"/>
      <c r="SHV39" s="21"/>
      <c r="SHW39" s="19"/>
      <c r="SIF39" s="19"/>
      <c r="SIG39" s="19"/>
      <c r="SIH39" s="19"/>
      <c r="SII39" s="19"/>
      <c r="SIJ39" s="21"/>
      <c r="SIK39" s="19"/>
      <c r="SIT39" s="19"/>
      <c r="SIU39" s="19"/>
      <c r="SIV39" s="19"/>
      <c r="SIW39" s="19"/>
      <c r="SIX39" s="21"/>
      <c r="SIY39" s="19"/>
      <c r="SJH39" s="19"/>
      <c r="SJI39" s="19"/>
      <c r="SJJ39" s="19"/>
      <c r="SJK39" s="19"/>
      <c r="SJL39" s="21"/>
      <c r="SJM39" s="19"/>
      <c r="SJV39" s="19"/>
      <c r="SJW39" s="19"/>
      <c r="SJX39" s="19"/>
      <c r="SJY39" s="19"/>
      <c r="SJZ39" s="21"/>
      <c r="SKA39" s="19"/>
      <c r="SKJ39" s="19"/>
      <c r="SKK39" s="19"/>
      <c r="SKL39" s="19"/>
      <c r="SKM39" s="19"/>
      <c r="SKN39" s="21"/>
      <c r="SKO39" s="19"/>
      <c r="SKX39" s="19"/>
      <c r="SKY39" s="19"/>
      <c r="SKZ39" s="19"/>
      <c r="SLA39" s="19"/>
      <c r="SLB39" s="21"/>
      <c r="SLC39" s="19"/>
      <c r="SLL39" s="19"/>
      <c r="SLM39" s="19"/>
      <c r="SLN39" s="19"/>
      <c r="SLO39" s="19"/>
      <c r="SLP39" s="21"/>
      <c r="SLQ39" s="19"/>
      <c r="SLZ39" s="19"/>
      <c r="SMA39" s="19"/>
      <c r="SMB39" s="19"/>
      <c r="SMC39" s="19"/>
      <c r="SMD39" s="21"/>
      <c r="SME39" s="19"/>
      <c r="SMN39" s="19"/>
      <c r="SMO39" s="19"/>
      <c r="SMP39" s="19"/>
      <c r="SMQ39" s="19"/>
      <c r="SMR39" s="21"/>
      <c r="SMS39" s="19"/>
      <c r="SNB39" s="19"/>
      <c r="SNC39" s="19"/>
      <c r="SND39" s="19"/>
      <c r="SNE39" s="19"/>
      <c r="SNF39" s="21"/>
      <c r="SNG39" s="19"/>
      <c r="SNP39" s="19"/>
      <c r="SNQ39" s="19"/>
      <c r="SNR39" s="19"/>
      <c r="SNS39" s="19"/>
      <c r="SNT39" s="21"/>
      <c r="SNU39" s="19"/>
      <c r="SOD39" s="19"/>
      <c r="SOE39" s="19"/>
      <c r="SOF39" s="19"/>
      <c r="SOG39" s="19"/>
      <c r="SOH39" s="21"/>
      <c r="SOI39" s="19"/>
      <c r="SOR39" s="19"/>
      <c r="SOS39" s="19"/>
      <c r="SOT39" s="19"/>
      <c r="SOU39" s="19"/>
      <c r="SOV39" s="21"/>
      <c r="SOW39" s="19"/>
      <c r="SPF39" s="19"/>
      <c r="SPG39" s="19"/>
      <c r="SPH39" s="19"/>
      <c r="SPI39" s="19"/>
      <c r="SPJ39" s="21"/>
      <c r="SPK39" s="19"/>
      <c r="SPT39" s="19"/>
      <c r="SPU39" s="19"/>
      <c r="SPV39" s="19"/>
      <c r="SPW39" s="19"/>
      <c r="SPX39" s="21"/>
      <c r="SPY39" s="19"/>
      <c r="SQH39" s="19"/>
      <c r="SQI39" s="19"/>
      <c r="SQJ39" s="19"/>
      <c r="SQK39" s="19"/>
      <c r="SQL39" s="21"/>
      <c r="SQM39" s="19"/>
      <c r="SQV39" s="19"/>
      <c r="SQW39" s="19"/>
      <c r="SQX39" s="19"/>
      <c r="SQY39" s="19"/>
      <c r="SQZ39" s="21"/>
      <c r="SRA39" s="19"/>
      <c r="SRJ39" s="19"/>
      <c r="SRK39" s="19"/>
      <c r="SRL39" s="19"/>
      <c r="SRM39" s="19"/>
      <c r="SRN39" s="21"/>
      <c r="SRO39" s="19"/>
      <c r="SRX39" s="19"/>
      <c r="SRY39" s="19"/>
      <c r="SRZ39" s="19"/>
      <c r="SSA39" s="19"/>
      <c r="SSB39" s="21"/>
      <c r="SSC39" s="19"/>
      <c r="SSL39" s="19"/>
      <c r="SSM39" s="19"/>
      <c r="SSN39" s="19"/>
      <c r="SSO39" s="19"/>
      <c r="SSP39" s="21"/>
      <c r="SSQ39" s="19"/>
      <c r="SSZ39" s="19"/>
      <c r="STA39" s="19"/>
      <c r="STB39" s="19"/>
      <c r="STC39" s="19"/>
      <c r="STD39" s="21"/>
      <c r="STE39" s="19"/>
      <c r="STN39" s="19"/>
      <c r="STO39" s="19"/>
      <c r="STP39" s="19"/>
      <c r="STQ39" s="19"/>
      <c r="STR39" s="21"/>
      <c r="STS39" s="19"/>
      <c r="SUB39" s="19"/>
      <c r="SUC39" s="19"/>
      <c r="SUD39" s="19"/>
      <c r="SUE39" s="19"/>
      <c r="SUF39" s="21"/>
      <c r="SUG39" s="19"/>
      <c r="SUP39" s="19"/>
      <c r="SUQ39" s="19"/>
      <c r="SUR39" s="19"/>
      <c r="SUS39" s="19"/>
      <c r="SUT39" s="21"/>
      <c r="SUU39" s="19"/>
      <c r="SVD39" s="19"/>
      <c r="SVE39" s="19"/>
      <c r="SVF39" s="19"/>
      <c r="SVG39" s="19"/>
      <c r="SVH39" s="21"/>
      <c r="SVI39" s="19"/>
      <c r="SVR39" s="19"/>
      <c r="SVS39" s="19"/>
      <c r="SVT39" s="19"/>
      <c r="SVU39" s="19"/>
      <c r="SVV39" s="21"/>
      <c r="SVW39" s="19"/>
      <c r="SWF39" s="19"/>
      <c r="SWG39" s="19"/>
      <c r="SWH39" s="19"/>
      <c r="SWI39" s="19"/>
      <c r="SWJ39" s="21"/>
      <c r="SWK39" s="19"/>
      <c r="SWT39" s="19"/>
      <c r="SWU39" s="19"/>
      <c r="SWV39" s="19"/>
      <c r="SWW39" s="19"/>
      <c r="SWX39" s="21"/>
      <c r="SWY39" s="19"/>
      <c r="SXH39" s="19"/>
      <c r="SXI39" s="19"/>
      <c r="SXJ39" s="19"/>
      <c r="SXK39" s="19"/>
      <c r="SXL39" s="21"/>
      <c r="SXM39" s="19"/>
      <c r="SXV39" s="19"/>
      <c r="SXW39" s="19"/>
      <c r="SXX39" s="19"/>
      <c r="SXY39" s="19"/>
      <c r="SXZ39" s="21"/>
      <c r="SYA39" s="19"/>
      <c r="SYJ39" s="19"/>
      <c r="SYK39" s="19"/>
      <c r="SYL39" s="19"/>
      <c r="SYM39" s="19"/>
      <c r="SYN39" s="21"/>
      <c r="SYO39" s="19"/>
      <c r="SYX39" s="19"/>
      <c r="SYY39" s="19"/>
      <c r="SYZ39" s="19"/>
      <c r="SZA39" s="19"/>
      <c r="SZB39" s="21"/>
      <c r="SZC39" s="19"/>
      <c r="SZL39" s="19"/>
      <c r="SZM39" s="19"/>
      <c r="SZN39" s="19"/>
      <c r="SZO39" s="19"/>
      <c r="SZP39" s="21"/>
      <c r="SZQ39" s="19"/>
      <c r="SZZ39" s="19"/>
      <c r="TAA39" s="19"/>
      <c r="TAB39" s="19"/>
      <c r="TAC39" s="19"/>
      <c r="TAD39" s="21"/>
      <c r="TAE39" s="19"/>
      <c r="TAN39" s="19"/>
      <c r="TAO39" s="19"/>
      <c r="TAP39" s="19"/>
      <c r="TAQ39" s="19"/>
      <c r="TAR39" s="21"/>
      <c r="TAS39" s="19"/>
      <c r="TBB39" s="19"/>
      <c r="TBC39" s="19"/>
      <c r="TBD39" s="19"/>
      <c r="TBE39" s="19"/>
      <c r="TBF39" s="21"/>
      <c r="TBG39" s="19"/>
      <c r="TBP39" s="19"/>
      <c r="TBQ39" s="19"/>
      <c r="TBR39" s="19"/>
      <c r="TBS39" s="19"/>
      <c r="TBT39" s="21"/>
      <c r="TBU39" s="19"/>
      <c r="TCD39" s="19"/>
      <c r="TCE39" s="19"/>
      <c r="TCF39" s="19"/>
      <c r="TCG39" s="19"/>
      <c r="TCH39" s="21"/>
      <c r="TCI39" s="19"/>
      <c r="TCR39" s="19"/>
      <c r="TCS39" s="19"/>
      <c r="TCT39" s="19"/>
      <c r="TCU39" s="19"/>
      <c r="TCV39" s="21"/>
      <c r="TCW39" s="19"/>
      <c r="TDF39" s="19"/>
      <c r="TDG39" s="19"/>
      <c r="TDH39" s="19"/>
      <c r="TDI39" s="19"/>
      <c r="TDJ39" s="21"/>
      <c r="TDK39" s="19"/>
      <c r="TDT39" s="19"/>
      <c r="TDU39" s="19"/>
      <c r="TDV39" s="19"/>
      <c r="TDW39" s="19"/>
      <c r="TDX39" s="21"/>
      <c r="TDY39" s="19"/>
      <c r="TEH39" s="19"/>
      <c r="TEI39" s="19"/>
      <c r="TEJ39" s="19"/>
      <c r="TEK39" s="19"/>
      <c r="TEL39" s="21"/>
      <c r="TEM39" s="19"/>
      <c r="TEV39" s="19"/>
      <c r="TEW39" s="19"/>
      <c r="TEX39" s="19"/>
      <c r="TEY39" s="19"/>
      <c r="TEZ39" s="21"/>
      <c r="TFA39" s="19"/>
      <c r="TFJ39" s="19"/>
      <c r="TFK39" s="19"/>
      <c r="TFL39" s="19"/>
      <c r="TFM39" s="19"/>
      <c r="TFN39" s="21"/>
      <c r="TFO39" s="19"/>
      <c r="TFX39" s="19"/>
      <c r="TFY39" s="19"/>
      <c r="TFZ39" s="19"/>
      <c r="TGA39" s="19"/>
      <c r="TGB39" s="21"/>
      <c r="TGC39" s="19"/>
      <c r="TGL39" s="19"/>
      <c r="TGM39" s="19"/>
      <c r="TGN39" s="19"/>
      <c r="TGO39" s="19"/>
      <c r="TGP39" s="21"/>
      <c r="TGQ39" s="19"/>
      <c r="TGZ39" s="19"/>
      <c r="THA39" s="19"/>
      <c r="THB39" s="19"/>
      <c r="THC39" s="19"/>
      <c r="THD39" s="21"/>
      <c r="THE39" s="19"/>
      <c r="THN39" s="19"/>
      <c r="THO39" s="19"/>
      <c r="THP39" s="19"/>
      <c r="THQ39" s="19"/>
      <c r="THR39" s="21"/>
      <c r="THS39" s="19"/>
      <c r="TIB39" s="19"/>
      <c r="TIC39" s="19"/>
      <c r="TID39" s="19"/>
      <c r="TIE39" s="19"/>
      <c r="TIF39" s="21"/>
      <c r="TIG39" s="19"/>
      <c r="TIP39" s="19"/>
      <c r="TIQ39" s="19"/>
      <c r="TIR39" s="19"/>
      <c r="TIS39" s="19"/>
      <c r="TIT39" s="21"/>
      <c r="TIU39" s="19"/>
      <c r="TJD39" s="19"/>
      <c r="TJE39" s="19"/>
      <c r="TJF39" s="19"/>
      <c r="TJG39" s="19"/>
      <c r="TJH39" s="21"/>
      <c r="TJI39" s="19"/>
      <c r="TJR39" s="19"/>
      <c r="TJS39" s="19"/>
      <c r="TJT39" s="19"/>
      <c r="TJU39" s="19"/>
      <c r="TJV39" s="21"/>
      <c r="TJW39" s="19"/>
      <c r="TKF39" s="19"/>
      <c r="TKG39" s="19"/>
      <c r="TKH39" s="19"/>
      <c r="TKI39" s="19"/>
      <c r="TKJ39" s="21"/>
      <c r="TKK39" s="19"/>
      <c r="TKT39" s="19"/>
      <c r="TKU39" s="19"/>
      <c r="TKV39" s="19"/>
      <c r="TKW39" s="19"/>
      <c r="TKX39" s="21"/>
      <c r="TKY39" s="19"/>
      <c r="TLH39" s="19"/>
      <c r="TLI39" s="19"/>
      <c r="TLJ39" s="19"/>
      <c r="TLK39" s="19"/>
      <c r="TLL39" s="21"/>
      <c r="TLM39" s="19"/>
      <c r="TLV39" s="19"/>
      <c r="TLW39" s="19"/>
      <c r="TLX39" s="19"/>
      <c r="TLY39" s="19"/>
      <c r="TLZ39" s="21"/>
      <c r="TMA39" s="19"/>
      <c r="TMJ39" s="19"/>
      <c r="TMK39" s="19"/>
      <c r="TML39" s="19"/>
      <c r="TMM39" s="19"/>
      <c r="TMN39" s="21"/>
      <c r="TMO39" s="19"/>
      <c r="TMX39" s="19"/>
      <c r="TMY39" s="19"/>
      <c r="TMZ39" s="19"/>
      <c r="TNA39" s="19"/>
      <c r="TNB39" s="21"/>
      <c r="TNC39" s="19"/>
      <c r="TNL39" s="19"/>
      <c r="TNM39" s="19"/>
      <c r="TNN39" s="19"/>
      <c r="TNO39" s="19"/>
      <c r="TNP39" s="21"/>
      <c r="TNQ39" s="19"/>
      <c r="TNZ39" s="19"/>
      <c r="TOA39" s="19"/>
      <c r="TOB39" s="19"/>
      <c r="TOC39" s="19"/>
      <c r="TOD39" s="21"/>
      <c r="TOE39" s="19"/>
      <c r="TON39" s="19"/>
      <c r="TOO39" s="19"/>
      <c r="TOP39" s="19"/>
      <c r="TOQ39" s="19"/>
      <c r="TOR39" s="21"/>
      <c r="TOS39" s="19"/>
      <c r="TPB39" s="19"/>
      <c r="TPC39" s="19"/>
      <c r="TPD39" s="19"/>
      <c r="TPE39" s="19"/>
      <c r="TPF39" s="21"/>
      <c r="TPG39" s="19"/>
      <c r="TPP39" s="19"/>
      <c r="TPQ39" s="19"/>
      <c r="TPR39" s="19"/>
      <c r="TPS39" s="19"/>
      <c r="TPT39" s="21"/>
      <c r="TPU39" s="19"/>
      <c r="TQD39" s="19"/>
      <c r="TQE39" s="19"/>
      <c r="TQF39" s="19"/>
      <c r="TQG39" s="19"/>
      <c r="TQH39" s="21"/>
      <c r="TQI39" s="19"/>
      <c r="TQR39" s="19"/>
      <c r="TQS39" s="19"/>
      <c r="TQT39" s="19"/>
      <c r="TQU39" s="19"/>
      <c r="TQV39" s="21"/>
      <c r="TQW39" s="19"/>
      <c r="TRF39" s="19"/>
      <c r="TRG39" s="19"/>
      <c r="TRH39" s="19"/>
      <c r="TRI39" s="19"/>
      <c r="TRJ39" s="21"/>
      <c r="TRK39" s="19"/>
      <c r="TRT39" s="19"/>
      <c r="TRU39" s="19"/>
      <c r="TRV39" s="19"/>
      <c r="TRW39" s="19"/>
      <c r="TRX39" s="21"/>
      <c r="TRY39" s="19"/>
      <c r="TSH39" s="19"/>
      <c r="TSI39" s="19"/>
      <c r="TSJ39" s="19"/>
      <c r="TSK39" s="19"/>
      <c r="TSL39" s="21"/>
      <c r="TSM39" s="19"/>
      <c r="TSV39" s="19"/>
      <c r="TSW39" s="19"/>
      <c r="TSX39" s="19"/>
      <c r="TSY39" s="19"/>
      <c r="TSZ39" s="21"/>
      <c r="TTA39" s="19"/>
      <c r="TTJ39" s="19"/>
      <c r="TTK39" s="19"/>
      <c r="TTL39" s="19"/>
      <c r="TTM39" s="19"/>
      <c r="TTN39" s="21"/>
      <c r="TTO39" s="19"/>
      <c r="TTX39" s="19"/>
      <c r="TTY39" s="19"/>
      <c r="TTZ39" s="19"/>
      <c r="TUA39" s="19"/>
      <c r="TUB39" s="21"/>
      <c r="TUC39" s="19"/>
      <c r="TUL39" s="19"/>
      <c r="TUM39" s="19"/>
      <c r="TUN39" s="19"/>
      <c r="TUO39" s="19"/>
      <c r="TUP39" s="21"/>
      <c r="TUQ39" s="19"/>
      <c r="TUZ39" s="19"/>
      <c r="TVA39" s="19"/>
      <c r="TVB39" s="19"/>
      <c r="TVC39" s="19"/>
      <c r="TVD39" s="21"/>
      <c r="TVE39" s="19"/>
      <c r="TVN39" s="19"/>
      <c r="TVO39" s="19"/>
      <c r="TVP39" s="19"/>
      <c r="TVQ39" s="19"/>
      <c r="TVR39" s="21"/>
      <c r="TVS39" s="19"/>
      <c r="TWB39" s="19"/>
      <c r="TWC39" s="19"/>
      <c r="TWD39" s="19"/>
      <c r="TWE39" s="19"/>
      <c r="TWF39" s="21"/>
      <c r="TWG39" s="19"/>
      <c r="TWP39" s="19"/>
      <c r="TWQ39" s="19"/>
      <c r="TWR39" s="19"/>
      <c r="TWS39" s="19"/>
      <c r="TWT39" s="21"/>
      <c r="TWU39" s="19"/>
      <c r="TXD39" s="19"/>
      <c r="TXE39" s="19"/>
      <c r="TXF39" s="19"/>
      <c r="TXG39" s="19"/>
      <c r="TXH39" s="21"/>
      <c r="TXI39" s="19"/>
      <c r="TXR39" s="19"/>
      <c r="TXS39" s="19"/>
      <c r="TXT39" s="19"/>
      <c r="TXU39" s="19"/>
      <c r="TXV39" s="21"/>
      <c r="TXW39" s="19"/>
      <c r="TYF39" s="19"/>
      <c r="TYG39" s="19"/>
      <c r="TYH39" s="19"/>
      <c r="TYI39" s="19"/>
      <c r="TYJ39" s="21"/>
      <c r="TYK39" s="19"/>
      <c r="TYT39" s="19"/>
      <c r="TYU39" s="19"/>
      <c r="TYV39" s="19"/>
      <c r="TYW39" s="19"/>
      <c r="TYX39" s="21"/>
      <c r="TYY39" s="19"/>
      <c r="TZH39" s="19"/>
      <c r="TZI39" s="19"/>
      <c r="TZJ39" s="19"/>
      <c r="TZK39" s="19"/>
      <c r="TZL39" s="21"/>
      <c r="TZM39" s="19"/>
      <c r="TZV39" s="19"/>
      <c r="TZW39" s="19"/>
      <c r="TZX39" s="19"/>
      <c r="TZY39" s="19"/>
      <c r="TZZ39" s="21"/>
      <c r="UAA39" s="19"/>
      <c r="UAJ39" s="19"/>
      <c r="UAK39" s="19"/>
      <c r="UAL39" s="19"/>
      <c r="UAM39" s="19"/>
      <c r="UAN39" s="21"/>
      <c r="UAO39" s="19"/>
      <c r="UAX39" s="19"/>
      <c r="UAY39" s="19"/>
      <c r="UAZ39" s="19"/>
      <c r="UBA39" s="19"/>
      <c r="UBB39" s="21"/>
      <c r="UBC39" s="19"/>
      <c r="UBL39" s="19"/>
      <c r="UBM39" s="19"/>
      <c r="UBN39" s="19"/>
      <c r="UBO39" s="19"/>
      <c r="UBP39" s="21"/>
      <c r="UBQ39" s="19"/>
      <c r="UBZ39" s="19"/>
      <c r="UCA39" s="19"/>
      <c r="UCB39" s="19"/>
      <c r="UCC39" s="19"/>
      <c r="UCD39" s="21"/>
      <c r="UCE39" s="19"/>
      <c r="UCN39" s="19"/>
      <c r="UCO39" s="19"/>
      <c r="UCP39" s="19"/>
      <c r="UCQ39" s="19"/>
      <c r="UCR39" s="21"/>
      <c r="UCS39" s="19"/>
      <c r="UDB39" s="19"/>
      <c r="UDC39" s="19"/>
      <c r="UDD39" s="19"/>
      <c r="UDE39" s="19"/>
      <c r="UDF39" s="21"/>
      <c r="UDG39" s="19"/>
      <c r="UDP39" s="19"/>
      <c r="UDQ39" s="19"/>
      <c r="UDR39" s="19"/>
      <c r="UDS39" s="19"/>
      <c r="UDT39" s="21"/>
      <c r="UDU39" s="19"/>
      <c r="UED39" s="19"/>
      <c r="UEE39" s="19"/>
      <c r="UEF39" s="19"/>
      <c r="UEG39" s="19"/>
      <c r="UEH39" s="21"/>
      <c r="UEI39" s="19"/>
      <c r="UER39" s="19"/>
      <c r="UES39" s="19"/>
      <c r="UET39" s="19"/>
      <c r="UEU39" s="19"/>
      <c r="UEV39" s="21"/>
      <c r="UEW39" s="19"/>
      <c r="UFF39" s="19"/>
      <c r="UFG39" s="19"/>
      <c r="UFH39" s="19"/>
      <c r="UFI39" s="19"/>
      <c r="UFJ39" s="21"/>
      <c r="UFK39" s="19"/>
      <c r="UFT39" s="19"/>
      <c r="UFU39" s="19"/>
      <c r="UFV39" s="19"/>
      <c r="UFW39" s="19"/>
      <c r="UFX39" s="21"/>
      <c r="UFY39" s="19"/>
      <c r="UGH39" s="19"/>
      <c r="UGI39" s="19"/>
      <c r="UGJ39" s="19"/>
      <c r="UGK39" s="19"/>
      <c r="UGL39" s="21"/>
      <c r="UGM39" s="19"/>
      <c r="UGV39" s="19"/>
      <c r="UGW39" s="19"/>
      <c r="UGX39" s="19"/>
      <c r="UGY39" s="19"/>
      <c r="UGZ39" s="21"/>
      <c r="UHA39" s="19"/>
      <c r="UHJ39" s="19"/>
      <c r="UHK39" s="19"/>
      <c r="UHL39" s="19"/>
      <c r="UHM39" s="19"/>
      <c r="UHN39" s="21"/>
      <c r="UHO39" s="19"/>
      <c r="UHX39" s="19"/>
      <c r="UHY39" s="19"/>
      <c r="UHZ39" s="19"/>
      <c r="UIA39" s="19"/>
      <c r="UIB39" s="21"/>
      <c r="UIC39" s="19"/>
      <c r="UIL39" s="19"/>
      <c r="UIM39" s="19"/>
      <c r="UIN39" s="19"/>
      <c r="UIO39" s="19"/>
      <c r="UIP39" s="21"/>
      <c r="UIQ39" s="19"/>
      <c r="UIZ39" s="19"/>
      <c r="UJA39" s="19"/>
      <c r="UJB39" s="19"/>
      <c r="UJC39" s="19"/>
      <c r="UJD39" s="21"/>
      <c r="UJE39" s="19"/>
      <c r="UJN39" s="19"/>
      <c r="UJO39" s="19"/>
      <c r="UJP39" s="19"/>
      <c r="UJQ39" s="19"/>
      <c r="UJR39" s="21"/>
      <c r="UJS39" s="19"/>
      <c r="UKB39" s="19"/>
      <c r="UKC39" s="19"/>
      <c r="UKD39" s="19"/>
      <c r="UKE39" s="19"/>
      <c r="UKF39" s="21"/>
      <c r="UKG39" s="19"/>
      <c r="UKP39" s="19"/>
      <c r="UKQ39" s="19"/>
      <c r="UKR39" s="19"/>
      <c r="UKS39" s="19"/>
      <c r="UKT39" s="21"/>
      <c r="UKU39" s="19"/>
      <c r="ULD39" s="19"/>
      <c r="ULE39" s="19"/>
      <c r="ULF39" s="19"/>
      <c r="ULG39" s="19"/>
      <c r="ULH39" s="21"/>
      <c r="ULI39" s="19"/>
      <c r="ULR39" s="19"/>
      <c r="ULS39" s="19"/>
      <c r="ULT39" s="19"/>
      <c r="ULU39" s="19"/>
      <c r="ULV39" s="21"/>
      <c r="ULW39" s="19"/>
      <c r="UMF39" s="19"/>
      <c r="UMG39" s="19"/>
      <c r="UMH39" s="19"/>
      <c r="UMI39" s="19"/>
      <c r="UMJ39" s="21"/>
      <c r="UMK39" s="19"/>
      <c r="UMT39" s="19"/>
      <c r="UMU39" s="19"/>
      <c r="UMV39" s="19"/>
      <c r="UMW39" s="19"/>
      <c r="UMX39" s="21"/>
      <c r="UMY39" s="19"/>
      <c r="UNH39" s="19"/>
      <c r="UNI39" s="19"/>
      <c r="UNJ39" s="19"/>
      <c r="UNK39" s="19"/>
      <c r="UNL39" s="21"/>
      <c r="UNM39" s="19"/>
      <c r="UNV39" s="19"/>
      <c r="UNW39" s="19"/>
      <c r="UNX39" s="19"/>
      <c r="UNY39" s="19"/>
      <c r="UNZ39" s="21"/>
      <c r="UOA39" s="19"/>
      <c r="UOJ39" s="19"/>
      <c r="UOK39" s="19"/>
      <c r="UOL39" s="19"/>
      <c r="UOM39" s="19"/>
      <c r="UON39" s="21"/>
      <c r="UOO39" s="19"/>
      <c r="UOX39" s="19"/>
      <c r="UOY39" s="19"/>
      <c r="UOZ39" s="19"/>
      <c r="UPA39" s="19"/>
      <c r="UPB39" s="21"/>
      <c r="UPC39" s="19"/>
      <c r="UPL39" s="19"/>
      <c r="UPM39" s="19"/>
      <c r="UPN39" s="19"/>
      <c r="UPO39" s="19"/>
      <c r="UPP39" s="21"/>
      <c r="UPQ39" s="19"/>
      <c r="UPZ39" s="19"/>
      <c r="UQA39" s="19"/>
      <c r="UQB39" s="19"/>
      <c r="UQC39" s="19"/>
      <c r="UQD39" s="21"/>
      <c r="UQE39" s="19"/>
      <c r="UQN39" s="19"/>
      <c r="UQO39" s="19"/>
      <c r="UQP39" s="19"/>
      <c r="UQQ39" s="19"/>
      <c r="UQR39" s="21"/>
      <c r="UQS39" s="19"/>
      <c r="URB39" s="19"/>
      <c r="URC39" s="19"/>
      <c r="URD39" s="19"/>
      <c r="URE39" s="19"/>
      <c r="URF39" s="21"/>
      <c r="URG39" s="19"/>
      <c r="URP39" s="19"/>
      <c r="URQ39" s="19"/>
      <c r="URR39" s="19"/>
      <c r="URS39" s="19"/>
      <c r="URT39" s="21"/>
      <c r="URU39" s="19"/>
      <c r="USD39" s="19"/>
      <c r="USE39" s="19"/>
      <c r="USF39" s="19"/>
      <c r="USG39" s="19"/>
      <c r="USH39" s="21"/>
      <c r="USI39" s="19"/>
      <c r="USR39" s="19"/>
      <c r="USS39" s="19"/>
      <c r="UST39" s="19"/>
      <c r="USU39" s="19"/>
      <c r="USV39" s="21"/>
      <c r="USW39" s="19"/>
      <c r="UTF39" s="19"/>
      <c r="UTG39" s="19"/>
      <c r="UTH39" s="19"/>
      <c r="UTI39" s="19"/>
      <c r="UTJ39" s="21"/>
      <c r="UTK39" s="19"/>
      <c r="UTT39" s="19"/>
      <c r="UTU39" s="19"/>
      <c r="UTV39" s="19"/>
      <c r="UTW39" s="19"/>
      <c r="UTX39" s="21"/>
      <c r="UTY39" s="19"/>
      <c r="UUH39" s="19"/>
      <c r="UUI39" s="19"/>
      <c r="UUJ39" s="19"/>
      <c r="UUK39" s="19"/>
      <c r="UUL39" s="21"/>
      <c r="UUM39" s="19"/>
      <c r="UUV39" s="19"/>
      <c r="UUW39" s="19"/>
      <c r="UUX39" s="19"/>
      <c r="UUY39" s="19"/>
      <c r="UUZ39" s="21"/>
      <c r="UVA39" s="19"/>
      <c r="UVJ39" s="19"/>
      <c r="UVK39" s="19"/>
      <c r="UVL39" s="19"/>
      <c r="UVM39" s="19"/>
      <c r="UVN39" s="21"/>
      <c r="UVO39" s="19"/>
      <c r="UVX39" s="19"/>
      <c r="UVY39" s="19"/>
      <c r="UVZ39" s="19"/>
      <c r="UWA39" s="19"/>
      <c r="UWB39" s="21"/>
      <c r="UWC39" s="19"/>
      <c r="UWL39" s="19"/>
      <c r="UWM39" s="19"/>
      <c r="UWN39" s="19"/>
      <c r="UWO39" s="19"/>
      <c r="UWP39" s="21"/>
      <c r="UWQ39" s="19"/>
      <c r="UWZ39" s="19"/>
      <c r="UXA39" s="19"/>
      <c r="UXB39" s="19"/>
      <c r="UXC39" s="19"/>
      <c r="UXD39" s="21"/>
      <c r="UXE39" s="19"/>
      <c r="UXN39" s="19"/>
      <c r="UXO39" s="19"/>
      <c r="UXP39" s="19"/>
      <c r="UXQ39" s="19"/>
      <c r="UXR39" s="21"/>
      <c r="UXS39" s="19"/>
      <c r="UYB39" s="19"/>
      <c r="UYC39" s="19"/>
      <c r="UYD39" s="19"/>
      <c r="UYE39" s="19"/>
      <c r="UYF39" s="21"/>
      <c r="UYG39" s="19"/>
      <c r="UYP39" s="19"/>
      <c r="UYQ39" s="19"/>
      <c r="UYR39" s="19"/>
      <c r="UYS39" s="19"/>
      <c r="UYT39" s="21"/>
      <c r="UYU39" s="19"/>
      <c r="UZD39" s="19"/>
      <c r="UZE39" s="19"/>
      <c r="UZF39" s="19"/>
      <c r="UZG39" s="19"/>
      <c r="UZH39" s="21"/>
      <c r="UZI39" s="19"/>
      <c r="UZR39" s="19"/>
      <c r="UZS39" s="19"/>
      <c r="UZT39" s="19"/>
      <c r="UZU39" s="19"/>
      <c r="UZV39" s="21"/>
      <c r="UZW39" s="19"/>
      <c r="VAF39" s="19"/>
      <c r="VAG39" s="19"/>
      <c r="VAH39" s="19"/>
      <c r="VAI39" s="19"/>
      <c r="VAJ39" s="21"/>
      <c r="VAK39" s="19"/>
      <c r="VAT39" s="19"/>
      <c r="VAU39" s="19"/>
      <c r="VAV39" s="19"/>
      <c r="VAW39" s="19"/>
      <c r="VAX39" s="21"/>
      <c r="VAY39" s="19"/>
      <c r="VBH39" s="19"/>
      <c r="VBI39" s="19"/>
      <c r="VBJ39" s="19"/>
      <c r="VBK39" s="19"/>
      <c r="VBL39" s="21"/>
      <c r="VBM39" s="19"/>
      <c r="VBV39" s="19"/>
      <c r="VBW39" s="19"/>
      <c r="VBX39" s="19"/>
      <c r="VBY39" s="19"/>
      <c r="VBZ39" s="21"/>
      <c r="VCA39" s="19"/>
      <c r="VCJ39" s="19"/>
      <c r="VCK39" s="19"/>
      <c r="VCL39" s="19"/>
      <c r="VCM39" s="19"/>
      <c r="VCN39" s="21"/>
      <c r="VCO39" s="19"/>
      <c r="VCX39" s="19"/>
      <c r="VCY39" s="19"/>
      <c r="VCZ39" s="19"/>
      <c r="VDA39" s="19"/>
      <c r="VDB39" s="21"/>
      <c r="VDC39" s="19"/>
      <c r="VDL39" s="19"/>
      <c r="VDM39" s="19"/>
      <c r="VDN39" s="19"/>
      <c r="VDO39" s="19"/>
      <c r="VDP39" s="21"/>
      <c r="VDQ39" s="19"/>
      <c r="VDZ39" s="19"/>
      <c r="VEA39" s="19"/>
      <c r="VEB39" s="19"/>
      <c r="VEC39" s="19"/>
      <c r="VED39" s="21"/>
      <c r="VEE39" s="19"/>
      <c r="VEN39" s="19"/>
      <c r="VEO39" s="19"/>
      <c r="VEP39" s="19"/>
      <c r="VEQ39" s="19"/>
      <c r="VER39" s="21"/>
      <c r="VES39" s="19"/>
      <c r="VFB39" s="19"/>
      <c r="VFC39" s="19"/>
      <c r="VFD39" s="19"/>
      <c r="VFE39" s="19"/>
      <c r="VFF39" s="21"/>
      <c r="VFG39" s="19"/>
      <c r="VFP39" s="19"/>
      <c r="VFQ39" s="19"/>
      <c r="VFR39" s="19"/>
      <c r="VFS39" s="19"/>
      <c r="VFT39" s="21"/>
      <c r="VFU39" s="19"/>
      <c r="VGD39" s="19"/>
      <c r="VGE39" s="19"/>
      <c r="VGF39" s="19"/>
      <c r="VGG39" s="19"/>
      <c r="VGH39" s="21"/>
      <c r="VGI39" s="19"/>
      <c r="VGR39" s="19"/>
      <c r="VGS39" s="19"/>
      <c r="VGT39" s="19"/>
      <c r="VGU39" s="19"/>
      <c r="VGV39" s="21"/>
      <c r="VGW39" s="19"/>
      <c r="VHF39" s="19"/>
      <c r="VHG39" s="19"/>
      <c r="VHH39" s="19"/>
      <c r="VHI39" s="19"/>
      <c r="VHJ39" s="21"/>
      <c r="VHK39" s="19"/>
      <c r="VHT39" s="19"/>
      <c r="VHU39" s="19"/>
      <c r="VHV39" s="19"/>
      <c r="VHW39" s="19"/>
      <c r="VHX39" s="21"/>
      <c r="VHY39" s="19"/>
      <c r="VIH39" s="19"/>
      <c r="VII39" s="19"/>
      <c r="VIJ39" s="19"/>
      <c r="VIK39" s="19"/>
      <c r="VIL39" s="21"/>
      <c r="VIM39" s="19"/>
      <c r="VIV39" s="19"/>
      <c r="VIW39" s="19"/>
      <c r="VIX39" s="19"/>
      <c r="VIY39" s="19"/>
      <c r="VIZ39" s="21"/>
      <c r="VJA39" s="19"/>
      <c r="VJJ39" s="19"/>
      <c r="VJK39" s="19"/>
      <c r="VJL39" s="19"/>
      <c r="VJM39" s="19"/>
      <c r="VJN39" s="21"/>
      <c r="VJO39" s="19"/>
      <c r="VJX39" s="19"/>
      <c r="VJY39" s="19"/>
      <c r="VJZ39" s="19"/>
      <c r="VKA39" s="19"/>
      <c r="VKB39" s="21"/>
      <c r="VKC39" s="19"/>
      <c r="VKL39" s="19"/>
      <c r="VKM39" s="19"/>
      <c r="VKN39" s="19"/>
      <c r="VKO39" s="19"/>
      <c r="VKP39" s="21"/>
      <c r="VKQ39" s="19"/>
      <c r="VKZ39" s="19"/>
      <c r="VLA39" s="19"/>
      <c r="VLB39" s="19"/>
      <c r="VLC39" s="19"/>
      <c r="VLD39" s="21"/>
      <c r="VLE39" s="19"/>
      <c r="VLN39" s="19"/>
      <c r="VLO39" s="19"/>
      <c r="VLP39" s="19"/>
      <c r="VLQ39" s="19"/>
      <c r="VLR39" s="21"/>
      <c r="VLS39" s="19"/>
      <c r="VMB39" s="19"/>
      <c r="VMC39" s="19"/>
      <c r="VMD39" s="19"/>
      <c r="VME39" s="19"/>
      <c r="VMF39" s="21"/>
      <c r="VMG39" s="19"/>
      <c r="VMP39" s="19"/>
      <c r="VMQ39" s="19"/>
      <c r="VMR39" s="19"/>
      <c r="VMS39" s="19"/>
      <c r="VMT39" s="21"/>
      <c r="VMU39" s="19"/>
      <c r="VND39" s="19"/>
      <c r="VNE39" s="19"/>
      <c r="VNF39" s="19"/>
      <c r="VNG39" s="19"/>
      <c r="VNH39" s="21"/>
      <c r="VNI39" s="19"/>
      <c r="VNR39" s="19"/>
      <c r="VNS39" s="19"/>
      <c r="VNT39" s="19"/>
      <c r="VNU39" s="19"/>
      <c r="VNV39" s="21"/>
      <c r="VNW39" s="19"/>
      <c r="VOF39" s="19"/>
      <c r="VOG39" s="19"/>
      <c r="VOH39" s="19"/>
      <c r="VOI39" s="19"/>
      <c r="VOJ39" s="21"/>
      <c r="VOK39" s="19"/>
      <c r="VOT39" s="19"/>
      <c r="VOU39" s="19"/>
      <c r="VOV39" s="19"/>
      <c r="VOW39" s="19"/>
      <c r="VOX39" s="21"/>
      <c r="VOY39" s="19"/>
      <c r="VPH39" s="19"/>
      <c r="VPI39" s="19"/>
      <c r="VPJ39" s="19"/>
      <c r="VPK39" s="19"/>
      <c r="VPL39" s="21"/>
      <c r="VPM39" s="19"/>
      <c r="VPV39" s="19"/>
      <c r="VPW39" s="19"/>
      <c r="VPX39" s="19"/>
      <c r="VPY39" s="19"/>
      <c r="VPZ39" s="21"/>
      <c r="VQA39" s="19"/>
      <c r="VQJ39" s="19"/>
      <c r="VQK39" s="19"/>
      <c r="VQL39" s="19"/>
      <c r="VQM39" s="19"/>
      <c r="VQN39" s="21"/>
      <c r="VQO39" s="19"/>
      <c r="VQX39" s="19"/>
      <c r="VQY39" s="19"/>
      <c r="VQZ39" s="19"/>
      <c r="VRA39" s="19"/>
      <c r="VRB39" s="21"/>
      <c r="VRC39" s="19"/>
      <c r="VRL39" s="19"/>
      <c r="VRM39" s="19"/>
      <c r="VRN39" s="19"/>
      <c r="VRO39" s="19"/>
      <c r="VRP39" s="21"/>
      <c r="VRQ39" s="19"/>
      <c r="VRZ39" s="19"/>
      <c r="VSA39" s="19"/>
      <c r="VSB39" s="19"/>
      <c r="VSC39" s="19"/>
      <c r="VSD39" s="21"/>
      <c r="VSE39" s="19"/>
      <c r="VSN39" s="19"/>
      <c r="VSO39" s="19"/>
      <c r="VSP39" s="19"/>
      <c r="VSQ39" s="19"/>
      <c r="VSR39" s="21"/>
      <c r="VSS39" s="19"/>
      <c r="VTB39" s="19"/>
      <c r="VTC39" s="19"/>
      <c r="VTD39" s="19"/>
      <c r="VTE39" s="19"/>
      <c r="VTF39" s="21"/>
      <c r="VTG39" s="19"/>
      <c r="VTP39" s="19"/>
      <c r="VTQ39" s="19"/>
      <c r="VTR39" s="19"/>
      <c r="VTS39" s="19"/>
      <c r="VTT39" s="21"/>
      <c r="VTU39" s="19"/>
      <c r="VUD39" s="19"/>
      <c r="VUE39" s="19"/>
      <c r="VUF39" s="19"/>
      <c r="VUG39" s="19"/>
      <c r="VUH39" s="21"/>
      <c r="VUI39" s="19"/>
      <c r="VUR39" s="19"/>
      <c r="VUS39" s="19"/>
      <c r="VUT39" s="19"/>
      <c r="VUU39" s="19"/>
      <c r="VUV39" s="21"/>
      <c r="VUW39" s="19"/>
      <c r="VVF39" s="19"/>
      <c r="VVG39" s="19"/>
      <c r="VVH39" s="19"/>
      <c r="VVI39" s="19"/>
      <c r="VVJ39" s="21"/>
      <c r="VVK39" s="19"/>
      <c r="VVT39" s="19"/>
      <c r="VVU39" s="19"/>
      <c r="VVV39" s="19"/>
      <c r="VVW39" s="19"/>
      <c r="VVX39" s="21"/>
      <c r="VVY39" s="19"/>
      <c r="VWH39" s="19"/>
      <c r="VWI39" s="19"/>
      <c r="VWJ39" s="19"/>
      <c r="VWK39" s="19"/>
      <c r="VWL39" s="21"/>
      <c r="VWM39" s="19"/>
      <c r="VWV39" s="19"/>
      <c r="VWW39" s="19"/>
      <c r="VWX39" s="19"/>
      <c r="VWY39" s="19"/>
      <c r="VWZ39" s="21"/>
      <c r="VXA39" s="19"/>
      <c r="VXJ39" s="19"/>
      <c r="VXK39" s="19"/>
      <c r="VXL39" s="19"/>
      <c r="VXM39" s="19"/>
      <c r="VXN39" s="21"/>
      <c r="VXO39" s="19"/>
      <c r="VXX39" s="19"/>
      <c r="VXY39" s="19"/>
      <c r="VXZ39" s="19"/>
      <c r="VYA39" s="19"/>
      <c r="VYB39" s="21"/>
      <c r="VYC39" s="19"/>
      <c r="VYL39" s="19"/>
      <c r="VYM39" s="19"/>
      <c r="VYN39" s="19"/>
      <c r="VYO39" s="19"/>
      <c r="VYP39" s="21"/>
      <c r="VYQ39" s="19"/>
      <c r="VYZ39" s="19"/>
      <c r="VZA39" s="19"/>
      <c r="VZB39" s="19"/>
      <c r="VZC39" s="19"/>
      <c r="VZD39" s="21"/>
      <c r="VZE39" s="19"/>
      <c r="VZN39" s="19"/>
      <c r="VZO39" s="19"/>
      <c r="VZP39" s="19"/>
      <c r="VZQ39" s="19"/>
      <c r="VZR39" s="21"/>
      <c r="VZS39" s="19"/>
      <c r="WAB39" s="19"/>
      <c r="WAC39" s="19"/>
      <c r="WAD39" s="19"/>
      <c r="WAE39" s="19"/>
      <c r="WAF39" s="21"/>
      <c r="WAG39" s="19"/>
      <c r="WAP39" s="19"/>
      <c r="WAQ39" s="19"/>
      <c r="WAR39" s="19"/>
      <c r="WAS39" s="19"/>
      <c r="WAT39" s="21"/>
      <c r="WAU39" s="19"/>
      <c r="WBD39" s="19"/>
      <c r="WBE39" s="19"/>
      <c r="WBF39" s="19"/>
      <c r="WBG39" s="19"/>
      <c r="WBH39" s="21"/>
      <c r="WBI39" s="19"/>
      <c r="WBR39" s="19"/>
      <c r="WBS39" s="19"/>
      <c r="WBT39" s="19"/>
      <c r="WBU39" s="19"/>
      <c r="WBV39" s="21"/>
      <c r="WBW39" s="19"/>
      <c r="WCF39" s="19"/>
      <c r="WCG39" s="19"/>
      <c r="WCH39" s="19"/>
      <c r="WCI39" s="19"/>
      <c r="WCJ39" s="21"/>
      <c r="WCK39" s="19"/>
      <c r="WCT39" s="19"/>
      <c r="WCU39" s="19"/>
      <c r="WCV39" s="19"/>
      <c r="WCW39" s="19"/>
      <c r="WCX39" s="21"/>
      <c r="WCY39" s="19"/>
      <c r="WDH39" s="19"/>
      <c r="WDI39" s="19"/>
      <c r="WDJ39" s="19"/>
      <c r="WDK39" s="19"/>
      <c r="WDL39" s="21"/>
      <c r="WDM39" s="19"/>
      <c r="WDV39" s="19"/>
      <c r="WDW39" s="19"/>
      <c r="WDX39" s="19"/>
      <c r="WDY39" s="19"/>
      <c r="WDZ39" s="21"/>
      <c r="WEA39" s="19"/>
      <c r="WEJ39" s="19"/>
      <c r="WEK39" s="19"/>
      <c r="WEL39" s="19"/>
      <c r="WEM39" s="19"/>
      <c r="WEN39" s="21"/>
      <c r="WEO39" s="19"/>
      <c r="WEX39" s="19"/>
      <c r="WEY39" s="19"/>
      <c r="WEZ39" s="19"/>
      <c r="WFA39" s="19"/>
      <c r="WFB39" s="21"/>
      <c r="WFC39" s="19"/>
      <c r="WFL39" s="19"/>
      <c r="WFM39" s="19"/>
      <c r="WFN39" s="19"/>
      <c r="WFO39" s="19"/>
      <c r="WFP39" s="21"/>
      <c r="WFQ39" s="19"/>
      <c r="WFZ39" s="19"/>
      <c r="WGA39" s="19"/>
      <c r="WGB39" s="19"/>
      <c r="WGC39" s="19"/>
      <c r="WGD39" s="21"/>
      <c r="WGE39" s="19"/>
      <c r="WGN39" s="19"/>
      <c r="WGO39" s="19"/>
      <c r="WGP39" s="19"/>
      <c r="WGQ39" s="19"/>
      <c r="WGR39" s="21"/>
      <c r="WGS39" s="19"/>
      <c r="WHB39" s="19"/>
      <c r="WHC39" s="19"/>
      <c r="WHD39" s="19"/>
      <c r="WHE39" s="19"/>
      <c r="WHF39" s="21"/>
      <c r="WHG39" s="19"/>
      <c r="WHP39" s="19"/>
      <c r="WHQ39" s="19"/>
      <c r="WHR39" s="19"/>
      <c r="WHS39" s="19"/>
      <c r="WHT39" s="21"/>
      <c r="WHU39" s="19"/>
      <c r="WID39" s="19"/>
      <c r="WIE39" s="19"/>
      <c r="WIF39" s="19"/>
      <c r="WIG39" s="19"/>
      <c r="WIH39" s="21"/>
      <c r="WII39" s="19"/>
      <c r="WIR39" s="19"/>
      <c r="WIS39" s="19"/>
      <c r="WIT39" s="19"/>
      <c r="WIU39" s="19"/>
      <c r="WIV39" s="21"/>
      <c r="WIW39" s="19"/>
      <c r="WJF39" s="19"/>
      <c r="WJG39" s="19"/>
      <c r="WJH39" s="19"/>
      <c r="WJI39" s="19"/>
      <c r="WJJ39" s="21"/>
      <c r="WJK39" s="19"/>
      <c r="WJT39" s="19"/>
      <c r="WJU39" s="19"/>
      <c r="WJV39" s="19"/>
      <c r="WJW39" s="19"/>
      <c r="WJX39" s="21"/>
      <c r="WJY39" s="19"/>
      <c r="WKH39" s="19"/>
      <c r="WKI39" s="19"/>
      <c r="WKJ39" s="19"/>
      <c r="WKK39" s="19"/>
      <c r="WKL39" s="21"/>
      <c r="WKM39" s="19"/>
      <c r="WKV39" s="19"/>
      <c r="WKW39" s="19"/>
      <c r="WKX39" s="19"/>
      <c r="WKY39" s="19"/>
      <c r="WKZ39" s="21"/>
      <c r="WLA39" s="19"/>
      <c r="WLJ39" s="19"/>
      <c r="WLK39" s="19"/>
      <c r="WLL39" s="19"/>
      <c r="WLM39" s="19"/>
      <c r="WLN39" s="21"/>
      <c r="WLO39" s="19"/>
      <c r="WLX39" s="19"/>
      <c r="WLY39" s="19"/>
      <c r="WLZ39" s="19"/>
      <c r="WMA39" s="19"/>
      <c r="WMB39" s="21"/>
      <c r="WMC39" s="19"/>
      <c r="WML39" s="19"/>
      <c r="WMM39" s="19"/>
      <c r="WMN39" s="19"/>
      <c r="WMO39" s="19"/>
      <c r="WMP39" s="21"/>
      <c r="WMQ39" s="19"/>
      <c r="WMZ39" s="19"/>
      <c r="WNA39" s="19"/>
      <c r="WNB39" s="19"/>
      <c r="WNC39" s="19"/>
      <c r="WND39" s="21"/>
      <c r="WNE39" s="19"/>
      <c r="WNN39" s="19"/>
      <c r="WNO39" s="19"/>
      <c r="WNP39" s="19"/>
      <c r="WNQ39" s="19"/>
      <c r="WNR39" s="21"/>
      <c r="WNS39" s="19"/>
      <c r="WOB39" s="19"/>
      <c r="WOC39" s="19"/>
      <c r="WOD39" s="19"/>
      <c r="WOE39" s="19"/>
      <c r="WOF39" s="21"/>
      <c r="WOG39" s="19"/>
      <c r="WOP39" s="19"/>
      <c r="WOQ39" s="19"/>
      <c r="WOR39" s="19"/>
      <c r="WOS39" s="19"/>
      <c r="WOT39" s="21"/>
      <c r="WOU39" s="19"/>
      <c r="WPD39" s="19"/>
      <c r="WPE39" s="19"/>
      <c r="WPF39" s="19"/>
      <c r="WPG39" s="19"/>
      <c r="WPH39" s="21"/>
      <c r="WPI39" s="19"/>
      <c r="WPR39" s="19"/>
      <c r="WPS39" s="19"/>
      <c r="WPT39" s="19"/>
      <c r="WPU39" s="19"/>
      <c r="WPV39" s="21"/>
      <c r="WPW39" s="19"/>
      <c r="WQF39" s="19"/>
      <c r="WQG39" s="19"/>
      <c r="WQH39" s="19"/>
      <c r="WQI39" s="19"/>
      <c r="WQJ39" s="21"/>
      <c r="WQK39" s="19"/>
      <c r="WQT39" s="19"/>
      <c r="WQU39" s="19"/>
      <c r="WQV39" s="19"/>
      <c r="WQW39" s="19"/>
      <c r="WQX39" s="21"/>
      <c r="WQY39" s="19"/>
      <c r="WRH39" s="19"/>
      <c r="WRI39" s="19"/>
      <c r="WRJ39" s="19"/>
      <c r="WRK39" s="19"/>
      <c r="WRL39" s="21"/>
      <c r="WRM39" s="19"/>
      <c r="WRV39" s="19"/>
      <c r="WRW39" s="19"/>
      <c r="WRX39" s="19"/>
      <c r="WRY39" s="19"/>
      <c r="WRZ39" s="21"/>
      <c r="WSA39" s="19"/>
      <c r="WSJ39" s="19"/>
      <c r="WSK39" s="19"/>
      <c r="WSL39" s="19"/>
      <c r="WSM39" s="19"/>
      <c r="WSN39" s="21"/>
      <c r="WSO39" s="19"/>
      <c r="WSX39" s="19"/>
      <c r="WSY39" s="19"/>
      <c r="WSZ39" s="19"/>
      <c r="WTA39" s="19"/>
      <c r="WTB39" s="21"/>
      <c r="WTC39" s="19"/>
      <c r="WTL39" s="19"/>
      <c r="WTM39" s="19"/>
      <c r="WTN39" s="19"/>
      <c r="WTO39" s="19"/>
      <c r="WTP39" s="21"/>
      <c r="WTQ39" s="19"/>
      <c r="WTZ39" s="19"/>
      <c r="WUA39" s="19"/>
      <c r="WUB39" s="19"/>
      <c r="WUC39" s="19"/>
      <c r="WUD39" s="21"/>
      <c r="WUE39" s="19"/>
      <c r="WUN39" s="19"/>
      <c r="WUO39" s="19"/>
      <c r="WUP39" s="19"/>
      <c r="WUQ39" s="19"/>
      <c r="WUR39" s="21"/>
      <c r="WUS39" s="19"/>
      <c r="WVB39" s="19"/>
      <c r="WVC39" s="19"/>
      <c r="WVD39" s="19"/>
      <c r="WVE39" s="19"/>
      <c r="WVF39" s="21"/>
      <c r="WVG39" s="19"/>
      <c r="WVP39" s="19"/>
      <c r="WVQ39" s="19"/>
      <c r="WVR39" s="19"/>
      <c r="WVS39" s="19"/>
      <c r="WVT39" s="21"/>
      <c r="WVU39" s="19"/>
      <c r="WWD39" s="19"/>
      <c r="WWE39" s="19"/>
      <c r="WWF39" s="19"/>
      <c r="WWG39" s="19"/>
      <c r="WWH39" s="21"/>
      <c r="WWI39" s="19"/>
      <c r="WWR39" s="19"/>
      <c r="WWS39" s="19"/>
      <c r="WWT39" s="19"/>
      <c r="WWU39" s="19"/>
      <c r="WWV39" s="21"/>
      <c r="WWW39" s="19"/>
      <c r="WXF39" s="19"/>
      <c r="WXG39" s="19"/>
      <c r="WXH39" s="19"/>
      <c r="WXI39" s="19"/>
      <c r="WXJ39" s="21"/>
      <c r="WXK39" s="19"/>
      <c r="WXT39" s="19"/>
      <c r="WXU39" s="19"/>
      <c r="WXV39" s="19"/>
      <c r="WXW39" s="19"/>
      <c r="WXX39" s="21"/>
      <c r="WXY39" s="19"/>
      <c r="WYH39" s="19"/>
      <c r="WYI39" s="19"/>
      <c r="WYJ39" s="19"/>
      <c r="WYK39" s="19"/>
      <c r="WYL39" s="21"/>
      <c r="WYM39" s="19"/>
      <c r="WYV39" s="19"/>
      <c r="WYW39" s="19"/>
      <c r="WYX39" s="19"/>
      <c r="WYY39" s="19"/>
      <c r="WYZ39" s="21"/>
      <c r="WZA39" s="19"/>
      <c r="WZJ39" s="19"/>
      <c r="WZK39" s="19"/>
      <c r="WZL39" s="19"/>
      <c r="WZM39" s="19"/>
      <c r="WZN39" s="21"/>
      <c r="WZO39" s="19"/>
      <c r="WZX39" s="19"/>
      <c r="WZY39" s="19"/>
      <c r="WZZ39" s="19"/>
      <c r="XAA39" s="19"/>
      <c r="XAB39" s="21"/>
      <c r="XAC39" s="19"/>
      <c r="XAL39" s="19"/>
      <c r="XAM39" s="19"/>
      <c r="XAN39" s="19"/>
      <c r="XAO39" s="19"/>
      <c r="XAP39" s="21"/>
      <c r="XAQ39" s="19"/>
      <c r="XAZ39" s="19"/>
      <c r="XBA39" s="19"/>
      <c r="XBB39" s="19"/>
      <c r="XBC39" s="19"/>
      <c r="XBD39" s="21"/>
      <c r="XBE39" s="19"/>
      <c r="XBN39" s="19"/>
      <c r="XBO39" s="19"/>
      <c r="XBP39" s="19"/>
      <c r="XBQ39" s="19"/>
      <c r="XBR39" s="21"/>
      <c r="XBS39" s="19"/>
      <c r="XCB39" s="19"/>
      <c r="XCC39" s="19"/>
      <c r="XCD39" s="19"/>
      <c r="XCE39" s="19"/>
      <c r="XCF39" s="21"/>
      <c r="XCG39" s="19"/>
      <c r="XCP39" s="19"/>
      <c r="XCQ39" s="19"/>
      <c r="XCR39" s="19"/>
      <c r="XCS39" s="19"/>
      <c r="XCT39" s="21"/>
      <c r="XCU39" s="19"/>
      <c r="XDD39" s="19"/>
      <c r="XDE39" s="19"/>
      <c r="XDF39" s="19"/>
      <c r="XDG39" s="19"/>
      <c r="XDH39" s="21"/>
      <c r="XDI39" s="19"/>
      <c r="XDR39" s="19"/>
      <c r="XDS39" s="19"/>
      <c r="XDT39" s="19"/>
      <c r="XDU39" s="19"/>
      <c r="XDV39" s="21"/>
      <c r="XDW39" s="19"/>
      <c r="XEF39" s="19"/>
      <c r="XEG39" s="19"/>
      <c r="XEH39" s="19"/>
      <c r="XEI39" s="19"/>
      <c r="XEJ39" s="21"/>
      <c r="XEK39" s="19"/>
    </row>
    <row r="40" spans="1:1021 1030:2043 2052:3065 3074:7167 7176:8189 8198:9211 9220:10233 10242:14335 14344:15357 15366:16365" s="20" customFormat="1" ht="16" customHeight="1">
      <c r="A40" s="19">
        <v>3</v>
      </c>
      <c r="B40" s="21">
        <v>7</v>
      </c>
      <c r="C40" s="20" t="s">
        <v>130</v>
      </c>
      <c r="D40" s="20">
        <v>5</v>
      </c>
      <c r="E40" s="20">
        <v>3</v>
      </c>
      <c r="F40" s="20">
        <v>1</v>
      </c>
      <c r="G40" s="20">
        <v>2</v>
      </c>
      <c r="H40" s="20">
        <v>0</v>
      </c>
      <c r="I40" s="20">
        <v>9</v>
      </c>
      <c r="J40" s="20">
        <v>5</v>
      </c>
      <c r="K40" s="20">
        <v>4</v>
      </c>
      <c r="L40" s="27"/>
      <c r="M40" s="19"/>
      <c r="V40" s="19"/>
      <c r="W40" s="19"/>
      <c r="X40" s="19"/>
      <c r="Y40" s="19"/>
      <c r="Z40" s="21"/>
      <c r="AA40" s="19"/>
      <c r="AJ40" s="19"/>
      <c r="AK40" s="19"/>
      <c r="AL40" s="19"/>
      <c r="AM40" s="19"/>
      <c r="AN40" s="21"/>
      <c r="AO40" s="19"/>
      <c r="AX40" s="19"/>
      <c r="AY40" s="19"/>
      <c r="AZ40" s="19"/>
      <c r="BA40" s="19"/>
      <c r="BB40" s="21"/>
      <c r="BC40" s="19"/>
      <c r="BL40" s="19"/>
      <c r="BM40" s="19"/>
      <c r="BN40" s="19"/>
      <c r="BO40" s="19"/>
      <c r="BP40" s="21"/>
      <c r="BQ40" s="19"/>
      <c r="BZ40" s="19"/>
      <c r="CA40" s="19"/>
      <c r="CB40" s="19"/>
      <c r="CC40" s="19"/>
      <c r="CD40" s="21"/>
      <c r="CE40" s="19"/>
      <c r="CN40" s="19"/>
      <c r="CO40" s="19"/>
      <c r="CP40" s="19"/>
      <c r="CQ40" s="19"/>
      <c r="CR40" s="21"/>
      <c r="CS40" s="19"/>
      <c r="DB40" s="19"/>
      <c r="DC40" s="19"/>
      <c r="DD40" s="19"/>
      <c r="DE40" s="19"/>
      <c r="DF40" s="21"/>
      <c r="DG40" s="19"/>
      <c r="DP40" s="19"/>
      <c r="DQ40" s="19"/>
      <c r="DR40" s="19"/>
      <c r="DS40" s="19"/>
      <c r="DT40" s="21"/>
      <c r="DU40" s="19"/>
      <c r="ED40" s="19"/>
      <c r="EE40" s="19"/>
      <c r="EF40" s="19"/>
      <c r="EG40" s="19"/>
      <c r="EH40" s="21"/>
      <c r="EI40" s="19"/>
      <c r="ER40" s="19"/>
      <c r="ES40" s="19"/>
      <c r="ET40" s="19"/>
      <c r="EU40" s="19"/>
      <c r="EV40" s="21"/>
      <c r="EW40" s="19"/>
      <c r="FF40" s="19"/>
      <c r="FG40" s="19"/>
      <c r="FH40" s="19"/>
      <c r="FI40" s="19"/>
      <c r="FJ40" s="21"/>
      <c r="FK40" s="19"/>
      <c r="FT40" s="19"/>
      <c r="FU40" s="19"/>
      <c r="FV40" s="19"/>
      <c r="FW40" s="19"/>
      <c r="FX40" s="21"/>
      <c r="FY40" s="19"/>
      <c r="GH40" s="19"/>
      <c r="GI40" s="19"/>
      <c r="GJ40" s="19"/>
      <c r="GK40" s="19"/>
      <c r="GL40" s="21"/>
      <c r="GM40" s="19"/>
      <c r="GV40" s="19"/>
      <c r="GW40" s="19"/>
      <c r="GX40" s="19"/>
      <c r="GY40" s="19"/>
      <c r="GZ40" s="21"/>
      <c r="HA40" s="19"/>
      <c r="HJ40" s="19"/>
      <c r="HK40" s="19"/>
      <c r="HL40" s="19"/>
      <c r="HM40" s="19"/>
      <c r="HN40" s="21"/>
      <c r="HO40" s="19"/>
      <c r="HX40" s="19"/>
      <c r="HY40" s="19"/>
      <c r="HZ40" s="19"/>
      <c r="IA40" s="19"/>
      <c r="IB40" s="21"/>
      <c r="IC40" s="19"/>
      <c r="IL40" s="19"/>
      <c r="IM40" s="19"/>
      <c r="IN40" s="19"/>
      <c r="IO40" s="19"/>
      <c r="IP40" s="21"/>
      <c r="IQ40" s="19"/>
      <c r="IZ40" s="19"/>
      <c r="JA40" s="19"/>
      <c r="JB40" s="19"/>
      <c r="JC40" s="19"/>
      <c r="JD40" s="21"/>
      <c r="JE40" s="19"/>
      <c r="JN40" s="19"/>
      <c r="JO40" s="19"/>
      <c r="JP40" s="19"/>
      <c r="JQ40" s="19"/>
      <c r="JR40" s="21"/>
      <c r="JS40" s="19"/>
      <c r="KB40" s="19"/>
      <c r="KC40" s="19"/>
      <c r="KD40" s="19"/>
      <c r="KE40" s="19"/>
      <c r="KF40" s="21"/>
      <c r="KG40" s="19"/>
      <c r="KP40" s="19"/>
      <c r="KQ40" s="19"/>
      <c r="KR40" s="19"/>
      <c r="KS40" s="19"/>
      <c r="KT40" s="21"/>
      <c r="KU40" s="19"/>
      <c r="LD40" s="19"/>
      <c r="LE40" s="19"/>
      <c r="LF40" s="19"/>
      <c r="LG40" s="19"/>
      <c r="LH40" s="21"/>
      <c r="LI40" s="19"/>
      <c r="LR40" s="19"/>
      <c r="LS40" s="19"/>
      <c r="LT40" s="19"/>
      <c r="LU40" s="19"/>
      <c r="LV40" s="21"/>
      <c r="LW40" s="19"/>
      <c r="MF40" s="19"/>
      <c r="MG40" s="19"/>
      <c r="MH40" s="19"/>
      <c r="MI40" s="19"/>
      <c r="MJ40" s="21"/>
      <c r="MK40" s="19"/>
      <c r="MT40" s="19"/>
      <c r="MU40" s="19"/>
      <c r="MV40" s="19"/>
      <c r="MW40" s="19"/>
      <c r="MX40" s="21"/>
      <c r="MY40" s="19"/>
      <c r="NH40" s="19"/>
      <c r="NI40" s="19"/>
      <c r="NJ40" s="19"/>
      <c r="NK40" s="19"/>
      <c r="NL40" s="21"/>
      <c r="NM40" s="19"/>
      <c r="NV40" s="19"/>
      <c r="NW40" s="19"/>
      <c r="NX40" s="19"/>
      <c r="NY40" s="19"/>
      <c r="NZ40" s="21"/>
      <c r="OA40" s="19"/>
      <c r="OJ40" s="19"/>
      <c r="OK40" s="19"/>
      <c r="OL40" s="19"/>
      <c r="OM40" s="19"/>
      <c r="ON40" s="21"/>
      <c r="OO40" s="19"/>
      <c r="OX40" s="19"/>
      <c r="OY40" s="19"/>
      <c r="OZ40" s="19"/>
      <c r="PA40" s="19"/>
      <c r="PB40" s="21"/>
      <c r="PC40" s="19"/>
      <c r="PL40" s="19"/>
      <c r="PM40" s="19"/>
      <c r="PN40" s="19"/>
      <c r="PO40" s="19"/>
      <c r="PP40" s="21"/>
      <c r="PQ40" s="19"/>
      <c r="PZ40" s="19"/>
      <c r="QA40" s="19"/>
      <c r="QB40" s="19"/>
      <c r="QC40" s="19"/>
      <c r="QD40" s="21"/>
      <c r="QE40" s="19"/>
      <c r="QN40" s="19"/>
      <c r="QO40" s="19"/>
      <c r="QP40" s="19"/>
      <c r="QQ40" s="19"/>
      <c r="QR40" s="21"/>
      <c r="QS40" s="19"/>
      <c r="RB40" s="19"/>
      <c r="RC40" s="19"/>
      <c r="RD40" s="19"/>
      <c r="RE40" s="19"/>
      <c r="RF40" s="21"/>
      <c r="RG40" s="19"/>
      <c r="RP40" s="19"/>
      <c r="RQ40" s="19"/>
      <c r="RR40" s="19"/>
      <c r="RS40" s="19"/>
      <c r="RT40" s="21"/>
      <c r="RU40" s="19"/>
      <c r="SD40" s="19"/>
      <c r="SE40" s="19"/>
      <c r="SF40" s="19"/>
      <c r="SG40" s="19"/>
      <c r="SH40" s="21"/>
      <c r="SI40" s="19"/>
      <c r="SR40" s="19"/>
      <c r="SS40" s="19"/>
      <c r="ST40" s="19"/>
      <c r="SU40" s="19"/>
      <c r="SV40" s="21"/>
      <c r="SW40" s="19"/>
      <c r="TF40" s="19"/>
      <c r="TG40" s="19"/>
      <c r="TH40" s="19"/>
      <c r="TI40" s="19"/>
      <c r="TJ40" s="21"/>
      <c r="TK40" s="19"/>
      <c r="TT40" s="19"/>
      <c r="TU40" s="19"/>
      <c r="TV40" s="19"/>
      <c r="TW40" s="19"/>
      <c r="TX40" s="21"/>
      <c r="TY40" s="19"/>
      <c r="UH40" s="19"/>
      <c r="UI40" s="19"/>
      <c r="UJ40" s="19"/>
      <c r="UK40" s="19"/>
      <c r="UL40" s="21"/>
      <c r="UM40" s="19"/>
      <c r="UV40" s="19"/>
      <c r="UW40" s="19"/>
      <c r="UX40" s="19"/>
      <c r="UY40" s="19"/>
      <c r="UZ40" s="21"/>
      <c r="VA40" s="19"/>
      <c r="VJ40" s="19"/>
      <c r="VK40" s="19"/>
      <c r="VL40" s="19"/>
      <c r="VM40" s="19"/>
      <c r="VN40" s="21"/>
      <c r="VO40" s="19"/>
      <c r="VX40" s="19"/>
      <c r="VY40" s="19"/>
      <c r="VZ40" s="19"/>
      <c r="WA40" s="19"/>
      <c r="WB40" s="21"/>
      <c r="WC40" s="19"/>
      <c r="WL40" s="19"/>
      <c r="WM40" s="19"/>
      <c r="WN40" s="19"/>
      <c r="WO40" s="19"/>
      <c r="WP40" s="21"/>
      <c r="WQ40" s="19"/>
      <c r="WZ40" s="19"/>
      <c r="XA40" s="19"/>
      <c r="XB40" s="19"/>
      <c r="XC40" s="19"/>
      <c r="XD40" s="21"/>
      <c r="XE40" s="19"/>
      <c r="XN40" s="19"/>
      <c r="XO40" s="19"/>
      <c r="XP40" s="19"/>
      <c r="XQ40" s="19"/>
      <c r="XR40" s="21"/>
      <c r="XS40" s="19"/>
      <c r="YB40" s="19"/>
      <c r="YC40" s="19"/>
      <c r="YD40" s="19"/>
      <c r="YE40" s="19"/>
      <c r="YF40" s="21"/>
      <c r="YG40" s="19"/>
      <c r="YP40" s="19"/>
      <c r="YQ40" s="19"/>
      <c r="YR40" s="19"/>
      <c r="YS40" s="19"/>
      <c r="YT40" s="21"/>
      <c r="YU40" s="19"/>
      <c r="ZD40" s="19"/>
      <c r="ZE40" s="19"/>
      <c r="ZF40" s="19"/>
      <c r="ZG40" s="19"/>
      <c r="ZH40" s="21"/>
      <c r="ZI40" s="19"/>
      <c r="ZR40" s="19"/>
      <c r="ZS40" s="19"/>
      <c r="ZT40" s="19"/>
      <c r="ZU40" s="19"/>
      <c r="ZV40" s="21"/>
      <c r="ZW40" s="19"/>
      <c r="AAF40" s="19"/>
      <c r="AAG40" s="19"/>
      <c r="AAH40" s="19"/>
      <c r="AAI40" s="19"/>
      <c r="AAJ40" s="21"/>
      <c r="AAK40" s="19"/>
      <c r="AAT40" s="19"/>
      <c r="AAU40" s="19"/>
      <c r="AAV40" s="19"/>
      <c r="AAW40" s="19"/>
      <c r="AAX40" s="21"/>
      <c r="AAY40" s="19"/>
      <c r="ABH40" s="19"/>
      <c r="ABI40" s="19"/>
      <c r="ABJ40" s="19"/>
      <c r="ABK40" s="19"/>
      <c r="ABL40" s="21"/>
      <c r="ABM40" s="19"/>
      <c r="ABV40" s="19"/>
      <c r="ABW40" s="19"/>
      <c r="ABX40" s="19"/>
      <c r="ABY40" s="19"/>
      <c r="ABZ40" s="21"/>
      <c r="ACA40" s="19"/>
      <c r="ACJ40" s="19"/>
      <c r="ACK40" s="19"/>
      <c r="ACL40" s="19"/>
      <c r="ACM40" s="19"/>
      <c r="ACN40" s="21"/>
      <c r="ACO40" s="19"/>
      <c r="ACX40" s="19"/>
      <c r="ACY40" s="19"/>
      <c r="ACZ40" s="19"/>
      <c r="ADA40" s="19"/>
      <c r="ADB40" s="21"/>
      <c r="ADC40" s="19"/>
      <c r="ADL40" s="19"/>
      <c r="ADM40" s="19"/>
      <c r="ADN40" s="19"/>
      <c r="ADO40" s="19"/>
      <c r="ADP40" s="21"/>
      <c r="ADQ40" s="19"/>
      <c r="ADZ40" s="19"/>
      <c r="AEA40" s="19"/>
      <c r="AEB40" s="19"/>
      <c r="AEC40" s="19"/>
      <c r="AED40" s="21"/>
      <c r="AEE40" s="19"/>
      <c r="AEN40" s="19"/>
      <c r="AEO40" s="19"/>
      <c r="AEP40" s="19"/>
      <c r="AEQ40" s="19"/>
      <c r="AER40" s="21"/>
      <c r="AES40" s="19"/>
      <c r="AFB40" s="19"/>
      <c r="AFC40" s="19"/>
      <c r="AFD40" s="19"/>
      <c r="AFE40" s="19"/>
      <c r="AFF40" s="21"/>
      <c r="AFG40" s="19"/>
      <c r="AFP40" s="19"/>
      <c r="AFQ40" s="19"/>
      <c r="AFR40" s="19"/>
      <c r="AFS40" s="19"/>
      <c r="AFT40" s="21"/>
      <c r="AFU40" s="19"/>
      <c r="AGD40" s="19"/>
      <c r="AGE40" s="19"/>
      <c r="AGF40" s="19"/>
      <c r="AGG40" s="19"/>
      <c r="AGH40" s="21"/>
      <c r="AGI40" s="19"/>
      <c r="AGR40" s="19"/>
      <c r="AGS40" s="19"/>
      <c r="AGT40" s="19"/>
      <c r="AGU40" s="19"/>
      <c r="AGV40" s="21"/>
      <c r="AGW40" s="19"/>
      <c r="AHF40" s="19"/>
      <c r="AHG40" s="19"/>
      <c r="AHH40" s="19"/>
      <c r="AHI40" s="19"/>
      <c r="AHJ40" s="21"/>
      <c r="AHK40" s="19"/>
      <c r="AHT40" s="19"/>
      <c r="AHU40" s="19"/>
      <c r="AHV40" s="19"/>
      <c r="AHW40" s="19"/>
      <c r="AHX40" s="21"/>
      <c r="AHY40" s="19"/>
      <c r="AIH40" s="19"/>
      <c r="AII40" s="19"/>
      <c r="AIJ40" s="19"/>
      <c r="AIK40" s="19"/>
      <c r="AIL40" s="21"/>
      <c r="AIM40" s="19"/>
      <c r="AIV40" s="19"/>
      <c r="AIW40" s="19"/>
      <c r="AIX40" s="19"/>
      <c r="AIY40" s="19"/>
      <c r="AIZ40" s="21"/>
      <c r="AJA40" s="19"/>
      <c r="AJJ40" s="19"/>
      <c r="AJK40" s="19"/>
      <c r="AJL40" s="19"/>
      <c r="AJM40" s="19"/>
      <c r="AJN40" s="21"/>
      <c r="AJO40" s="19"/>
      <c r="AJX40" s="19"/>
      <c r="AJY40" s="19"/>
      <c r="AJZ40" s="19"/>
      <c r="AKA40" s="19"/>
      <c r="AKB40" s="21"/>
      <c r="AKC40" s="19"/>
      <c r="AKL40" s="19"/>
      <c r="AKM40" s="19"/>
      <c r="AKN40" s="19"/>
      <c r="AKO40" s="19"/>
      <c r="AKP40" s="21"/>
      <c r="AKQ40" s="19"/>
      <c r="AKZ40" s="19"/>
      <c r="ALA40" s="19"/>
      <c r="ALB40" s="19"/>
      <c r="ALC40" s="19"/>
      <c r="ALD40" s="21"/>
      <c r="ALE40" s="19"/>
      <c r="ALN40" s="19"/>
      <c r="ALO40" s="19"/>
      <c r="ALP40" s="19"/>
      <c r="ALQ40" s="19"/>
      <c r="ALR40" s="21"/>
      <c r="ALS40" s="19"/>
      <c r="AMB40" s="19"/>
      <c r="AMC40" s="19"/>
      <c r="AMD40" s="19"/>
      <c r="AME40" s="19"/>
      <c r="AMF40" s="21"/>
      <c r="AMG40" s="19"/>
      <c r="AMP40" s="19"/>
      <c r="AMQ40" s="19"/>
      <c r="AMR40" s="19"/>
      <c r="AMS40" s="19"/>
      <c r="AMT40" s="21"/>
      <c r="AMU40" s="19"/>
      <c r="AND40" s="19"/>
      <c r="ANE40" s="19"/>
      <c r="ANF40" s="19"/>
      <c r="ANG40" s="19"/>
      <c r="ANH40" s="21"/>
      <c r="ANI40" s="19"/>
      <c r="ANR40" s="19"/>
      <c r="ANS40" s="19"/>
      <c r="ANT40" s="19"/>
      <c r="ANU40" s="19"/>
      <c r="ANV40" s="21"/>
      <c r="ANW40" s="19"/>
      <c r="AOF40" s="19"/>
      <c r="AOG40" s="19"/>
      <c r="AOH40" s="19"/>
      <c r="AOI40" s="19"/>
      <c r="AOJ40" s="21"/>
      <c r="AOK40" s="19"/>
      <c r="AOT40" s="19"/>
      <c r="AOU40" s="19"/>
      <c r="AOV40" s="19"/>
      <c r="AOW40" s="19"/>
      <c r="AOX40" s="21"/>
      <c r="AOY40" s="19"/>
      <c r="APH40" s="19"/>
      <c r="API40" s="19"/>
      <c r="APJ40" s="19"/>
      <c r="APK40" s="19"/>
      <c r="APL40" s="21"/>
      <c r="APM40" s="19"/>
      <c r="APV40" s="19"/>
      <c r="APW40" s="19"/>
      <c r="APX40" s="19"/>
      <c r="APY40" s="19"/>
      <c r="APZ40" s="21"/>
      <c r="AQA40" s="19"/>
      <c r="AQJ40" s="19"/>
      <c r="AQK40" s="19"/>
      <c r="AQL40" s="19"/>
      <c r="AQM40" s="19"/>
      <c r="AQN40" s="21"/>
      <c r="AQO40" s="19"/>
      <c r="AQX40" s="19"/>
      <c r="AQY40" s="19"/>
      <c r="AQZ40" s="19"/>
      <c r="ARA40" s="19"/>
      <c r="ARB40" s="21"/>
      <c r="ARC40" s="19"/>
      <c r="ARL40" s="19"/>
      <c r="ARM40" s="19"/>
      <c r="ARN40" s="19"/>
      <c r="ARO40" s="19"/>
      <c r="ARP40" s="21"/>
      <c r="ARQ40" s="19"/>
      <c r="ARZ40" s="19"/>
      <c r="ASA40" s="19"/>
      <c r="ASB40" s="19"/>
      <c r="ASC40" s="19"/>
      <c r="ASD40" s="21"/>
      <c r="ASE40" s="19"/>
      <c r="ASN40" s="19"/>
      <c r="ASO40" s="19"/>
      <c r="ASP40" s="19"/>
      <c r="ASQ40" s="19"/>
      <c r="ASR40" s="21"/>
      <c r="ASS40" s="19"/>
      <c r="ATB40" s="19"/>
      <c r="ATC40" s="19"/>
      <c r="ATD40" s="19"/>
      <c r="ATE40" s="19"/>
      <c r="ATF40" s="21"/>
      <c r="ATG40" s="19"/>
      <c r="ATP40" s="19"/>
      <c r="ATQ40" s="19"/>
      <c r="ATR40" s="19"/>
      <c r="ATS40" s="19"/>
      <c r="ATT40" s="21"/>
      <c r="ATU40" s="19"/>
      <c r="AUD40" s="19"/>
      <c r="AUE40" s="19"/>
      <c r="AUF40" s="19"/>
      <c r="AUG40" s="19"/>
      <c r="AUH40" s="21"/>
      <c r="AUI40" s="19"/>
      <c r="AUR40" s="19"/>
      <c r="AUS40" s="19"/>
      <c r="AUT40" s="19"/>
      <c r="AUU40" s="19"/>
      <c r="AUV40" s="21"/>
      <c r="AUW40" s="19"/>
      <c r="AVF40" s="19"/>
      <c r="AVG40" s="19"/>
      <c r="AVH40" s="19"/>
      <c r="AVI40" s="19"/>
      <c r="AVJ40" s="21"/>
      <c r="AVK40" s="19"/>
      <c r="AVT40" s="19"/>
      <c r="AVU40" s="19"/>
      <c r="AVV40" s="19"/>
      <c r="AVW40" s="19"/>
      <c r="AVX40" s="21"/>
      <c r="AVY40" s="19"/>
      <c r="AWH40" s="19"/>
      <c r="AWI40" s="19"/>
      <c r="AWJ40" s="19"/>
      <c r="AWK40" s="19"/>
      <c r="AWL40" s="21"/>
      <c r="AWM40" s="19"/>
      <c r="AWV40" s="19"/>
      <c r="AWW40" s="19"/>
      <c r="AWX40" s="19"/>
      <c r="AWY40" s="19"/>
      <c r="AWZ40" s="21"/>
      <c r="AXA40" s="19"/>
      <c r="AXJ40" s="19"/>
      <c r="AXK40" s="19"/>
      <c r="AXL40" s="19"/>
      <c r="AXM40" s="19"/>
      <c r="AXN40" s="21"/>
      <c r="AXO40" s="19"/>
      <c r="AXX40" s="19"/>
      <c r="AXY40" s="19"/>
      <c r="AXZ40" s="19"/>
      <c r="AYA40" s="19"/>
      <c r="AYB40" s="21"/>
      <c r="AYC40" s="19"/>
      <c r="AYL40" s="19"/>
      <c r="AYM40" s="19"/>
      <c r="AYN40" s="19"/>
      <c r="AYO40" s="19"/>
      <c r="AYP40" s="21"/>
      <c r="AYQ40" s="19"/>
      <c r="AYZ40" s="19"/>
      <c r="AZA40" s="19"/>
      <c r="AZB40" s="19"/>
      <c r="AZC40" s="19"/>
      <c r="AZD40" s="21"/>
      <c r="AZE40" s="19"/>
      <c r="AZN40" s="19"/>
      <c r="AZO40" s="19"/>
      <c r="AZP40" s="19"/>
      <c r="AZQ40" s="19"/>
      <c r="AZR40" s="21"/>
      <c r="AZS40" s="19"/>
      <c r="BAB40" s="19"/>
      <c r="BAC40" s="19"/>
      <c r="BAD40" s="19"/>
      <c r="BAE40" s="19"/>
      <c r="BAF40" s="21"/>
      <c r="BAG40" s="19"/>
      <c r="BAP40" s="19"/>
      <c r="BAQ40" s="19"/>
      <c r="BAR40" s="19"/>
      <c r="BAS40" s="19"/>
      <c r="BAT40" s="21"/>
      <c r="BAU40" s="19"/>
      <c r="BBD40" s="19"/>
      <c r="BBE40" s="19"/>
      <c r="BBF40" s="19"/>
      <c r="BBG40" s="19"/>
      <c r="BBH40" s="21"/>
      <c r="BBI40" s="19"/>
      <c r="BBR40" s="19"/>
      <c r="BBS40" s="19"/>
      <c r="BBT40" s="19"/>
      <c r="BBU40" s="19"/>
      <c r="BBV40" s="21"/>
      <c r="BBW40" s="19"/>
      <c r="BCF40" s="19"/>
      <c r="BCG40" s="19"/>
      <c r="BCH40" s="19"/>
      <c r="BCI40" s="19"/>
      <c r="BCJ40" s="21"/>
      <c r="BCK40" s="19"/>
      <c r="BCT40" s="19"/>
      <c r="BCU40" s="19"/>
      <c r="BCV40" s="19"/>
      <c r="BCW40" s="19"/>
      <c r="BCX40" s="21"/>
      <c r="BCY40" s="19"/>
      <c r="BDH40" s="19"/>
      <c r="BDI40" s="19"/>
      <c r="BDJ40" s="19"/>
      <c r="BDK40" s="19"/>
      <c r="BDL40" s="21"/>
      <c r="BDM40" s="19"/>
      <c r="BDV40" s="19"/>
      <c r="BDW40" s="19"/>
      <c r="BDX40" s="19"/>
      <c r="BDY40" s="19"/>
      <c r="BDZ40" s="21"/>
      <c r="BEA40" s="19"/>
      <c r="BEJ40" s="19"/>
      <c r="BEK40" s="19"/>
      <c r="BEL40" s="19"/>
      <c r="BEM40" s="19"/>
      <c r="BEN40" s="21"/>
      <c r="BEO40" s="19"/>
      <c r="BEX40" s="19"/>
      <c r="BEY40" s="19"/>
      <c r="BEZ40" s="19"/>
      <c r="BFA40" s="19"/>
      <c r="BFB40" s="21"/>
      <c r="BFC40" s="19"/>
      <c r="BFL40" s="19"/>
      <c r="BFM40" s="19"/>
      <c r="BFN40" s="19"/>
      <c r="BFO40" s="19"/>
      <c r="BFP40" s="21"/>
      <c r="BFQ40" s="19"/>
      <c r="BFZ40" s="19"/>
      <c r="BGA40" s="19"/>
      <c r="BGB40" s="19"/>
      <c r="BGC40" s="19"/>
      <c r="BGD40" s="21"/>
      <c r="BGE40" s="19"/>
      <c r="BGN40" s="19"/>
      <c r="BGO40" s="19"/>
      <c r="BGP40" s="19"/>
      <c r="BGQ40" s="19"/>
      <c r="BGR40" s="21"/>
      <c r="BGS40" s="19"/>
      <c r="BHB40" s="19"/>
      <c r="BHC40" s="19"/>
      <c r="BHD40" s="19"/>
      <c r="BHE40" s="19"/>
      <c r="BHF40" s="21"/>
      <c r="BHG40" s="19"/>
      <c r="BHP40" s="19"/>
      <c r="BHQ40" s="19"/>
      <c r="BHR40" s="19"/>
      <c r="BHS40" s="19"/>
      <c r="BHT40" s="21"/>
      <c r="BHU40" s="19"/>
      <c r="BID40" s="19"/>
      <c r="BIE40" s="19"/>
      <c r="BIF40" s="19"/>
      <c r="BIG40" s="19"/>
      <c r="BIH40" s="21"/>
      <c r="BII40" s="19"/>
      <c r="BIR40" s="19"/>
      <c r="BIS40" s="19"/>
      <c r="BIT40" s="19"/>
      <c r="BIU40" s="19"/>
      <c r="BIV40" s="21"/>
      <c r="BIW40" s="19"/>
      <c r="BJF40" s="19"/>
      <c r="BJG40" s="19"/>
      <c r="BJH40" s="19"/>
      <c r="BJI40" s="19"/>
      <c r="BJJ40" s="21"/>
      <c r="BJK40" s="19"/>
      <c r="BJT40" s="19"/>
      <c r="BJU40" s="19"/>
      <c r="BJV40" s="19"/>
      <c r="BJW40" s="19"/>
      <c r="BJX40" s="21"/>
      <c r="BJY40" s="19"/>
      <c r="BKH40" s="19"/>
      <c r="BKI40" s="19"/>
      <c r="BKJ40" s="19"/>
      <c r="BKK40" s="19"/>
      <c r="BKL40" s="21"/>
      <c r="BKM40" s="19"/>
      <c r="BKV40" s="19"/>
      <c r="BKW40" s="19"/>
      <c r="BKX40" s="19"/>
      <c r="BKY40" s="19"/>
      <c r="BKZ40" s="21"/>
      <c r="BLA40" s="19"/>
      <c r="BLJ40" s="19"/>
      <c r="BLK40" s="19"/>
      <c r="BLL40" s="19"/>
      <c r="BLM40" s="19"/>
      <c r="BLN40" s="21"/>
      <c r="BLO40" s="19"/>
      <c r="BLX40" s="19"/>
      <c r="BLY40" s="19"/>
      <c r="BLZ40" s="19"/>
      <c r="BMA40" s="19"/>
      <c r="BMB40" s="21"/>
      <c r="BMC40" s="19"/>
      <c r="BML40" s="19"/>
      <c r="BMM40" s="19"/>
      <c r="BMN40" s="19"/>
      <c r="BMO40" s="19"/>
      <c r="BMP40" s="21"/>
      <c r="BMQ40" s="19"/>
      <c r="BMZ40" s="19"/>
      <c r="BNA40" s="19"/>
      <c r="BNB40" s="19"/>
      <c r="BNC40" s="19"/>
      <c r="BND40" s="21"/>
      <c r="BNE40" s="19"/>
      <c r="BNN40" s="19"/>
      <c r="BNO40" s="19"/>
      <c r="BNP40" s="19"/>
      <c r="BNQ40" s="19"/>
      <c r="BNR40" s="21"/>
      <c r="BNS40" s="19"/>
      <c r="BOB40" s="19"/>
      <c r="BOC40" s="19"/>
      <c r="BOD40" s="19"/>
      <c r="BOE40" s="19"/>
      <c r="BOF40" s="21"/>
      <c r="BOG40" s="19"/>
      <c r="BOP40" s="19"/>
      <c r="BOQ40" s="19"/>
      <c r="BOR40" s="19"/>
      <c r="BOS40" s="19"/>
      <c r="BOT40" s="21"/>
      <c r="BOU40" s="19"/>
      <c r="BPD40" s="19"/>
      <c r="BPE40" s="19"/>
      <c r="BPF40" s="19"/>
      <c r="BPG40" s="19"/>
      <c r="BPH40" s="21"/>
      <c r="BPI40" s="19"/>
      <c r="BPR40" s="19"/>
      <c r="BPS40" s="19"/>
      <c r="BPT40" s="19"/>
      <c r="BPU40" s="19"/>
      <c r="BPV40" s="21"/>
      <c r="BPW40" s="19"/>
      <c r="BQF40" s="19"/>
      <c r="BQG40" s="19"/>
      <c r="BQH40" s="19"/>
      <c r="BQI40" s="19"/>
      <c r="BQJ40" s="21"/>
      <c r="BQK40" s="19"/>
      <c r="BQT40" s="19"/>
      <c r="BQU40" s="19"/>
      <c r="BQV40" s="19"/>
      <c r="BQW40" s="19"/>
      <c r="BQX40" s="21"/>
      <c r="BQY40" s="19"/>
      <c r="BRH40" s="19"/>
      <c r="BRI40" s="19"/>
      <c r="BRJ40" s="19"/>
      <c r="BRK40" s="19"/>
      <c r="BRL40" s="21"/>
      <c r="BRM40" s="19"/>
      <c r="BRV40" s="19"/>
      <c r="BRW40" s="19"/>
      <c r="BRX40" s="19"/>
      <c r="BRY40" s="19"/>
      <c r="BRZ40" s="21"/>
      <c r="BSA40" s="19"/>
      <c r="BSJ40" s="19"/>
      <c r="BSK40" s="19"/>
      <c r="BSL40" s="19"/>
      <c r="BSM40" s="19"/>
      <c r="BSN40" s="21"/>
      <c r="BSO40" s="19"/>
      <c r="BSX40" s="19"/>
      <c r="BSY40" s="19"/>
      <c r="BSZ40" s="19"/>
      <c r="BTA40" s="19"/>
      <c r="BTB40" s="21"/>
      <c r="BTC40" s="19"/>
      <c r="BTL40" s="19"/>
      <c r="BTM40" s="19"/>
      <c r="BTN40" s="19"/>
      <c r="BTO40" s="19"/>
      <c r="BTP40" s="21"/>
      <c r="BTQ40" s="19"/>
      <c r="BTZ40" s="19"/>
      <c r="BUA40" s="19"/>
      <c r="BUB40" s="19"/>
      <c r="BUC40" s="19"/>
      <c r="BUD40" s="21"/>
      <c r="BUE40" s="19"/>
      <c r="BUN40" s="19"/>
      <c r="BUO40" s="19"/>
      <c r="BUP40" s="19"/>
      <c r="BUQ40" s="19"/>
      <c r="BUR40" s="21"/>
      <c r="BUS40" s="19"/>
      <c r="BVB40" s="19"/>
      <c r="BVC40" s="19"/>
      <c r="BVD40" s="19"/>
      <c r="BVE40" s="19"/>
      <c r="BVF40" s="21"/>
      <c r="BVG40" s="19"/>
      <c r="BVP40" s="19"/>
      <c r="BVQ40" s="19"/>
      <c r="BVR40" s="19"/>
      <c r="BVS40" s="19"/>
      <c r="BVT40" s="21"/>
      <c r="BVU40" s="19"/>
      <c r="BWD40" s="19"/>
      <c r="BWE40" s="19"/>
      <c r="BWF40" s="19"/>
      <c r="BWG40" s="19"/>
      <c r="BWH40" s="21"/>
      <c r="BWI40" s="19"/>
      <c r="BWR40" s="19"/>
      <c r="BWS40" s="19"/>
      <c r="BWT40" s="19"/>
      <c r="BWU40" s="19"/>
      <c r="BWV40" s="21"/>
      <c r="BWW40" s="19"/>
      <c r="BXF40" s="19"/>
      <c r="BXG40" s="19"/>
      <c r="BXH40" s="19"/>
      <c r="BXI40" s="19"/>
      <c r="BXJ40" s="21"/>
      <c r="BXK40" s="19"/>
      <c r="BXT40" s="19"/>
      <c r="BXU40" s="19"/>
      <c r="BXV40" s="19"/>
      <c r="BXW40" s="19"/>
      <c r="BXX40" s="21"/>
      <c r="BXY40" s="19"/>
      <c r="BYH40" s="19"/>
      <c r="BYI40" s="19"/>
      <c r="BYJ40" s="19"/>
      <c r="BYK40" s="19"/>
      <c r="BYL40" s="21"/>
      <c r="BYM40" s="19"/>
      <c r="BYV40" s="19"/>
      <c r="BYW40" s="19"/>
      <c r="BYX40" s="19"/>
      <c r="BYY40" s="19"/>
      <c r="BYZ40" s="21"/>
      <c r="BZA40" s="19"/>
      <c r="BZJ40" s="19"/>
      <c r="BZK40" s="19"/>
      <c r="BZL40" s="19"/>
      <c r="BZM40" s="19"/>
      <c r="BZN40" s="21"/>
      <c r="BZO40" s="19"/>
      <c r="BZX40" s="19"/>
      <c r="BZY40" s="19"/>
      <c r="BZZ40" s="19"/>
      <c r="CAA40" s="19"/>
      <c r="CAB40" s="21"/>
      <c r="CAC40" s="19"/>
      <c r="CAL40" s="19"/>
      <c r="CAM40" s="19"/>
      <c r="CAN40" s="19"/>
      <c r="CAO40" s="19"/>
      <c r="CAP40" s="21"/>
      <c r="CAQ40" s="19"/>
      <c r="CAZ40" s="19"/>
      <c r="CBA40" s="19"/>
      <c r="CBB40" s="19"/>
      <c r="CBC40" s="19"/>
      <c r="CBD40" s="21"/>
      <c r="CBE40" s="19"/>
      <c r="CBN40" s="19"/>
      <c r="CBO40" s="19"/>
      <c r="CBP40" s="19"/>
      <c r="CBQ40" s="19"/>
      <c r="CBR40" s="21"/>
      <c r="CBS40" s="19"/>
      <c r="CCB40" s="19"/>
      <c r="CCC40" s="19"/>
      <c r="CCD40" s="19"/>
      <c r="CCE40" s="19"/>
      <c r="CCF40" s="21"/>
      <c r="CCG40" s="19"/>
      <c r="CCP40" s="19"/>
      <c r="CCQ40" s="19"/>
      <c r="CCR40" s="19"/>
      <c r="CCS40" s="19"/>
      <c r="CCT40" s="21"/>
      <c r="CCU40" s="19"/>
      <c r="CDD40" s="19"/>
      <c r="CDE40" s="19"/>
      <c r="CDF40" s="19"/>
      <c r="CDG40" s="19"/>
      <c r="CDH40" s="21"/>
      <c r="CDI40" s="19"/>
      <c r="CDR40" s="19"/>
      <c r="CDS40" s="19"/>
      <c r="CDT40" s="19"/>
      <c r="CDU40" s="19"/>
      <c r="CDV40" s="21"/>
      <c r="CDW40" s="19"/>
      <c r="CEF40" s="19"/>
      <c r="CEG40" s="19"/>
      <c r="CEH40" s="19"/>
      <c r="CEI40" s="19"/>
      <c r="CEJ40" s="21"/>
      <c r="CEK40" s="19"/>
      <c r="CET40" s="19"/>
      <c r="CEU40" s="19"/>
      <c r="CEV40" s="19"/>
      <c r="CEW40" s="19"/>
      <c r="CEX40" s="21"/>
      <c r="CEY40" s="19"/>
      <c r="CFH40" s="19"/>
      <c r="CFI40" s="19"/>
      <c r="CFJ40" s="19"/>
      <c r="CFK40" s="19"/>
      <c r="CFL40" s="21"/>
      <c r="CFM40" s="19"/>
      <c r="CFV40" s="19"/>
      <c r="CFW40" s="19"/>
      <c r="CFX40" s="19"/>
      <c r="CFY40" s="19"/>
      <c r="CFZ40" s="21"/>
      <c r="CGA40" s="19"/>
      <c r="CGJ40" s="19"/>
      <c r="CGK40" s="19"/>
      <c r="CGL40" s="19"/>
      <c r="CGM40" s="19"/>
      <c r="CGN40" s="21"/>
      <c r="CGO40" s="19"/>
      <c r="CGX40" s="19"/>
      <c r="CGY40" s="19"/>
      <c r="CGZ40" s="19"/>
      <c r="CHA40" s="19"/>
      <c r="CHB40" s="21"/>
      <c r="CHC40" s="19"/>
      <c r="CHL40" s="19"/>
      <c r="CHM40" s="19"/>
      <c r="CHN40" s="19"/>
      <c r="CHO40" s="19"/>
      <c r="CHP40" s="21"/>
      <c r="CHQ40" s="19"/>
      <c r="CHZ40" s="19"/>
      <c r="CIA40" s="19"/>
      <c r="CIB40" s="19"/>
      <c r="CIC40" s="19"/>
      <c r="CID40" s="21"/>
      <c r="CIE40" s="19"/>
      <c r="CIN40" s="19"/>
      <c r="CIO40" s="19"/>
      <c r="CIP40" s="19"/>
      <c r="CIQ40" s="19"/>
      <c r="CIR40" s="21"/>
      <c r="CIS40" s="19"/>
      <c r="CJB40" s="19"/>
      <c r="CJC40" s="19"/>
      <c r="CJD40" s="19"/>
      <c r="CJE40" s="19"/>
      <c r="CJF40" s="21"/>
      <c r="CJG40" s="19"/>
      <c r="CJP40" s="19"/>
      <c r="CJQ40" s="19"/>
      <c r="CJR40" s="19"/>
      <c r="CJS40" s="19"/>
      <c r="CJT40" s="21"/>
      <c r="CJU40" s="19"/>
      <c r="CKD40" s="19"/>
      <c r="CKE40" s="19"/>
      <c r="CKF40" s="19"/>
      <c r="CKG40" s="19"/>
      <c r="CKH40" s="21"/>
      <c r="CKI40" s="19"/>
      <c r="CKR40" s="19"/>
      <c r="CKS40" s="19"/>
      <c r="CKT40" s="19"/>
      <c r="CKU40" s="19"/>
      <c r="CKV40" s="21"/>
      <c r="CKW40" s="19"/>
      <c r="CLF40" s="19"/>
      <c r="CLG40" s="19"/>
      <c r="CLH40" s="19"/>
      <c r="CLI40" s="19"/>
      <c r="CLJ40" s="21"/>
      <c r="CLK40" s="19"/>
      <c r="CLT40" s="19"/>
      <c r="CLU40" s="19"/>
      <c r="CLV40" s="19"/>
      <c r="CLW40" s="19"/>
      <c r="CLX40" s="21"/>
      <c r="CLY40" s="19"/>
      <c r="CMH40" s="19"/>
      <c r="CMI40" s="19"/>
      <c r="CMJ40" s="19"/>
      <c r="CMK40" s="19"/>
      <c r="CML40" s="21"/>
      <c r="CMM40" s="19"/>
      <c r="CMV40" s="19"/>
      <c r="CMW40" s="19"/>
      <c r="CMX40" s="19"/>
      <c r="CMY40" s="19"/>
      <c r="CMZ40" s="21"/>
      <c r="CNA40" s="19"/>
      <c r="CNJ40" s="19"/>
      <c r="CNK40" s="19"/>
      <c r="CNL40" s="19"/>
      <c r="CNM40" s="19"/>
      <c r="CNN40" s="21"/>
      <c r="CNO40" s="19"/>
      <c r="CNX40" s="19"/>
      <c r="CNY40" s="19"/>
      <c r="CNZ40" s="19"/>
      <c r="COA40" s="19"/>
      <c r="COB40" s="21"/>
      <c r="COC40" s="19"/>
      <c r="COL40" s="19"/>
      <c r="COM40" s="19"/>
      <c r="CON40" s="19"/>
      <c r="COO40" s="19"/>
      <c r="COP40" s="21"/>
      <c r="COQ40" s="19"/>
      <c r="COZ40" s="19"/>
      <c r="CPA40" s="19"/>
      <c r="CPB40" s="19"/>
      <c r="CPC40" s="19"/>
      <c r="CPD40" s="21"/>
      <c r="CPE40" s="19"/>
      <c r="CPN40" s="19"/>
      <c r="CPO40" s="19"/>
      <c r="CPP40" s="19"/>
      <c r="CPQ40" s="19"/>
      <c r="CPR40" s="21"/>
      <c r="CPS40" s="19"/>
      <c r="CQB40" s="19"/>
      <c r="CQC40" s="19"/>
      <c r="CQD40" s="19"/>
      <c r="CQE40" s="19"/>
      <c r="CQF40" s="21"/>
      <c r="CQG40" s="19"/>
      <c r="CQP40" s="19"/>
      <c r="CQQ40" s="19"/>
      <c r="CQR40" s="19"/>
      <c r="CQS40" s="19"/>
      <c r="CQT40" s="21"/>
      <c r="CQU40" s="19"/>
      <c r="CRD40" s="19"/>
      <c r="CRE40" s="19"/>
      <c r="CRF40" s="19"/>
      <c r="CRG40" s="19"/>
      <c r="CRH40" s="21"/>
      <c r="CRI40" s="19"/>
      <c r="CRR40" s="19"/>
      <c r="CRS40" s="19"/>
      <c r="CRT40" s="19"/>
      <c r="CRU40" s="19"/>
      <c r="CRV40" s="21"/>
      <c r="CRW40" s="19"/>
      <c r="CSF40" s="19"/>
      <c r="CSG40" s="19"/>
      <c r="CSH40" s="19"/>
      <c r="CSI40" s="19"/>
      <c r="CSJ40" s="21"/>
      <c r="CSK40" s="19"/>
      <c r="CST40" s="19"/>
      <c r="CSU40" s="19"/>
      <c r="CSV40" s="19"/>
      <c r="CSW40" s="19"/>
      <c r="CSX40" s="21"/>
      <c r="CSY40" s="19"/>
      <c r="CTH40" s="19"/>
      <c r="CTI40" s="19"/>
      <c r="CTJ40" s="19"/>
      <c r="CTK40" s="19"/>
      <c r="CTL40" s="21"/>
      <c r="CTM40" s="19"/>
      <c r="CTV40" s="19"/>
      <c r="CTW40" s="19"/>
      <c r="CTX40" s="19"/>
      <c r="CTY40" s="19"/>
      <c r="CTZ40" s="21"/>
      <c r="CUA40" s="19"/>
      <c r="CUJ40" s="19"/>
      <c r="CUK40" s="19"/>
      <c r="CUL40" s="19"/>
      <c r="CUM40" s="19"/>
      <c r="CUN40" s="21"/>
      <c r="CUO40" s="19"/>
      <c r="CUX40" s="19"/>
      <c r="CUY40" s="19"/>
      <c r="CUZ40" s="19"/>
      <c r="CVA40" s="19"/>
      <c r="CVB40" s="21"/>
      <c r="CVC40" s="19"/>
      <c r="CVL40" s="19"/>
      <c r="CVM40" s="19"/>
      <c r="CVN40" s="19"/>
      <c r="CVO40" s="19"/>
      <c r="CVP40" s="21"/>
      <c r="CVQ40" s="19"/>
      <c r="CVZ40" s="19"/>
      <c r="CWA40" s="19"/>
      <c r="CWB40" s="19"/>
      <c r="CWC40" s="19"/>
      <c r="CWD40" s="21"/>
      <c r="CWE40" s="19"/>
      <c r="CWN40" s="19"/>
      <c r="CWO40" s="19"/>
      <c r="CWP40" s="19"/>
      <c r="CWQ40" s="19"/>
      <c r="CWR40" s="21"/>
      <c r="CWS40" s="19"/>
      <c r="CXB40" s="19"/>
      <c r="CXC40" s="19"/>
      <c r="CXD40" s="19"/>
      <c r="CXE40" s="19"/>
      <c r="CXF40" s="21"/>
      <c r="CXG40" s="19"/>
      <c r="CXP40" s="19"/>
      <c r="CXQ40" s="19"/>
      <c r="CXR40" s="19"/>
      <c r="CXS40" s="19"/>
      <c r="CXT40" s="21"/>
      <c r="CXU40" s="19"/>
      <c r="CYD40" s="19"/>
      <c r="CYE40" s="19"/>
      <c r="CYF40" s="19"/>
      <c r="CYG40" s="19"/>
      <c r="CYH40" s="21"/>
      <c r="CYI40" s="19"/>
      <c r="CYR40" s="19"/>
      <c r="CYS40" s="19"/>
      <c r="CYT40" s="19"/>
      <c r="CYU40" s="19"/>
      <c r="CYV40" s="21"/>
      <c r="CYW40" s="19"/>
      <c r="CZF40" s="19"/>
      <c r="CZG40" s="19"/>
      <c r="CZH40" s="19"/>
      <c r="CZI40" s="19"/>
      <c r="CZJ40" s="21"/>
      <c r="CZK40" s="19"/>
      <c r="CZT40" s="19"/>
      <c r="CZU40" s="19"/>
      <c r="CZV40" s="19"/>
      <c r="CZW40" s="19"/>
      <c r="CZX40" s="21"/>
      <c r="CZY40" s="19"/>
      <c r="DAH40" s="19"/>
      <c r="DAI40" s="19"/>
      <c r="DAJ40" s="19"/>
      <c r="DAK40" s="19"/>
      <c r="DAL40" s="21"/>
      <c r="DAM40" s="19"/>
      <c r="DAV40" s="19"/>
      <c r="DAW40" s="19"/>
      <c r="DAX40" s="19"/>
      <c r="DAY40" s="19"/>
      <c r="DAZ40" s="21"/>
      <c r="DBA40" s="19"/>
      <c r="DBJ40" s="19"/>
      <c r="DBK40" s="19"/>
      <c r="DBL40" s="19"/>
      <c r="DBM40" s="19"/>
      <c r="DBN40" s="21"/>
      <c r="DBO40" s="19"/>
      <c r="DBX40" s="19"/>
      <c r="DBY40" s="19"/>
      <c r="DBZ40" s="19"/>
      <c r="DCA40" s="19"/>
      <c r="DCB40" s="21"/>
      <c r="DCC40" s="19"/>
      <c r="DCL40" s="19"/>
      <c r="DCM40" s="19"/>
      <c r="DCN40" s="19"/>
      <c r="DCO40" s="19"/>
      <c r="DCP40" s="21"/>
      <c r="DCQ40" s="19"/>
      <c r="DCZ40" s="19"/>
      <c r="DDA40" s="19"/>
      <c r="DDB40" s="19"/>
      <c r="DDC40" s="19"/>
      <c r="DDD40" s="21"/>
      <c r="DDE40" s="19"/>
      <c r="DDN40" s="19"/>
      <c r="DDO40" s="19"/>
      <c r="DDP40" s="19"/>
      <c r="DDQ40" s="19"/>
      <c r="DDR40" s="21"/>
      <c r="DDS40" s="19"/>
      <c r="DEB40" s="19"/>
      <c r="DEC40" s="19"/>
      <c r="DED40" s="19"/>
      <c r="DEE40" s="19"/>
      <c r="DEF40" s="21"/>
      <c r="DEG40" s="19"/>
      <c r="DEP40" s="19"/>
      <c r="DEQ40" s="19"/>
      <c r="DER40" s="19"/>
      <c r="DES40" s="19"/>
      <c r="DET40" s="21"/>
      <c r="DEU40" s="19"/>
      <c r="DFD40" s="19"/>
      <c r="DFE40" s="19"/>
      <c r="DFF40" s="19"/>
      <c r="DFG40" s="19"/>
      <c r="DFH40" s="21"/>
      <c r="DFI40" s="19"/>
      <c r="DFR40" s="19"/>
      <c r="DFS40" s="19"/>
      <c r="DFT40" s="19"/>
      <c r="DFU40" s="19"/>
      <c r="DFV40" s="21"/>
      <c r="DFW40" s="19"/>
      <c r="DGF40" s="19"/>
      <c r="DGG40" s="19"/>
      <c r="DGH40" s="19"/>
      <c r="DGI40" s="19"/>
      <c r="DGJ40" s="21"/>
      <c r="DGK40" s="19"/>
      <c r="DGT40" s="19"/>
      <c r="DGU40" s="19"/>
      <c r="DGV40" s="19"/>
      <c r="DGW40" s="19"/>
      <c r="DGX40" s="21"/>
      <c r="DGY40" s="19"/>
      <c r="DHH40" s="19"/>
      <c r="DHI40" s="19"/>
      <c r="DHJ40" s="19"/>
      <c r="DHK40" s="19"/>
      <c r="DHL40" s="21"/>
      <c r="DHM40" s="19"/>
      <c r="DHV40" s="19"/>
      <c r="DHW40" s="19"/>
      <c r="DHX40" s="19"/>
      <c r="DHY40" s="19"/>
      <c r="DHZ40" s="21"/>
      <c r="DIA40" s="19"/>
      <c r="DIJ40" s="19"/>
      <c r="DIK40" s="19"/>
      <c r="DIL40" s="19"/>
      <c r="DIM40" s="19"/>
      <c r="DIN40" s="21"/>
      <c r="DIO40" s="19"/>
      <c r="DIX40" s="19"/>
      <c r="DIY40" s="19"/>
      <c r="DIZ40" s="19"/>
      <c r="DJA40" s="19"/>
      <c r="DJB40" s="21"/>
      <c r="DJC40" s="19"/>
      <c r="DJL40" s="19"/>
      <c r="DJM40" s="19"/>
      <c r="DJN40" s="19"/>
      <c r="DJO40" s="19"/>
      <c r="DJP40" s="21"/>
      <c r="DJQ40" s="19"/>
      <c r="DJZ40" s="19"/>
      <c r="DKA40" s="19"/>
      <c r="DKB40" s="19"/>
      <c r="DKC40" s="19"/>
      <c r="DKD40" s="21"/>
      <c r="DKE40" s="19"/>
      <c r="DKN40" s="19"/>
      <c r="DKO40" s="19"/>
      <c r="DKP40" s="19"/>
      <c r="DKQ40" s="19"/>
      <c r="DKR40" s="21"/>
      <c r="DKS40" s="19"/>
      <c r="DLB40" s="19"/>
      <c r="DLC40" s="19"/>
      <c r="DLD40" s="19"/>
      <c r="DLE40" s="19"/>
      <c r="DLF40" s="21"/>
      <c r="DLG40" s="19"/>
      <c r="DLP40" s="19"/>
      <c r="DLQ40" s="19"/>
      <c r="DLR40" s="19"/>
      <c r="DLS40" s="19"/>
      <c r="DLT40" s="21"/>
      <c r="DLU40" s="19"/>
      <c r="DMD40" s="19"/>
      <c r="DME40" s="19"/>
      <c r="DMF40" s="19"/>
      <c r="DMG40" s="19"/>
      <c r="DMH40" s="21"/>
      <c r="DMI40" s="19"/>
      <c r="DMR40" s="19"/>
      <c r="DMS40" s="19"/>
      <c r="DMT40" s="19"/>
      <c r="DMU40" s="19"/>
      <c r="DMV40" s="21"/>
      <c r="DMW40" s="19"/>
      <c r="DNF40" s="19"/>
      <c r="DNG40" s="19"/>
      <c r="DNH40" s="19"/>
      <c r="DNI40" s="19"/>
      <c r="DNJ40" s="21"/>
      <c r="DNK40" s="19"/>
      <c r="DNT40" s="19"/>
      <c r="DNU40" s="19"/>
      <c r="DNV40" s="19"/>
      <c r="DNW40" s="19"/>
      <c r="DNX40" s="21"/>
      <c r="DNY40" s="19"/>
      <c r="DOH40" s="19"/>
      <c r="DOI40" s="19"/>
      <c r="DOJ40" s="19"/>
      <c r="DOK40" s="19"/>
      <c r="DOL40" s="21"/>
      <c r="DOM40" s="19"/>
      <c r="DOV40" s="19"/>
      <c r="DOW40" s="19"/>
      <c r="DOX40" s="19"/>
      <c r="DOY40" s="19"/>
      <c r="DOZ40" s="21"/>
      <c r="DPA40" s="19"/>
      <c r="DPJ40" s="19"/>
      <c r="DPK40" s="19"/>
      <c r="DPL40" s="19"/>
      <c r="DPM40" s="19"/>
      <c r="DPN40" s="21"/>
      <c r="DPO40" s="19"/>
      <c r="DPX40" s="19"/>
      <c r="DPY40" s="19"/>
      <c r="DPZ40" s="19"/>
      <c r="DQA40" s="19"/>
      <c r="DQB40" s="21"/>
      <c r="DQC40" s="19"/>
      <c r="DQL40" s="19"/>
      <c r="DQM40" s="19"/>
      <c r="DQN40" s="19"/>
      <c r="DQO40" s="19"/>
      <c r="DQP40" s="21"/>
      <c r="DQQ40" s="19"/>
      <c r="DQZ40" s="19"/>
      <c r="DRA40" s="19"/>
      <c r="DRB40" s="19"/>
      <c r="DRC40" s="19"/>
      <c r="DRD40" s="21"/>
      <c r="DRE40" s="19"/>
      <c r="DRN40" s="19"/>
      <c r="DRO40" s="19"/>
      <c r="DRP40" s="19"/>
      <c r="DRQ40" s="19"/>
      <c r="DRR40" s="21"/>
      <c r="DRS40" s="19"/>
      <c r="DSB40" s="19"/>
      <c r="DSC40" s="19"/>
      <c r="DSD40" s="19"/>
      <c r="DSE40" s="19"/>
      <c r="DSF40" s="21"/>
      <c r="DSG40" s="19"/>
      <c r="DSP40" s="19"/>
      <c r="DSQ40" s="19"/>
      <c r="DSR40" s="19"/>
      <c r="DSS40" s="19"/>
      <c r="DST40" s="21"/>
      <c r="DSU40" s="19"/>
      <c r="DTD40" s="19"/>
      <c r="DTE40" s="19"/>
      <c r="DTF40" s="19"/>
      <c r="DTG40" s="19"/>
      <c r="DTH40" s="21"/>
      <c r="DTI40" s="19"/>
      <c r="DTR40" s="19"/>
      <c r="DTS40" s="19"/>
      <c r="DTT40" s="19"/>
      <c r="DTU40" s="19"/>
      <c r="DTV40" s="21"/>
      <c r="DTW40" s="19"/>
      <c r="DUF40" s="19"/>
      <c r="DUG40" s="19"/>
      <c r="DUH40" s="19"/>
      <c r="DUI40" s="19"/>
      <c r="DUJ40" s="21"/>
      <c r="DUK40" s="19"/>
      <c r="DUT40" s="19"/>
      <c r="DUU40" s="19"/>
      <c r="DUV40" s="19"/>
      <c r="DUW40" s="19"/>
      <c r="DUX40" s="21"/>
      <c r="DUY40" s="19"/>
      <c r="DVH40" s="19"/>
      <c r="DVI40" s="19"/>
      <c r="DVJ40" s="19"/>
      <c r="DVK40" s="19"/>
      <c r="DVL40" s="21"/>
      <c r="DVM40" s="19"/>
      <c r="DVV40" s="19"/>
      <c r="DVW40" s="19"/>
      <c r="DVX40" s="19"/>
      <c r="DVY40" s="19"/>
      <c r="DVZ40" s="21"/>
      <c r="DWA40" s="19"/>
      <c r="DWJ40" s="19"/>
      <c r="DWK40" s="19"/>
      <c r="DWL40" s="19"/>
      <c r="DWM40" s="19"/>
      <c r="DWN40" s="21"/>
      <c r="DWO40" s="19"/>
      <c r="DWX40" s="19"/>
      <c r="DWY40" s="19"/>
      <c r="DWZ40" s="19"/>
      <c r="DXA40" s="19"/>
      <c r="DXB40" s="21"/>
      <c r="DXC40" s="19"/>
      <c r="DXL40" s="19"/>
      <c r="DXM40" s="19"/>
      <c r="DXN40" s="19"/>
      <c r="DXO40" s="19"/>
      <c r="DXP40" s="21"/>
      <c r="DXQ40" s="19"/>
      <c r="DXZ40" s="19"/>
      <c r="DYA40" s="19"/>
      <c r="DYB40" s="19"/>
      <c r="DYC40" s="19"/>
      <c r="DYD40" s="21"/>
      <c r="DYE40" s="19"/>
      <c r="DYN40" s="19"/>
      <c r="DYO40" s="19"/>
      <c r="DYP40" s="19"/>
      <c r="DYQ40" s="19"/>
      <c r="DYR40" s="21"/>
      <c r="DYS40" s="19"/>
      <c r="DZB40" s="19"/>
      <c r="DZC40" s="19"/>
      <c r="DZD40" s="19"/>
      <c r="DZE40" s="19"/>
      <c r="DZF40" s="21"/>
      <c r="DZG40" s="19"/>
      <c r="DZP40" s="19"/>
      <c r="DZQ40" s="19"/>
      <c r="DZR40" s="19"/>
      <c r="DZS40" s="19"/>
      <c r="DZT40" s="21"/>
      <c r="DZU40" s="19"/>
      <c r="EAD40" s="19"/>
      <c r="EAE40" s="19"/>
      <c r="EAF40" s="19"/>
      <c r="EAG40" s="19"/>
      <c r="EAH40" s="21"/>
      <c r="EAI40" s="19"/>
      <c r="EAR40" s="19"/>
      <c r="EAS40" s="19"/>
      <c r="EAT40" s="19"/>
      <c r="EAU40" s="19"/>
      <c r="EAV40" s="21"/>
      <c r="EAW40" s="19"/>
      <c r="EBF40" s="19"/>
      <c r="EBG40" s="19"/>
      <c r="EBH40" s="19"/>
      <c r="EBI40" s="19"/>
      <c r="EBJ40" s="21"/>
      <c r="EBK40" s="19"/>
      <c r="EBT40" s="19"/>
      <c r="EBU40" s="19"/>
      <c r="EBV40" s="19"/>
      <c r="EBW40" s="19"/>
      <c r="EBX40" s="21"/>
      <c r="EBY40" s="19"/>
      <c r="ECH40" s="19"/>
      <c r="ECI40" s="19"/>
      <c r="ECJ40" s="19"/>
      <c r="ECK40" s="19"/>
      <c r="ECL40" s="21"/>
      <c r="ECM40" s="19"/>
      <c r="ECV40" s="19"/>
      <c r="ECW40" s="19"/>
      <c r="ECX40" s="19"/>
      <c r="ECY40" s="19"/>
      <c r="ECZ40" s="21"/>
      <c r="EDA40" s="19"/>
      <c r="EDJ40" s="19"/>
      <c r="EDK40" s="19"/>
      <c r="EDL40" s="19"/>
      <c r="EDM40" s="19"/>
      <c r="EDN40" s="21"/>
      <c r="EDO40" s="19"/>
      <c r="EDX40" s="19"/>
      <c r="EDY40" s="19"/>
      <c r="EDZ40" s="19"/>
      <c r="EEA40" s="19"/>
      <c r="EEB40" s="21"/>
      <c r="EEC40" s="19"/>
      <c r="EEL40" s="19"/>
      <c r="EEM40" s="19"/>
      <c r="EEN40" s="19"/>
      <c r="EEO40" s="19"/>
      <c r="EEP40" s="21"/>
      <c r="EEQ40" s="19"/>
      <c r="EEZ40" s="19"/>
      <c r="EFA40" s="19"/>
      <c r="EFB40" s="19"/>
      <c r="EFC40" s="19"/>
      <c r="EFD40" s="21"/>
      <c r="EFE40" s="19"/>
      <c r="EFN40" s="19"/>
      <c r="EFO40" s="19"/>
      <c r="EFP40" s="19"/>
      <c r="EFQ40" s="19"/>
      <c r="EFR40" s="21"/>
      <c r="EFS40" s="19"/>
      <c r="EGB40" s="19"/>
      <c r="EGC40" s="19"/>
      <c r="EGD40" s="19"/>
      <c r="EGE40" s="19"/>
      <c r="EGF40" s="21"/>
      <c r="EGG40" s="19"/>
      <c r="EGP40" s="19"/>
      <c r="EGQ40" s="19"/>
      <c r="EGR40" s="19"/>
      <c r="EGS40" s="19"/>
      <c r="EGT40" s="21"/>
      <c r="EGU40" s="19"/>
      <c r="EHD40" s="19"/>
      <c r="EHE40" s="19"/>
      <c r="EHF40" s="19"/>
      <c r="EHG40" s="19"/>
      <c r="EHH40" s="21"/>
      <c r="EHI40" s="19"/>
      <c r="EHR40" s="19"/>
      <c r="EHS40" s="19"/>
      <c r="EHT40" s="19"/>
      <c r="EHU40" s="19"/>
      <c r="EHV40" s="21"/>
      <c r="EHW40" s="19"/>
      <c r="EIF40" s="19"/>
      <c r="EIG40" s="19"/>
      <c r="EIH40" s="19"/>
      <c r="EII40" s="19"/>
      <c r="EIJ40" s="21"/>
      <c r="EIK40" s="19"/>
      <c r="EIT40" s="19"/>
      <c r="EIU40" s="19"/>
      <c r="EIV40" s="19"/>
      <c r="EIW40" s="19"/>
      <c r="EIX40" s="21"/>
      <c r="EIY40" s="19"/>
      <c r="EJH40" s="19"/>
      <c r="EJI40" s="19"/>
      <c r="EJJ40" s="19"/>
      <c r="EJK40" s="19"/>
      <c r="EJL40" s="21"/>
      <c r="EJM40" s="19"/>
      <c r="EJV40" s="19"/>
      <c r="EJW40" s="19"/>
      <c r="EJX40" s="19"/>
      <c r="EJY40" s="19"/>
      <c r="EJZ40" s="21"/>
      <c r="EKA40" s="19"/>
      <c r="EKJ40" s="19"/>
      <c r="EKK40" s="19"/>
      <c r="EKL40" s="19"/>
      <c r="EKM40" s="19"/>
      <c r="EKN40" s="21"/>
      <c r="EKO40" s="19"/>
      <c r="EKX40" s="19"/>
      <c r="EKY40" s="19"/>
      <c r="EKZ40" s="19"/>
      <c r="ELA40" s="19"/>
      <c r="ELB40" s="21"/>
      <c r="ELC40" s="19"/>
      <c r="ELL40" s="19"/>
      <c r="ELM40" s="19"/>
      <c r="ELN40" s="19"/>
      <c r="ELO40" s="19"/>
      <c r="ELP40" s="21"/>
      <c r="ELQ40" s="19"/>
      <c r="ELZ40" s="19"/>
      <c r="EMA40" s="19"/>
      <c r="EMB40" s="19"/>
      <c r="EMC40" s="19"/>
      <c r="EMD40" s="21"/>
      <c r="EME40" s="19"/>
      <c r="EMN40" s="19"/>
      <c r="EMO40" s="19"/>
      <c r="EMP40" s="19"/>
      <c r="EMQ40" s="19"/>
      <c r="EMR40" s="21"/>
      <c r="EMS40" s="19"/>
      <c r="ENB40" s="19"/>
      <c r="ENC40" s="19"/>
      <c r="END40" s="19"/>
      <c r="ENE40" s="19"/>
      <c r="ENF40" s="21"/>
      <c r="ENG40" s="19"/>
      <c r="ENP40" s="19"/>
      <c r="ENQ40" s="19"/>
      <c r="ENR40" s="19"/>
      <c r="ENS40" s="19"/>
      <c r="ENT40" s="21"/>
      <c r="ENU40" s="19"/>
      <c r="EOD40" s="19"/>
      <c r="EOE40" s="19"/>
      <c r="EOF40" s="19"/>
      <c r="EOG40" s="19"/>
      <c r="EOH40" s="21"/>
      <c r="EOI40" s="19"/>
      <c r="EOR40" s="19"/>
      <c r="EOS40" s="19"/>
      <c r="EOT40" s="19"/>
      <c r="EOU40" s="19"/>
      <c r="EOV40" s="21"/>
      <c r="EOW40" s="19"/>
      <c r="EPF40" s="19"/>
      <c r="EPG40" s="19"/>
      <c r="EPH40" s="19"/>
      <c r="EPI40" s="19"/>
      <c r="EPJ40" s="21"/>
      <c r="EPK40" s="19"/>
      <c r="EPT40" s="19"/>
      <c r="EPU40" s="19"/>
      <c r="EPV40" s="19"/>
      <c r="EPW40" s="19"/>
      <c r="EPX40" s="21"/>
      <c r="EPY40" s="19"/>
      <c r="EQH40" s="19"/>
      <c r="EQI40" s="19"/>
      <c r="EQJ40" s="19"/>
      <c r="EQK40" s="19"/>
      <c r="EQL40" s="21"/>
      <c r="EQM40" s="19"/>
      <c r="EQV40" s="19"/>
      <c r="EQW40" s="19"/>
      <c r="EQX40" s="19"/>
      <c r="EQY40" s="19"/>
      <c r="EQZ40" s="21"/>
      <c r="ERA40" s="19"/>
      <c r="ERJ40" s="19"/>
      <c r="ERK40" s="19"/>
      <c r="ERL40" s="19"/>
      <c r="ERM40" s="19"/>
      <c r="ERN40" s="21"/>
      <c r="ERO40" s="19"/>
      <c r="ERX40" s="19"/>
      <c r="ERY40" s="19"/>
      <c r="ERZ40" s="19"/>
      <c r="ESA40" s="19"/>
      <c r="ESB40" s="21"/>
      <c r="ESC40" s="19"/>
      <c r="ESL40" s="19"/>
      <c r="ESM40" s="19"/>
      <c r="ESN40" s="19"/>
      <c r="ESO40" s="19"/>
      <c r="ESP40" s="21"/>
      <c r="ESQ40" s="19"/>
      <c r="ESZ40" s="19"/>
      <c r="ETA40" s="19"/>
      <c r="ETB40" s="19"/>
      <c r="ETC40" s="19"/>
      <c r="ETD40" s="21"/>
      <c r="ETE40" s="19"/>
      <c r="ETN40" s="19"/>
      <c r="ETO40" s="19"/>
      <c r="ETP40" s="19"/>
      <c r="ETQ40" s="19"/>
      <c r="ETR40" s="21"/>
      <c r="ETS40" s="19"/>
      <c r="EUB40" s="19"/>
      <c r="EUC40" s="19"/>
      <c r="EUD40" s="19"/>
      <c r="EUE40" s="19"/>
      <c r="EUF40" s="21"/>
      <c r="EUG40" s="19"/>
      <c r="EUP40" s="19"/>
      <c r="EUQ40" s="19"/>
      <c r="EUR40" s="19"/>
      <c r="EUS40" s="19"/>
      <c r="EUT40" s="21"/>
      <c r="EUU40" s="19"/>
      <c r="EVD40" s="19"/>
      <c r="EVE40" s="19"/>
      <c r="EVF40" s="19"/>
      <c r="EVG40" s="19"/>
      <c r="EVH40" s="21"/>
      <c r="EVI40" s="19"/>
      <c r="EVR40" s="19"/>
      <c r="EVS40" s="19"/>
      <c r="EVT40" s="19"/>
      <c r="EVU40" s="19"/>
      <c r="EVV40" s="21"/>
      <c r="EVW40" s="19"/>
      <c r="EWF40" s="19"/>
      <c r="EWG40" s="19"/>
      <c r="EWH40" s="19"/>
      <c r="EWI40" s="19"/>
      <c r="EWJ40" s="21"/>
      <c r="EWK40" s="19"/>
      <c r="EWT40" s="19"/>
      <c r="EWU40" s="19"/>
      <c r="EWV40" s="19"/>
      <c r="EWW40" s="19"/>
      <c r="EWX40" s="21"/>
      <c r="EWY40" s="19"/>
      <c r="EXH40" s="19"/>
      <c r="EXI40" s="19"/>
      <c r="EXJ40" s="19"/>
      <c r="EXK40" s="19"/>
      <c r="EXL40" s="21"/>
      <c r="EXM40" s="19"/>
      <c r="EXV40" s="19"/>
      <c r="EXW40" s="19"/>
      <c r="EXX40" s="19"/>
      <c r="EXY40" s="19"/>
      <c r="EXZ40" s="21"/>
      <c r="EYA40" s="19"/>
      <c r="EYJ40" s="19"/>
      <c r="EYK40" s="19"/>
      <c r="EYL40" s="19"/>
      <c r="EYM40" s="19"/>
      <c r="EYN40" s="21"/>
      <c r="EYO40" s="19"/>
      <c r="EYX40" s="19"/>
      <c r="EYY40" s="19"/>
      <c r="EYZ40" s="19"/>
      <c r="EZA40" s="19"/>
      <c r="EZB40" s="21"/>
      <c r="EZC40" s="19"/>
      <c r="EZL40" s="19"/>
      <c r="EZM40" s="19"/>
      <c r="EZN40" s="19"/>
      <c r="EZO40" s="19"/>
      <c r="EZP40" s="21"/>
      <c r="EZQ40" s="19"/>
      <c r="EZZ40" s="19"/>
      <c r="FAA40" s="19"/>
      <c r="FAB40" s="19"/>
      <c r="FAC40" s="19"/>
      <c r="FAD40" s="21"/>
      <c r="FAE40" s="19"/>
      <c r="FAN40" s="19"/>
      <c r="FAO40" s="19"/>
      <c r="FAP40" s="19"/>
      <c r="FAQ40" s="19"/>
      <c r="FAR40" s="21"/>
      <c r="FAS40" s="19"/>
      <c r="FBB40" s="19"/>
      <c r="FBC40" s="19"/>
      <c r="FBD40" s="19"/>
      <c r="FBE40" s="19"/>
      <c r="FBF40" s="21"/>
      <c r="FBG40" s="19"/>
      <c r="FBP40" s="19"/>
      <c r="FBQ40" s="19"/>
      <c r="FBR40" s="19"/>
      <c r="FBS40" s="19"/>
      <c r="FBT40" s="21"/>
      <c r="FBU40" s="19"/>
      <c r="FCD40" s="19"/>
      <c r="FCE40" s="19"/>
      <c r="FCF40" s="19"/>
      <c r="FCG40" s="19"/>
      <c r="FCH40" s="21"/>
      <c r="FCI40" s="19"/>
      <c r="FCR40" s="19"/>
      <c r="FCS40" s="19"/>
      <c r="FCT40" s="19"/>
      <c r="FCU40" s="19"/>
      <c r="FCV40" s="21"/>
      <c r="FCW40" s="19"/>
      <c r="FDF40" s="19"/>
      <c r="FDG40" s="19"/>
      <c r="FDH40" s="19"/>
      <c r="FDI40" s="19"/>
      <c r="FDJ40" s="21"/>
      <c r="FDK40" s="19"/>
      <c r="FDT40" s="19"/>
      <c r="FDU40" s="19"/>
      <c r="FDV40" s="19"/>
      <c r="FDW40" s="19"/>
      <c r="FDX40" s="21"/>
      <c r="FDY40" s="19"/>
      <c r="FEH40" s="19"/>
      <c r="FEI40" s="19"/>
      <c r="FEJ40" s="19"/>
      <c r="FEK40" s="19"/>
      <c r="FEL40" s="21"/>
      <c r="FEM40" s="19"/>
      <c r="FEV40" s="19"/>
      <c r="FEW40" s="19"/>
      <c r="FEX40" s="19"/>
      <c r="FEY40" s="19"/>
      <c r="FEZ40" s="21"/>
      <c r="FFA40" s="19"/>
      <c r="FFJ40" s="19"/>
      <c r="FFK40" s="19"/>
      <c r="FFL40" s="19"/>
      <c r="FFM40" s="19"/>
      <c r="FFN40" s="21"/>
      <c r="FFO40" s="19"/>
      <c r="FFX40" s="19"/>
      <c r="FFY40" s="19"/>
      <c r="FFZ40" s="19"/>
      <c r="FGA40" s="19"/>
      <c r="FGB40" s="21"/>
      <c r="FGC40" s="19"/>
      <c r="FGL40" s="19"/>
      <c r="FGM40" s="19"/>
      <c r="FGN40" s="19"/>
      <c r="FGO40" s="19"/>
      <c r="FGP40" s="21"/>
      <c r="FGQ40" s="19"/>
      <c r="FGZ40" s="19"/>
      <c r="FHA40" s="19"/>
      <c r="FHB40" s="19"/>
      <c r="FHC40" s="19"/>
      <c r="FHD40" s="21"/>
      <c r="FHE40" s="19"/>
      <c r="FHN40" s="19"/>
      <c r="FHO40" s="19"/>
      <c r="FHP40" s="19"/>
      <c r="FHQ40" s="19"/>
      <c r="FHR40" s="21"/>
      <c r="FHS40" s="19"/>
      <c r="FIB40" s="19"/>
      <c r="FIC40" s="19"/>
      <c r="FID40" s="19"/>
      <c r="FIE40" s="19"/>
      <c r="FIF40" s="21"/>
      <c r="FIG40" s="19"/>
      <c r="FIP40" s="19"/>
      <c r="FIQ40" s="19"/>
      <c r="FIR40" s="19"/>
      <c r="FIS40" s="19"/>
      <c r="FIT40" s="21"/>
      <c r="FIU40" s="19"/>
      <c r="FJD40" s="19"/>
      <c r="FJE40" s="19"/>
      <c r="FJF40" s="19"/>
      <c r="FJG40" s="19"/>
      <c r="FJH40" s="21"/>
      <c r="FJI40" s="19"/>
      <c r="FJR40" s="19"/>
      <c r="FJS40" s="19"/>
      <c r="FJT40" s="19"/>
      <c r="FJU40" s="19"/>
      <c r="FJV40" s="21"/>
      <c r="FJW40" s="19"/>
      <c r="FKF40" s="19"/>
      <c r="FKG40" s="19"/>
      <c r="FKH40" s="19"/>
      <c r="FKI40" s="19"/>
      <c r="FKJ40" s="21"/>
      <c r="FKK40" s="19"/>
      <c r="FKT40" s="19"/>
      <c r="FKU40" s="19"/>
      <c r="FKV40" s="19"/>
      <c r="FKW40" s="19"/>
      <c r="FKX40" s="21"/>
      <c r="FKY40" s="19"/>
      <c r="FLH40" s="19"/>
      <c r="FLI40" s="19"/>
      <c r="FLJ40" s="19"/>
      <c r="FLK40" s="19"/>
      <c r="FLL40" s="21"/>
      <c r="FLM40" s="19"/>
      <c r="FLV40" s="19"/>
      <c r="FLW40" s="19"/>
      <c r="FLX40" s="19"/>
      <c r="FLY40" s="19"/>
      <c r="FLZ40" s="21"/>
      <c r="FMA40" s="19"/>
      <c r="FMJ40" s="19"/>
      <c r="FMK40" s="19"/>
      <c r="FML40" s="19"/>
      <c r="FMM40" s="19"/>
      <c r="FMN40" s="21"/>
      <c r="FMO40" s="19"/>
      <c r="FMX40" s="19"/>
      <c r="FMY40" s="19"/>
      <c r="FMZ40" s="19"/>
      <c r="FNA40" s="19"/>
      <c r="FNB40" s="21"/>
      <c r="FNC40" s="19"/>
      <c r="FNL40" s="19"/>
      <c r="FNM40" s="19"/>
      <c r="FNN40" s="19"/>
      <c r="FNO40" s="19"/>
      <c r="FNP40" s="21"/>
      <c r="FNQ40" s="19"/>
      <c r="FNZ40" s="19"/>
      <c r="FOA40" s="19"/>
      <c r="FOB40" s="19"/>
      <c r="FOC40" s="19"/>
      <c r="FOD40" s="21"/>
      <c r="FOE40" s="19"/>
      <c r="FON40" s="19"/>
      <c r="FOO40" s="19"/>
      <c r="FOP40" s="19"/>
      <c r="FOQ40" s="19"/>
      <c r="FOR40" s="21"/>
      <c r="FOS40" s="19"/>
      <c r="FPB40" s="19"/>
      <c r="FPC40" s="19"/>
      <c r="FPD40" s="19"/>
      <c r="FPE40" s="19"/>
      <c r="FPF40" s="21"/>
      <c r="FPG40" s="19"/>
      <c r="FPP40" s="19"/>
      <c r="FPQ40" s="19"/>
      <c r="FPR40" s="19"/>
      <c r="FPS40" s="19"/>
      <c r="FPT40" s="21"/>
      <c r="FPU40" s="19"/>
      <c r="FQD40" s="19"/>
      <c r="FQE40" s="19"/>
      <c r="FQF40" s="19"/>
      <c r="FQG40" s="19"/>
      <c r="FQH40" s="21"/>
      <c r="FQI40" s="19"/>
      <c r="FQR40" s="19"/>
      <c r="FQS40" s="19"/>
      <c r="FQT40" s="19"/>
      <c r="FQU40" s="19"/>
      <c r="FQV40" s="21"/>
      <c r="FQW40" s="19"/>
      <c r="FRF40" s="19"/>
      <c r="FRG40" s="19"/>
      <c r="FRH40" s="19"/>
      <c r="FRI40" s="19"/>
      <c r="FRJ40" s="21"/>
      <c r="FRK40" s="19"/>
      <c r="FRT40" s="19"/>
      <c r="FRU40" s="19"/>
      <c r="FRV40" s="19"/>
      <c r="FRW40" s="19"/>
      <c r="FRX40" s="21"/>
      <c r="FRY40" s="19"/>
      <c r="FSH40" s="19"/>
      <c r="FSI40" s="19"/>
      <c r="FSJ40" s="19"/>
      <c r="FSK40" s="19"/>
      <c r="FSL40" s="21"/>
      <c r="FSM40" s="19"/>
      <c r="FSV40" s="19"/>
      <c r="FSW40" s="19"/>
      <c r="FSX40" s="19"/>
      <c r="FSY40" s="19"/>
      <c r="FSZ40" s="21"/>
      <c r="FTA40" s="19"/>
      <c r="FTJ40" s="19"/>
      <c r="FTK40" s="19"/>
      <c r="FTL40" s="19"/>
      <c r="FTM40" s="19"/>
      <c r="FTN40" s="21"/>
      <c r="FTO40" s="19"/>
      <c r="FTX40" s="19"/>
      <c r="FTY40" s="19"/>
      <c r="FTZ40" s="19"/>
      <c r="FUA40" s="19"/>
      <c r="FUB40" s="21"/>
      <c r="FUC40" s="19"/>
      <c r="FUL40" s="19"/>
      <c r="FUM40" s="19"/>
      <c r="FUN40" s="19"/>
      <c r="FUO40" s="19"/>
      <c r="FUP40" s="21"/>
      <c r="FUQ40" s="19"/>
      <c r="FUZ40" s="19"/>
      <c r="FVA40" s="19"/>
      <c r="FVB40" s="19"/>
      <c r="FVC40" s="19"/>
      <c r="FVD40" s="21"/>
      <c r="FVE40" s="19"/>
      <c r="FVN40" s="19"/>
      <c r="FVO40" s="19"/>
      <c r="FVP40" s="19"/>
      <c r="FVQ40" s="19"/>
      <c r="FVR40" s="21"/>
      <c r="FVS40" s="19"/>
      <c r="FWB40" s="19"/>
      <c r="FWC40" s="19"/>
      <c r="FWD40" s="19"/>
      <c r="FWE40" s="19"/>
      <c r="FWF40" s="21"/>
      <c r="FWG40" s="19"/>
      <c r="FWP40" s="19"/>
      <c r="FWQ40" s="19"/>
      <c r="FWR40" s="19"/>
      <c r="FWS40" s="19"/>
      <c r="FWT40" s="21"/>
      <c r="FWU40" s="19"/>
      <c r="FXD40" s="19"/>
      <c r="FXE40" s="19"/>
      <c r="FXF40" s="19"/>
      <c r="FXG40" s="19"/>
      <c r="FXH40" s="21"/>
      <c r="FXI40" s="19"/>
      <c r="FXR40" s="19"/>
      <c r="FXS40" s="19"/>
      <c r="FXT40" s="19"/>
      <c r="FXU40" s="19"/>
      <c r="FXV40" s="21"/>
      <c r="FXW40" s="19"/>
      <c r="FYF40" s="19"/>
      <c r="FYG40" s="19"/>
      <c r="FYH40" s="19"/>
      <c r="FYI40" s="19"/>
      <c r="FYJ40" s="21"/>
      <c r="FYK40" s="19"/>
      <c r="FYT40" s="19"/>
      <c r="FYU40" s="19"/>
      <c r="FYV40" s="19"/>
      <c r="FYW40" s="19"/>
      <c r="FYX40" s="21"/>
      <c r="FYY40" s="19"/>
      <c r="FZH40" s="19"/>
      <c r="FZI40" s="19"/>
      <c r="FZJ40" s="19"/>
      <c r="FZK40" s="19"/>
      <c r="FZL40" s="21"/>
      <c r="FZM40" s="19"/>
      <c r="FZV40" s="19"/>
      <c r="FZW40" s="19"/>
      <c r="FZX40" s="19"/>
      <c r="FZY40" s="19"/>
      <c r="FZZ40" s="21"/>
      <c r="GAA40" s="19"/>
      <c r="GAJ40" s="19"/>
      <c r="GAK40" s="19"/>
      <c r="GAL40" s="19"/>
      <c r="GAM40" s="19"/>
      <c r="GAN40" s="21"/>
      <c r="GAO40" s="19"/>
      <c r="GAX40" s="19"/>
      <c r="GAY40" s="19"/>
      <c r="GAZ40" s="19"/>
      <c r="GBA40" s="19"/>
      <c r="GBB40" s="21"/>
      <c r="GBC40" s="19"/>
      <c r="GBL40" s="19"/>
      <c r="GBM40" s="19"/>
      <c r="GBN40" s="19"/>
      <c r="GBO40" s="19"/>
      <c r="GBP40" s="21"/>
      <c r="GBQ40" s="19"/>
      <c r="GBZ40" s="19"/>
      <c r="GCA40" s="19"/>
      <c r="GCB40" s="19"/>
      <c r="GCC40" s="19"/>
      <c r="GCD40" s="21"/>
      <c r="GCE40" s="19"/>
      <c r="GCN40" s="19"/>
      <c r="GCO40" s="19"/>
      <c r="GCP40" s="19"/>
      <c r="GCQ40" s="19"/>
      <c r="GCR40" s="21"/>
      <c r="GCS40" s="19"/>
      <c r="GDB40" s="19"/>
      <c r="GDC40" s="19"/>
      <c r="GDD40" s="19"/>
      <c r="GDE40" s="19"/>
      <c r="GDF40" s="21"/>
      <c r="GDG40" s="19"/>
      <c r="GDP40" s="19"/>
      <c r="GDQ40" s="19"/>
      <c r="GDR40" s="19"/>
      <c r="GDS40" s="19"/>
      <c r="GDT40" s="21"/>
      <c r="GDU40" s="19"/>
      <c r="GED40" s="19"/>
      <c r="GEE40" s="19"/>
      <c r="GEF40" s="19"/>
      <c r="GEG40" s="19"/>
      <c r="GEH40" s="21"/>
      <c r="GEI40" s="19"/>
      <c r="GER40" s="19"/>
      <c r="GES40" s="19"/>
      <c r="GET40" s="19"/>
      <c r="GEU40" s="19"/>
      <c r="GEV40" s="21"/>
      <c r="GEW40" s="19"/>
      <c r="GFF40" s="19"/>
      <c r="GFG40" s="19"/>
      <c r="GFH40" s="19"/>
      <c r="GFI40" s="19"/>
      <c r="GFJ40" s="21"/>
      <c r="GFK40" s="19"/>
      <c r="GFT40" s="19"/>
      <c r="GFU40" s="19"/>
      <c r="GFV40" s="19"/>
      <c r="GFW40" s="19"/>
      <c r="GFX40" s="21"/>
      <c r="GFY40" s="19"/>
      <c r="GGH40" s="19"/>
      <c r="GGI40" s="19"/>
      <c r="GGJ40" s="19"/>
      <c r="GGK40" s="19"/>
      <c r="GGL40" s="21"/>
      <c r="GGM40" s="19"/>
      <c r="GGV40" s="19"/>
      <c r="GGW40" s="19"/>
      <c r="GGX40" s="19"/>
      <c r="GGY40" s="19"/>
      <c r="GGZ40" s="21"/>
      <c r="GHA40" s="19"/>
      <c r="GHJ40" s="19"/>
      <c r="GHK40" s="19"/>
      <c r="GHL40" s="19"/>
      <c r="GHM40" s="19"/>
      <c r="GHN40" s="21"/>
      <c r="GHO40" s="19"/>
      <c r="GHX40" s="19"/>
      <c r="GHY40" s="19"/>
      <c r="GHZ40" s="19"/>
      <c r="GIA40" s="19"/>
      <c r="GIB40" s="21"/>
      <c r="GIC40" s="19"/>
      <c r="GIL40" s="19"/>
      <c r="GIM40" s="19"/>
      <c r="GIN40" s="19"/>
      <c r="GIO40" s="19"/>
      <c r="GIP40" s="21"/>
      <c r="GIQ40" s="19"/>
      <c r="GIZ40" s="19"/>
      <c r="GJA40" s="19"/>
      <c r="GJB40" s="19"/>
      <c r="GJC40" s="19"/>
      <c r="GJD40" s="21"/>
      <c r="GJE40" s="19"/>
      <c r="GJN40" s="19"/>
      <c r="GJO40" s="19"/>
      <c r="GJP40" s="19"/>
      <c r="GJQ40" s="19"/>
      <c r="GJR40" s="21"/>
      <c r="GJS40" s="19"/>
      <c r="GKB40" s="19"/>
      <c r="GKC40" s="19"/>
      <c r="GKD40" s="19"/>
      <c r="GKE40" s="19"/>
      <c r="GKF40" s="21"/>
      <c r="GKG40" s="19"/>
      <c r="GKP40" s="19"/>
      <c r="GKQ40" s="19"/>
      <c r="GKR40" s="19"/>
      <c r="GKS40" s="19"/>
      <c r="GKT40" s="21"/>
      <c r="GKU40" s="19"/>
      <c r="GLD40" s="19"/>
      <c r="GLE40" s="19"/>
      <c r="GLF40" s="19"/>
      <c r="GLG40" s="19"/>
      <c r="GLH40" s="21"/>
      <c r="GLI40" s="19"/>
      <c r="GLR40" s="19"/>
      <c r="GLS40" s="19"/>
      <c r="GLT40" s="19"/>
      <c r="GLU40" s="19"/>
      <c r="GLV40" s="21"/>
      <c r="GLW40" s="19"/>
      <c r="GMF40" s="19"/>
      <c r="GMG40" s="19"/>
      <c r="GMH40" s="19"/>
      <c r="GMI40" s="19"/>
      <c r="GMJ40" s="21"/>
      <c r="GMK40" s="19"/>
      <c r="GMT40" s="19"/>
      <c r="GMU40" s="19"/>
      <c r="GMV40" s="19"/>
      <c r="GMW40" s="19"/>
      <c r="GMX40" s="21"/>
      <c r="GMY40" s="19"/>
      <c r="GNH40" s="19"/>
      <c r="GNI40" s="19"/>
      <c r="GNJ40" s="19"/>
      <c r="GNK40" s="19"/>
      <c r="GNL40" s="21"/>
      <c r="GNM40" s="19"/>
      <c r="GNV40" s="19"/>
      <c r="GNW40" s="19"/>
      <c r="GNX40" s="19"/>
      <c r="GNY40" s="19"/>
      <c r="GNZ40" s="21"/>
      <c r="GOA40" s="19"/>
      <c r="GOJ40" s="19"/>
      <c r="GOK40" s="19"/>
      <c r="GOL40" s="19"/>
      <c r="GOM40" s="19"/>
      <c r="GON40" s="21"/>
      <c r="GOO40" s="19"/>
      <c r="GOX40" s="19"/>
      <c r="GOY40" s="19"/>
      <c r="GOZ40" s="19"/>
      <c r="GPA40" s="19"/>
      <c r="GPB40" s="21"/>
      <c r="GPC40" s="19"/>
      <c r="GPL40" s="19"/>
      <c r="GPM40" s="19"/>
      <c r="GPN40" s="19"/>
      <c r="GPO40" s="19"/>
      <c r="GPP40" s="21"/>
      <c r="GPQ40" s="19"/>
      <c r="GPZ40" s="19"/>
      <c r="GQA40" s="19"/>
      <c r="GQB40" s="19"/>
      <c r="GQC40" s="19"/>
      <c r="GQD40" s="21"/>
      <c r="GQE40" s="19"/>
      <c r="GQN40" s="19"/>
      <c r="GQO40" s="19"/>
      <c r="GQP40" s="19"/>
      <c r="GQQ40" s="19"/>
      <c r="GQR40" s="21"/>
      <c r="GQS40" s="19"/>
      <c r="GRB40" s="19"/>
      <c r="GRC40" s="19"/>
      <c r="GRD40" s="19"/>
      <c r="GRE40" s="19"/>
      <c r="GRF40" s="21"/>
      <c r="GRG40" s="19"/>
      <c r="GRP40" s="19"/>
      <c r="GRQ40" s="19"/>
      <c r="GRR40" s="19"/>
      <c r="GRS40" s="19"/>
      <c r="GRT40" s="21"/>
      <c r="GRU40" s="19"/>
      <c r="GSD40" s="19"/>
      <c r="GSE40" s="19"/>
      <c r="GSF40" s="19"/>
      <c r="GSG40" s="19"/>
      <c r="GSH40" s="21"/>
      <c r="GSI40" s="19"/>
      <c r="GSR40" s="19"/>
      <c r="GSS40" s="19"/>
      <c r="GST40" s="19"/>
      <c r="GSU40" s="19"/>
      <c r="GSV40" s="21"/>
      <c r="GSW40" s="19"/>
      <c r="GTF40" s="19"/>
      <c r="GTG40" s="19"/>
      <c r="GTH40" s="19"/>
      <c r="GTI40" s="19"/>
      <c r="GTJ40" s="21"/>
      <c r="GTK40" s="19"/>
      <c r="GTT40" s="19"/>
      <c r="GTU40" s="19"/>
      <c r="GTV40" s="19"/>
      <c r="GTW40" s="19"/>
      <c r="GTX40" s="21"/>
      <c r="GTY40" s="19"/>
      <c r="GUH40" s="19"/>
      <c r="GUI40" s="19"/>
      <c r="GUJ40" s="19"/>
      <c r="GUK40" s="19"/>
      <c r="GUL40" s="21"/>
      <c r="GUM40" s="19"/>
      <c r="GUV40" s="19"/>
      <c r="GUW40" s="19"/>
      <c r="GUX40" s="19"/>
      <c r="GUY40" s="19"/>
      <c r="GUZ40" s="21"/>
      <c r="GVA40" s="19"/>
      <c r="GVJ40" s="19"/>
      <c r="GVK40" s="19"/>
      <c r="GVL40" s="19"/>
      <c r="GVM40" s="19"/>
      <c r="GVN40" s="21"/>
      <c r="GVO40" s="19"/>
      <c r="GVX40" s="19"/>
      <c r="GVY40" s="19"/>
      <c r="GVZ40" s="19"/>
      <c r="GWA40" s="19"/>
      <c r="GWB40" s="21"/>
      <c r="GWC40" s="19"/>
      <c r="GWL40" s="19"/>
      <c r="GWM40" s="19"/>
      <c r="GWN40" s="19"/>
      <c r="GWO40" s="19"/>
      <c r="GWP40" s="21"/>
      <c r="GWQ40" s="19"/>
      <c r="GWZ40" s="19"/>
      <c r="GXA40" s="19"/>
      <c r="GXB40" s="19"/>
      <c r="GXC40" s="19"/>
      <c r="GXD40" s="21"/>
      <c r="GXE40" s="19"/>
      <c r="GXN40" s="19"/>
      <c r="GXO40" s="19"/>
      <c r="GXP40" s="19"/>
      <c r="GXQ40" s="19"/>
      <c r="GXR40" s="21"/>
      <c r="GXS40" s="19"/>
      <c r="GYB40" s="19"/>
      <c r="GYC40" s="19"/>
      <c r="GYD40" s="19"/>
      <c r="GYE40" s="19"/>
      <c r="GYF40" s="21"/>
      <c r="GYG40" s="19"/>
      <c r="GYP40" s="19"/>
      <c r="GYQ40" s="19"/>
      <c r="GYR40" s="19"/>
      <c r="GYS40" s="19"/>
      <c r="GYT40" s="21"/>
      <c r="GYU40" s="19"/>
      <c r="GZD40" s="19"/>
      <c r="GZE40" s="19"/>
      <c r="GZF40" s="19"/>
      <c r="GZG40" s="19"/>
      <c r="GZH40" s="21"/>
      <c r="GZI40" s="19"/>
      <c r="GZR40" s="19"/>
      <c r="GZS40" s="19"/>
      <c r="GZT40" s="19"/>
      <c r="GZU40" s="19"/>
      <c r="GZV40" s="21"/>
      <c r="GZW40" s="19"/>
      <c r="HAF40" s="19"/>
      <c r="HAG40" s="19"/>
      <c r="HAH40" s="19"/>
      <c r="HAI40" s="19"/>
      <c r="HAJ40" s="21"/>
      <c r="HAK40" s="19"/>
      <c r="HAT40" s="19"/>
      <c r="HAU40" s="19"/>
      <c r="HAV40" s="19"/>
      <c r="HAW40" s="19"/>
      <c r="HAX40" s="21"/>
      <c r="HAY40" s="19"/>
      <c r="HBH40" s="19"/>
      <c r="HBI40" s="19"/>
      <c r="HBJ40" s="19"/>
      <c r="HBK40" s="19"/>
      <c r="HBL40" s="21"/>
      <c r="HBM40" s="19"/>
      <c r="HBV40" s="19"/>
      <c r="HBW40" s="19"/>
      <c r="HBX40" s="19"/>
      <c r="HBY40" s="19"/>
      <c r="HBZ40" s="21"/>
      <c r="HCA40" s="19"/>
      <c r="HCJ40" s="19"/>
      <c r="HCK40" s="19"/>
      <c r="HCL40" s="19"/>
      <c r="HCM40" s="19"/>
      <c r="HCN40" s="21"/>
      <c r="HCO40" s="19"/>
      <c r="HCX40" s="19"/>
      <c r="HCY40" s="19"/>
      <c r="HCZ40" s="19"/>
      <c r="HDA40" s="19"/>
      <c r="HDB40" s="21"/>
      <c r="HDC40" s="19"/>
      <c r="HDL40" s="19"/>
      <c r="HDM40" s="19"/>
      <c r="HDN40" s="19"/>
      <c r="HDO40" s="19"/>
      <c r="HDP40" s="21"/>
      <c r="HDQ40" s="19"/>
      <c r="HDZ40" s="19"/>
      <c r="HEA40" s="19"/>
      <c r="HEB40" s="19"/>
      <c r="HEC40" s="19"/>
      <c r="HED40" s="21"/>
      <c r="HEE40" s="19"/>
      <c r="HEN40" s="19"/>
      <c r="HEO40" s="19"/>
      <c r="HEP40" s="19"/>
      <c r="HEQ40" s="19"/>
      <c r="HER40" s="21"/>
      <c r="HES40" s="19"/>
      <c r="HFB40" s="19"/>
      <c r="HFC40" s="19"/>
      <c r="HFD40" s="19"/>
      <c r="HFE40" s="19"/>
      <c r="HFF40" s="21"/>
      <c r="HFG40" s="19"/>
      <c r="HFP40" s="19"/>
      <c r="HFQ40" s="19"/>
      <c r="HFR40" s="19"/>
      <c r="HFS40" s="19"/>
      <c r="HFT40" s="21"/>
      <c r="HFU40" s="19"/>
      <c r="HGD40" s="19"/>
      <c r="HGE40" s="19"/>
      <c r="HGF40" s="19"/>
      <c r="HGG40" s="19"/>
      <c r="HGH40" s="21"/>
      <c r="HGI40" s="19"/>
      <c r="HGR40" s="19"/>
      <c r="HGS40" s="19"/>
      <c r="HGT40" s="19"/>
      <c r="HGU40" s="19"/>
      <c r="HGV40" s="21"/>
      <c r="HGW40" s="19"/>
      <c r="HHF40" s="19"/>
      <c r="HHG40" s="19"/>
      <c r="HHH40" s="19"/>
      <c r="HHI40" s="19"/>
      <c r="HHJ40" s="21"/>
      <c r="HHK40" s="19"/>
      <c r="HHT40" s="19"/>
      <c r="HHU40" s="19"/>
      <c r="HHV40" s="19"/>
      <c r="HHW40" s="19"/>
      <c r="HHX40" s="21"/>
      <c r="HHY40" s="19"/>
      <c r="HIH40" s="19"/>
      <c r="HII40" s="19"/>
      <c r="HIJ40" s="19"/>
      <c r="HIK40" s="19"/>
      <c r="HIL40" s="21"/>
      <c r="HIM40" s="19"/>
      <c r="HIV40" s="19"/>
      <c r="HIW40" s="19"/>
      <c r="HIX40" s="19"/>
      <c r="HIY40" s="19"/>
      <c r="HIZ40" s="21"/>
      <c r="HJA40" s="19"/>
      <c r="HJJ40" s="19"/>
      <c r="HJK40" s="19"/>
      <c r="HJL40" s="19"/>
      <c r="HJM40" s="19"/>
      <c r="HJN40" s="21"/>
      <c r="HJO40" s="19"/>
      <c r="HJX40" s="19"/>
      <c r="HJY40" s="19"/>
      <c r="HJZ40" s="19"/>
      <c r="HKA40" s="19"/>
      <c r="HKB40" s="21"/>
      <c r="HKC40" s="19"/>
      <c r="HKL40" s="19"/>
      <c r="HKM40" s="19"/>
      <c r="HKN40" s="19"/>
      <c r="HKO40" s="19"/>
      <c r="HKP40" s="21"/>
      <c r="HKQ40" s="19"/>
      <c r="HKZ40" s="19"/>
      <c r="HLA40" s="19"/>
      <c r="HLB40" s="19"/>
      <c r="HLC40" s="19"/>
      <c r="HLD40" s="21"/>
      <c r="HLE40" s="19"/>
      <c r="HLN40" s="19"/>
      <c r="HLO40" s="19"/>
      <c r="HLP40" s="19"/>
      <c r="HLQ40" s="19"/>
      <c r="HLR40" s="21"/>
      <c r="HLS40" s="19"/>
      <c r="HMB40" s="19"/>
      <c r="HMC40" s="19"/>
      <c r="HMD40" s="19"/>
      <c r="HME40" s="19"/>
      <c r="HMF40" s="21"/>
      <c r="HMG40" s="19"/>
      <c r="HMP40" s="19"/>
      <c r="HMQ40" s="19"/>
      <c r="HMR40" s="19"/>
      <c r="HMS40" s="19"/>
      <c r="HMT40" s="21"/>
      <c r="HMU40" s="19"/>
      <c r="HND40" s="19"/>
      <c r="HNE40" s="19"/>
      <c r="HNF40" s="19"/>
      <c r="HNG40" s="19"/>
      <c r="HNH40" s="21"/>
      <c r="HNI40" s="19"/>
      <c r="HNR40" s="19"/>
      <c r="HNS40" s="19"/>
      <c r="HNT40" s="19"/>
      <c r="HNU40" s="19"/>
      <c r="HNV40" s="21"/>
      <c r="HNW40" s="19"/>
      <c r="HOF40" s="19"/>
      <c r="HOG40" s="19"/>
      <c r="HOH40" s="19"/>
      <c r="HOI40" s="19"/>
      <c r="HOJ40" s="21"/>
      <c r="HOK40" s="19"/>
      <c r="HOT40" s="19"/>
      <c r="HOU40" s="19"/>
      <c r="HOV40" s="19"/>
      <c r="HOW40" s="19"/>
      <c r="HOX40" s="21"/>
      <c r="HOY40" s="19"/>
      <c r="HPH40" s="19"/>
      <c r="HPI40" s="19"/>
      <c r="HPJ40" s="19"/>
      <c r="HPK40" s="19"/>
      <c r="HPL40" s="21"/>
      <c r="HPM40" s="19"/>
      <c r="HPV40" s="19"/>
      <c r="HPW40" s="19"/>
      <c r="HPX40" s="19"/>
      <c r="HPY40" s="19"/>
      <c r="HPZ40" s="21"/>
      <c r="HQA40" s="19"/>
      <c r="HQJ40" s="19"/>
      <c r="HQK40" s="19"/>
      <c r="HQL40" s="19"/>
      <c r="HQM40" s="19"/>
      <c r="HQN40" s="21"/>
      <c r="HQO40" s="19"/>
      <c r="HQX40" s="19"/>
      <c r="HQY40" s="19"/>
      <c r="HQZ40" s="19"/>
      <c r="HRA40" s="19"/>
      <c r="HRB40" s="21"/>
      <c r="HRC40" s="19"/>
      <c r="HRL40" s="19"/>
      <c r="HRM40" s="19"/>
      <c r="HRN40" s="19"/>
      <c r="HRO40" s="19"/>
      <c r="HRP40" s="21"/>
      <c r="HRQ40" s="19"/>
      <c r="HRZ40" s="19"/>
      <c r="HSA40" s="19"/>
      <c r="HSB40" s="19"/>
      <c r="HSC40" s="19"/>
      <c r="HSD40" s="21"/>
      <c r="HSE40" s="19"/>
      <c r="HSN40" s="19"/>
      <c r="HSO40" s="19"/>
      <c r="HSP40" s="19"/>
      <c r="HSQ40" s="19"/>
      <c r="HSR40" s="21"/>
      <c r="HSS40" s="19"/>
      <c r="HTB40" s="19"/>
      <c r="HTC40" s="19"/>
      <c r="HTD40" s="19"/>
      <c r="HTE40" s="19"/>
      <c r="HTF40" s="21"/>
      <c r="HTG40" s="19"/>
      <c r="HTP40" s="19"/>
      <c r="HTQ40" s="19"/>
      <c r="HTR40" s="19"/>
      <c r="HTS40" s="19"/>
      <c r="HTT40" s="21"/>
      <c r="HTU40" s="19"/>
      <c r="HUD40" s="19"/>
      <c r="HUE40" s="19"/>
      <c r="HUF40" s="19"/>
      <c r="HUG40" s="19"/>
      <c r="HUH40" s="21"/>
      <c r="HUI40" s="19"/>
      <c r="HUR40" s="19"/>
      <c r="HUS40" s="19"/>
      <c r="HUT40" s="19"/>
      <c r="HUU40" s="19"/>
      <c r="HUV40" s="21"/>
      <c r="HUW40" s="19"/>
      <c r="HVF40" s="19"/>
      <c r="HVG40" s="19"/>
      <c r="HVH40" s="19"/>
      <c r="HVI40" s="19"/>
      <c r="HVJ40" s="21"/>
      <c r="HVK40" s="19"/>
      <c r="HVT40" s="19"/>
      <c r="HVU40" s="19"/>
      <c r="HVV40" s="19"/>
      <c r="HVW40" s="19"/>
      <c r="HVX40" s="21"/>
      <c r="HVY40" s="19"/>
      <c r="HWH40" s="19"/>
      <c r="HWI40" s="19"/>
      <c r="HWJ40" s="19"/>
      <c r="HWK40" s="19"/>
      <c r="HWL40" s="21"/>
      <c r="HWM40" s="19"/>
      <c r="HWV40" s="19"/>
      <c r="HWW40" s="19"/>
      <c r="HWX40" s="19"/>
      <c r="HWY40" s="19"/>
      <c r="HWZ40" s="21"/>
      <c r="HXA40" s="19"/>
      <c r="HXJ40" s="19"/>
      <c r="HXK40" s="19"/>
      <c r="HXL40" s="19"/>
      <c r="HXM40" s="19"/>
      <c r="HXN40" s="21"/>
      <c r="HXO40" s="19"/>
      <c r="HXX40" s="19"/>
      <c r="HXY40" s="19"/>
      <c r="HXZ40" s="19"/>
      <c r="HYA40" s="19"/>
      <c r="HYB40" s="21"/>
      <c r="HYC40" s="19"/>
      <c r="HYL40" s="19"/>
      <c r="HYM40" s="19"/>
      <c r="HYN40" s="19"/>
      <c r="HYO40" s="19"/>
      <c r="HYP40" s="21"/>
      <c r="HYQ40" s="19"/>
      <c r="HYZ40" s="19"/>
      <c r="HZA40" s="19"/>
      <c r="HZB40" s="19"/>
      <c r="HZC40" s="19"/>
      <c r="HZD40" s="21"/>
      <c r="HZE40" s="19"/>
      <c r="HZN40" s="19"/>
      <c r="HZO40" s="19"/>
      <c r="HZP40" s="19"/>
      <c r="HZQ40" s="19"/>
      <c r="HZR40" s="21"/>
      <c r="HZS40" s="19"/>
      <c r="IAB40" s="19"/>
      <c r="IAC40" s="19"/>
      <c r="IAD40" s="19"/>
      <c r="IAE40" s="19"/>
      <c r="IAF40" s="21"/>
      <c r="IAG40" s="19"/>
      <c r="IAP40" s="19"/>
      <c r="IAQ40" s="19"/>
      <c r="IAR40" s="19"/>
      <c r="IAS40" s="19"/>
      <c r="IAT40" s="21"/>
      <c r="IAU40" s="19"/>
      <c r="IBD40" s="19"/>
      <c r="IBE40" s="19"/>
      <c r="IBF40" s="19"/>
      <c r="IBG40" s="19"/>
      <c r="IBH40" s="21"/>
      <c r="IBI40" s="19"/>
      <c r="IBR40" s="19"/>
      <c r="IBS40" s="19"/>
      <c r="IBT40" s="19"/>
      <c r="IBU40" s="19"/>
      <c r="IBV40" s="21"/>
      <c r="IBW40" s="19"/>
      <c r="ICF40" s="19"/>
      <c r="ICG40" s="19"/>
      <c r="ICH40" s="19"/>
      <c r="ICI40" s="19"/>
      <c r="ICJ40" s="21"/>
      <c r="ICK40" s="19"/>
      <c r="ICT40" s="19"/>
      <c r="ICU40" s="19"/>
      <c r="ICV40" s="19"/>
      <c r="ICW40" s="19"/>
      <c r="ICX40" s="21"/>
      <c r="ICY40" s="19"/>
      <c r="IDH40" s="19"/>
      <c r="IDI40" s="19"/>
      <c r="IDJ40" s="19"/>
      <c r="IDK40" s="19"/>
      <c r="IDL40" s="21"/>
      <c r="IDM40" s="19"/>
      <c r="IDV40" s="19"/>
      <c r="IDW40" s="19"/>
      <c r="IDX40" s="19"/>
      <c r="IDY40" s="19"/>
      <c r="IDZ40" s="21"/>
      <c r="IEA40" s="19"/>
      <c r="IEJ40" s="19"/>
      <c r="IEK40" s="19"/>
      <c r="IEL40" s="19"/>
      <c r="IEM40" s="19"/>
      <c r="IEN40" s="21"/>
      <c r="IEO40" s="19"/>
      <c r="IEX40" s="19"/>
      <c r="IEY40" s="19"/>
      <c r="IEZ40" s="19"/>
      <c r="IFA40" s="19"/>
      <c r="IFB40" s="21"/>
      <c r="IFC40" s="19"/>
      <c r="IFL40" s="19"/>
      <c r="IFM40" s="19"/>
      <c r="IFN40" s="19"/>
      <c r="IFO40" s="19"/>
      <c r="IFP40" s="21"/>
      <c r="IFQ40" s="19"/>
      <c r="IFZ40" s="19"/>
      <c r="IGA40" s="19"/>
      <c r="IGB40" s="19"/>
      <c r="IGC40" s="19"/>
      <c r="IGD40" s="21"/>
      <c r="IGE40" s="19"/>
      <c r="IGN40" s="19"/>
      <c r="IGO40" s="19"/>
      <c r="IGP40" s="19"/>
      <c r="IGQ40" s="19"/>
      <c r="IGR40" s="21"/>
      <c r="IGS40" s="19"/>
      <c r="IHB40" s="19"/>
      <c r="IHC40" s="19"/>
      <c r="IHD40" s="19"/>
      <c r="IHE40" s="19"/>
      <c r="IHF40" s="21"/>
      <c r="IHG40" s="19"/>
      <c r="IHP40" s="19"/>
      <c r="IHQ40" s="19"/>
      <c r="IHR40" s="19"/>
      <c r="IHS40" s="19"/>
      <c r="IHT40" s="21"/>
      <c r="IHU40" s="19"/>
      <c r="IID40" s="19"/>
      <c r="IIE40" s="19"/>
      <c r="IIF40" s="19"/>
      <c r="IIG40" s="19"/>
      <c r="IIH40" s="21"/>
      <c r="III40" s="19"/>
      <c r="IIR40" s="19"/>
      <c r="IIS40" s="19"/>
      <c r="IIT40" s="19"/>
      <c r="IIU40" s="19"/>
      <c r="IIV40" s="21"/>
      <c r="IIW40" s="19"/>
      <c r="IJF40" s="19"/>
      <c r="IJG40" s="19"/>
      <c r="IJH40" s="19"/>
      <c r="IJI40" s="19"/>
      <c r="IJJ40" s="21"/>
      <c r="IJK40" s="19"/>
      <c r="IJT40" s="19"/>
      <c r="IJU40" s="19"/>
      <c r="IJV40" s="19"/>
      <c r="IJW40" s="19"/>
      <c r="IJX40" s="21"/>
      <c r="IJY40" s="19"/>
      <c r="IKH40" s="19"/>
      <c r="IKI40" s="19"/>
      <c r="IKJ40" s="19"/>
      <c r="IKK40" s="19"/>
      <c r="IKL40" s="21"/>
      <c r="IKM40" s="19"/>
      <c r="IKV40" s="19"/>
      <c r="IKW40" s="19"/>
      <c r="IKX40" s="19"/>
      <c r="IKY40" s="19"/>
      <c r="IKZ40" s="21"/>
      <c r="ILA40" s="19"/>
      <c r="ILJ40" s="19"/>
      <c r="ILK40" s="19"/>
      <c r="ILL40" s="19"/>
      <c r="ILM40" s="19"/>
      <c r="ILN40" s="21"/>
      <c r="ILO40" s="19"/>
      <c r="ILX40" s="19"/>
      <c r="ILY40" s="19"/>
      <c r="ILZ40" s="19"/>
      <c r="IMA40" s="19"/>
      <c r="IMB40" s="21"/>
      <c r="IMC40" s="19"/>
      <c r="IML40" s="19"/>
      <c r="IMM40" s="19"/>
      <c r="IMN40" s="19"/>
      <c r="IMO40" s="19"/>
      <c r="IMP40" s="21"/>
      <c r="IMQ40" s="19"/>
      <c r="IMZ40" s="19"/>
      <c r="INA40" s="19"/>
      <c r="INB40" s="19"/>
      <c r="INC40" s="19"/>
      <c r="IND40" s="21"/>
      <c r="INE40" s="19"/>
      <c r="INN40" s="19"/>
      <c r="INO40" s="19"/>
      <c r="INP40" s="19"/>
      <c r="INQ40" s="19"/>
      <c r="INR40" s="21"/>
      <c r="INS40" s="19"/>
      <c r="IOB40" s="19"/>
      <c r="IOC40" s="19"/>
      <c r="IOD40" s="19"/>
      <c r="IOE40" s="19"/>
      <c r="IOF40" s="21"/>
      <c r="IOG40" s="19"/>
      <c r="IOP40" s="19"/>
      <c r="IOQ40" s="19"/>
      <c r="IOR40" s="19"/>
      <c r="IOS40" s="19"/>
      <c r="IOT40" s="21"/>
      <c r="IOU40" s="19"/>
      <c r="IPD40" s="19"/>
      <c r="IPE40" s="19"/>
      <c r="IPF40" s="19"/>
      <c r="IPG40" s="19"/>
      <c r="IPH40" s="21"/>
      <c r="IPI40" s="19"/>
      <c r="IPR40" s="19"/>
      <c r="IPS40" s="19"/>
      <c r="IPT40" s="19"/>
      <c r="IPU40" s="19"/>
      <c r="IPV40" s="21"/>
      <c r="IPW40" s="19"/>
      <c r="IQF40" s="19"/>
      <c r="IQG40" s="19"/>
      <c r="IQH40" s="19"/>
      <c r="IQI40" s="19"/>
      <c r="IQJ40" s="21"/>
      <c r="IQK40" s="19"/>
      <c r="IQT40" s="19"/>
      <c r="IQU40" s="19"/>
      <c r="IQV40" s="19"/>
      <c r="IQW40" s="19"/>
      <c r="IQX40" s="21"/>
      <c r="IQY40" s="19"/>
      <c r="IRH40" s="19"/>
      <c r="IRI40" s="19"/>
      <c r="IRJ40" s="19"/>
      <c r="IRK40" s="19"/>
      <c r="IRL40" s="21"/>
      <c r="IRM40" s="19"/>
      <c r="IRV40" s="19"/>
      <c r="IRW40" s="19"/>
      <c r="IRX40" s="19"/>
      <c r="IRY40" s="19"/>
      <c r="IRZ40" s="21"/>
      <c r="ISA40" s="19"/>
      <c r="ISJ40" s="19"/>
      <c r="ISK40" s="19"/>
      <c r="ISL40" s="19"/>
      <c r="ISM40" s="19"/>
      <c r="ISN40" s="21"/>
      <c r="ISO40" s="19"/>
      <c r="ISX40" s="19"/>
      <c r="ISY40" s="19"/>
      <c r="ISZ40" s="19"/>
      <c r="ITA40" s="19"/>
      <c r="ITB40" s="21"/>
      <c r="ITC40" s="19"/>
      <c r="ITL40" s="19"/>
      <c r="ITM40" s="19"/>
      <c r="ITN40" s="19"/>
      <c r="ITO40" s="19"/>
      <c r="ITP40" s="21"/>
      <c r="ITQ40" s="19"/>
      <c r="ITZ40" s="19"/>
      <c r="IUA40" s="19"/>
      <c r="IUB40" s="19"/>
      <c r="IUC40" s="19"/>
      <c r="IUD40" s="21"/>
      <c r="IUE40" s="19"/>
      <c r="IUN40" s="19"/>
      <c r="IUO40" s="19"/>
      <c r="IUP40" s="19"/>
      <c r="IUQ40" s="19"/>
      <c r="IUR40" s="21"/>
      <c r="IUS40" s="19"/>
      <c r="IVB40" s="19"/>
      <c r="IVC40" s="19"/>
      <c r="IVD40" s="19"/>
      <c r="IVE40" s="19"/>
      <c r="IVF40" s="21"/>
      <c r="IVG40" s="19"/>
      <c r="IVP40" s="19"/>
      <c r="IVQ40" s="19"/>
      <c r="IVR40" s="19"/>
      <c r="IVS40" s="19"/>
      <c r="IVT40" s="21"/>
      <c r="IVU40" s="19"/>
      <c r="IWD40" s="19"/>
      <c r="IWE40" s="19"/>
      <c r="IWF40" s="19"/>
      <c r="IWG40" s="19"/>
      <c r="IWH40" s="21"/>
      <c r="IWI40" s="19"/>
      <c r="IWR40" s="19"/>
      <c r="IWS40" s="19"/>
      <c r="IWT40" s="19"/>
      <c r="IWU40" s="19"/>
      <c r="IWV40" s="21"/>
      <c r="IWW40" s="19"/>
      <c r="IXF40" s="19"/>
      <c r="IXG40" s="19"/>
      <c r="IXH40" s="19"/>
      <c r="IXI40" s="19"/>
      <c r="IXJ40" s="21"/>
      <c r="IXK40" s="19"/>
      <c r="IXT40" s="19"/>
      <c r="IXU40" s="19"/>
      <c r="IXV40" s="19"/>
      <c r="IXW40" s="19"/>
      <c r="IXX40" s="21"/>
      <c r="IXY40" s="19"/>
      <c r="IYH40" s="19"/>
      <c r="IYI40" s="19"/>
      <c r="IYJ40" s="19"/>
      <c r="IYK40" s="19"/>
      <c r="IYL40" s="21"/>
      <c r="IYM40" s="19"/>
      <c r="IYV40" s="19"/>
      <c r="IYW40" s="19"/>
      <c r="IYX40" s="19"/>
      <c r="IYY40" s="19"/>
      <c r="IYZ40" s="21"/>
      <c r="IZA40" s="19"/>
      <c r="IZJ40" s="19"/>
      <c r="IZK40" s="19"/>
      <c r="IZL40" s="19"/>
      <c r="IZM40" s="19"/>
      <c r="IZN40" s="21"/>
      <c r="IZO40" s="19"/>
      <c r="IZX40" s="19"/>
      <c r="IZY40" s="19"/>
      <c r="IZZ40" s="19"/>
      <c r="JAA40" s="19"/>
      <c r="JAB40" s="21"/>
      <c r="JAC40" s="19"/>
      <c r="JAL40" s="19"/>
      <c r="JAM40" s="19"/>
      <c r="JAN40" s="19"/>
      <c r="JAO40" s="19"/>
      <c r="JAP40" s="21"/>
      <c r="JAQ40" s="19"/>
      <c r="JAZ40" s="19"/>
      <c r="JBA40" s="19"/>
      <c r="JBB40" s="19"/>
      <c r="JBC40" s="19"/>
      <c r="JBD40" s="21"/>
      <c r="JBE40" s="19"/>
      <c r="JBN40" s="19"/>
      <c r="JBO40" s="19"/>
      <c r="JBP40" s="19"/>
      <c r="JBQ40" s="19"/>
      <c r="JBR40" s="21"/>
      <c r="JBS40" s="19"/>
      <c r="JCB40" s="19"/>
      <c r="JCC40" s="19"/>
      <c r="JCD40" s="19"/>
      <c r="JCE40" s="19"/>
      <c r="JCF40" s="21"/>
      <c r="JCG40" s="19"/>
      <c r="JCP40" s="19"/>
      <c r="JCQ40" s="19"/>
      <c r="JCR40" s="19"/>
      <c r="JCS40" s="19"/>
      <c r="JCT40" s="21"/>
      <c r="JCU40" s="19"/>
      <c r="JDD40" s="19"/>
      <c r="JDE40" s="19"/>
      <c r="JDF40" s="19"/>
      <c r="JDG40" s="19"/>
      <c r="JDH40" s="21"/>
      <c r="JDI40" s="19"/>
      <c r="JDR40" s="19"/>
      <c r="JDS40" s="19"/>
      <c r="JDT40" s="19"/>
      <c r="JDU40" s="19"/>
      <c r="JDV40" s="21"/>
      <c r="JDW40" s="19"/>
      <c r="JEF40" s="19"/>
      <c r="JEG40" s="19"/>
      <c r="JEH40" s="19"/>
      <c r="JEI40" s="19"/>
      <c r="JEJ40" s="21"/>
      <c r="JEK40" s="19"/>
      <c r="JET40" s="19"/>
      <c r="JEU40" s="19"/>
      <c r="JEV40" s="19"/>
      <c r="JEW40" s="19"/>
      <c r="JEX40" s="21"/>
      <c r="JEY40" s="19"/>
      <c r="JFH40" s="19"/>
      <c r="JFI40" s="19"/>
      <c r="JFJ40" s="19"/>
      <c r="JFK40" s="19"/>
      <c r="JFL40" s="21"/>
      <c r="JFM40" s="19"/>
      <c r="JFV40" s="19"/>
      <c r="JFW40" s="19"/>
      <c r="JFX40" s="19"/>
      <c r="JFY40" s="19"/>
      <c r="JFZ40" s="21"/>
      <c r="JGA40" s="19"/>
      <c r="JGJ40" s="19"/>
      <c r="JGK40" s="19"/>
      <c r="JGL40" s="19"/>
      <c r="JGM40" s="19"/>
      <c r="JGN40" s="21"/>
      <c r="JGO40" s="19"/>
      <c r="JGX40" s="19"/>
      <c r="JGY40" s="19"/>
      <c r="JGZ40" s="19"/>
      <c r="JHA40" s="19"/>
      <c r="JHB40" s="21"/>
      <c r="JHC40" s="19"/>
      <c r="JHL40" s="19"/>
      <c r="JHM40" s="19"/>
      <c r="JHN40" s="19"/>
      <c r="JHO40" s="19"/>
      <c r="JHP40" s="21"/>
      <c r="JHQ40" s="19"/>
      <c r="JHZ40" s="19"/>
      <c r="JIA40" s="19"/>
      <c r="JIB40" s="19"/>
      <c r="JIC40" s="19"/>
      <c r="JID40" s="21"/>
      <c r="JIE40" s="19"/>
      <c r="JIN40" s="19"/>
      <c r="JIO40" s="19"/>
      <c r="JIP40" s="19"/>
      <c r="JIQ40" s="19"/>
      <c r="JIR40" s="21"/>
      <c r="JIS40" s="19"/>
      <c r="JJB40" s="19"/>
      <c r="JJC40" s="19"/>
      <c r="JJD40" s="19"/>
      <c r="JJE40" s="19"/>
      <c r="JJF40" s="21"/>
      <c r="JJG40" s="19"/>
      <c r="JJP40" s="19"/>
      <c r="JJQ40" s="19"/>
      <c r="JJR40" s="19"/>
      <c r="JJS40" s="19"/>
      <c r="JJT40" s="21"/>
      <c r="JJU40" s="19"/>
      <c r="JKD40" s="19"/>
      <c r="JKE40" s="19"/>
      <c r="JKF40" s="19"/>
      <c r="JKG40" s="19"/>
      <c r="JKH40" s="21"/>
      <c r="JKI40" s="19"/>
      <c r="JKR40" s="19"/>
      <c r="JKS40" s="19"/>
      <c r="JKT40" s="19"/>
      <c r="JKU40" s="19"/>
      <c r="JKV40" s="21"/>
      <c r="JKW40" s="19"/>
      <c r="JLF40" s="19"/>
      <c r="JLG40" s="19"/>
      <c r="JLH40" s="19"/>
      <c r="JLI40" s="19"/>
      <c r="JLJ40" s="21"/>
      <c r="JLK40" s="19"/>
      <c r="JLT40" s="19"/>
      <c r="JLU40" s="19"/>
      <c r="JLV40" s="19"/>
      <c r="JLW40" s="19"/>
      <c r="JLX40" s="21"/>
      <c r="JLY40" s="19"/>
      <c r="JMH40" s="19"/>
      <c r="JMI40" s="19"/>
      <c r="JMJ40" s="19"/>
      <c r="JMK40" s="19"/>
      <c r="JML40" s="21"/>
      <c r="JMM40" s="19"/>
      <c r="JMV40" s="19"/>
      <c r="JMW40" s="19"/>
      <c r="JMX40" s="19"/>
      <c r="JMY40" s="19"/>
      <c r="JMZ40" s="21"/>
      <c r="JNA40" s="19"/>
      <c r="JNJ40" s="19"/>
      <c r="JNK40" s="19"/>
      <c r="JNL40" s="19"/>
      <c r="JNM40" s="19"/>
      <c r="JNN40" s="21"/>
      <c r="JNO40" s="19"/>
      <c r="JNX40" s="19"/>
      <c r="JNY40" s="19"/>
      <c r="JNZ40" s="19"/>
      <c r="JOA40" s="19"/>
      <c r="JOB40" s="21"/>
      <c r="JOC40" s="19"/>
      <c r="JOL40" s="19"/>
      <c r="JOM40" s="19"/>
      <c r="JON40" s="19"/>
      <c r="JOO40" s="19"/>
      <c r="JOP40" s="21"/>
      <c r="JOQ40" s="19"/>
      <c r="JOZ40" s="19"/>
      <c r="JPA40" s="19"/>
      <c r="JPB40" s="19"/>
      <c r="JPC40" s="19"/>
      <c r="JPD40" s="21"/>
      <c r="JPE40" s="19"/>
      <c r="JPN40" s="19"/>
      <c r="JPO40" s="19"/>
      <c r="JPP40" s="19"/>
      <c r="JPQ40" s="19"/>
      <c r="JPR40" s="21"/>
      <c r="JPS40" s="19"/>
      <c r="JQB40" s="19"/>
      <c r="JQC40" s="19"/>
      <c r="JQD40" s="19"/>
      <c r="JQE40" s="19"/>
      <c r="JQF40" s="21"/>
      <c r="JQG40" s="19"/>
      <c r="JQP40" s="19"/>
      <c r="JQQ40" s="19"/>
      <c r="JQR40" s="19"/>
      <c r="JQS40" s="19"/>
      <c r="JQT40" s="21"/>
      <c r="JQU40" s="19"/>
      <c r="JRD40" s="19"/>
      <c r="JRE40" s="19"/>
      <c r="JRF40" s="19"/>
      <c r="JRG40" s="19"/>
      <c r="JRH40" s="21"/>
      <c r="JRI40" s="19"/>
      <c r="JRR40" s="19"/>
      <c r="JRS40" s="19"/>
      <c r="JRT40" s="19"/>
      <c r="JRU40" s="19"/>
      <c r="JRV40" s="21"/>
      <c r="JRW40" s="19"/>
      <c r="JSF40" s="19"/>
      <c r="JSG40" s="19"/>
      <c r="JSH40" s="19"/>
      <c r="JSI40" s="19"/>
      <c r="JSJ40" s="21"/>
      <c r="JSK40" s="19"/>
      <c r="JST40" s="19"/>
      <c r="JSU40" s="19"/>
      <c r="JSV40" s="19"/>
      <c r="JSW40" s="19"/>
      <c r="JSX40" s="21"/>
      <c r="JSY40" s="19"/>
      <c r="JTH40" s="19"/>
      <c r="JTI40" s="19"/>
      <c r="JTJ40" s="19"/>
      <c r="JTK40" s="19"/>
      <c r="JTL40" s="21"/>
      <c r="JTM40" s="19"/>
      <c r="JTV40" s="19"/>
      <c r="JTW40" s="19"/>
      <c r="JTX40" s="19"/>
      <c r="JTY40" s="19"/>
      <c r="JTZ40" s="21"/>
      <c r="JUA40" s="19"/>
      <c r="JUJ40" s="19"/>
      <c r="JUK40" s="19"/>
      <c r="JUL40" s="19"/>
      <c r="JUM40" s="19"/>
      <c r="JUN40" s="21"/>
      <c r="JUO40" s="19"/>
      <c r="JUX40" s="19"/>
      <c r="JUY40" s="19"/>
      <c r="JUZ40" s="19"/>
      <c r="JVA40" s="19"/>
      <c r="JVB40" s="21"/>
      <c r="JVC40" s="19"/>
      <c r="JVL40" s="19"/>
      <c r="JVM40" s="19"/>
      <c r="JVN40" s="19"/>
      <c r="JVO40" s="19"/>
      <c r="JVP40" s="21"/>
      <c r="JVQ40" s="19"/>
      <c r="JVZ40" s="19"/>
      <c r="JWA40" s="19"/>
      <c r="JWB40" s="19"/>
      <c r="JWC40" s="19"/>
      <c r="JWD40" s="21"/>
      <c r="JWE40" s="19"/>
      <c r="JWN40" s="19"/>
      <c r="JWO40" s="19"/>
      <c r="JWP40" s="19"/>
      <c r="JWQ40" s="19"/>
      <c r="JWR40" s="21"/>
      <c r="JWS40" s="19"/>
      <c r="JXB40" s="19"/>
      <c r="JXC40" s="19"/>
      <c r="JXD40" s="19"/>
      <c r="JXE40" s="19"/>
      <c r="JXF40" s="21"/>
      <c r="JXG40" s="19"/>
      <c r="JXP40" s="19"/>
      <c r="JXQ40" s="19"/>
      <c r="JXR40" s="19"/>
      <c r="JXS40" s="19"/>
      <c r="JXT40" s="21"/>
      <c r="JXU40" s="19"/>
      <c r="JYD40" s="19"/>
      <c r="JYE40" s="19"/>
      <c r="JYF40" s="19"/>
      <c r="JYG40" s="19"/>
      <c r="JYH40" s="21"/>
      <c r="JYI40" s="19"/>
      <c r="JYR40" s="19"/>
      <c r="JYS40" s="19"/>
      <c r="JYT40" s="19"/>
      <c r="JYU40" s="19"/>
      <c r="JYV40" s="21"/>
      <c r="JYW40" s="19"/>
      <c r="JZF40" s="19"/>
      <c r="JZG40" s="19"/>
      <c r="JZH40" s="19"/>
      <c r="JZI40" s="19"/>
      <c r="JZJ40" s="21"/>
      <c r="JZK40" s="19"/>
      <c r="JZT40" s="19"/>
      <c r="JZU40" s="19"/>
      <c r="JZV40" s="19"/>
      <c r="JZW40" s="19"/>
      <c r="JZX40" s="21"/>
      <c r="JZY40" s="19"/>
      <c r="KAH40" s="19"/>
      <c r="KAI40" s="19"/>
      <c r="KAJ40" s="19"/>
      <c r="KAK40" s="19"/>
      <c r="KAL40" s="21"/>
      <c r="KAM40" s="19"/>
      <c r="KAV40" s="19"/>
      <c r="KAW40" s="19"/>
      <c r="KAX40" s="19"/>
      <c r="KAY40" s="19"/>
      <c r="KAZ40" s="21"/>
      <c r="KBA40" s="19"/>
      <c r="KBJ40" s="19"/>
      <c r="KBK40" s="19"/>
      <c r="KBL40" s="19"/>
      <c r="KBM40" s="19"/>
      <c r="KBN40" s="21"/>
      <c r="KBO40" s="19"/>
      <c r="KBX40" s="19"/>
      <c r="KBY40" s="19"/>
      <c r="KBZ40" s="19"/>
      <c r="KCA40" s="19"/>
      <c r="KCB40" s="21"/>
      <c r="KCC40" s="19"/>
      <c r="KCL40" s="19"/>
      <c r="KCM40" s="19"/>
      <c r="KCN40" s="19"/>
      <c r="KCO40" s="19"/>
      <c r="KCP40" s="21"/>
      <c r="KCQ40" s="19"/>
      <c r="KCZ40" s="19"/>
      <c r="KDA40" s="19"/>
      <c r="KDB40" s="19"/>
      <c r="KDC40" s="19"/>
      <c r="KDD40" s="21"/>
      <c r="KDE40" s="19"/>
      <c r="KDN40" s="19"/>
      <c r="KDO40" s="19"/>
      <c r="KDP40" s="19"/>
      <c r="KDQ40" s="19"/>
      <c r="KDR40" s="21"/>
      <c r="KDS40" s="19"/>
      <c r="KEB40" s="19"/>
      <c r="KEC40" s="19"/>
      <c r="KED40" s="19"/>
      <c r="KEE40" s="19"/>
      <c r="KEF40" s="21"/>
      <c r="KEG40" s="19"/>
      <c r="KEP40" s="19"/>
      <c r="KEQ40" s="19"/>
      <c r="KER40" s="19"/>
      <c r="KES40" s="19"/>
      <c r="KET40" s="21"/>
      <c r="KEU40" s="19"/>
      <c r="KFD40" s="19"/>
      <c r="KFE40" s="19"/>
      <c r="KFF40" s="19"/>
      <c r="KFG40" s="19"/>
      <c r="KFH40" s="21"/>
      <c r="KFI40" s="19"/>
      <c r="KFR40" s="19"/>
      <c r="KFS40" s="19"/>
      <c r="KFT40" s="19"/>
      <c r="KFU40" s="19"/>
      <c r="KFV40" s="21"/>
      <c r="KFW40" s="19"/>
      <c r="KGF40" s="19"/>
      <c r="KGG40" s="19"/>
      <c r="KGH40" s="19"/>
      <c r="KGI40" s="19"/>
      <c r="KGJ40" s="21"/>
      <c r="KGK40" s="19"/>
      <c r="KGT40" s="19"/>
      <c r="KGU40" s="19"/>
      <c r="KGV40" s="19"/>
      <c r="KGW40" s="19"/>
      <c r="KGX40" s="21"/>
      <c r="KGY40" s="19"/>
      <c r="KHH40" s="19"/>
      <c r="KHI40" s="19"/>
      <c r="KHJ40" s="19"/>
      <c r="KHK40" s="19"/>
      <c r="KHL40" s="21"/>
      <c r="KHM40" s="19"/>
      <c r="KHV40" s="19"/>
      <c r="KHW40" s="19"/>
      <c r="KHX40" s="19"/>
      <c r="KHY40" s="19"/>
      <c r="KHZ40" s="21"/>
      <c r="KIA40" s="19"/>
      <c r="KIJ40" s="19"/>
      <c r="KIK40" s="19"/>
      <c r="KIL40" s="19"/>
      <c r="KIM40" s="19"/>
      <c r="KIN40" s="21"/>
      <c r="KIO40" s="19"/>
      <c r="KIX40" s="19"/>
      <c r="KIY40" s="19"/>
      <c r="KIZ40" s="19"/>
      <c r="KJA40" s="19"/>
      <c r="KJB40" s="21"/>
      <c r="KJC40" s="19"/>
      <c r="KJL40" s="19"/>
      <c r="KJM40" s="19"/>
      <c r="KJN40" s="19"/>
      <c r="KJO40" s="19"/>
      <c r="KJP40" s="21"/>
      <c r="KJQ40" s="19"/>
      <c r="KJZ40" s="19"/>
      <c r="KKA40" s="19"/>
      <c r="KKB40" s="19"/>
      <c r="KKC40" s="19"/>
      <c r="KKD40" s="21"/>
      <c r="KKE40" s="19"/>
      <c r="KKN40" s="19"/>
      <c r="KKO40" s="19"/>
      <c r="KKP40" s="19"/>
      <c r="KKQ40" s="19"/>
      <c r="KKR40" s="21"/>
      <c r="KKS40" s="19"/>
      <c r="KLB40" s="19"/>
      <c r="KLC40" s="19"/>
      <c r="KLD40" s="19"/>
      <c r="KLE40" s="19"/>
      <c r="KLF40" s="21"/>
      <c r="KLG40" s="19"/>
      <c r="KLP40" s="19"/>
      <c r="KLQ40" s="19"/>
      <c r="KLR40" s="19"/>
      <c r="KLS40" s="19"/>
      <c r="KLT40" s="21"/>
      <c r="KLU40" s="19"/>
      <c r="KMD40" s="19"/>
      <c r="KME40" s="19"/>
      <c r="KMF40" s="19"/>
      <c r="KMG40" s="19"/>
      <c r="KMH40" s="21"/>
      <c r="KMI40" s="19"/>
      <c r="KMR40" s="19"/>
      <c r="KMS40" s="19"/>
      <c r="KMT40" s="19"/>
      <c r="KMU40" s="19"/>
      <c r="KMV40" s="21"/>
      <c r="KMW40" s="19"/>
      <c r="KNF40" s="19"/>
      <c r="KNG40" s="19"/>
      <c r="KNH40" s="19"/>
      <c r="KNI40" s="19"/>
      <c r="KNJ40" s="21"/>
      <c r="KNK40" s="19"/>
      <c r="KNT40" s="19"/>
      <c r="KNU40" s="19"/>
      <c r="KNV40" s="19"/>
      <c r="KNW40" s="19"/>
      <c r="KNX40" s="21"/>
      <c r="KNY40" s="19"/>
      <c r="KOH40" s="19"/>
      <c r="KOI40" s="19"/>
      <c r="KOJ40" s="19"/>
      <c r="KOK40" s="19"/>
      <c r="KOL40" s="21"/>
      <c r="KOM40" s="19"/>
      <c r="KOV40" s="19"/>
      <c r="KOW40" s="19"/>
      <c r="KOX40" s="19"/>
      <c r="KOY40" s="19"/>
      <c r="KOZ40" s="21"/>
      <c r="KPA40" s="19"/>
      <c r="KPJ40" s="19"/>
      <c r="KPK40" s="19"/>
      <c r="KPL40" s="19"/>
      <c r="KPM40" s="19"/>
      <c r="KPN40" s="21"/>
      <c r="KPO40" s="19"/>
      <c r="KPX40" s="19"/>
      <c r="KPY40" s="19"/>
      <c r="KPZ40" s="19"/>
      <c r="KQA40" s="19"/>
      <c r="KQB40" s="21"/>
      <c r="KQC40" s="19"/>
      <c r="KQL40" s="19"/>
      <c r="KQM40" s="19"/>
      <c r="KQN40" s="19"/>
      <c r="KQO40" s="19"/>
      <c r="KQP40" s="21"/>
      <c r="KQQ40" s="19"/>
      <c r="KQZ40" s="19"/>
      <c r="KRA40" s="19"/>
      <c r="KRB40" s="19"/>
      <c r="KRC40" s="19"/>
      <c r="KRD40" s="21"/>
      <c r="KRE40" s="19"/>
      <c r="KRN40" s="19"/>
      <c r="KRO40" s="19"/>
      <c r="KRP40" s="19"/>
      <c r="KRQ40" s="19"/>
      <c r="KRR40" s="21"/>
      <c r="KRS40" s="19"/>
      <c r="KSB40" s="19"/>
      <c r="KSC40" s="19"/>
      <c r="KSD40" s="19"/>
      <c r="KSE40" s="19"/>
      <c r="KSF40" s="21"/>
      <c r="KSG40" s="19"/>
      <c r="KSP40" s="19"/>
      <c r="KSQ40" s="19"/>
      <c r="KSR40" s="19"/>
      <c r="KSS40" s="19"/>
      <c r="KST40" s="21"/>
      <c r="KSU40" s="19"/>
      <c r="KTD40" s="19"/>
      <c r="KTE40" s="19"/>
      <c r="KTF40" s="19"/>
      <c r="KTG40" s="19"/>
      <c r="KTH40" s="21"/>
      <c r="KTI40" s="19"/>
      <c r="KTR40" s="19"/>
      <c r="KTS40" s="19"/>
      <c r="KTT40" s="19"/>
      <c r="KTU40" s="19"/>
      <c r="KTV40" s="21"/>
      <c r="KTW40" s="19"/>
      <c r="KUF40" s="19"/>
      <c r="KUG40" s="19"/>
      <c r="KUH40" s="19"/>
      <c r="KUI40" s="19"/>
      <c r="KUJ40" s="21"/>
      <c r="KUK40" s="19"/>
      <c r="KUT40" s="19"/>
      <c r="KUU40" s="19"/>
      <c r="KUV40" s="19"/>
      <c r="KUW40" s="19"/>
      <c r="KUX40" s="21"/>
      <c r="KUY40" s="19"/>
      <c r="KVH40" s="19"/>
      <c r="KVI40" s="19"/>
      <c r="KVJ40" s="19"/>
      <c r="KVK40" s="19"/>
      <c r="KVL40" s="21"/>
      <c r="KVM40" s="19"/>
      <c r="KVV40" s="19"/>
      <c r="KVW40" s="19"/>
      <c r="KVX40" s="19"/>
      <c r="KVY40" s="19"/>
      <c r="KVZ40" s="21"/>
      <c r="KWA40" s="19"/>
      <c r="KWJ40" s="19"/>
      <c r="KWK40" s="19"/>
      <c r="KWL40" s="19"/>
      <c r="KWM40" s="19"/>
      <c r="KWN40" s="21"/>
      <c r="KWO40" s="19"/>
      <c r="KWX40" s="19"/>
      <c r="KWY40" s="19"/>
      <c r="KWZ40" s="19"/>
      <c r="KXA40" s="19"/>
      <c r="KXB40" s="21"/>
      <c r="KXC40" s="19"/>
      <c r="KXL40" s="19"/>
      <c r="KXM40" s="19"/>
      <c r="KXN40" s="19"/>
      <c r="KXO40" s="19"/>
      <c r="KXP40" s="21"/>
      <c r="KXQ40" s="19"/>
      <c r="KXZ40" s="19"/>
      <c r="KYA40" s="19"/>
      <c r="KYB40" s="19"/>
      <c r="KYC40" s="19"/>
      <c r="KYD40" s="21"/>
      <c r="KYE40" s="19"/>
      <c r="KYN40" s="19"/>
      <c r="KYO40" s="19"/>
      <c r="KYP40" s="19"/>
      <c r="KYQ40" s="19"/>
      <c r="KYR40" s="21"/>
      <c r="KYS40" s="19"/>
      <c r="KZB40" s="19"/>
      <c r="KZC40" s="19"/>
      <c r="KZD40" s="19"/>
      <c r="KZE40" s="19"/>
      <c r="KZF40" s="21"/>
      <c r="KZG40" s="19"/>
      <c r="KZP40" s="19"/>
      <c r="KZQ40" s="19"/>
      <c r="KZR40" s="19"/>
      <c r="KZS40" s="19"/>
      <c r="KZT40" s="21"/>
      <c r="KZU40" s="19"/>
      <c r="LAD40" s="19"/>
      <c r="LAE40" s="19"/>
      <c r="LAF40" s="19"/>
      <c r="LAG40" s="19"/>
      <c r="LAH40" s="21"/>
      <c r="LAI40" s="19"/>
      <c r="LAR40" s="19"/>
      <c r="LAS40" s="19"/>
      <c r="LAT40" s="19"/>
      <c r="LAU40" s="19"/>
      <c r="LAV40" s="21"/>
      <c r="LAW40" s="19"/>
      <c r="LBF40" s="19"/>
      <c r="LBG40" s="19"/>
      <c r="LBH40" s="19"/>
      <c r="LBI40" s="19"/>
      <c r="LBJ40" s="21"/>
      <c r="LBK40" s="19"/>
      <c r="LBT40" s="19"/>
      <c r="LBU40" s="19"/>
      <c r="LBV40" s="19"/>
      <c r="LBW40" s="19"/>
      <c r="LBX40" s="21"/>
      <c r="LBY40" s="19"/>
      <c r="LCH40" s="19"/>
      <c r="LCI40" s="19"/>
      <c r="LCJ40" s="19"/>
      <c r="LCK40" s="19"/>
      <c r="LCL40" s="21"/>
      <c r="LCM40" s="19"/>
      <c r="LCV40" s="19"/>
      <c r="LCW40" s="19"/>
      <c r="LCX40" s="19"/>
      <c r="LCY40" s="19"/>
      <c r="LCZ40" s="21"/>
      <c r="LDA40" s="19"/>
      <c r="LDJ40" s="19"/>
      <c r="LDK40" s="19"/>
      <c r="LDL40" s="19"/>
      <c r="LDM40" s="19"/>
      <c r="LDN40" s="21"/>
      <c r="LDO40" s="19"/>
      <c r="LDX40" s="19"/>
      <c r="LDY40" s="19"/>
      <c r="LDZ40" s="19"/>
      <c r="LEA40" s="19"/>
      <c r="LEB40" s="21"/>
      <c r="LEC40" s="19"/>
      <c r="LEL40" s="19"/>
      <c r="LEM40" s="19"/>
      <c r="LEN40" s="19"/>
      <c r="LEO40" s="19"/>
      <c r="LEP40" s="21"/>
      <c r="LEQ40" s="19"/>
      <c r="LEZ40" s="19"/>
      <c r="LFA40" s="19"/>
      <c r="LFB40" s="19"/>
      <c r="LFC40" s="19"/>
      <c r="LFD40" s="21"/>
      <c r="LFE40" s="19"/>
      <c r="LFN40" s="19"/>
      <c r="LFO40" s="19"/>
      <c r="LFP40" s="19"/>
      <c r="LFQ40" s="19"/>
      <c r="LFR40" s="21"/>
      <c r="LFS40" s="19"/>
      <c r="LGB40" s="19"/>
      <c r="LGC40" s="19"/>
      <c r="LGD40" s="19"/>
      <c r="LGE40" s="19"/>
      <c r="LGF40" s="21"/>
      <c r="LGG40" s="19"/>
      <c r="LGP40" s="19"/>
      <c r="LGQ40" s="19"/>
      <c r="LGR40" s="19"/>
      <c r="LGS40" s="19"/>
      <c r="LGT40" s="21"/>
      <c r="LGU40" s="19"/>
      <c r="LHD40" s="19"/>
      <c r="LHE40" s="19"/>
      <c r="LHF40" s="19"/>
      <c r="LHG40" s="19"/>
      <c r="LHH40" s="21"/>
      <c r="LHI40" s="19"/>
      <c r="LHR40" s="19"/>
      <c r="LHS40" s="19"/>
      <c r="LHT40" s="19"/>
      <c r="LHU40" s="19"/>
      <c r="LHV40" s="21"/>
      <c r="LHW40" s="19"/>
      <c r="LIF40" s="19"/>
      <c r="LIG40" s="19"/>
      <c r="LIH40" s="19"/>
      <c r="LII40" s="19"/>
      <c r="LIJ40" s="21"/>
      <c r="LIK40" s="19"/>
      <c r="LIT40" s="19"/>
      <c r="LIU40" s="19"/>
      <c r="LIV40" s="19"/>
      <c r="LIW40" s="19"/>
      <c r="LIX40" s="21"/>
      <c r="LIY40" s="19"/>
      <c r="LJH40" s="19"/>
      <c r="LJI40" s="19"/>
      <c r="LJJ40" s="19"/>
      <c r="LJK40" s="19"/>
      <c r="LJL40" s="21"/>
      <c r="LJM40" s="19"/>
      <c r="LJV40" s="19"/>
      <c r="LJW40" s="19"/>
      <c r="LJX40" s="19"/>
      <c r="LJY40" s="19"/>
      <c r="LJZ40" s="21"/>
      <c r="LKA40" s="19"/>
      <c r="LKJ40" s="19"/>
      <c r="LKK40" s="19"/>
      <c r="LKL40" s="19"/>
      <c r="LKM40" s="19"/>
      <c r="LKN40" s="21"/>
      <c r="LKO40" s="19"/>
      <c r="LKX40" s="19"/>
      <c r="LKY40" s="19"/>
      <c r="LKZ40" s="19"/>
      <c r="LLA40" s="19"/>
      <c r="LLB40" s="21"/>
      <c r="LLC40" s="19"/>
      <c r="LLL40" s="19"/>
      <c r="LLM40" s="19"/>
      <c r="LLN40" s="19"/>
      <c r="LLO40" s="19"/>
      <c r="LLP40" s="21"/>
      <c r="LLQ40" s="19"/>
      <c r="LLZ40" s="19"/>
      <c r="LMA40" s="19"/>
      <c r="LMB40" s="19"/>
      <c r="LMC40" s="19"/>
      <c r="LMD40" s="21"/>
      <c r="LME40" s="19"/>
      <c r="LMN40" s="19"/>
      <c r="LMO40" s="19"/>
      <c r="LMP40" s="19"/>
      <c r="LMQ40" s="19"/>
      <c r="LMR40" s="21"/>
      <c r="LMS40" s="19"/>
      <c r="LNB40" s="19"/>
      <c r="LNC40" s="19"/>
      <c r="LND40" s="19"/>
      <c r="LNE40" s="19"/>
      <c r="LNF40" s="21"/>
      <c r="LNG40" s="19"/>
      <c r="LNP40" s="19"/>
      <c r="LNQ40" s="19"/>
      <c r="LNR40" s="19"/>
      <c r="LNS40" s="19"/>
      <c r="LNT40" s="21"/>
      <c r="LNU40" s="19"/>
      <c r="LOD40" s="19"/>
      <c r="LOE40" s="19"/>
      <c r="LOF40" s="19"/>
      <c r="LOG40" s="19"/>
      <c r="LOH40" s="21"/>
      <c r="LOI40" s="19"/>
      <c r="LOR40" s="19"/>
      <c r="LOS40" s="19"/>
      <c r="LOT40" s="19"/>
      <c r="LOU40" s="19"/>
      <c r="LOV40" s="21"/>
      <c r="LOW40" s="19"/>
      <c r="LPF40" s="19"/>
      <c r="LPG40" s="19"/>
      <c r="LPH40" s="19"/>
      <c r="LPI40" s="19"/>
      <c r="LPJ40" s="21"/>
      <c r="LPK40" s="19"/>
      <c r="LPT40" s="19"/>
      <c r="LPU40" s="19"/>
      <c r="LPV40" s="19"/>
      <c r="LPW40" s="19"/>
      <c r="LPX40" s="21"/>
      <c r="LPY40" s="19"/>
      <c r="LQH40" s="19"/>
      <c r="LQI40" s="19"/>
      <c r="LQJ40" s="19"/>
      <c r="LQK40" s="19"/>
      <c r="LQL40" s="21"/>
      <c r="LQM40" s="19"/>
      <c r="LQV40" s="19"/>
      <c r="LQW40" s="19"/>
      <c r="LQX40" s="19"/>
      <c r="LQY40" s="19"/>
      <c r="LQZ40" s="21"/>
      <c r="LRA40" s="19"/>
      <c r="LRJ40" s="19"/>
      <c r="LRK40" s="19"/>
      <c r="LRL40" s="19"/>
      <c r="LRM40" s="19"/>
      <c r="LRN40" s="21"/>
      <c r="LRO40" s="19"/>
      <c r="LRX40" s="19"/>
      <c r="LRY40" s="19"/>
      <c r="LRZ40" s="19"/>
      <c r="LSA40" s="19"/>
      <c r="LSB40" s="21"/>
      <c r="LSC40" s="19"/>
      <c r="LSL40" s="19"/>
      <c r="LSM40" s="19"/>
      <c r="LSN40" s="19"/>
      <c r="LSO40" s="19"/>
      <c r="LSP40" s="21"/>
      <c r="LSQ40" s="19"/>
      <c r="LSZ40" s="19"/>
      <c r="LTA40" s="19"/>
      <c r="LTB40" s="19"/>
      <c r="LTC40" s="19"/>
      <c r="LTD40" s="21"/>
      <c r="LTE40" s="19"/>
      <c r="LTN40" s="19"/>
      <c r="LTO40" s="19"/>
      <c r="LTP40" s="19"/>
      <c r="LTQ40" s="19"/>
      <c r="LTR40" s="21"/>
      <c r="LTS40" s="19"/>
      <c r="LUB40" s="19"/>
      <c r="LUC40" s="19"/>
      <c r="LUD40" s="19"/>
      <c r="LUE40" s="19"/>
      <c r="LUF40" s="21"/>
      <c r="LUG40" s="19"/>
      <c r="LUP40" s="19"/>
      <c r="LUQ40" s="19"/>
      <c r="LUR40" s="19"/>
      <c r="LUS40" s="19"/>
      <c r="LUT40" s="21"/>
      <c r="LUU40" s="19"/>
      <c r="LVD40" s="19"/>
      <c r="LVE40" s="19"/>
      <c r="LVF40" s="19"/>
      <c r="LVG40" s="19"/>
      <c r="LVH40" s="21"/>
      <c r="LVI40" s="19"/>
      <c r="LVR40" s="19"/>
      <c r="LVS40" s="19"/>
      <c r="LVT40" s="19"/>
      <c r="LVU40" s="19"/>
      <c r="LVV40" s="21"/>
      <c r="LVW40" s="19"/>
      <c r="LWF40" s="19"/>
      <c r="LWG40" s="19"/>
      <c r="LWH40" s="19"/>
      <c r="LWI40" s="19"/>
      <c r="LWJ40" s="21"/>
      <c r="LWK40" s="19"/>
      <c r="LWT40" s="19"/>
      <c r="LWU40" s="19"/>
      <c r="LWV40" s="19"/>
      <c r="LWW40" s="19"/>
      <c r="LWX40" s="21"/>
      <c r="LWY40" s="19"/>
      <c r="LXH40" s="19"/>
      <c r="LXI40" s="19"/>
      <c r="LXJ40" s="19"/>
      <c r="LXK40" s="19"/>
      <c r="LXL40" s="21"/>
      <c r="LXM40" s="19"/>
      <c r="LXV40" s="19"/>
      <c r="LXW40" s="19"/>
      <c r="LXX40" s="19"/>
      <c r="LXY40" s="19"/>
      <c r="LXZ40" s="21"/>
      <c r="LYA40" s="19"/>
      <c r="LYJ40" s="19"/>
      <c r="LYK40" s="19"/>
      <c r="LYL40" s="19"/>
      <c r="LYM40" s="19"/>
      <c r="LYN40" s="21"/>
      <c r="LYO40" s="19"/>
      <c r="LYX40" s="19"/>
      <c r="LYY40" s="19"/>
      <c r="LYZ40" s="19"/>
      <c r="LZA40" s="19"/>
      <c r="LZB40" s="21"/>
      <c r="LZC40" s="19"/>
      <c r="LZL40" s="19"/>
      <c r="LZM40" s="19"/>
      <c r="LZN40" s="19"/>
      <c r="LZO40" s="19"/>
      <c r="LZP40" s="21"/>
      <c r="LZQ40" s="19"/>
      <c r="LZZ40" s="19"/>
      <c r="MAA40" s="19"/>
      <c r="MAB40" s="19"/>
      <c r="MAC40" s="19"/>
      <c r="MAD40" s="21"/>
      <c r="MAE40" s="19"/>
      <c r="MAN40" s="19"/>
      <c r="MAO40" s="19"/>
      <c r="MAP40" s="19"/>
      <c r="MAQ40" s="19"/>
      <c r="MAR40" s="21"/>
      <c r="MAS40" s="19"/>
      <c r="MBB40" s="19"/>
      <c r="MBC40" s="19"/>
      <c r="MBD40" s="19"/>
      <c r="MBE40" s="19"/>
      <c r="MBF40" s="21"/>
      <c r="MBG40" s="19"/>
      <c r="MBP40" s="19"/>
      <c r="MBQ40" s="19"/>
      <c r="MBR40" s="19"/>
      <c r="MBS40" s="19"/>
      <c r="MBT40" s="21"/>
      <c r="MBU40" s="19"/>
      <c r="MCD40" s="19"/>
      <c r="MCE40" s="19"/>
      <c r="MCF40" s="19"/>
      <c r="MCG40" s="19"/>
      <c r="MCH40" s="21"/>
      <c r="MCI40" s="19"/>
      <c r="MCR40" s="19"/>
      <c r="MCS40" s="19"/>
      <c r="MCT40" s="19"/>
      <c r="MCU40" s="19"/>
      <c r="MCV40" s="21"/>
      <c r="MCW40" s="19"/>
      <c r="MDF40" s="19"/>
      <c r="MDG40" s="19"/>
      <c r="MDH40" s="19"/>
      <c r="MDI40" s="19"/>
      <c r="MDJ40" s="21"/>
      <c r="MDK40" s="19"/>
      <c r="MDT40" s="19"/>
      <c r="MDU40" s="19"/>
      <c r="MDV40" s="19"/>
      <c r="MDW40" s="19"/>
      <c r="MDX40" s="21"/>
      <c r="MDY40" s="19"/>
      <c r="MEH40" s="19"/>
      <c r="MEI40" s="19"/>
      <c r="MEJ40" s="19"/>
      <c r="MEK40" s="19"/>
      <c r="MEL40" s="21"/>
      <c r="MEM40" s="19"/>
      <c r="MEV40" s="19"/>
      <c r="MEW40" s="19"/>
      <c r="MEX40" s="19"/>
      <c r="MEY40" s="19"/>
      <c r="MEZ40" s="21"/>
      <c r="MFA40" s="19"/>
      <c r="MFJ40" s="19"/>
      <c r="MFK40" s="19"/>
      <c r="MFL40" s="19"/>
      <c r="MFM40" s="19"/>
      <c r="MFN40" s="21"/>
      <c r="MFO40" s="19"/>
      <c r="MFX40" s="19"/>
      <c r="MFY40" s="19"/>
      <c r="MFZ40" s="19"/>
      <c r="MGA40" s="19"/>
      <c r="MGB40" s="21"/>
      <c r="MGC40" s="19"/>
      <c r="MGL40" s="19"/>
      <c r="MGM40" s="19"/>
      <c r="MGN40" s="19"/>
      <c r="MGO40" s="19"/>
      <c r="MGP40" s="21"/>
      <c r="MGQ40" s="19"/>
      <c r="MGZ40" s="19"/>
      <c r="MHA40" s="19"/>
      <c r="MHB40" s="19"/>
      <c r="MHC40" s="19"/>
      <c r="MHD40" s="21"/>
      <c r="MHE40" s="19"/>
      <c r="MHN40" s="19"/>
      <c r="MHO40" s="19"/>
      <c r="MHP40" s="19"/>
      <c r="MHQ40" s="19"/>
      <c r="MHR40" s="21"/>
      <c r="MHS40" s="19"/>
      <c r="MIB40" s="19"/>
      <c r="MIC40" s="19"/>
      <c r="MID40" s="19"/>
      <c r="MIE40" s="19"/>
      <c r="MIF40" s="21"/>
      <c r="MIG40" s="19"/>
      <c r="MIP40" s="19"/>
      <c r="MIQ40" s="19"/>
      <c r="MIR40" s="19"/>
      <c r="MIS40" s="19"/>
      <c r="MIT40" s="21"/>
      <c r="MIU40" s="19"/>
      <c r="MJD40" s="19"/>
      <c r="MJE40" s="19"/>
      <c r="MJF40" s="19"/>
      <c r="MJG40" s="19"/>
      <c r="MJH40" s="21"/>
      <c r="MJI40" s="19"/>
      <c r="MJR40" s="19"/>
      <c r="MJS40" s="19"/>
      <c r="MJT40" s="19"/>
      <c r="MJU40" s="19"/>
      <c r="MJV40" s="21"/>
      <c r="MJW40" s="19"/>
      <c r="MKF40" s="19"/>
      <c r="MKG40" s="19"/>
      <c r="MKH40" s="19"/>
      <c r="MKI40" s="19"/>
      <c r="MKJ40" s="21"/>
      <c r="MKK40" s="19"/>
      <c r="MKT40" s="19"/>
      <c r="MKU40" s="19"/>
      <c r="MKV40" s="19"/>
      <c r="MKW40" s="19"/>
      <c r="MKX40" s="21"/>
      <c r="MKY40" s="19"/>
      <c r="MLH40" s="19"/>
      <c r="MLI40" s="19"/>
      <c r="MLJ40" s="19"/>
      <c r="MLK40" s="19"/>
      <c r="MLL40" s="21"/>
      <c r="MLM40" s="19"/>
      <c r="MLV40" s="19"/>
      <c r="MLW40" s="19"/>
      <c r="MLX40" s="19"/>
      <c r="MLY40" s="19"/>
      <c r="MLZ40" s="21"/>
      <c r="MMA40" s="19"/>
      <c r="MMJ40" s="19"/>
      <c r="MMK40" s="19"/>
      <c r="MML40" s="19"/>
      <c r="MMM40" s="19"/>
      <c r="MMN40" s="21"/>
      <c r="MMO40" s="19"/>
      <c r="MMX40" s="19"/>
      <c r="MMY40" s="19"/>
      <c r="MMZ40" s="19"/>
      <c r="MNA40" s="19"/>
      <c r="MNB40" s="21"/>
      <c r="MNC40" s="19"/>
      <c r="MNL40" s="19"/>
      <c r="MNM40" s="19"/>
      <c r="MNN40" s="19"/>
      <c r="MNO40" s="19"/>
      <c r="MNP40" s="21"/>
      <c r="MNQ40" s="19"/>
      <c r="MNZ40" s="19"/>
      <c r="MOA40" s="19"/>
      <c r="MOB40" s="19"/>
      <c r="MOC40" s="19"/>
      <c r="MOD40" s="21"/>
      <c r="MOE40" s="19"/>
      <c r="MON40" s="19"/>
      <c r="MOO40" s="19"/>
      <c r="MOP40" s="19"/>
      <c r="MOQ40" s="19"/>
      <c r="MOR40" s="21"/>
      <c r="MOS40" s="19"/>
      <c r="MPB40" s="19"/>
      <c r="MPC40" s="19"/>
      <c r="MPD40" s="19"/>
      <c r="MPE40" s="19"/>
      <c r="MPF40" s="21"/>
      <c r="MPG40" s="19"/>
      <c r="MPP40" s="19"/>
      <c r="MPQ40" s="19"/>
      <c r="MPR40" s="19"/>
      <c r="MPS40" s="19"/>
      <c r="MPT40" s="21"/>
      <c r="MPU40" s="19"/>
      <c r="MQD40" s="19"/>
      <c r="MQE40" s="19"/>
      <c r="MQF40" s="19"/>
      <c r="MQG40" s="19"/>
      <c r="MQH40" s="21"/>
      <c r="MQI40" s="19"/>
      <c r="MQR40" s="19"/>
      <c r="MQS40" s="19"/>
      <c r="MQT40" s="19"/>
      <c r="MQU40" s="19"/>
      <c r="MQV40" s="21"/>
      <c r="MQW40" s="19"/>
      <c r="MRF40" s="19"/>
      <c r="MRG40" s="19"/>
      <c r="MRH40" s="19"/>
      <c r="MRI40" s="19"/>
      <c r="MRJ40" s="21"/>
      <c r="MRK40" s="19"/>
      <c r="MRT40" s="19"/>
      <c r="MRU40" s="19"/>
      <c r="MRV40" s="19"/>
      <c r="MRW40" s="19"/>
      <c r="MRX40" s="21"/>
      <c r="MRY40" s="19"/>
      <c r="MSH40" s="19"/>
      <c r="MSI40" s="19"/>
      <c r="MSJ40" s="19"/>
      <c r="MSK40" s="19"/>
      <c r="MSL40" s="21"/>
      <c r="MSM40" s="19"/>
      <c r="MSV40" s="19"/>
      <c r="MSW40" s="19"/>
      <c r="MSX40" s="19"/>
      <c r="MSY40" s="19"/>
      <c r="MSZ40" s="21"/>
      <c r="MTA40" s="19"/>
      <c r="MTJ40" s="19"/>
      <c r="MTK40" s="19"/>
      <c r="MTL40" s="19"/>
      <c r="MTM40" s="19"/>
      <c r="MTN40" s="21"/>
      <c r="MTO40" s="19"/>
      <c r="MTX40" s="19"/>
      <c r="MTY40" s="19"/>
      <c r="MTZ40" s="19"/>
      <c r="MUA40" s="19"/>
      <c r="MUB40" s="21"/>
      <c r="MUC40" s="19"/>
      <c r="MUL40" s="19"/>
      <c r="MUM40" s="19"/>
      <c r="MUN40" s="19"/>
      <c r="MUO40" s="19"/>
      <c r="MUP40" s="21"/>
      <c r="MUQ40" s="19"/>
      <c r="MUZ40" s="19"/>
      <c r="MVA40" s="19"/>
      <c r="MVB40" s="19"/>
      <c r="MVC40" s="19"/>
      <c r="MVD40" s="21"/>
      <c r="MVE40" s="19"/>
      <c r="MVN40" s="19"/>
      <c r="MVO40" s="19"/>
      <c r="MVP40" s="19"/>
      <c r="MVQ40" s="19"/>
      <c r="MVR40" s="21"/>
      <c r="MVS40" s="19"/>
      <c r="MWB40" s="19"/>
      <c r="MWC40" s="19"/>
      <c r="MWD40" s="19"/>
      <c r="MWE40" s="19"/>
      <c r="MWF40" s="21"/>
      <c r="MWG40" s="19"/>
      <c r="MWP40" s="19"/>
      <c r="MWQ40" s="19"/>
      <c r="MWR40" s="19"/>
      <c r="MWS40" s="19"/>
      <c r="MWT40" s="21"/>
      <c r="MWU40" s="19"/>
      <c r="MXD40" s="19"/>
      <c r="MXE40" s="19"/>
      <c r="MXF40" s="19"/>
      <c r="MXG40" s="19"/>
      <c r="MXH40" s="21"/>
      <c r="MXI40" s="19"/>
      <c r="MXR40" s="19"/>
      <c r="MXS40" s="19"/>
      <c r="MXT40" s="19"/>
      <c r="MXU40" s="19"/>
      <c r="MXV40" s="21"/>
      <c r="MXW40" s="19"/>
      <c r="MYF40" s="19"/>
      <c r="MYG40" s="19"/>
      <c r="MYH40" s="19"/>
      <c r="MYI40" s="19"/>
      <c r="MYJ40" s="21"/>
      <c r="MYK40" s="19"/>
      <c r="MYT40" s="19"/>
      <c r="MYU40" s="19"/>
      <c r="MYV40" s="19"/>
      <c r="MYW40" s="19"/>
      <c r="MYX40" s="21"/>
      <c r="MYY40" s="19"/>
      <c r="MZH40" s="19"/>
      <c r="MZI40" s="19"/>
      <c r="MZJ40" s="19"/>
      <c r="MZK40" s="19"/>
      <c r="MZL40" s="21"/>
      <c r="MZM40" s="19"/>
      <c r="MZV40" s="19"/>
      <c r="MZW40" s="19"/>
      <c r="MZX40" s="19"/>
      <c r="MZY40" s="19"/>
      <c r="MZZ40" s="21"/>
      <c r="NAA40" s="19"/>
      <c r="NAJ40" s="19"/>
      <c r="NAK40" s="19"/>
      <c r="NAL40" s="19"/>
      <c r="NAM40" s="19"/>
      <c r="NAN40" s="21"/>
      <c r="NAO40" s="19"/>
      <c r="NAX40" s="19"/>
      <c r="NAY40" s="19"/>
      <c r="NAZ40" s="19"/>
      <c r="NBA40" s="19"/>
      <c r="NBB40" s="21"/>
      <c r="NBC40" s="19"/>
      <c r="NBL40" s="19"/>
      <c r="NBM40" s="19"/>
      <c r="NBN40" s="19"/>
      <c r="NBO40" s="19"/>
      <c r="NBP40" s="21"/>
      <c r="NBQ40" s="19"/>
      <c r="NBZ40" s="19"/>
      <c r="NCA40" s="19"/>
      <c r="NCB40" s="19"/>
      <c r="NCC40" s="19"/>
      <c r="NCD40" s="21"/>
      <c r="NCE40" s="19"/>
      <c r="NCN40" s="19"/>
      <c r="NCO40" s="19"/>
      <c r="NCP40" s="19"/>
      <c r="NCQ40" s="19"/>
      <c r="NCR40" s="21"/>
      <c r="NCS40" s="19"/>
      <c r="NDB40" s="19"/>
      <c r="NDC40" s="19"/>
      <c r="NDD40" s="19"/>
      <c r="NDE40" s="19"/>
      <c r="NDF40" s="21"/>
      <c r="NDG40" s="19"/>
      <c r="NDP40" s="19"/>
      <c r="NDQ40" s="19"/>
      <c r="NDR40" s="19"/>
      <c r="NDS40" s="19"/>
      <c r="NDT40" s="21"/>
      <c r="NDU40" s="19"/>
      <c r="NED40" s="19"/>
      <c r="NEE40" s="19"/>
      <c r="NEF40" s="19"/>
      <c r="NEG40" s="19"/>
      <c r="NEH40" s="21"/>
      <c r="NEI40" s="19"/>
      <c r="NER40" s="19"/>
      <c r="NES40" s="19"/>
      <c r="NET40" s="19"/>
      <c r="NEU40" s="19"/>
      <c r="NEV40" s="21"/>
      <c r="NEW40" s="19"/>
      <c r="NFF40" s="19"/>
      <c r="NFG40" s="19"/>
      <c r="NFH40" s="19"/>
      <c r="NFI40" s="19"/>
      <c r="NFJ40" s="21"/>
      <c r="NFK40" s="19"/>
      <c r="NFT40" s="19"/>
      <c r="NFU40" s="19"/>
      <c r="NFV40" s="19"/>
      <c r="NFW40" s="19"/>
      <c r="NFX40" s="21"/>
      <c r="NFY40" s="19"/>
      <c r="NGH40" s="19"/>
      <c r="NGI40" s="19"/>
      <c r="NGJ40" s="19"/>
      <c r="NGK40" s="19"/>
      <c r="NGL40" s="21"/>
      <c r="NGM40" s="19"/>
      <c r="NGV40" s="19"/>
      <c r="NGW40" s="19"/>
      <c r="NGX40" s="19"/>
      <c r="NGY40" s="19"/>
      <c r="NGZ40" s="21"/>
      <c r="NHA40" s="19"/>
      <c r="NHJ40" s="19"/>
      <c r="NHK40" s="19"/>
      <c r="NHL40" s="19"/>
      <c r="NHM40" s="19"/>
      <c r="NHN40" s="21"/>
      <c r="NHO40" s="19"/>
      <c r="NHX40" s="19"/>
      <c r="NHY40" s="19"/>
      <c r="NHZ40" s="19"/>
      <c r="NIA40" s="19"/>
      <c r="NIB40" s="21"/>
      <c r="NIC40" s="19"/>
      <c r="NIL40" s="19"/>
      <c r="NIM40" s="19"/>
      <c r="NIN40" s="19"/>
      <c r="NIO40" s="19"/>
      <c r="NIP40" s="21"/>
      <c r="NIQ40" s="19"/>
      <c r="NIZ40" s="19"/>
      <c r="NJA40" s="19"/>
      <c r="NJB40" s="19"/>
      <c r="NJC40" s="19"/>
      <c r="NJD40" s="21"/>
      <c r="NJE40" s="19"/>
      <c r="NJN40" s="19"/>
      <c r="NJO40" s="19"/>
      <c r="NJP40" s="19"/>
      <c r="NJQ40" s="19"/>
      <c r="NJR40" s="21"/>
      <c r="NJS40" s="19"/>
      <c r="NKB40" s="19"/>
      <c r="NKC40" s="19"/>
      <c r="NKD40" s="19"/>
      <c r="NKE40" s="19"/>
      <c r="NKF40" s="21"/>
      <c r="NKG40" s="19"/>
      <c r="NKP40" s="19"/>
      <c r="NKQ40" s="19"/>
      <c r="NKR40" s="19"/>
      <c r="NKS40" s="19"/>
      <c r="NKT40" s="21"/>
      <c r="NKU40" s="19"/>
      <c r="NLD40" s="19"/>
      <c r="NLE40" s="19"/>
      <c r="NLF40" s="19"/>
      <c r="NLG40" s="19"/>
      <c r="NLH40" s="21"/>
      <c r="NLI40" s="19"/>
      <c r="NLR40" s="19"/>
      <c r="NLS40" s="19"/>
      <c r="NLT40" s="19"/>
      <c r="NLU40" s="19"/>
      <c r="NLV40" s="21"/>
      <c r="NLW40" s="19"/>
      <c r="NMF40" s="19"/>
      <c r="NMG40" s="19"/>
      <c r="NMH40" s="19"/>
      <c r="NMI40" s="19"/>
      <c r="NMJ40" s="21"/>
      <c r="NMK40" s="19"/>
      <c r="NMT40" s="19"/>
      <c r="NMU40" s="19"/>
      <c r="NMV40" s="19"/>
      <c r="NMW40" s="19"/>
      <c r="NMX40" s="21"/>
      <c r="NMY40" s="19"/>
      <c r="NNH40" s="19"/>
      <c r="NNI40" s="19"/>
      <c r="NNJ40" s="19"/>
      <c r="NNK40" s="19"/>
      <c r="NNL40" s="21"/>
      <c r="NNM40" s="19"/>
      <c r="NNV40" s="19"/>
      <c r="NNW40" s="19"/>
      <c r="NNX40" s="19"/>
      <c r="NNY40" s="19"/>
      <c r="NNZ40" s="21"/>
      <c r="NOA40" s="19"/>
      <c r="NOJ40" s="19"/>
      <c r="NOK40" s="19"/>
      <c r="NOL40" s="19"/>
      <c r="NOM40" s="19"/>
      <c r="NON40" s="21"/>
      <c r="NOO40" s="19"/>
      <c r="NOX40" s="19"/>
      <c r="NOY40" s="19"/>
      <c r="NOZ40" s="19"/>
      <c r="NPA40" s="19"/>
      <c r="NPB40" s="21"/>
      <c r="NPC40" s="19"/>
      <c r="NPL40" s="19"/>
      <c r="NPM40" s="19"/>
      <c r="NPN40" s="19"/>
      <c r="NPO40" s="19"/>
      <c r="NPP40" s="21"/>
      <c r="NPQ40" s="19"/>
      <c r="NPZ40" s="19"/>
      <c r="NQA40" s="19"/>
      <c r="NQB40" s="19"/>
      <c r="NQC40" s="19"/>
      <c r="NQD40" s="21"/>
      <c r="NQE40" s="19"/>
      <c r="NQN40" s="19"/>
      <c r="NQO40" s="19"/>
      <c r="NQP40" s="19"/>
      <c r="NQQ40" s="19"/>
      <c r="NQR40" s="21"/>
      <c r="NQS40" s="19"/>
      <c r="NRB40" s="19"/>
      <c r="NRC40" s="19"/>
      <c r="NRD40" s="19"/>
      <c r="NRE40" s="19"/>
      <c r="NRF40" s="21"/>
      <c r="NRG40" s="19"/>
      <c r="NRP40" s="19"/>
      <c r="NRQ40" s="19"/>
      <c r="NRR40" s="19"/>
      <c r="NRS40" s="19"/>
      <c r="NRT40" s="21"/>
      <c r="NRU40" s="19"/>
      <c r="NSD40" s="19"/>
      <c r="NSE40" s="19"/>
      <c r="NSF40" s="19"/>
      <c r="NSG40" s="19"/>
      <c r="NSH40" s="21"/>
      <c r="NSI40" s="19"/>
      <c r="NSR40" s="19"/>
      <c r="NSS40" s="19"/>
      <c r="NST40" s="19"/>
      <c r="NSU40" s="19"/>
      <c r="NSV40" s="21"/>
      <c r="NSW40" s="19"/>
      <c r="NTF40" s="19"/>
      <c r="NTG40" s="19"/>
      <c r="NTH40" s="19"/>
      <c r="NTI40" s="19"/>
      <c r="NTJ40" s="21"/>
      <c r="NTK40" s="19"/>
      <c r="NTT40" s="19"/>
      <c r="NTU40" s="19"/>
      <c r="NTV40" s="19"/>
      <c r="NTW40" s="19"/>
      <c r="NTX40" s="21"/>
      <c r="NTY40" s="19"/>
      <c r="NUH40" s="19"/>
      <c r="NUI40" s="19"/>
      <c r="NUJ40" s="19"/>
      <c r="NUK40" s="19"/>
      <c r="NUL40" s="21"/>
      <c r="NUM40" s="19"/>
      <c r="NUV40" s="19"/>
      <c r="NUW40" s="19"/>
      <c r="NUX40" s="19"/>
      <c r="NUY40" s="19"/>
      <c r="NUZ40" s="21"/>
      <c r="NVA40" s="19"/>
      <c r="NVJ40" s="19"/>
      <c r="NVK40" s="19"/>
      <c r="NVL40" s="19"/>
      <c r="NVM40" s="19"/>
      <c r="NVN40" s="21"/>
      <c r="NVO40" s="19"/>
      <c r="NVX40" s="19"/>
      <c r="NVY40" s="19"/>
      <c r="NVZ40" s="19"/>
      <c r="NWA40" s="19"/>
      <c r="NWB40" s="21"/>
      <c r="NWC40" s="19"/>
      <c r="NWL40" s="19"/>
      <c r="NWM40" s="19"/>
      <c r="NWN40" s="19"/>
      <c r="NWO40" s="19"/>
      <c r="NWP40" s="21"/>
      <c r="NWQ40" s="19"/>
      <c r="NWZ40" s="19"/>
      <c r="NXA40" s="19"/>
      <c r="NXB40" s="19"/>
      <c r="NXC40" s="19"/>
      <c r="NXD40" s="21"/>
      <c r="NXE40" s="19"/>
      <c r="NXN40" s="19"/>
      <c r="NXO40" s="19"/>
      <c r="NXP40" s="19"/>
      <c r="NXQ40" s="19"/>
      <c r="NXR40" s="21"/>
      <c r="NXS40" s="19"/>
      <c r="NYB40" s="19"/>
      <c r="NYC40" s="19"/>
      <c r="NYD40" s="19"/>
      <c r="NYE40" s="19"/>
      <c r="NYF40" s="21"/>
      <c r="NYG40" s="19"/>
      <c r="NYP40" s="19"/>
      <c r="NYQ40" s="19"/>
      <c r="NYR40" s="19"/>
      <c r="NYS40" s="19"/>
      <c r="NYT40" s="21"/>
      <c r="NYU40" s="19"/>
      <c r="NZD40" s="19"/>
      <c r="NZE40" s="19"/>
      <c r="NZF40" s="19"/>
      <c r="NZG40" s="19"/>
      <c r="NZH40" s="21"/>
      <c r="NZI40" s="19"/>
      <c r="NZR40" s="19"/>
      <c r="NZS40" s="19"/>
      <c r="NZT40" s="19"/>
      <c r="NZU40" s="19"/>
      <c r="NZV40" s="21"/>
      <c r="NZW40" s="19"/>
      <c r="OAF40" s="19"/>
      <c r="OAG40" s="19"/>
      <c r="OAH40" s="19"/>
      <c r="OAI40" s="19"/>
      <c r="OAJ40" s="21"/>
      <c r="OAK40" s="19"/>
      <c r="OAT40" s="19"/>
      <c r="OAU40" s="19"/>
      <c r="OAV40" s="19"/>
      <c r="OAW40" s="19"/>
      <c r="OAX40" s="21"/>
      <c r="OAY40" s="19"/>
      <c r="OBH40" s="19"/>
      <c r="OBI40" s="19"/>
      <c r="OBJ40" s="19"/>
      <c r="OBK40" s="19"/>
      <c r="OBL40" s="21"/>
      <c r="OBM40" s="19"/>
      <c r="OBV40" s="19"/>
      <c r="OBW40" s="19"/>
      <c r="OBX40" s="19"/>
      <c r="OBY40" s="19"/>
      <c r="OBZ40" s="21"/>
      <c r="OCA40" s="19"/>
      <c r="OCJ40" s="19"/>
      <c r="OCK40" s="19"/>
      <c r="OCL40" s="19"/>
      <c r="OCM40" s="19"/>
      <c r="OCN40" s="21"/>
      <c r="OCO40" s="19"/>
      <c r="OCX40" s="19"/>
      <c r="OCY40" s="19"/>
      <c r="OCZ40" s="19"/>
      <c r="ODA40" s="19"/>
      <c r="ODB40" s="21"/>
      <c r="ODC40" s="19"/>
      <c r="ODL40" s="19"/>
      <c r="ODM40" s="19"/>
      <c r="ODN40" s="19"/>
      <c r="ODO40" s="19"/>
      <c r="ODP40" s="21"/>
      <c r="ODQ40" s="19"/>
      <c r="ODZ40" s="19"/>
      <c r="OEA40" s="19"/>
      <c r="OEB40" s="19"/>
      <c r="OEC40" s="19"/>
      <c r="OED40" s="21"/>
      <c r="OEE40" s="19"/>
      <c r="OEN40" s="19"/>
      <c r="OEO40" s="19"/>
      <c r="OEP40" s="19"/>
      <c r="OEQ40" s="19"/>
      <c r="OER40" s="21"/>
      <c r="OES40" s="19"/>
      <c r="OFB40" s="19"/>
      <c r="OFC40" s="19"/>
      <c r="OFD40" s="19"/>
      <c r="OFE40" s="19"/>
      <c r="OFF40" s="21"/>
      <c r="OFG40" s="19"/>
      <c r="OFP40" s="19"/>
      <c r="OFQ40" s="19"/>
      <c r="OFR40" s="19"/>
      <c r="OFS40" s="19"/>
      <c r="OFT40" s="21"/>
      <c r="OFU40" s="19"/>
      <c r="OGD40" s="19"/>
      <c r="OGE40" s="19"/>
      <c r="OGF40" s="19"/>
      <c r="OGG40" s="19"/>
      <c r="OGH40" s="21"/>
      <c r="OGI40" s="19"/>
      <c r="OGR40" s="19"/>
      <c r="OGS40" s="19"/>
      <c r="OGT40" s="19"/>
      <c r="OGU40" s="19"/>
      <c r="OGV40" s="21"/>
      <c r="OGW40" s="19"/>
      <c r="OHF40" s="19"/>
      <c r="OHG40" s="19"/>
      <c r="OHH40" s="19"/>
      <c r="OHI40" s="19"/>
      <c r="OHJ40" s="21"/>
      <c r="OHK40" s="19"/>
      <c r="OHT40" s="19"/>
      <c r="OHU40" s="19"/>
      <c r="OHV40" s="19"/>
      <c r="OHW40" s="19"/>
      <c r="OHX40" s="21"/>
      <c r="OHY40" s="19"/>
      <c r="OIH40" s="19"/>
      <c r="OII40" s="19"/>
      <c r="OIJ40" s="19"/>
      <c r="OIK40" s="19"/>
      <c r="OIL40" s="21"/>
      <c r="OIM40" s="19"/>
      <c r="OIV40" s="19"/>
      <c r="OIW40" s="19"/>
      <c r="OIX40" s="19"/>
      <c r="OIY40" s="19"/>
      <c r="OIZ40" s="21"/>
      <c r="OJA40" s="19"/>
      <c r="OJJ40" s="19"/>
      <c r="OJK40" s="19"/>
      <c r="OJL40" s="19"/>
      <c r="OJM40" s="19"/>
      <c r="OJN40" s="21"/>
      <c r="OJO40" s="19"/>
      <c r="OJX40" s="19"/>
      <c r="OJY40" s="19"/>
      <c r="OJZ40" s="19"/>
      <c r="OKA40" s="19"/>
      <c r="OKB40" s="21"/>
      <c r="OKC40" s="19"/>
      <c r="OKL40" s="19"/>
      <c r="OKM40" s="19"/>
      <c r="OKN40" s="19"/>
      <c r="OKO40" s="19"/>
      <c r="OKP40" s="21"/>
      <c r="OKQ40" s="19"/>
      <c r="OKZ40" s="19"/>
      <c r="OLA40" s="19"/>
      <c r="OLB40" s="19"/>
      <c r="OLC40" s="19"/>
      <c r="OLD40" s="21"/>
      <c r="OLE40" s="19"/>
      <c r="OLN40" s="19"/>
      <c r="OLO40" s="19"/>
      <c r="OLP40" s="19"/>
      <c r="OLQ40" s="19"/>
      <c r="OLR40" s="21"/>
      <c r="OLS40" s="19"/>
      <c r="OMB40" s="19"/>
      <c r="OMC40" s="19"/>
      <c r="OMD40" s="19"/>
      <c r="OME40" s="19"/>
      <c r="OMF40" s="21"/>
      <c r="OMG40" s="19"/>
      <c r="OMP40" s="19"/>
      <c r="OMQ40" s="19"/>
      <c r="OMR40" s="19"/>
      <c r="OMS40" s="19"/>
      <c r="OMT40" s="21"/>
      <c r="OMU40" s="19"/>
      <c r="OND40" s="19"/>
      <c r="ONE40" s="19"/>
      <c r="ONF40" s="19"/>
      <c r="ONG40" s="19"/>
      <c r="ONH40" s="21"/>
      <c r="ONI40" s="19"/>
      <c r="ONR40" s="19"/>
      <c r="ONS40" s="19"/>
      <c r="ONT40" s="19"/>
      <c r="ONU40" s="19"/>
      <c r="ONV40" s="21"/>
      <c r="ONW40" s="19"/>
      <c r="OOF40" s="19"/>
      <c r="OOG40" s="19"/>
      <c r="OOH40" s="19"/>
      <c r="OOI40" s="19"/>
      <c r="OOJ40" s="21"/>
      <c r="OOK40" s="19"/>
      <c r="OOT40" s="19"/>
      <c r="OOU40" s="19"/>
      <c r="OOV40" s="19"/>
      <c r="OOW40" s="19"/>
      <c r="OOX40" s="21"/>
      <c r="OOY40" s="19"/>
      <c r="OPH40" s="19"/>
      <c r="OPI40" s="19"/>
      <c r="OPJ40" s="19"/>
      <c r="OPK40" s="19"/>
      <c r="OPL40" s="21"/>
      <c r="OPM40" s="19"/>
      <c r="OPV40" s="19"/>
      <c r="OPW40" s="19"/>
      <c r="OPX40" s="19"/>
      <c r="OPY40" s="19"/>
      <c r="OPZ40" s="21"/>
      <c r="OQA40" s="19"/>
      <c r="OQJ40" s="19"/>
      <c r="OQK40" s="19"/>
      <c r="OQL40" s="19"/>
      <c r="OQM40" s="19"/>
      <c r="OQN40" s="21"/>
      <c r="OQO40" s="19"/>
      <c r="OQX40" s="19"/>
      <c r="OQY40" s="19"/>
      <c r="OQZ40" s="19"/>
      <c r="ORA40" s="19"/>
      <c r="ORB40" s="21"/>
      <c r="ORC40" s="19"/>
      <c r="ORL40" s="19"/>
      <c r="ORM40" s="19"/>
      <c r="ORN40" s="19"/>
      <c r="ORO40" s="19"/>
      <c r="ORP40" s="21"/>
      <c r="ORQ40" s="19"/>
      <c r="ORZ40" s="19"/>
      <c r="OSA40" s="19"/>
      <c r="OSB40" s="19"/>
      <c r="OSC40" s="19"/>
      <c r="OSD40" s="21"/>
      <c r="OSE40" s="19"/>
      <c r="OSN40" s="19"/>
      <c r="OSO40" s="19"/>
      <c r="OSP40" s="19"/>
      <c r="OSQ40" s="19"/>
      <c r="OSR40" s="21"/>
      <c r="OSS40" s="19"/>
      <c r="OTB40" s="19"/>
      <c r="OTC40" s="19"/>
      <c r="OTD40" s="19"/>
      <c r="OTE40" s="19"/>
      <c r="OTF40" s="21"/>
      <c r="OTG40" s="19"/>
      <c r="OTP40" s="19"/>
      <c r="OTQ40" s="19"/>
      <c r="OTR40" s="19"/>
      <c r="OTS40" s="19"/>
      <c r="OTT40" s="21"/>
      <c r="OTU40" s="19"/>
      <c r="OUD40" s="19"/>
      <c r="OUE40" s="19"/>
      <c r="OUF40" s="19"/>
      <c r="OUG40" s="19"/>
      <c r="OUH40" s="21"/>
      <c r="OUI40" s="19"/>
      <c r="OUR40" s="19"/>
      <c r="OUS40" s="19"/>
      <c r="OUT40" s="19"/>
      <c r="OUU40" s="19"/>
      <c r="OUV40" s="21"/>
      <c r="OUW40" s="19"/>
      <c r="OVF40" s="19"/>
      <c r="OVG40" s="19"/>
      <c r="OVH40" s="19"/>
      <c r="OVI40" s="19"/>
      <c r="OVJ40" s="21"/>
      <c r="OVK40" s="19"/>
      <c r="OVT40" s="19"/>
      <c r="OVU40" s="19"/>
      <c r="OVV40" s="19"/>
      <c r="OVW40" s="19"/>
      <c r="OVX40" s="21"/>
      <c r="OVY40" s="19"/>
      <c r="OWH40" s="19"/>
      <c r="OWI40" s="19"/>
      <c r="OWJ40" s="19"/>
      <c r="OWK40" s="19"/>
      <c r="OWL40" s="21"/>
      <c r="OWM40" s="19"/>
      <c r="OWV40" s="19"/>
      <c r="OWW40" s="19"/>
      <c r="OWX40" s="19"/>
      <c r="OWY40" s="19"/>
      <c r="OWZ40" s="21"/>
      <c r="OXA40" s="19"/>
      <c r="OXJ40" s="19"/>
      <c r="OXK40" s="19"/>
      <c r="OXL40" s="19"/>
      <c r="OXM40" s="19"/>
      <c r="OXN40" s="21"/>
      <c r="OXO40" s="19"/>
      <c r="OXX40" s="19"/>
      <c r="OXY40" s="19"/>
      <c r="OXZ40" s="19"/>
      <c r="OYA40" s="19"/>
      <c r="OYB40" s="21"/>
      <c r="OYC40" s="19"/>
      <c r="OYL40" s="19"/>
      <c r="OYM40" s="19"/>
      <c r="OYN40" s="19"/>
      <c r="OYO40" s="19"/>
      <c r="OYP40" s="21"/>
      <c r="OYQ40" s="19"/>
      <c r="OYZ40" s="19"/>
      <c r="OZA40" s="19"/>
      <c r="OZB40" s="19"/>
      <c r="OZC40" s="19"/>
      <c r="OZD40" s="21"/>
      <c r="OZE40" s="19"/>
      <c r="OZN40" s="19"/>
      <c r="OZO40" s="19"/>
      <c r="OZP40" s="19"/>
      <c r="OZQ40" s="19"/>
      <c r="OZR40" s="21"/>
      <c r="OZS40" s="19"/>
      <c r="PAB40" s="19"/>
      <c r="PAC40" s="19"/>
      <c r="PAD40" s="19"/>
      <c r="PAE40" s="19"/>
      <c r="PAF40" s="21"/>
      <c r="PAG40" s="19"/>
      <c r="PAP40" s="19"/>
      <c r="PAQ40" s="19"/>
      <c r="PAR40" s="19"/>
      <c r="PAS40" s="19"/>
      <c r="PAT40" s="21"/>
      <c r="PAU40" s="19"/>
      <c r="PBD40" s="19"/>
      <c r="PBE40" s="19"/>
      <c r="PBF40" s="19"/>
      <c r="PBG40" s="19"/>
      <c r="PBH40" s="21"/>
      <c r="PBI40" s="19"/>
      <c r="PBR40" s="19"/>
      <c r="PBS40" s="19"/>
      <c r="PBT40" s="19"/>
      <c r="PBU40" s="19"/>
      <c r="PBV40" s="21"/>
      <c r="PBW40" s="19"/>
      <c r="PCF40" s="19"/>
      <c r="PCG40" s="19"/>
      <c r="PCH40" s="19"/>
      <c r="PCI40" s="19"/>
      <c r="PCJ40" s="21"/>
      <c r="PCK40" s="19"/>
      <c r="PCT40" s="19"/>
      <c r="PCU40" s="19"/>
      <c r="PCV40" s="19"/>
      <c r="PCW40" s="19"/>
      <c r="PCX40" s="21"/>
      <c r="PCY40" s="19"/>
      <c r="PDH40" s="19"/>
      <c r="PDI40" s="19"/>
      <c r="PDJ40" s="19"/>
      <c r="PDK40" s="19"/>
      <c r="PDL40" s="21"/>
      <c r="PDM40" s="19"/>
      <c r="PDV40" s="19"/>
      <c r="PDW40" s="19"/>
      <c r="PDX40" s="19"/>
      <c r="PDY40" s="19"/>
      <c r="PDZ40" s="21"/>
      <c r="PEA40" s="19"/>
      <c r="PEJ40" s="19"/>
      <c r="PEK40" s="19"/>
      <c r="PEL40" s="19"/>
      <c r="PEM40" s="19"/>
      <c r="PEN40" s="21"/>
      <c r="PEO40" s="19"/>
      <c r="PEX40" s="19"/>
      <c r="PEY40" s="19"/>
      <c r="PEZ40" s="19"/>
      <c r="PFA40" s="19"/>
      <c r="PFB40" s="21"/>
      <c r="PFC40" s="19"/>
      <c r="PFL40" s="19"/>
      <c r="PFM40" s="19"/>
      <c r="PFN40" s="19"/>
      <c r="PFO40" s="19"/>
      <c r="PFP40" s="21"/>
      <c r="PFQ40" s="19"/>
      <c r="PFZ40" s="19"/>
      <c r="PGA40" s="19"/>
      <c r="PGB40" s="19"/>
      <c r="PGC40" s="19"/>
      <c r="PGD40" s="21"/>
      <c r="PGE40" s="19"/>
      <c r="PGN40" s="19"/>
      <c r="PGO40" s="19"/>
      <c r="PGP40" s="19"/>
      <c r="PGQ40" s="19"/>
      <c r="PGR40" s="21"/>
      <c r="PGS40" s="19"/>
      <c r="PHB40" s="19"/>
      <c r="PHC40" s="19"/>
      <c r="PHD40" s="19"/>
      <c r="PHE40" s="19"/>
      <c r="PHF40" s="21"/>
      <c r="PHG40" s="19"/>
      <c r="PHP40" s="19"/>
      <c r="PHQ40" s="19"/>
      <c r="PHR40" s="19"/>
      <c r="PHS40" s="19"/>
      <c r="PHT40" s="21"/>
      <c r="PHU40" s="19"/>
      <c r="PID40" s="19"/>
      <c r="PIE40" s="19"/>
      <c r="PIF40" s="19"/>
      <c r="PIG40" s="19"/>
      <c r="PIH40" s="21"/>
      <c r="PII40" s="19"/>
      <c r="PIR40" s="19"/>
      <c r="PIS40" s="19"/>
      <c r="PIT40" s="19"/>
      <c r="PIU40" s="19"/>
      <c r="PIV40" s="21"/>
      <c r="PIW40" s="19"/>
      <c r="PJF40" s="19"/>
      <c r="PJG40" s="19"/>
      <c r="PJH40" s="19"/>
      <c r="PJI40" s="19"/>
      <c r="PJJ40" s="21"/>
      <c r="PJK40" s="19"/>
      <c r="PJT40" s="19"/>
      <c r="PJU40" s="19"/>
      <c r="PJV40" s="19"/>
      <c r="PJW40" s="19"/>
      <c r="PJX40" s="21"/>
      <c r="PJY40" s="19"/>
      <c r="PKH40" s="19"/>
      <c r="PKI40" s="19"/>
      <c r="PKJ40" s="19"/>
      <c r="PKK40" s="19"/>
      <c r="PKL40" s="21"/>
      <c r="PKM40" s="19"/>
      <c r="PKV40" s="19"/>
      <c r="PKW40" s="19"/>
      <c r="PKX40" s="19"/>
      <c r="PKY40" s="19"/>
      <c r="PKZ40" s="21"/>
      <c r="PLA40" s="19"/>
      <c r="PLJ40" s="19"/>
      <c r="PLK40" s="19"/>
      <c r="PLL40" s="19"/>
      <c r="PLM40" s="19"/>
      <c r="PLN40" s="21"/>
      <c r="PLO40" s="19"/>
      <c r="PLX40" s="19"/>
      <c r="PLY40" s="19"/>
      <c r="PLZ40" s="19"/>
      <c r="PMA40" s="19"/>
      <c r="PMB40" s="21"/>
      <c r="PMC40" s="19"/>
      <c r="PML40" s="19"/>
      <c r="PMM40" s="19"/>
      <c r="PMN40" s="19"/>
      <c r="PMO40" s="19"/>
      <c r="PMP40" s="21"/>
      <c r="PMQ40" s="19"/>
      <c r="PMZ40" s="19"/>
      <c r="PNA40" s="19"/>
      <c r="PNB40" s="19"/>
      <c r="PNC40" s="19"/>
      <c r="PND40" s="21"/>
      <c r="PNE40" s="19"/>
      <c r="PNN40" s="19"/>
      <c r="PNO40" s="19"/>
      <c r="PNP40" s="19"/>
      <c r="PNQ40" s="19"/>
      <c r="PNR40" s="21"/>
      <c r="PNS40" s="19"/>
      <c r="POB40" s="19"/>
      <c r="POC40" s="19"/>
      <c r="POD40" s="19"/>
      <c r="POE40" s="19"/>
      <c r="POF40" s="21"/>
      <c r="POG40" s="19"/>
      <c r="POP40" s="19"/>
      <c r="POQ40" s="19"/>
      <c r="POR40" s="19"/>
      <c r="POS40" s="19"/>
      <c r="POT40" s="21"/>
      <c r="POU40" s="19"/>
      <c r="PPD40" s="19"/>
      <c r="PPE40" s="19"/>
      <c r="PPF40" s="19"/>
      <c r="PPG40" s="19"/>
      <c r="PPH40" s="21"/>
      <c r="PPI40" s="19"/>
      <c r="PPR40" s="19"/>
      <c r="PPS40" s="19"/>
      <c r="PPT40" s="19"/>
      <c r="PPU40" s="19"/>
      <c r="PPV40" s="21"/>
      <c r="PPW40" s="19"/>
      <c r="PQF40" s="19"/>
      <c r="PQG40" s="19"/>
      <c r="PQH40" s="19"/>
      <c r="PQI40" s="19"/>
      <c r="PQJ40" s="21"/>
      <c r="PQK40" s="19"/>
      <c r="PQT40" s="19"/>
      <c r="PQU40" s="19"/>
      <c r="PQV40" s="19"/>
      <c r="PQW40" s="19"/>
      <c r="PQX40" s="21"/>
      <c r="PQY40" s="19"/>
      <c r="PRH40" s="19"/>
      <c r="PRI40" s="19"/>
      <c r="PRJ40" s="19"/>
      <c r="PRK40" s="19"/>
      <c r="PRL40" s="21"/>
      <c r="PRM40" s="19"/>
      <c r="PRV40" s="19"/>
      <c r="PRW40" s="19"/>
      <c r="PRX40" s="19"/>
      <c r="PRY40" s="19"/>
      <c r="PRZ40" s="21"/>
      <c r="PSA40" s="19"/>
      <c r="PSJ40" s="19"/>
      <c r="PSK40" s="19"/>
      <c r="PSL40" s="19"/>
      <c r="PSM40" s="19"/>
      <c r="PSN40" s="21"/>
      <c r="PSO40" s="19"/>
      <c r="PSX40" s="19"/>
      <c r="PSY40" s="19"/>
      <c r="PSZ40" s="19"/>
      <c r="PTA40" s="19"/>
      <c r="PTB40" s="21"/>
      <c r="PTC40" s="19"/>
      <c r="PTL40" s="19"/>
      <c r="PTM40" s="19"/>
      <c r="PTN40" s="19"/>
      <c r="PTO40" s="19"/>
      <c r="PTP40" s="21"/>
      <c r="PTQ40" s="19"/>
      <c r="PTZ40" s="19"/>
      <c r="PUA40" s="19"/>
      <c r="PUB40" s="19"/>
      <c r="PUC40" s="19"/>
      <c r="PUD40" s="21"/>
      <c r="PUE40" s="19"/>
      <c r="PUN40" s="19"/>
      <c r="PUO40" s="19"/>
      <c r="PUP40" s="19"/>
      <c r="PUQ40" s="19"/>
      <c r="PUR40" s="21"/>
      <c r="PUS40" s="19"/>
      <c r="PVB40" s="19"/>
      <c r="PVC40" s="19"/>
      <c r="PVD40" s="19"/>
      <c r="PVE40" s="19"/>
      <c r="PVF40" s="21"/>
      <c r="PVG40" s="19"/>
      <c r="PVP40" s="19"/>
      <c r="PVQ40" s="19"/>
      <c r="PVR40" s="19"/>
      <c r="PVS40" s="19"/>
      <c r="PVT40" s="21"/>
      <c r="PVU40" s="19"/>
      <c r="PWD40" s="19"/>
      <c r="PWE40" s="19"/>
      <c r="PWF40" s="19"/>
      <c r="PWG40" s="19"/>
      <c r="PWH40" s="21"/>
      <c r="PWI40" s="19"/>
      <c r="PWR40" s="19"/>
      <c r="PWS40" s="19"/>
      <c r="PWT40" s="19"/>
      <c r="PWU40" s="19"/>
      <c r="PWV40" s="21"/>
      <c r="PWW40" s="19"/>
      <c r="PXF40" s="19"/>
      <c r="PXG40" s="19"/>
      <c r="PXH40" s="19"/>
      <c r="PXI40" s="19"/>
      <c r="PXJ40" s="21"/>
      <c r="PXK40" s="19"/>
      <c r="PXT40" s="19"/>
      <c r="PXU40" s="19"/>
      <c r="PXV40" s="19"/>
      <c r="PXW40" s="19"/>
      <c r="PXX40" s="21"/>
      <c r="PXY40" s="19"/>
      <c r="PYH40" s="19"/>
      <c r="PYI40" s="19"/>
      <c r="PYJ40" s="19"/>
      <c r="PYK40" s="19"/>
      <c r="PYL40" s="21"/>
      <c r="PYM40" s="19"/>
      <c r="PYV40" s="19"/>
      <c r="PYW40" s="19"/>
      <c r="PYX40" s="19"/>
      <c r="PYY40" s="19"/>
      <c r="PYZ40" s="21"/>
      <c r="PZA40" s="19"/>
      <c r="PZJ40" s="19"/>
      <c r="PZK40" s="19"/>
      <c r="PZL40" s="19"/>
      <c r="PZM40" s="19"/>
      <c r="PZN40" s="21"/>
      <c r="PZO40" s="19"/>
      <c r="PZX40" s="19"/>
      <c r="PZY40" s="19"/>
      <c r="PZZ40" s="19"/>
      <c r="QAA40" s="19"/>
      <c r="QAB40" s="21"/>
      <c r="QAC40" s="19"/>
      <c r="QAL40" s="19"/>
      <c r="QAM40" s="19"/>
      <c r="QAN40" s="19"/>
      <c r="QAO40" s="19"/>
      <c r="QAP40" s="21"/>
      <c r="QAQ40" s="19"/>
      <c r="QAZ40" s="19"/>
      <c r="QBA40" s="19"/>
      <c r="QBB40" s="19"/>
      <c r="QBC40" s="19"/>
      <c r="QBD40" s="21"/>
      <c r="QBE40" s="19"/>
      <c r="QBN40" s="19"/>
      <c r="QBO40" s="19"/>
      <c r="QBP40" s="19"/>
      <c r="QBQ40" s="19"/>
      <c r="QBR40" s="21"/>
      <c r="QBS40" s="19"/>
      <c r="QCB40" s="19"/>
      <c r="QCC40" s="19"/>
      <c r="QCD40" s="19"/>
      <c r="QCE40" s="19"/>
      <c r="QCF40" s="21"/>
      <c r="QCG40" s="19"/>
      <c r="QCP40" s="19"/>
      <c r="QCQ40" s="19"/>
      <c r="QCR40" s="19"/>
      <c r="QCS40" s="19"/>
      <c r="QCT40" s="21"/>
      <c r="QCU40" s="19"/>
      <c r="QDD40" s="19"/>
      <c r="QDE40" s="19"/>
      <c r="QDF40" s="19"/>
      <c r="QDG40" s="19"/>
      <c r="QDH40" s="21"/>
      <c r="QDI40" s="19"/>
      <c r="QDR40" s="19"/>
      <c r="QDS40" s="19"/>
      <c r="QDT40" s="19"/>
      <c r="QDU40" s="19"/>
      <c r="QDV40" s="21"/>
      <c r="QDW40" s="19"/>
      <c r="QEF40" s="19"/>
      <c r="QEG40" s="19"/>
      <c r="QEH40" s="19"/>
      <c r="QEI40" s="19"/>
      <c r="QEJ40" s="21"/>
      <c r="QEK40" s="19"/>
      <c r="QET40" s="19"/>
      <c r="QEU40" s="19"/>
      <c r="QEV40" s="19"/>
      <c r="QEW40" s="19"/>
      <c r="QEX40" s="21"/>
      <c r="QEY40" s="19"/>
      <c r="QFH40" s="19"/>
      <c r="QFI40" s="19"/>
      <c r="QFJ40" s="19"/>
      <c r="QFK40" s="19"/>
      <c r="QFL40" s="21"/>
      <c r="QFM40" s="19"/>
      <c r="QFV40" s="19"/>
      <c r="QFW40" s="19"/>
      <c r="QFX40" s="19"/>
      <c r="QFY40" s="19"/>
      <c r="QFZ40" s="21"/>
      <c r="QGA40" s="19"/>
      <c r="QGJ40" s="19"/>
      <c r="QGK40" s="19"/>
      <c r="QGL40" s="19"/>
      <c r="QGM40" s="19"/>
      <c r="QGN40" s="21"/>
      <c r="QGO40" s="19"/>
      <c r="QGX40" s="19"/>
      <c r="QGY40" s="19"/>
      <c r="QGZ40" s="19"/>
      <c r="QHA40" s="19"/>
      <c r="QHB40" s="21"/>
      <c r="QHC40" s="19"/>
      <c r="QHL40" s="19"/>
      <c r="QHM40" s="19"/>
      <c r="QHN40" s="19"/>
      <c r="QHO40" s="19"/>
      <c r="QHP40" s="21"/>
      <c r="QHQ40" s="19"/>
      <c r="QHZ40" s="19"/>
      <c r="QIA40" s="19"/>
      <c r="QIB40" s="19"/>
      <c r="QIC40" s="19"/>
      <c r="QID40" s="21"/>
      <c r="QIE40" s="19"/>
      <c r="QIN40" s="19"/>
      <c r="QIO40" s="19"/>
      <c r="QIP40" s="19"/>
      <c r="QIQ40" s="19"/>
      <c r="QIR40" s="21"/>
      <c r="QIS40" s="19"/>
      <c r="QJB40" s="19"/>
      <c r="QJC40" s="19"/>
      <c r="QJD40" s="19"/>
      <c r="QJE40" s="19"/>
      <c r="QJF40" s="21"/>
      <c r="QJG40" s="19"/>
      <c r="QJP40" s="19"/>
      <c r="QJQ40" s="19"/>
      <c r="QJR40" s="19"/>
      <c r="QJS40" s="19"/>
      <c r="QJT40" s="21"/>
      <c r="QJU40" s="19"/>
      <c r="QKD40" s="19"/>
      <c r="QKE40" s="19"/>
      <c r="QKF40" s="19"/>
      <c r="QKG40" s="19"/>
      <c r="QKH40" s="21"/>
      <c r="QKI40" s="19"/>
      <c r="QKR40" s="19"/>
      <c r="QKS40" s="19"/>
      <c r="QKT40" s="19"/>
      <c r="QKU40" s="19"/>
      <c r="QKV40" s="21"/>
      <c r="QKW40" s="19"/>
      <c r="QLF40" s="19"/>
      <c r="QLG40" s="19"/>
      <c r="QLH40" s="19"/>
      <c r="QLI40" s="19"/>
      <c r="QLJ40" s="21"/>
      <c r="QLK40" s="19"/>
      <c r="QLT40" s="19"/>
      <c r="QLU40" s="19"/>
      <c r="QLV40" s="19"/>
      <c r="QLW40" s="19"/>
      <c r="QLX40" s="21"/>
      <c r="QLY40" s="19"/>
      <c r="QMH40" s="19"/>
      <c r="QMI40" s="19"/>
      <c r="QMJ40" s="19"/>
      <c r="QMK40" s="19"/>
      <c r="QML40" s="21"/>
      <c r="QMM40" s="19"/>
      <c r="QMV40" s="19"/>
      <c r="QMW40" s="19"/>
      <c r="QMX40" s="19"/>
      <c r="QMY40" s="19"/>
      <c r="QMZ40" s="21"/>
      <c r="QNA40" s="19"/>
      <c r="QNJ40" s="19"/>
      <c r="QNK40" s="19"/>
      <c r="QNL40" s="19"/>
      <c r="QNM40" s="19"/>
      <c r="QNN40" s="21"/>
      <c r="QNO40" s="19"/>
      <c r="QNX40" s="19"/>
      <c r="QNY40" s="19"/>
      <c r="QNZ40" s="19"/>
      <c r="QOA40" s="19"/>
      <c r="QOB40" s="21"/>
      <c r="QOC40" s="19"/>
      <c r="QOL40" s="19"/>
      <c r="QOM40" s="19"/>
      <c r="QON40" s="19"/>
      <c r="QOO40" s="19"/>
      <c r="QOP40" s="21"/>
      <c r="QOQ40" s="19"/>
      <c r="QOZ40" s="19"/>
      <c r="QPA40" s="19"/>
      <c r="QPB40" s="19"/>
      <c r="QPC40" s="19"/>
      <c r="QPD40" s="21"/>
      <c r="QPE40" s="19"/>
      <c r="QPN40" s="19"/>
      <c r="QPO40" s="19"/>
      <c r="QPP40" s="19"/>
      <c r="QPQ40" s="19"/>
      <c r="QPR40" s="21"/>
      <c r="QPS40" s="19"/>
      <c r="QQB40" s="19"/>
      <c r="QQC40" s="19"/>
      <c r="QQD40" s="19"/>
      <c r="QQE40" s="19"/>
      <c r="QQF40" s="21"/>
      <c r="QQG40" s="19"/>
      <c r="QQP40" s="19"/>
      <c r="QQQ40" s="19"/>
      <c r="QQR40" s="19"/>
      <c r="QQS40" s="19"/>
      <c r="QQT40" s="21"/>
      <c r="QQU40" s="19"/>
      <c r="QRD40" s="19"/>
      <c r="QRE40" s="19"/>
      <c r="QRF40" s="19"/>
      <c r="QRG40" s="19"/>
      <c r="QRH40" s="21"/>
      <c r="QRI40" s="19"/>
      <c r="QRR40" s="19"/>
      <c r="QRS40" s="19"/>
      <c r="QRT40" s="19"/>
      <c r="QRU40" s="19"/>
      <c r="QRV40" s="21"/>
      <c r="QRW40" s="19"/>
      <c r="QSF40" s="19"/>
      <c r="QSG40" s="19"/>
      <c r="QSH40" s="19"/>
      <c r="QSI40" s="19"/>
      <c r="QSJ40" s="21"/>
      <c r="QSK40" s="19"/>
      <c r="QST40" s="19"/>
      <c r="QSU40" s="19"/>
      <c r="QSV40" s="19"/>
      <c r="QSW40" s="19"/>
      <c r="QSX40" s="21"/>
      <c r="QSY40" s="19"/>
      <c r="QTH40" s="19"/>
      <c r="QTI40" s="19"/>
      <c r="QTJ40" s="19"/>
      <c r="QTK40" s="19"/>
      <c r="QTL40" s="21"/>
      <c r="QTM40" s="19"/>
      <c r="QTV40" s="19"/>
      <c r="QTW40" s="19"/>
      <c r="QTX40" s="19"/>
      <c r="QTY40" s="19"/>
      <c r="QTZ40" s="21"/>
      <c r="QUA40" s="19"/>
      <c r="QUJ40" s="19"/>
      <c r="QUK40" s="19"/>
      <c r="QUL40" s="19"/>
      <c r="QUM40" s="19"/>
      <c r="QUN40" s="21"/>
      <c r="QUO40" s="19"/>
      <c r="QUX40" s="19"/>
      <c r="QUY40" s="19"/>
      <c r="QUZ40" s="19"/>
      <c r="QVA40" s="19"/>
      <c r="QVB40" s="21"/>
      <c r="QVC40" s="19"/>
      <c r="QVL40" s="19"/>
      <c r="QVM40" s="19"/>
      <c r="QVN40" s="19"/>
      <c r="QVO40" s="19"/>
      <c r="QVP40" s="21"/>
      <c r="QVQ40" s="19"/>
      <c r="QVZ40" s="19"/>
      <c r="QWA40" s="19"/>
      <c r="QWB40" s="19"/>
      <c r="QWC40" s="19"/>
      <c r="QWD40" s="21"/>
      <c r="QWE40" s="19"/>
      <c r="QWN40" s="19"/>
      <c r="QWO40" s="19"/>
      <c r="QWP40" s="19"/>
      <c r="QWQ40" s="19"/>
      <c r="QWR40" s="21"/>
      <c r="QWS40" s="19"/>
      <c r="QXB40" s="19"/>
      <c r="QXC40" s="19"/>
      <c r="QXD40" s="19"/>
      <c r="QXE40" s="19"/>
      <c r="QXF40" s="21"/>
      <c r="QXG40" s="19"/>
      <c r="QXP40" s="19"/>
      <c r="QXQ40" s="19"/>
      <c r="QXR40" s="19"/>
      <c r="QXS40" s="19"/>
      <c r="QXT40" s="21"/>
      <c r="QXU40" s="19"/>
      <c r="QYD40" s="19"/>
      <c r="QYE40" s="19"/>
      <c r="QYF40" s="19"/>
      <c r="QYG40" s="19"/>
      <c r="QYH40" s="21"/>
      <c r="QYI40" s="19"/>
      <c r="QYR40" s="19"/>
      <c r="QYS40" s="19"/>
      <c r="QYT40" s="19"/>
      <c r="QYU40" s="19"/>
      <c r="QYV40" s="21"/>
      <c r="QYW40" s="19"/>
      <c r="QZF40" s="19"/>
      <c r="QZG40" s="19"/>
      <c r="QZH40" s="19"/>
      <c r="QZI40" s="19"/>
      <c r="QZJ40" s="21"/>
      <c r="QZK40" s="19"/>
      <c r="QZT40" s="19"/>
      <c r="QZU40" s="19"/>
      <c r="QZV40" s="19"/>
      <c r="QZW40" s="19"/>
      <c r="QZX40" s="21"/>
      <c r="QZY40" s="19"/>
      <c r="RAH40" s="19"/>
      <c r="RAI40" s="19"/>
      <c r="RAJ40" s="19"/>
      <c r="RAK40" s="19"/>
      <c r="RAL40" s="21"/>
      <c r="RAM40" s="19"/>
      <c r="RAV40" s="19"/>
      <c r="RAW40" s="19"/>
      <c r="RAX40" s="19"/>
      <c r="RAY40" s="19"/>
      <c r="RAZ40" s="21"/>
      <c r="RBA40" s="19"/>
      <c r="RBJ40" s="19"/>
      <c r="RBK40" s="19"/>
      <c r="RBL40" s="19"/>
      <c r="RBM40" s="19"/>
      <c r="RBN40" s="21"/>
      <c r="RBO40" s="19"/>
      <c r="RBX40" s="19"/>
      <c r="RBY40" s="19"/>
      <c r="RBZ40" s="19"/>
      <c r="RCA40" s="19"/>
      <c r="RCB40" s="21"/>
      <c r="RCC40" s="19"/>
      <c r="RCL40" s="19"/>
      <c r="RCM40" s="19"/>
      <c r="RCN40" s="19"/>
      <c r="RCO40" s="19"/>
      <c r="RCP40" s="21"/>
      <c r="RCQ40" s="19"/>
      <c r="RCZ40" s="19"/>
      <c r="RDA40" s="19"/>
      <c r="RDB40" s="19"/>
      <c r="RDC40" s="19"/>
      <c r="RDD40" s="21"/>
      <c r="RDE40" s="19"/>
      <c r="RDN40" s="19"/>
      <c r="RDO40" s="19"/>
      <c r="RDP40" s="19"/>
      <c r="RDQ40" s="19"/>
      <c r="RDR40" s="21"/>
      <c r="RDS40" s="19"/>
      <c r="REB40" s="19"/>
      <c r="REC40" s="19"/>
      <c r="RED40" s="19"/>
      <c r="REE40" s="19"/>
      <c r="REF40" s="21"/>
      <c r="REG40" s="19"/>
      <c r="REP40" s="19"/>
      <c r="REQ40" s="19"/>
      <c r="RER40" s="19"/>
      <c r="RES40" s="19"/>
      <c r="RET40" s="21"/>
      <c r="REU40" s="19"/>
      <c r="RFD40" s="19"/>
      <c r="RFE40" s="19"/>
      <c r="RFF40" s="19"/>
      <c r="RFG40" s="19"/>
      <c r="RFH40" s="21"/>
      <c r="RFI40" s="19"/>
      <c r="RFR40" s="19"/>
      <c r="RFS40" s="19"/>
      <c r="RFT40" s="19"/>
      <c r="RFU40" s="19"/>
      <c r="RFV40" s="21"/>
      <c r="RFW40" s="19"/>
      <c r="RGF40" s="19"/>
      <c r="RGG40" s="19"/>
      <c r="RGH40" s="19"/>
      <c r="RGI40" s="19"/>
      <c r="RGJ40" s="21"/>
      <c r="RGK40" s="19"/>
      <c r="RGT40" s="19"/>
      <c r="RGU40" s="19"/>
      <c r="RGV40" s="19"/>
      <c r="RGW40" s="19"/>
      <c r="RGX40" s="21"/>
      <c r="RGY40" s="19"/>
      <c r="RHH40" s="19"/>
      <c r="RHI40" s="19"/>
      <c r="RHJ40" s="19"/>
      <c r="RHK40" s="19"/>
      <c r="RHL40" s="21"/>
      <c r="RHM40" s="19"/>
      <c r="RHV40" s="19"/>
      <c r="RHW40" s="19"/>
      <c r="RHX40" s="19"/>
      <c r="RHY40" s="19"/>
      <c r="RHZ40" s="21"/>
      <c r="RIA40" s="19"/>
      <c r="RIJ40" s="19"/>
      <c r="RIK40" s="19"/>
      <c r="RIL40" s="19"/>
      <c r="RIM40" s="19"/>
      <c r="RIN40" s="21"/>
      <c r="RIO40" s="19"/>
      <c r="RIX40" s="19"/>
      <c r="RIY40" s="19"/>
      <c r="RIZ40" s="19"/>
      <c r="RJA40" s="19"/>
      <c r="RJB40" s="21"/>
      <c r="RJC40" s="19"/>
      <c r="RJL40" s="19"/>
      <c r="RJM40" s="19"/>
      <c r="RJN40" s="19"/>
      <c r="RJO40" s="19"/>
      <c r="RJP40" s="21"/>
      <c r="RJQ40" s="19"/>
      <c r="RJZ40" s="19"/>
      <c r="RKA40" s="19"/>
      <c r="RKB40" s="19"/>
      <c r="RKC40" s="19"/>
      <c r="RKD40" s="21"/>
      <c r="RKE40" s="19"/>
      <c r="RKN40" s="19"/>
      <c r="RKO40" s="19"/>
      <c r="RKP40" s="19"/>
      <c r="RKQ40" s="19"/>
      <c r="RKR40" s="21"/>
      <c r="RKS40" s="19"/>
      <c r="RLB40" s="19"/>
      <c r="RLC40" s="19"/>
      <c r="RLD40" s="19"/>
      <c r="RLE40" s="19"/>
      <c r="RLF40" s="21"/>
      <c r="RLG40" s="19"/>
      <c r="RLP40" s="19"/>
      <c r="RLQ40" s="19"/>
      <c r="RLR40" s="19"/>
      <c r="RLS40" s="19"/>
      <c r="RLT40" s="21"/>
      <c r="RLU40" s="19"/>
      <c r="RMD40" s="19"/>
      <c r="RME40" s="19"/>
      <c r="RMF40" s="19"/>
      <c r="RMG40" s="19"/>
      <c r="RMH40" s="21"/>
      <c r="RMI40" s="19"/>
      <c r="RMR40" s="19"/>
      <c r="RMS40" s="19"/>
      <c r="RMT40" s="19"/>
      <c r="RMU40" s="19"/>
      <c r="RMV40" s="21"/>
      <c r="RMW40" s="19"/>
      <c r="RNF40" s="19"/>
      <c r="RNG40" s="19"/>
      <c r="RNH40" s="19"/>
      <c r="RNI40" s="19"/>
      <c r="RNJ40" s="21"/>
      <c r="RNK40" s="19"/>
      <c r="RNT40" s="19"/>
      <c r="RNU40" s="19"/>
      <c r="RNV40" s="19"/>
      <c r="RNW40" s="19"/>
      <c r="RNX40" s="21"/>
      <c r="RNY40" s="19"/>
      <c r="ROH40" s="19"/>
      <c r="ROI40" s="19"/>
      <c r="ROJ40" s="19"/>
      <c r="ROK40" s="19"/>
      <c r="ROL40" s="21"/>
      <c r="ROM40" s="19"/>
      <c r="ROV40" s="19"/>
      <c r="ROW40" s="19"/>
      <c r="ROX40" s="19"/>
      <c r="ROY40" s="19"/>
      <c r="ROZ40" s="21"/>
      <c r="RPA40" s="19"/>
      <c r="RPJ40" s="19"/>
      <c r="RPK40" s="19"/>
      <c r="RPL40" s="19"/>
      <c r="RPM40" s="19"/>
      <c r="RPN40" s="21"/>
      <c r="RPO40" s="19"/>
      <c r="RPX40" s="19"/>
      <c r="RPY40" s="19"/>
      <c r="RPZ40" s="19"/>
      <c r="RQA40" s="19"/>
      <c r="RQB40" s="21"/>
      <c r="RQC40" s="19"/>
      <c r="RQL40" s="19"/>
      <c r="RQM40" s="19"/>
      <c r="RQN40" s="19"/>
      <c r="RQO40" s="19"/>
      <c r="RQP40" s="21"/>
      <c r="RQQ40" s="19"/>
      <c r="RQZ40" s="19"/>
      <c r="RRA40" s="19"/>
      <c r="RRB40" s="19"/>
      <c r="RRC40" s="19"/>
      <c r="RRD40" s="21"/>
      <c r="RRE40" s="19"/>
      <c r="RRN40" s="19"/>
      <c r="RRO40" s="19"/>
      <c r="RRP40" s="19"/>
      <c r="RRQ40" s="19"/>
      <c r="RRR40" s="21"/>
      <c r="RRS40" s="19"/>
      <c r="RSB40" s="19"/>
      <c r="RSC40" s="19"/>
      <c r="RSD40" s="19"/>
      <c r="RSE40" s="19"/>
      <c r="RSF40" s="21"/>
      <c r="RSG40" s="19"/>
      <c r="RSP40" s="19"/>
      <c r="RSQ40" s="19"/>
      <c r="RSR40" s="19"/>
      <c r="RSS40" s="19"/>
      <c r="RST40" s="21"/>
      <c r="RSU40" s="19"/>
      <c r="RTD40" s="19"/>
      <c r="RTE40" s="19"/>
      <c r="RTF40" s="19"/>
      <c r="RTG40" s="19"/>
      <c r="RTH40" s="21"/>
      <c r="RTI40" s="19"/>
      <c r="RTR40" s="19"/>
      <c r="RTS40" s="19"/>
      <c r="RTT40" s="19"/>
      <c r="RTU40" s="19"/>
      <c r="RTV40" s="21"/>
      <c r="RTW40" s="19"/>
      <c r="RUF40" s="19"/>
      <c r="RUG40" s="19"/>
      <c r="RUH40" s="19"/>
      <c r="RUI40" s="19"/>
      <c r="RUJ40" s="21"/>
      <c r="RUK40" s="19"/>
      <c r="RUT40" s="19"/>
      <c r="RUU40" s="19"/>
      <c r="RUV40" s="19"/>
      <c r="RUW40" s="19"/>
      <c r="RUX40" s="21"/>
      <c r="RUY40" s="19"/>
      <c r="RVH40" s="19"/>
      <c r="RVI40" s="19"/>
      <c r="RVJ40" s="19"/>
      <c r="RVK40" s="19"/>
      <c r="RVL40" s="21"/>
      <c r="RVM40" s="19"/>
      <c r="RVV40" s="19"/>
      <c r="RVW40" s="19"/>
      <c r="RVX40" s="19"/>
      <c r="RVY40" s="19"/>
      <c r="RVZ40" s="21"/>
      <c r="RWA40" s="19"/>
      <c r="RWJ40" s="19"/>
      <c r="RWK40" s="19"/>
      <c r="RWL40" s="19"/>
      <c r="RWM40" s="19"/>
      <c r="RWN40" s="21"/>
      <c r="RWO40" s="19"/>
      <c r="RWX40" s="19"/>
      <c r="RWY40" s="19"/>
      <c r="RWZ40" s="19"/>
      <c r="RXA40" s="19"/>
      <c r="RXB40" s="21"/>
      <c r="RXC40" s="19"/>
      <c r="RXL40" s="19"/>
      <c r="RXM40" s="19"/>
      <c r="RXN40" s="19"/>
      <c r="RXO40" s="19"/>
      <c r="RXP40" s="21"/>
      <c r="RXQ40" s="19"/>
      <c r="RXZ40" s="19"/>
      <c r="RYA40" s="19"/>
      <c r="RYB40" s="19"/>
      <c r="RYC40" s="19"/>
      <c r="RYD40" s="21"/>
      <c r="RYE40" s="19"/>
      <c r="RYN40" s="19"/>
      <c r="RYO40" s="19"/>
      <c r="RYP40" s="19"/>
      <c r="RYQ40" s="19"/>
      <c r="RYR40" s="21"/>
      <c r="RYS40" s="19"/>
      <c r="RZB40" s="19"/>
      <c r="RZC40" s="19"/>
      <c r="RZD40" s="19"/>
      <c r="RZE40" s="19"/>
      <c r="RZF40" s="21"/>
      <c r="RZG40" s="19"/>
      <c r="RZP40" s="19"/>
      <c r="RZQ40" s="19"/>
      <c r="RZR40" s="19"/>
      <c r="RZS40" s="19"/>
      <c r="RZT40" s="21"/>
      <c r="RZU40" s="19"/>
      <c r="SAD40" s="19"/>
      <c r="SAE40" s="19"/>
      <c r="SAF40" s="19"/>
      <c r="SAG40" s="19"/>
      <c r="SAH40" s="21"/>
      <c r="SAI40" s="19"/>
      <c r="SAR40" s="19"/>
      <c r="SAS40" s="19"/>
      <c r="SAT40" s="19"/>
      <c r="SAU40" s="19"/>
      <c r="SAV40" s="21"/>
      <c r="SAW40" s="19"/>
      <c r="SBF40" s="19"/>
      <c r="SBG40" s="19"/>
      <c r="SBH40" s="19"/>
      <c r="SBI40" s="19"/>
      <c r="SBJ40" s="21"/>
      <c r="SBK40" s="19"/>
      <c r="SBT40" s="19"/>
      <c r="SBU40" s="19"/>
      <c r="SBV40" s="19"/>
      <c r="SBW40" s="19"/>
      <c r="SBX40" s="21"/>
      <c r="SBY40" s="19"/>
      <c r="SCH40" s="19"/>
      <c r="SCI40" s="19"/>
      <c r="SCJ40" s="19"/>
      <c r="SCK40" s="19"/>
      <c r="SCL40" s="21"/>
      <c r="SCM40" s="19"/>
      <c r="SCV40" s="19"/>
      <c r="SCW40" s="19"/>
      <c r="SCX40" s="19"/>
      <c r="SCY40" s="19"/>
      <c r="SCZ40" s="21"/>
      <c r="SDA40" s="19"/>
      <c r="SDJ40" s="19"/>
      <c r="SDK40" s="19"/>
      <c r="SDL40" s="19"/>
      <c r="SDM40" s="19"/>
      <c r="SDN40" s="21"/>
      <c r="SDO40" s="19"/>
      <c r="SDX40" s="19"/>
      <c r="SDY40" s="19"/>
      <c r="SDZ40" s="19"/>
      <c r="SEA40" s="19"/>
      <c r="SEB40" s="21"/>
      <c r="SEC40" s="19"/>
      <c r="SEL40" s="19"/>
      <c r="SEM40" s="19"/>
      <c r="SEN40" s="19"/>
      <c r="SEO40" s="19"/>
      <c r="SEP40" s="21"/>
      <c r="SEQ40" s="19"/>
      <c r="SEZ40" s="19"/>
      <c r="SFA40" s="19"/>
      <c r="SFB40" s="19"/>
      <c r="SFC40" s="19"/>
      <c r="SFD40" s="21"/>
      <c r="SFE40" s="19"/>
      <c r="SFN40" s="19"/>
      <c r="SFO40" s="19"/>
      <c r="SFP40" s="19"/>
      <c r="SFQ40" s="19"/>
      <c r="SFR40" s="21"/>
      <c r="SFS40" s="19"/>
      <c r="SGB40" s="19"/>
      <c r="SGC40" s="19"/>
      <c r="SGD40" s="19"/>
      <c r="SGE40" s="19"/>
      <c r="SGF40" s="21"/>
      <c r="SGG40" s="19"/>
      <c r="SGP40" s="19"/>
      <c r="SGQ40" s="19"/>
      <c r="SGR40" s="19"/>
      <c r="SGS40" s="19"/>
      <c r="SGT40" s="21"/>
      <c r="SGU40" s="19"/>
      <c r="SHD40" s="19"/>
      <c r="SHE40" s="19"/>
      <c r="SHF40" s="19"/>
      <c r="SHG40" s="19"/>
      <c r="SHH40" s="21"/>
      <c r="SHI40" s="19"/>
      <c r="SHR40" s="19"/>
      <c r="SHS40" s="19"/>
      <c r="SHT40" s="19"/>
      <c r="SHU40" s="19"/>
      <c r="SHV40" s="21"/>
      <c r="SHW40" s="19"/>
      <c r="SIF40" s="19"/>
      <c r="SIG40" s="19"/>
      <c r="SIH40" s="19"/>
      <c r="SII40" s="19"/>
      <c r="SIJ40" s="21"/>
      <c r="SIK40" s="19"/>
      <c r="SIT40" s="19"/>
      <c r="SIU40" s="19"/>
      <c r="SIV40" s="19"/>
      <c r="SIW40" s="19"/>
      <c r="SIX40" s="21"/>
      <c r="SIY40" s="19"/>
      <c r="SJH40" s="19"/>
      <c r="SJI40" s="19"/>
      <c r="SJJ40" s="19"/>
      <c r="SJK40" s="19"/>
      <c r="SJL40" s="21"/>
      <c r="SJM40" s="19"/>
      <c r="SJV40" s="19"/>
      <c r="SJW40" s="19"/>
      <c r="SJX40" s="19"/>
      <c r="SJY40" s="19"/>
      <c r="SJZ40" s="21"/>
      <c r="SKA40" s="19"/>
      <c r="SKJ40" s="19"/>
      <c r="SKK40" s="19"/>
      <c r="SKL40" s="19"/>
      <c r="SKM40" s="19"/>
      <c r="SKN40" s="21"/>
      <c r="SKO40" s="19"/>
      <c r="SKX40" s="19"/>
      <c r="SKY40" s="19"/>
      <c r="SKZ40" s="19"/>
      <c r="SLA40" s="19"/>
      <c r="SLB40" s="21"/>
      <c r="SLC40" s="19"/>
      <c r="SLL40" s="19"/>
      <c r="SLM40" s="19"/>
      <c r="SLN40" s="19"/>
      <c r="SLO40" s="19"/>
      <c r="SLP40" s="21"/>
      <c r="SLQ40" s="19"/>
      <c r="SLZ40" s="19"/>
      <c r="SMA40" s="19"/>
      <c r="SMB40" s="19"/>
      <c r="SMC40" s="19"/>
      <c r="SMD40" s="21"/>
      <c r="SME40" s="19"/>
      <c r="SMN40" s="19"/>
      <c r="SMO40" s="19"/>
      <c r="SMP40" s="19"/>
      <c r="SMQ40" s="19"/>
      <c r="SMR40" s="21"/>
      <c r="SMS40" s="19"/>
      <c r="SNB40" s="19"/>
      <c r="SNC40" s="19"/>
      <c r="SND40" s="19"/>
      <c r="SNE40" s="19"/>
      <c r="SNF40" s="21"/>
      <c r="SNG40" s="19"/>
      <c r="SNP40" s="19"/>
      <c r="SNQ40" s="19"/>
      <c r="SNR40" s="19"/>
      <c r="SNS40" s="19"/>
      <c r="SNT40" s="21"/>
      <c r="SNU40" s="19"/>
      <c r="SOD40" s="19"/>
      <c r="SOE40" s="19"/>
      <c r="SOF40" s="19"/>
      <c r="SOG40" s="19"/>
      <c r="SOH40" s="21"/>
      <c r="SOI40" s="19"/>
      <c r="SOR40" s="19"/>
      <c r="SOS40" s="19"/>
      <c r="SOT40" s="19"/>
      <c r="SOU40" s="19"/>
      <c r="SOV40" s="21"/>
      <c r="SOW40" s="19"/>
      <c r="SPF40" s="19"/>
      <c r="SPG40" s="19"/>
      <c r="SPH40" s="19"/>
      <c r="SPI40" s="19"/>
      <c r="SPJ40" s="21"/>
      <c r="SPK40" s="19"/>
      <c r="SPT40" s="19"/>
      <c r="SPU40" s="19"/>
      <c r="SPV40" s="19"/>
      <c r="SPW40" s="19"/>
      <c r="SPX40" s="21"/>
      <c r="SPY40" s="19"/>
      <c r="SQH40" s="19"/>
      <c r="SQI40" s="19"/>
      <c r="SQJ40" s="19"/>
      <c r="SQK40" s="19"/>
      <c r="SQL40" s="21"/>
      <c r="SQM40" s="19"/>
      <c r="SQV40" s="19"/>
      <c r="SQW40" s="19"/>
      <c r="SQX40" s="19"/>
      <c r="SQY40" s="19"/>
      <c r="SQZ40" s="21"/>
      <c r="SRA40" s="19"/>
      <c r="SRJ40" s="19"/>
      <c r="SRK40" s="19"/>
      <c r="SRL40" s="19"/>
      <c r="SRM40" s="19"/>
      <c r="SRN40" s="21"/>
      <c r="SRO40" s="19"/>
      <c r="SRX40" s="19"/>
      <c r="SRY40" s="19"/>
      <c r="SRZ40" s="19"/>
      <c r="SSA40" s="19"/>
      <c r="SSB40" s="21"/>
      <c r="SSC40" s="19"/>
      <c r="SSL40" s="19"/>
      <c r="SSM40" s="19"/>
      <c r="SSN40" s="19"/>
      <c r="SSO40" s="19"/>
      <c r="SSP40" s="21"/>
      <c r="SSQ40" s="19"/>
      <c r="SSZ40" s="19"/>
      <c r="STA40" s="19"/>
      <c r="STB40" s="19"/>
      <c r="STC40" s="19"/>
      <c r="STD40" s="21"/>
      <c r="STE40" s="19"/>
      <c r="STN40" s="19"/>
      <c r="STO40" s="19"/>
      <c r="STP40" s="19"/>
      <c r="STQ40" s="19"/>
      <c r="STR40" s="21"/>
      <c r="STS40" s="19"/>
      <c r="SUB40" s="19"/>
      <c r="SUC40" s="19"/>
      <c r="SUD40" s="19"/>
      <c r="SUE40" s="19"/>
      <c r="SUF40" s="21"/>
      <c r="SUG40" s="19"/>
      <c r="SUP40" s="19"/>
      <c r="SUQ40" s="19"/>
      <c r="SUR40" s="19"/>
      <c r="SUS40" s="19"/>
      <c r="SUT40" s="21"/>
      <c r="SUU40" s="19"/>
      <c r="SVD40" s="19"/>
      <c r="SVE40" s="19"/>
      <c r="SVF40" s="19"/>
      <c r="SVG40" s="19"/>
      <c r="SVH40" s="21"/>
      <c r="SVI40" s="19"/>
      <c r="SVR40" s="19"/>
      <c r="SVS40" s="19"/>
      <c r="SVT40" s="19"/>
      <c r="SVU40" s="19"/>
      <c r="SVV40" s="21"/>
      <c r="SVW40" s="19"/>
      <c r="SWF40" s="19"/>
      <c r="SWG40" s="19"/>
      <c r="SWH40" s="19"/>
      <c r="SWI40" s="19"/>
      <c r="SWJ40" s="21"/>
      <c r="SWK40" s="19"/>
      <c r="SWT40" s="19"/>
      <c r="SWU40" s="19"/>
      <c r="SWV40" s="19"/>
      <c r="SWW40" s="19"/>
      <c r="SWX40" s="21"/>
      <c r="SWY40" s="19"/>
      <c r="SXH40" s="19"/>
      <c r="SXI40" s="19"/>
      <c r="SXJ40" s="19"/>
      <c r="SXK40" s="19"/>
      <c r="SXL40" s="21"/>
      <c r="SXM40" s="19"/>
      <c r="SXV40" s="19"/>
      <c r="SXW40" s="19"/>
      <c r="SXX40" s="19"/>
      <c r="SXY40" s="19"/>
      <c r="SXZ40" s="21"/>
      <c r="SYA40" s="19"/>
      <c r="SYJ40" s="19"/>
      <c r="SYK40" s="19"/>
      <c r="SYL40" s="19"/>
      <c r="SYM40" s="19"/>
      <c r="SYN40" s="21"/>
      <c r="SYO40" s="19"/>
      <c r="SYX40" s="19"/>
      <c r="SYY40" s="19"/>
      <c r="SYZ40" s="19"/>
      <c r="SZA40" s="19"/>
      <c r="SZB40" s="21"/>
      <c r="SZC40" s="19"/>
      <c r="SZL40" s="19"/>
      <c r="SZM40" s="19"/>
      <c r="SZN40" s="19"/>
      <c r="SZO40" s="19"/>
      <c r="SZP40" s="21"/>
      <c r="SZQ40" s="19"/>
      <c r="SZZ40" s="19"/>
      <c r="TAA40" s="19"/>
      <c r="TAB40" s="19"/>
      <c r="TAC40" s="19"/>
      <c r="TAD40" s="21"/>
      <c r="TAE40" s="19"/>
      <c r="TAN40" s="19"/>
      <c r="TAO40" s="19"/>
      <c r="TAP40" s="19"/>
      <c r="TAQ40" s="19"/>
      <c r="TAR40" s="21"/>
      <c r="TAS40" s="19"/>
      <c r="TBB40" s="19"/>
      <c r="TBC40" s="19"/>
      <c r="TBD40" s="19"/>
      <c r="TBE40" s="19"/>
      <c r="TBF40" s="21"/>
      <c r="TBG40" s="19"/>
      <c r="TBP40" s="19"/>
      <c r="TBQ40" s="19"/>
      <c r="TBR40" s="19"/>
      <c r="TBS40" s="19"/>
      <c r="TBT40" s="21"/>
      <c r="TBU40" s="19"/>
      <c r="TCD40" s="19"/>
      <c r="TCE40" s="19"/>
      <c r="TCF40" s="19"/>
      <c r="TCG40" s="19"/>
      <c r="TCH40" s="21"/>
      <c r="TCI40" s="19"/>
      <c r="TCR40" s="19"/>
      <c r="TCS40" s="19"/>
      <c r="TCT40" s="19"/>
      <c r="TCU40" s="19"/>
      <c r="TCV40" s="21"/>
      <c r="TCW40" s="19"/>
      <c r="TDF40" s="19"/>
      <c r="TDG40" s="19"/>
      <c r="TDH40" s="19"/>
      <c r="TDI40" s="19"/>
      <c r="TDJ40" s="21"/>
      <c r="TDK40" s="19"/>
      <c r="TDT40" s="19"/>
      <c r="TDU40" s="19"/>
      <c r="TDV40" s="19"/>
      <c r="TDW40" s="19"/>
      <c r="TDX40" s="21"/>
      <c r="TDY40" s="19"/>
      <c r="TEH40" s="19"/>
      <c r="TEI40" s="19"/>
      <c r="TEJ40" s="19"/>
      <c r="TEK40" s="19"/>
      <c r="TEL40" s="21"/>
      <c r="TEM40" s="19"/>
      <c r="TEV40" s="19"/>
      <c r="TEW40" s="19"/>
      <c r="TEX40" s="19"/>
      <c r="TEY40" s="19"/>
      <c r="TEZ40" s="21"/>
      <c r="TFA40" s="19"/>
      <c r="TFJ40" s="19"/>
      <c r="TFK40" s="19"/>
      <c r="TFL40" s="19"/>
      <c r="TFM40" s="19"/>
      <c r="TFN40" s="21"/>
      <c r="TFO40" s="19"/>
      <c r="TFX40" s="19"/>
      <c r="TFY40" s="19"/>
      <c r="TFZ40" s="19"/>
      <c r="TGA40" s="19"/>
      <c r="TGB40" s="21"/>
      <c r="TGC40" s="19"/>
      <c r="TGL40" s="19"/>
      <c r="TGM40" s="19"/>
      <c r="TGN40" s="19"/>
      <c r="TGO40" s="19"/>
      <c r="TGP40" s="21"/>
      <c r="TGQ40" s="19"/>
      <c r="TGZ40" s="19"/>
      <c r="THA40" s="19"/>
      <c r="THB40" s="19"/>
      <c r="THC40" s="19"/>
      <c r="THD40" s="21"/>
      <c r="THE40" s="19"/>
      <c r="THN40" s="19"/>
      <c r="THO40" s="19"/>
      <c r="THP40" s="19"/>
      <c r="THQ40" s="19"/>
      <c r="THR40" s="21"/>
      <c r="THS40" s="19"/>
      <c r="TIB40" s="19"/>
      <c r="TIC40" s="19"/>
      <c r="TID40" s="19"/>
      <c r="TIE40" s="19"/>
      <c r="TIF40" s="21"/>
      <c r="TIG40" s="19"/>
      <c r="TIP40" s="19"/>
      <c r="TIQ40" s="19"/>
      <c r="TIR40" s="19"/>
      <c r="TIS40" s="19"/>
      <c r="TIT40" s="21"/>
      <c r="TIU40" s="19"/>
      <c r="TJD40" s="19"/>
      <c r="TJE40" s="19"/>
      <c r="TJF40" s="19"/>
      <c r="TJG40" s="19"/>
      <c r="TJH40" s="21"/>
      <c r="TJI40" s="19"/>
      <c r="TJR40" s="19"/>
      <c r="TJS40" s="19"/>
      <c r="TJT40" s="19"/>
      <c r="TJU40" s="19"/>
      <c r="TJV40" s="21"/>
      <c r="TJW40" s="19"/>
      <c r="TKF40" s="19"/>
      <c r="TKG40" s="19"/>
      <c r="TKH40" s="19"/>
      <c r="TKI40" s="19"/>
      <c r="TKJ40" s="21"/>
      <c r="TKK40" s="19"/>
      <c r="TKT40" s="19"/>
      <c r="TKU40" s="19"/>
      <c r="TKV40" s="19"/>
      <c r="TKW40" s="19"/>
      <c r="TKX40" s="21"/>
      <c r="TKY40" s="19"/>
      <c r="TLH40" s="19"/>
      <c r="TLI40" s="19"/>
      <c r="TLJ40" s="19"/>
      <c r="TLK40" s="19"/>
      <c r="TLL40" s="21"/>
      <c r="TLM40" s="19"/>
      <c r="TLV40" s="19"/>
      <c r="TLW40" s="19"/>
      <c r="TLX40" s="19"/>
      <c r="TLY40" s="19"/>
      <c r="TLZ40" s="21"/>
      <c r="TMA40" s="19"/>
      <c r="TMJ40" s="19"/>
      <c r="TMK40" s="19"/>
      <c r="TML40" s="19"/>
      <c r="TMM40" s="19"/>
      <c r="TMN40" s="21"/>
      <c r="TMO40" s="19"/>
      <c r="TMX40" s="19"/>
      <c r="TMY40" s="19"/>
      <c r="TMZ40" s="19"/>
      <c r="TNA40" s="19"/>
      <c r="TNB40" s="21"/>
      <c r="TNC40" s="19"/>
      <c r="TNL40" s="19"/>
      <c r="TNM40" s="19"/>
      <c r="TNN40" s="19"/>
      <c r="TNO40" s="19"/>
      <c r="TNP40" s="21"/>
      <c r="TNQ40" s="19"/>
      <c r="TNZ40" s="19"/>
      <c r="TOA40" s="19"/>
      <c r="TOB40" s="19"/>
      <c r="TOC40" s="19"/>
      <c r="TOD40" s="21"/>
      <c r="TOE40" s="19"/>
      <c r="TON40" s="19"/>
      <c r="TOO40" s="19"/>
      <c r="TOP40" s="19"/>
      <c r="TOQ40" s="19"/>
      <c r="TOR40" s="21"/>
      <c r="TOS40" s="19"/>
      <c r="TPB40" s="19"/>
      <c r="TPC40" s="19"/>
      <c r="TPD40" s="19"/>
      <c r="TPE40" s="19"/>
      <c r="TPF40" s="21"/>
      <c r="TPG40" s="19"/>
      <c r="TPP40" s="19"/>
      <c r="TPQ40" s="19"/>
      <c r="TPR40" s="19"/>
      <c r="TPS40" s="19"/>
      <c r="TPT40" s="21"/>
      <c r="TPU40" s="19"/>
      <c r="TQD40" s="19"/>
      <c r="TQE40" s="19"/>
      <c r="TQF40" s="19"/>
      <c r="TQG40" s="19"/>
      <c r="TQH40" s="21"/>
      <c r="TQI40" s="19"/>
      <c r="TQR40" s="19"/>
      <c r="TQS40" s="19"/>
      <c r="TQT40" s="19"/>
      <c r="TQU40" s="19"/>
      <c r="TQV40" s="21"/>
      <c r="TQW40" s="19"/>
      <c r="TRF40" s="19"/>
      <c r="TRG40" s="19"/>
      <c r="TRH40" s="19"/>
      <c r="TRI40" s="19"/>
      <c r="TRJ40" s="21"/>
      <c r="TRK40" s="19"/>
      <c r="TRT40" s="19"/>
      <c r="TRU40" s="19"/>
      <c r="TRV40" s="19"/>
      <c r="TRW40" s="19"/>
      <c r="TRX40" s="21"/>
      <c r="TRY40" s="19"/>
      <c r="TSH40" s="19"/>
      <c r="TSI40" s="19"/>
      <c r="TSJ40" s="19"/>
      <c r="TSK40" s="19"/>
      <c r="TSL40" s="21"/>
      <c r="TSM40" s="19"/>
      <c r="TSV40" s="19"/>
      <c r="TSW40" s="19"/>
      <c r="TSX40" s="19"/>
      <c r="TSY40" s="19"/>
      <c r="TSZ40" s="21"/>
      <c r="TTA40" s="19"/>
      <c r="TTJ40" s="19"/>
      <c r="TTK40" s="19"/>
      <c r="TTL40" s="19"/>
      <c r="TTM40" s="19"/>
      <c r="TTN40" s="21"/>
      <c r="TTO40" s="19"/>
      <c r="TTX40" s="19"/>
      <c r="TTY40" s="19"/>
      <c r="TTZ40" s="19"/>
      <c r="TUA40" s="19"/>
      <c r="TUB40" s="21"/>
      <c r="TUC40" s="19"/>
      <c r="TUL40" s="19"/>
      <c r="TUM40" s="19"/>
      <c r="TUN40" s="19"/>
      <c r="TUO40" s="19"/>
      <c r="TUP40" s="21"/>
      <c r="TUQ40" s="19"/>
      <c r="TUZ40" s="19"/>
      <c r="TVA40" s="19"/>
      <c r="TVB40" s="19"/>
      <c r="TVC40" s="19"/>
      <c r="TVD40" s="21"/>
      <c r="TVE40" s="19"/>
      <c r="TVN40" s="19"/>
      <c r="TVO40" s="19"/>
      <c r="TVP40" s="19"/>
      <c r="TVQ40" s="19"/>
      <c r="TVR40" s="21"/>
      <c r="TVS40" s="19"/>
      <c r="TWB40" s="19"/>
      <c r="TWC40" s="19"/>
      <c r="TWD40" s="19"/>
      <c r="TWE40" s="19"/>
      <c r="TWF40" s="21"/>
      <c r="TWG40" s="19"/>
      <c r="TWP40" s="19"/>
      <c r="TWQ40" s="19"/>
      <c r="TWR40" s="19"/>
      <c r="TWS40" s="19"/>
      <c r="TWT40" s="21"/>
      <c r="TWU40" s="19"/>
      <c r="TXD40" s="19"/>
      <c r="TXE40" s="19"/>
      <c r="TXF40" s="19"/>
      <c r="TXG40" s="19"/>
      <c r="TXH40" s="21"/>
      <c r="TXI40" s="19"/>
      <c r="TXR40" s="19"/>
      <c r="TXS40" s="19"/>
      <c r="TXT40" s="19"/>
      <c r="TXU40" s="19"/>
      <c r="TXV40" s="21"/>
      <c r="TXW40" s="19"/>
      <c r="TYF40" s="19"/>
      <c r="TYG40" s="19"/>
      <c r="TYH40" s="19"/>
      <c r="TYI40" s="19"/>
      <c r="TYJ40" s="21"/>
      <c r="TYK40" s="19"/>
      <c r="TYT40" s="19"/>
      <c r="TYU40" s="19"/>
      <c r="TYV40" s="19"/>
      <c r="TYW40" s="19"/>
      <c r="TYX40" s="21"/>
      <c r="TYY40" s="19"/>
      <c r="TZH40" s="19"/>
      <c r="TZI40" s="19"/>
      <c r="TZJ40" s="19"/>
      <c r="TZK40" s="19"/>
      <c r="TZL40" s="21"/>
      <c r="TZM40" s="19"/>
      <c r="TZV40" s="19"/>
      <c r="TZW40" s="19"/>
      <c r="TZX40" s="19"/>
      <c r="TZY40" s="19"/>
      <c r="TZZ40" s="21"/>
      <c r="UAA40" s="19"/>
      <c r="UAJ40" s="19"/>
      <c r="UAK40" s="19"/>
      <c r="UAL40" s="19"/>
      <c r="UAM40" s="19"/>
      <c r="UAN40" s="21"/>
      <c r="UAO40" s="19"/>
      <c r="UAX40" s="19"/>
      <c r="UAY40" s="19"/>
      <c r="UAZ40" s="19"/>
      <c r="UBA40" s="19"/>
      <c r="UBB40" s="21"/>
      <c r="UBC40" s="19"/>
      <c r="UBL40" s="19"/>
      <c r="UBM40" s="19"/>
      <c r="UBN40" s="19"/>
      <c r="UBO40" s="19"/>
      <c r="UBP40" s="21"/>
      <c r="UBQ40" s="19"/>
      <c r="UBZ40" s="19"/>
      <c r="UCA40" s="19"/>
      <c r="UCB40" s="19"/>
      <c r="UCC40" s="19"/>
      <c r="UCD40" s="21"/>
      <c r="UCE40" s="19"/>
      <c r="UCN40" s="19"/>
      <c r="UCO40" s="19"/>
      <c r="UCP40" s="19"/>
      <c r="UCQ40" s="19"/>
      <c r="UCR40" s="21"/>
      <c r="UCS40" s="19"/>
      <c r="UDB40" s="19"/>
      <c r="UDC40" s="19"/>
      <c r="UDD40" s="19"/>
      <c r="UDE40" s="19"/>
      <c r="UDF40" s="21"/>
      <c r="UDG40" s="19"/>
      <c r="UDP40" s="19"/>
      <c r="UDQ40" s="19"/>
      <c r="UDR40" s="19"/>
      <c r="UDS40" s="19"/>
      <c r="UDT40" s="21"/>
      <c r="UDU40" s="19"/>
      <c r="UED40" s="19"/>
      <c r="UEE40" s="19"/>
      <c r="UEF40" s="19"/>
      <c r="UEG40" s="19"/>
      <c r="UEH40" s="21"/>
      <c r="UEI40" s="19"/>
      <c r="UER40" s="19"/>
      <c r="UES40" s="19"/>
      <c r="UET40" s="19"/>
      <c r="UEU40" s="19"/>
      <c r="UEV40" s="21"/>
      <c r="UEW40" s="19"/>
      <c r="UFF40" s="19"/>
      <c r="UFG40" s="19"/>
      <c r="UFH40" s="19"/>
      <c r="UFI40" s="19"/>
      <c r="UFJ40" s="21"/>
      <c r="UFK40" s="19"/>
      <c r="UFT40" s="19"/>
      <c r="UFU40" s="19"/>
      <c r="UFV40" s="19"/>
      <c r="UFW40" s="19"/>
      <c r="UFX40" s="21"/>
      <c r="UFY40" s="19"/>
      <c r="UGH40" s="19"/>
      <c r="UGI40" s="19"/>
      <c r="UGJ40" s="19"/>
      <c r="UGK40" s="19"/>
      <c r="UGL40" s="21"/>
      <c r="UGM40" s="19"/>
      <c r="UGV40" s="19"/>
      <c r="UGW40" s="19"/>
      <c r="UGX40" s="19"/>
      <c r="UGY40" s="19"/>
      <c r="UGZ40" s="21"/>
      <c r="UHA40" s="19"/>
      <c r="UHJ40" s="19"/>
      <c r="UHK40" s="19"/>
      <c r="UHL40" s="19"/>
      <c r="UHM40" s="19"/>
      <c r="UHN40" s="21"/>
      <c r="UHO40" s="19"/>
      <c r="UHX40" s="19"/>
      <c r="UHY40" s="19"/>
      <c r="UHZ40" s="19"/>
      <c r="UIA40" s="19"/>
      <c r="UIB40" s="21"/>
      <c r="UIC40" s="19"/>
      <c r="UIL40" s="19"/>
      <c r="UIM40" s="19"/>
      <c r="UIN40" s="19"/>
      <c r="UIO40" s="19"/>
      <c r="UIP40" s="21"/>
      <c r="UIQ40" s="19"/>
      <c r="UIZ40" s="19"/>
      <c r="UJA40" s="19"/>
      <c r="UJB40" s="19"/>
      <c r="UJC40" s="19"/>
      <c r="UJD40" s="21"/>
      <c r="UJE40" s="19"/>
      <c r="UJN40" s="19"/>
      <c r="UJO40" s="19"/>
      <c r="UJP40" s="19"/>
      <c r="UJQ40" s="19"/>
      <c r="UJR40" s="21"/>
      <c r="UJS40" s="19"/>
      <c r="UKB40" s="19"/>
      <c r="UKC40" s="19"/>
      <c r="UKD40" s="19"/>
      <c r="UKE40" s="19"/>
      <c r="UKF40" s="21"/>
      <c r="UKG40" s="19"/>
      <c r="UKP40" s="19"/>
      <c r="UKQ40" s="19"/>
      <c r="UKR40" s="19"/>
      <c r="UKS40" s="19"/>
      <c r="UKT40" s="21"/>
      <c r="UKU40" s="19"/>
      <c r="ULD40" s="19"/>
      <c r="ULE40" s="19"/>
      <c r="ULF40" s="19"/>
      <c r="ULG40" s="19"/>
      <c r="ULH40" s="21"/>
      <c r="ULI40" s="19"/>
      <c r="ULR40" s="19"/>
      <c r="ULS40" s="19"/>
      <c r="ULT40" s="19"/>
      <c r="ULU40" s="19"/>
      <c r="ULV40" s="21"/>
      <c r="ULW40" s="19"/>
      <c r="UMF40" s="19"/>
      <c r="UMG40" s="19"/>
      <c r="UMH40" s="19"/>
      <c r="UMI40" s="19"/>
      <c r="UMJ40" s="21"/>
      <c r="UMK40" s="19"/>
      <c r="UMT40" s="19"/>
      <c r="UMU40" s="19"/>
      <c r="UMV40" s="19"/>
      <c r="UMW40" s="19"/>
      <c r="UMX40" s="21"/>
      <c r="UMY40" s="19"/>
      <c r="UNH40" s="19"/>
      <c r="UNI40" s="19"/>
      <c r="UNJ40" s="19"/>
      <c r="UNK40" s="19"/>
      <c r="UNL40" s="21"/>
      <c r="UNM40" s="19"/>
      <c r="UNV40" s="19"/>
      <c r="UNW40" s="19"/>
      <c r="UNX40" s="19"/>
      <c r="UNY40" s="19"/>
      <c r="UNZ40" s="21"/>
      <c r="UOA40" s="19"/>
      <c r="UOJ40" s="19"/>
      <c r="UOK40" s="19"/>
      <c r="UOL40" s="19"/>
      <c r="UOM40" s="19"/>
      <c r="UON40" s="21"/>
      <c r="UOO40" s="19"/>
      <c r="UOX40" s="19"/>
      <c r="UOY40" s="19"/>
      <c r="UOZ40" s="19"/>
      <c r="UPA40" s="19"/>
      <c r="UPB40" s="21"/>
      <c r="UPC40" s="19"/>
      <c r="UPL40" s="19"/>
      <c r="UPM40" s="19"/>
      <c r="UPN40" s="19"/>
      <c r="UPO40" s="19"/>
      <c r="UPP40" s="21"/>
      <c r="UPQ40" s="19"/>
      <c r="UPZ40" s="19"/>
      <c r="UQA40" s="19"/>
      <c r="UQB40" s="19"/>
      <c r="UQC40" s="19"/>
      <c r="UQD40" s="21"/>
      <c r="UQE40" s="19"/>
      <c r="UQN40" s="19"/>
      <c r="UQO40" s="19"/>
      <c r="UQP40" s="19"/>
      <c r="UQQ40" s="19"/>
      <c r="UQR40" s="21"/>
      <c r="UQS40" s="19"/>
      <c r="URB40" s="19"/>
      <c r="URC40" s="19"/>
      <c r="URD40" s="19"/>
      <c r="URE40" s="19"/>
      <c r="URF40" s="21"/>
      <c r="URG40" s="19"/>
      <c r="URP40" s="19"/>
      <c r="URQ40" s="19"/>
      <c r="URR40" s="19"/>
      <c r="URS40" s="19"/>
      <c r="URT40" s="21"/>
      <c r="URU40" s="19"/>
      <c r="USD40" s="19"/>
      <c r="USE40" s="19"/>
      <c r="USF40" s="19"/>
      <c r="USG40" s="19"/>
      <c r="USH40" s="21"/>
      <c r="USI40" s="19"/>
      <c r="USR40" s="19"/>
      <c r="USS40" s="19"/>
      <c r="UST40" s="19"/>
      <c r="USU40" s="19"/>
      <c r="USV40" s="21"/>
      <c r="USW40" s="19"/>
      <c r="UTF40" s="19"/>
      <c r="UTG40" s="19"/>
      <c r="UTH40" s="19"/>
      <c r="UTI40" s="19"/>
      <c r="UTJ40" s="21"/>
      <c r="UTK40" s="19"/>
      <c r="UTT40" s="19"/>
      <c r="UTU40" s="19"/>
      <c r="UTV40" s="19"/>
      <c r="UTW40" s="19"/>
      <c r="UTX40" s="21"/>
      <c r="UTY40" s="19"/>
      <c r="UUH40" s="19"/>
      <c r="UUI40" s="19"/>
      <c r="UUJ40" s="19"/>
      <c r="UUK40" s="19"/>
      <c r="UUL40" s="21"/>
      <c r="UUM40" s="19"/>
      <c r="UUV40" s="19"/>
      <c r="UUW40" s="19"/>
      <c r="UUX40" s="19"/>
      <c r="UUY40" s="19"/>
      <c r="UUZ40" s="21"/>
      <c r="UVA40" s="19"/>
      <c r="UVJ40" s="19"/>
      <c r="UVK40" s="19"/>
      <c r="UVL40" s="19"/>
      <c r="UVM40" s="19"/>
      <c r="UVN40" s="21"/>
      <c r="UVO40" s="19"/>
      <c r="UVX40" s="19"/>
      <c r="UVY40" s="19"/>
      <c r="UVZ40" s="19"/>
      <c r="UWA40" s="19"/>
      <c r="UWB40" s="21"/>
      <c r="UWC40" s="19"/>
      <c r="UWL40" s="19"/>
      <c r="UWM40" s="19"/>
      <c r="UWN40" s="19"/>
      <c r="UWO40" s="19"/>
      <c r="UWP40" s="21"/>
      <c r="UWQ40" s="19"/>
      <c r="UWZ40" s="19"/>
      <c r="UXA40" s="19"/>
      <c r="UXB40" s="19"/>
      <c r="UXC40" s="19"/>
      <c r="UXD40" s="21"/>
      <c r="UXE40" s="19"/>
      <c r="UXN40" s="19"/>
      <c r="UXO40" s="19"/>
      <c r="UXP40" s="19"/>
      <c r="UXQ40" s="19"/>
      <c r="UXR40" s="21"/>
      <c r="UXS40" s="19"/>
      <c r="UYB40" s="19"/>
      <c r="UYC40" s="19"/>
      <c r="UYD40" s="19"/>
      <c r="UYE40" s="19"/>
      <c r="UYF40" s="21"/>
      <c r="UYG40" s="19"/>
      <c r="UYP40" s="19"/>
      <c r="UYQ40" s="19"/>
      <c r="UYR40" s="19"/>
      <c r="UYS40" s="19"/>
      <c r="UYT40" s="21"/>
      <c r="UYU40" s="19"/>
      <c r="UZD40" s="19"/>
      <c r="UZE40" s="19"/>
      <c r="UZF40" s="19"/>
      <c r="UZG40" s="19"/>
      <c r="UZH40" s="21"/>
      <c r="UZI40" s="19"/>
      <c r="UZR40" s="19"/>
      <c r="UZS40" s="19"/>
      <c r="UZT40" s="19"/>
      <c r="UZU40" s="19"/>
      <c r="UZV40" s="21"/>
      <c r="UZW40" s="19"/>
      <c r="VAF40" s="19"/>
      <c r="VAG40" s="19"/>
      <c r="VAH40" s="19"/>
      <c r="VAI40" s="19"/>
      <c r="VAJ40" s="21"/>
      <c r="VAK40" s="19"/>
      <c r="VAT40" s="19"/>
      <c r="VAU40" s="19"/>
      <c r="VAV40" s="19"/>
      <c r="VAW40" s="19"/>
      <c r="VAX40" s="21"/>
      <c r="VAY40" s="19"/>
      <c r="VBH40" s="19"/>
      <c r="VBI40" s="19"/>
      <c r="VBJ40" s="19"/>
      <c r="VBK40" s="19"/>
      <c r="VBL40" s="21"/>
      <c r="VBM40" s="19"/>
      <c r="VBV40" s="19"/>
      <c r="VBW40" s="19"/>
      <c r="VBX40" s="19"/>
      <c r="VBY40" s="19"/>
      <c r="VBZ40" s="21"/>
      <c r="VCA40" s="19"/>
      <c r="VCJ40" s="19"/>
      <c r="VCK40" s="19"/>
      <c r="VCL40" s="19"/>
      <c r="VCM40" s="19"/>
      <c r="VCN40" s="21"/>
      <c r="VCO40" s="19"/>
      <c r="VCX40" s="19"/>
      <c r="VCY40" s="19"/>
      <c r="VCZ40" s="19"/>
      <c r="VDA40" s="19"/>
      <c r="VDB40" s="21"/>
      <c r="VDC40" s="19"/>
      <c r="VDL40" s="19"/>
      <c r="VDM40" s="19"/>
      <c r="VDN40" s="19"/>
      <c r="VDO40" s="19"/>
      <c r="VDP40" s="21"/>
      <c r="VDQ40" s="19"/>
      <c r="VDZ40" s="19"/>
      <c r="VEA40" s="19"/>
      <c r="VEB40" s="19"/>
      <c r="VEC40" s="19"/>
      <c r="VED40" s="21"/>
      <c r="VEE40" s="19"/>
      <c r="VEN40" s="19"/>
      <c r="VEO40" s="19"/>
      <c r="VEP40" s="19"/>
      <c r="VEQ40" s="19"/>
      <c r="VER40" s="21"/>
      <c r="VES40" s="19"/>
      <c r="VFB40" s="19"/>
      <c r="VFC40" s="19"/>
      <c r="VFD40" s="19"/>
      <c r="VFE40" s="19"/>
      <c r="VFF40" s="21"/>
      <c r="VFG40" s="19"/>
      <c r="VFP40" s="19"/>
      <c r="VFQ40" s="19"/>
      <c r="VFR40" s="19"/>
      <c r="VFS40" s="19"/>
      <c r="VFT40" s="21"/>
      <c r="VFU40" s="19"/>
      <c r="VGD40" s="19"/>
      <c r="VGE40" s="19"/>
      <c r="VGF40" s="19"/>
      <c r="VGG40" s="19"/>
      <c r="VGH40" s="21"/>
      <c r="VGI40" s="19"/>
      <c r="VGR40" s="19"/>
      <c r="VGS40" s="19"/>
      <c r="VGT40" s="19"/>
      <c r="VGU40" s="19"/>
      <c r="VGV40" s="21"/>
      <c r="VGW40" s="19"/>
      <c r="VHF40" s="19"/>
      <c r="VHG40" s="19"/>
      <c r="VHH40" s="19"/>
      <c r="VHI40" s="19"/>
      <c r="VHJ40" s="21"/>
      <c r="VHK40" s="19"/>
      <c r="VHT40" s="19"/>
      <c r="VHU40" s="19"/>
      <c r="VHV40" s="19"/>
      <c r="VHW40" s="19"/>
      <c r="VHX40" s="21"/>
      <c r="VHY40" s="19"/>
      <c r="VIH40" s="19"/>
      <c r="VII40" s="19"/>
      <c r="VIJ40" s="19"/>
      <c r="VIK40" s="19"/>
      <c r="VIL40" s="21"/>
      <c r="VIM40" s="19"/>
      <c r="VIV40" s="19"/>
      <c r="VIW40" s="19"/>
      <c r="VIX40" s="19"/>
      <c r="VIY40" s="19"/>
      <c r="VIZ40" s="21"/>
      <c r="VJA40" s="19"/>
      <c r="VJJ40" s="19"/>
      <c r="VJK40" s="19"/>
      <c r="VJL40" s="19"/>
      <c r="VJM40" s="19"/>
      <c r="VJN40" s="21"/>
      <c r="VJO40" s="19"/>
      <c r="VJX40" s="19"/>
      <c r="VJY40" s="19"/>
      <c r="VJZ40" s="19"/>
      <c r="VKA40" s="19"/>
      <c r="VKB40" s="21"/>
      <c r="VKC40" s="19"/>
      <c r="VKL40" s="19"/>
      <c r="VKM40" s="19"/>
      <c r="VKN40" s="19"/>
      <c r="VKO40" s="19"/>
      <c r="VKP40" s="21"/>
      <c r="VKQ40" s="19"/>
      <c r="VKZ40" s="19"/>
      <c r="VLA40" s="19"/>
      <c r="VLB40" s="19"/>
      <c r="VLC40" s="19"/>
      <c r="VLD40" s="21"/>
      <c r="VLE40" s="19"/>
      <c r="VLN40" s="19"/>
      <c r="VLO40" s="19"/>
      <c r="VLP40" s="19"/>
      <c r="VLQ40" s="19"/>
      <c r="VLR40" s="21"/>
      <c r="VLS40" s="19"/>
      <c r="VMB40" s="19"/>
      <c r="VMC40" s="19"/>
      <c r="VMD40" s="19"/>
      <c r="VME40" s="19"/>
      <c r="VMF40" s="21"/>
      <c r="VMG40" s="19"/>
      <c r="VMP40" s="19"/>
      <c r="VMQ40" s="19"/>
      <c r="VMR40" s="19"/>
      <c r="VMS40" s="19"/>
      <c r="VMT40" s="21"/>
      <c r="VMU40" s="19"/>
      <c r="VND40" s="19"/>
      <c r="VNE40" s="19"/>
      <c r="VNF40" s="19"/>
      <c r="VNG40" s="19"/>
      <c r="VNH40" s="21"/>
      <c r="VNI40" s="19"/>
      <c r="VNR40" s="19"/>
      <c r="VNS40" s="19"/>
      <c r="VNT40" s="19"/>
      <c r="VNU40" s="19"/>
      <c r="VNV40" s="21"/>
      <c r="VNW40" s="19"/>
      <c r="VOF40" s="19"/>
      <c r="VOG40" s="19"/>
      <c r="VOH40" s="19"/>
      <c r="VOI40" s="19"/>
      <c r="VOJ40" s="21"/>
      <c r="VOK40" s="19"/>
      <c r="VOT40" s="19"/>
      <c r="VOU40" s="19"/>
      <c r="VOV40" s="19"/>
      <c r="VOW40" s="19"/>
      <c r="VOX40" s="21"/>
      <c r="VOY40" s="19"/>
      <c r="VPH40" s="19"/>
      <c r="VPI40" s="19"/>
      <c r="VPJ40" s="19"/>
      <c r="VPK40" s="19"/>
      <c r="VPL40" s="21"/>
      <c r="VPM40" s="19"/>
      <c r="VPV40" s="19"/>
      <c r="VPW40" s="19"/>
      <c r="VPX40" s="19"/>
      <c r="VPY40" s="19"/>
      <c r="VPZ40" s="21"/>
      <c r="VQA40" s="19"/>
      <c r="VQJ40" s="19"/>
      <c r="VQK40" s="19"/>
      <c r="VQL40" s="19"/>
      <c r="VQM40" s="19"/>
      <c r="VQN40" s="21"/>
      <c r="VQO40" s="19"/>
      <c r="VQX40" s="19"/>
      <c r="VQY40" s="19"/>
      <c r="VQZ40" s="19"/>
      <c r="VRA40" s="19"/>
      <c r="VRB40" s="21"/>
      <c r="VRC40" s="19"/>
      <c r="VRL40" s="19"/>
      <c r="VRM40" s="19"/>
      <c r="VRN40" s="19"/>
      <c r="VRO40" s="19"/>
      <c r="VRP40" s="21"/>
      <c r="VRQ40" s="19"/>
      <c r="VRZ40" s="19"/>
      <c r="VSA40" s="19"/>
      <c r="VSB40" s="19"/>
      <c r="VSC40" s="19"/>
      <c r="VSD40" s="21"/>
      <c r="VSE40" s="19"/>
      <c r="VSN40" s="19"/>
      <c r="VSO40" s="19"/>
      <c r="VSP40" s="19"/>
      <c r="VSQ40" s="19"/>
      <c r="VSR40" s="21"/>
      <c r="VSS40" s="19"/>
      <c r="VTB40" s="19"/>
      <c r="VTC40" s="19"/>
      <c r="VTD40" s="19"/>
      <c r="VTE40" s="19"/>
      <c r="VTF40" s="21"/>
      <c r="VTG40" s="19"/>
      <c r="VTP40" s="19"/>
      <c r="VTQ40" s="19"/>
      <c r="VTR40" s="19"/>
      <c r="VTS40" s="19"/>
      <c r="VTT40" s="21"/>
      <c r="VTU40" s="19"/>
      <c r="VUD40" s="19"/>
      <c r="VUE40" s="19"/>
      <c r="VUF40" s="19"/>
      <c r="VUG40" s="19"/>
      <c r="VUH40" s="21"/>
      <c r="VUI40" s="19"/>
      <c r="VUR40" s="19"/>
      <c r="VUS40" s="19"/>
      <c r="VUT40" s="19"/>
      <c r="VUU40" s="19"/>
      <c r="VUV40" s="21"/>
      <c r="VUW40" s="19"/>
      <c r="VVF40" s="19"/>
      <c r="VVG40" s="19"/>
      <c r="VVH40" s="19"/>
      <c r="VVI40" s="19"/>
      <c r="VVJ40" s="21"/>
      <c r="VVK40" s="19"/>
      <c r="VVT40" s="19"/>
      <c r="VVU40" s="19"/>
      <c r="VVV40" s="19"/>
      <c r="VVW40" s="19"/>
      <c r="VVX40" s="21"/>
      <c r="VVY40" s="19"/>
      <c r="VWH40" s="19"/>
      <c r="VWI40" s="19"/>
      <c r="VWJ40" s="19"/>
      <c r="VWK40" s="19"/>
      <c r="VWL40" s="21"/>
      <c r="VWM40" s="19"/>
      <c r="VWV40" s="19"/>
      <c r="VWW40" s="19"/>
      <c r="VWX40" s="19"/>
      <c r="VWY40" s="19"/>
      <c r="VWZ40" s="21"/>
      <c r="VXA40" s="19"/>
      <c r="VXJ40" s="19"/>
      <c r="VXK40" s="19"/>
      <c r="VXL40" s="19"/>
      <c r="VXM40" s="19"/>
      <c r="VXN40" s="21"/>
      <c r="VXO40" s="19"/>
      <c r="VXX40" s="19"/>
      <c r="VXY40" s="19"/>
      <c r="VXZ40" s="19"/>
      <c r="VYA40" s="19"/>
      <c r="VYB40" s="21"/>
      <c r="VYC40" s="19"/>
      <c r="VYL40" s="19"/>
      <c r="VYM40" s="19"/>
      <c r="VYN40" s="19"/>
      <c r="VYO40" s="19"/>
      <c r="VYP40" s="21"/>
      <c r="VYQ40" s="19"/>
      <c r="VYZ40" s="19"/>
      <c r="VZA40" s="19"/>
      <c r="VZB40" s="19"/>
      <c r="VZC40" s="19"/>
      <c r="VZD40" s="21"/>
      <c r="VZE40" s="19"/>
      <c r="VZN40" s="19"/>
      <c r="VZO40" s="19"/>
      <c r="VZP40" s="19"/>
      <c r="VZQ40" s="19"/>
      <c r="VZR40" s="21"/>
      <c r="VZS40" s="19"/>
      <c r="WAB40" s="19"/>
      <c r="WAC40" s="19"/>
      <c r="WAD40" s="19"/>
      <c r="WAE40" s="19"/>
      <c r="WAF40" s="21"/>
      <c r="WAG40" s="19"/>
      <c r="WAP40" s="19"/>
      <c r="WAQ40" s="19"/>
      <c r="WAR40" s="19"/>
      <c r="WAS40" s="19"/>
      <c r="WAT40" s="21"/>
      <c r="WAU40" s="19"/>
      <c r="WBD40" s="19"/>
      <c r="WBE40" s="19"/>
      <c r="WBF40" s="19"/>
      <c r="WBG40" s="19"/>
      <c r="WBH40" s="21"/>
      <c r="WBI40" s="19"/>
      <c r="WBR40" s="19"/>
      <c r="WBS40" s="19"/>
      <c r="WBT40" s="19"/>
      <c r="WBU40" s="19"/>
      <c r="WBV40" s="21"/>
      <c r="WBW40" s="19"/>
      <c r="WCF40" s="19"/>
      <c r="WCG40" s="19"/>
      <c r="WCH40" s="19"/>
      <c r="WCI40" s="19"/>
      <c r="WCJ40" s="21"/>
      <c r="WCK40" s="19"/>
      <c r="WCT40" s="19"/>
      <c r="WCU40" s="19"/>
      <c r="WCV40" s="19"/>
      <c r="WCW40" s="19"/>
      <c r="WCX40" s="21"/>
      <c r="WCY40" s="19"/>
      <c r="WDH40" s="19"/>
      <c r="WDI40" s="19"/>
      <c r="WDJ40" s="19"/>
      <c r="WDK40" s="19"/>
      <c r="WDL40" s="21"/>
      <c r="WDM40" s="19"/>
      <c r="WDV40" s="19"/>
      <c r="WDW40" s="19"/>
      <c r="WDX40" s="19"/>
      <c r="WDY40" s="19"/>
      <c r="WDZ40" s="21"/>
      <c r="WEA40" s="19"/>
      <c r="WEJ40" s="19"/>
      <c r="WEK40" s="19"/>
      <c r="WEL40" s="19"/>
      <c r="WEM40" s="19"/>
      <c r="WEN40" s="21"/>
      <c r="WEO40" s="19"/>
      <c r="WEX40" s="19"/>
      <c r="WEY40" s="19"/>
      <c r="WEZ40" s="19"/>
      <c r="WFA40" s="19"/>
      <c r="WFB40" s="21"/>
      <c r="WFC40" s="19"/>
      <c r="WFL40" s="19"/>
      <c r="WFM40" s="19"/>
      <c r="WFN40" s="19"/>
      <c r="WFO40" s="19"/>
      <c r="WFP40" s="21"/>
      <c r="WFQ40" s="19"/>
      <c r="WFZ40" s="19"/>
      <c r="WGA40" s="19"/>
      <c r="WGB40" s="19"/>
      <c r="WGC40" s="19"/>
      <c r="WGD40" s="21"/>
      <c r="WGE40" s="19"/>
      <c r="WGN40" s="19"/>
      <c r="WGO40" s="19"/>
      <c r="WGP40" s="19"/>
      <c r="WGQ40" s="19"/>
      <c r="WGR40" s="21"/>
      <c r="WGS40" s="19"/>
      <c r="WHB40" s="19"/>
      <c r="WHC40" s="19"/>
      <c r="WHD40" s="19"/>
      <c r="WHE40" s="19"/>
      <c r="WHF40" s="21"/>
      <c r="WHG40" s="19"/>
      <c r="WHP40" s="19"/>
      <c r="WHQ40" s="19"/>
      <c r="WHR40" s="19"/>
      <c r="WHS40" s="19"/>
      <c r="WHT40" s="21"/>
      <c r="WHU40" s="19"/>
      <c r="WID40" s="19"/>
      <c r="WIE40" s="19"/>
      <c r="WIF40" s="19"/>
      <c r="WIG40" s="19"/>
      <c r="WIH40" s="21"/>
      <c r="WII40" s="19"/>
      <c r="WIR40" s="19"/>
      <c r="WIS40" s="19"/>
      <c r="WIT40" s="19"/>
      <c r="WIU40" s="19"/>
      <c r="WIV40" s="21"/>
      <c r="WIW40" s="19"/>
      <c r="WJF40" s="19"/>
      <c r="WJG40" s="19"/>
      <c r="WJH40" s="19"/>
      <c r="WJI40" s="19"/>
      <c r="WJJ40" s="21"/>
      <c r="WJK40" s="19"/>
      <c r="WJT40" s="19"/>
      <c r="WJU40" s="19"/>
      <c r="WJV40" s="19"/>
      <c r="WJW40" s="19"/>
      <c r="WJX40" s="21"/>
      <c r="WJY40" s="19"/>
      <c r="WKH40" s="19"/>
      <c r="WKI40" s="19"/>
      <c r="WKJ40" s="19"/>
      <c r="WKK40" s="19"/>
      <c r="WKL40" s="21"/>
      <c r="WKM40" s="19"/>
      <c r="WKV40" s="19"/>
      <c r="WKW40" s="19"/>
      <c r="WKX40" s="19"/>
      <c r="WKY40" s="19"/>
      <c r="WKZ40" s="21"/>
      <c r="WLA40" s="19"/>
      <c r="WLJ40" s="19"/>
      <c r="WLK40" s="19"/>
      <c r="WLL40" s="19"/>
      <c r="WLM40" s="19"/>
      <c r="WLN40" s="21"/>
      <c r="WLO40" s="19"/>
      <c r="WLX40" s="19"/>
      <c r="WLY40" s="19"/>
      <c r="WLZ40" s="19"/>
      <c r="WMA40" s="19"/>
      <c r="WMB40" s="21"/>
      <c r="WMC40" s="19"/>
      <c r="WML40" s="19"/>
      <c r="WMM40" s="19"/>
      <c r="WMN40" s="19"/>
      <c r="WMO40" s="19"/>
      <c r="WMP40" s="21"/>
      <c r="WMQ40" s="19"/>
      <c r="WMZ40" s="19"/>
      <c r="WNA40" s="19"/>
      <c r="WNB40" s="19"/>
      <c r="WNC40" s="19"/>
      <c r="WND40" s="21"/>
      <c r="WNE40" s="19"/>
      <c r="WNN40" s="19"/>
      <c r="WNO40" s="19"/>
      <c r="WNP40" s="19"/>
      <c r="WNQ40" s="19"/>
      <c r="WNR40" s="21"/>
      <c r="WNS40" s="19"/>
      <c r="WOB40" s="19"/>
      <c r="WOC40" s="19"/>
      <c r="WOD40" s="19"/>
      <c r="WOE40" s="19"/>
      <c r="WOF40" s="21"/>
      <c r="WOG40" s="19"/>
      <c r="WOP40" s="19"/>
      <c r="WOQ40" s="19"/>
      <c r="WOR40" s="19"/>
      <c r="WOS40" s="19"/>
      <c r="WOT40" s="21"/>
      <c r="WOU40" s="19"/>
      <c r="WPD40" s="19"/>
      <c r="WPE40" s="19"/>
      <c r="WPF40" s="19"/>
      <c r="WPG40" s="19"/>
      <c r="WPH40" s="21"/>
      <c r="WPI40" s="19"/>
      <c r="WPR40" s="19"/>
      <c r="WPS40" s="19"/>
      <c r="WPT40" s="19"/>
      <c r="WPU40" s="19"/>
      <c r="WPV40" s="21"/>
      <c r="WPW40" s="19"/>
      <c r="WQF40" s="19"/>
      <c r="WQG40" s="19"/>
      <c r="WQH40" s="19"/>
      <c r="WQI40" s="19"/>
      <c r="WQJ40" s="21"/>
      <c r="WQK40" s="19"/>
      <c r="WQT40" s="19"/>
      <c r="WQU40" s="19"/>
      <c r="WQV40" s="19"/>
      <c r="WQW40" s="19"/>
      <c r="WQX40" s="21"/>
      <c r="WQY40" s="19"/>
      <c r="WRH40" s="19"/>
      <c r="WRI40" s="19"/>
      <c r="WRJ40" s="19"/>
      <c r="WRK40" s="19"/>
      <c r="WRL40" s="21"/>
      <c r="WRM40" s="19"/>
      <c r="WRV40" s="19"/>
      <c r="WRW40" s="19"/>
      <c r="WRX40" s="19"/>
      <c r="WRY40" s="19"/>
      <c r="WRZ40" s="21"/>
      <c r="WSA40" s="19"/>
      <c r="WSJ40" s="19"/>
      <c r="WSK40" s="19"/>
      <c r="WSL40" s="19"/>
      <c r="WSM40" s="19"/>
      <c r="WSN40" s="21"/>
      <c r="WSO40" s="19"/>
      <c r="WSX40" s="19"/>
      <c r="WSY40" s="19"/>
      <c r="WSZ40" s="19"/>
      <c r="WTA40" s="19"/>
      <c r="WTB40" s="21"/>
      <c r="WTC40" s="19"/>
      <c r="WTL40" s="19"/>
      <c r="WTM40" s="19"/>
      <c r="WTN40" s="19"/>
      <c r="WTO40" s="19"/>
      <c r="WTP40" s="21"/>
      <c r="WTQ40" s="19"/>
      <c r="WTZ40" s="19"/>
      <c r="WUA40" s="19"/>
      <c r="WUB40" s="19"/>
      <c r="WUC40" s="19"/>
      <c r="WUD40" s="21"/>
      <c r="WUE40" s="19"/>
      <c r="WUN40" s="19"/>
      <c r="WUO40" s="19"/>
      <c r="WUP40" s="19"/>
      <c r="WUQ40" s="19"/>
      <c r="WUR40" s="21"/>
      <c r="WUS40" s="19"/>
      <c r="WVB40" s="19"/>
      <c r="WVC40" s="19"/>
      <c r="WVD40" s="19"/>
      <c r="WVE40" s="19"/>
      <c r="WVF40" s="21"/>
      <c r="WVG40" s="19"/>
      <c r="WVP40" s="19"/>
      <c r="WVQ40" s="19"/>
      <c r="WVR40" s="19"/>
      <c r="WVS40" s="19"/>
      <c r="WVT40" s="21"/>
      <c r="WVU40" s="19"/>
      <c r="WWD40" s="19"/>
      <c r="WWE40" s="19"/>
      <c r="WWF40" s="19"/>
      <c r="WWG40" s="19"/>
      <c r="WWH40" s="21"/>
      <c r="WWI40" s="19"/>
      <c r="WWR40" s="19"/>
      <c r="WWS40" s="19"/>
      <c r="WWT40" s="19"/>
      <c r="WWU40" s="19"/>
      <c r="WWV40" s="21"/>
      <c r="WWW40" s="19"/>
      <c r="WXF40" s="19"/>
      <c r="WXG40" s="19"/>
      <c r="WXH40" s="19"/>
      <c r="WXI40" s="19"/>
      <c r="WXJ40" s="21"/>
      <c r="WXK40" s="19"/>
      <c r="WXT40" s="19"/>
      <c r="WXU40" s="19"/>
      <c r="WXV40" s="19"/>
      <c r="WXW40" s="19"/>
      <c r="WXX40" s="21"/>
      <c r="WXY40" s="19"/>
      <c r="WYH40" s="19"/>
      <c r="WYI40" s="19"/>
      <c r="WYJ40" s="19"/>
      <c r="WYK40" s="19"/>
      <c r="WYL40" s="21"/>
      <c r="WYM40" s="19"/>
      <c r="WYV40" s="19"/>
      <c r="WYW40" s="19"/>
      <c r="WYX40" s="19"/>
      <c r="WYY40" s="19"/>
      <c r="WYZ40" s="21"/>
      <c r="WZA40" s="19"/>
      <c r="WZJ40" s="19"/>
      <c r="WZK40" s="19"/>
      <c r="WZL40" s="19"/>
      <c r="WZM40" s="19"/>
      <c r="WZN40" s="21"/>
      <c r="WZO40" s="19"/>
      <c r="WZX40" s="19"/>
      <c r="WZY40" s="19"/>
      <c r="WZZ40" s="19"/>
      <c r="XAA40" s="19"/>
      <c r="XAB40" s="21"/>
      <c r="XAC40" s="19"/>
      <c r="XAL40" s="19"/>
      <c r="XAM40" s="19"/>
      <c r="XAN40" s="19"/>
      <c r="XAO40" s="19"/>
      <c r="XAP40" s="21"/>
      <c r="XAQ40" s="19"/>
      <c r="XAZ40" s="19"/>
      <c r="XBA40" s="19"/>
      <c r="XBB40" s="19"/>
      <c r="XBC40" s="19"/>
      <c r="XBD40" s="21"/>
      <c r="XBE40" s="19"/>
      <c r="XBN40" s="19"/>
      <c r="XBO40" s="19"/>
      <c r="XBP40" s="19"/>
      <c r="XBQ40" s="19"/>
      <c r="XBR40" s="21"/>
      <c r="XBS40" s="19"/>
      <c r="XCB40" s="19"/>
      <c r="XCC40" s="19"/>
      <c r="XCD40" s="19"/>
      <c r="XCE40" s="19"/>
      <c r="XCF40" s="21"/>
      <c r="XCG40" s="19"/>
      <c r="XCP40" s="19"/>
      <c r="XCQ40" s="19"/>
      <c r="XCR40" s="19"/>
      <c r="XCS40" s="19"/>
      <c r="XCT40" s="21"/>
      <c r="XCU40" s="19"/>
      <c r="XDD40" s="19"/>
      <c r="XDE40" s="19"/>
      <c r="XDF40" s="19"/>
      <c r="XDG40" s="19"/>
      <c r="XDH40" s="21"/>
      <c r="XDI40" s="19"/>
      <c r="XDR40" s="19"/>
      <c r="XDS40" s="19"/>
      <c r="XDT40" s="19"/>
      <c r="XDU40" s="19"/>
      <c r="XDV40" s="21"/>
      <c r="XDW40" s="19"/>
      <c r="XEF40" s="19"/>
      <c r="XEG40" s="19"/>
      <c r="XEH40" s="19"/>
      <c r="XEI40" s="19"/>
      <c r="XEJ40" s="21"/>
      <c r="XEK40" s="19"/>
    </row>
    <row r="41" spans="1:1021 1030:2043 2052:3065 3074:7167 7176:8189 8198:9211 9220:10233 10242:14335 14344:15357 15366:16365" s="20" customFormat="1">
      <c r="A41" s="19">
        <v>3</v>
      </c>
      <c r="B41" s="21">
        <v>8</v>
      </c>
      <c r="C41" s="19" t="s">
        <v>123</v>
      </c>
      <c r="D41" s="20">
        <v>4</v>
      </c>
      <c r="E41" s="20">
        <v>3</v>
      </c>
      <c r="F41" s="20">
        <v>1</v>
      </c>
      <c r="G41" s="20">
        <v>1</v>
      </c>
      <c r="H41" s="20">
        <v>1</v>
      </c>
      <c r="I41" s="20">
        <v>8</v>
      </c>
      <c r="J41" s="20">
        <v>7</v>
      </c>
      <c r="K41" s="20">
        <v>1</v>
      </c>
      <c r="L41" s="27"/>
      <c r="M41" s="19"/>
      <c r="V41" s="19"/>
      <c r="W41" s="19"/>
      <c r="X41" s="19"/>
      <c r="Y41" s="19"/>
      <c r="Z41" s="21"/>
      <c r="AA41" s="19"/>
      <c r="AJ41" s="19"/>
      <c r="AK41" s="19"/>
      <c r="AL41" s="19"/>
      <c r="AM41" s="19"/>
      <c r="AN41" s="21"/>
      <c r="AO41" s="19"/>
      <c r="AX41" s="19"/>
      <c r="AY41" s="19"/>
      <c r="AZ41" s="19"/>
      <c r="BA41" s="19"/>
      <c r="BB41" s="21"/>
      <c r="BC41" s="19"/>
      <c r="BL41" s="19"/>
      <c r="BM41" s="19"/>
      <c r="BN41" s="19"/>
      <c r="BO41" s="19"/>
      <c r="BP41" s="21"/>
      <c r="BQ41" s="19"/>
      <c r="BZ41" s="19"/>
      <c r="CA41" s="19"/>
      <c r="CB41" s="19"/>
      <c r="CC41" s="19"/>
      <c r="CD41" s="21"/>
      <c r="CE41" s="19"/>
      <c r="CN41" s="19"/>
      <c r="CO41" s="19"/>
      <c r="CP41" s="19"/>
      <c r="CQ41" s="19"/>
      <c r="CR41" s="21"/>
      <c r="CS41" s="19"/>
      <c r="DB41" s="19"/>
      <c r="DC41" s="19"/>
      <c r="DD41" s="19"/>
      <c r="DE41" s="19"/>
      <c r="DF41" s="21"/>
      <c r="DG41" s="19"/>
      <c r="DP41" s="19"/>
      <c r="DQ41" s="19"/>
      <c r="DR41" s="19"/>
      <c r="DS41" s="19"/>
      <c r="DT41" s="21"/>
      <c r="DU41" s="19"/>
      <c r="ED41" s="19"/>
      <c r="EE41" s="19"/>
      <c r="EF41" s="19"/>
      <c r="EG41" s="19"/>
      <c r="EH41" s="21"/>
      <c r="EI41" s="19"/>
      <c r="ER41" s="19"/>
      <c r="ES41" s="19"/>
      <c r="ET41" s="19"/>
      <c r="EU41" s="19"/>
      <c r="EV41" s="21"/>
      <c r="EW41" s="19"/>
      <c r="FF41" s="19"/>
      <c r="FG41" s="19"/>
      <c r="FH41" s="19"/>
      <c r="FI41" s="19"/>
      <c r="FJ41" s="21"/>
      <c r="FK41" s="19"/>
      <c r="FT41" s="19"/>
      <c r="FU41" s="19"/>
      <c r="FV41" s="19"/>
      <c r="FW41" s="19"/>
      <c r="FX41" s="21"/>
      <c r="FY41" s="19"/>
      <c r="GH41" s="19"/>
      <c r="GI41" s="19"/>
      <c r="GJ41" s="19"/>
      <c r="GK41" s="19"/>
      <c r="GL41" s="21"/>
      <c r="GM41" s="19"/>
      <c r="GV41" s="19"/>
      <c r="GW41" s="19"/>
      <c r="GX41" s="19"/>
      <c r="GY41" s="19"/>
      <c r="GZ41" s="21"/>
      <c r="HA41" s="19"/>
      <c r="HJ41" s="19"/>
      <c r="HK41" s="19"/>
      <c r="HL41" s="19"/>
      <c r="HM41" s="19"/>
      <c r="HN41" s="21"/>
      <c r="HO41" s="19"/>
      <c r="HX41" s="19"/>
      <c r="HY41" s="19"/>
      <c r="HZ41" s="19"/>
      <c r="IA41" s="19"/>
      <c r="IB41" s="21"/>
      <c r="IC41" s="19"/>
      <c r="IL41" s="19"/>
      <c r="IM41" s="19"/>
      <c r="IN41" s="19"/>
      <c r="IO41" s="19"/>
      <c r="IP41" s="21"/>
      <c r="IQ41" s="19"/>
      <c r="IZ41" s="19"/>
      <c r="JA41" s="19"/>
      <c r="JB41" s="19"/>
      <c r="JC41" s="19"/>
      <c r="JD41" s="21"/>
      <c r="JE41" s="19"/>
      <c r="JN41" s="19"/>
      <c r="JO41" s="19"/>
      <c r="JP41" s="19"/>
      <c r="JQ41" s="19"/>
      <c r="JR41" s="21"/>
      <c r="JS41" s="19"/>
      <c r="KB41" s="19"/>
      <c r="KC41" s="19"/>
      <c r="KD41" s="19"/>
      <c r="KE41" s="19"/>
      <c r="KF41" s="21"/>
      <c r="KG41" s="19"/>
      <c r="KP41" s="19"/>
      <c r="KQ41" s="19"/>
      <c r="KR41" s="19"/>
      <c r="KS41" s="19"/>
      <c r="KT41" s="21"/>
      <c r="KU41" s="19"/>
      <c r="LD41" s="19"/>
      <c r="LE41" s="19"/>
      <c r="LF41" s="19"/>
      <c r="LG41" s="19"/>
      <c r="LH41" s="21"/>
      <c r="LI41" s="19"/>
      <c r="LR41" s="19"/>
      <c r="LS41" s="19"/>
      <c r="LT41" s="19"/>
      <c r="LU41" s="19"/>
      <c r="LV41" s="21"/>
      <c r="LW41" s="19"/>
      <c r="MF41" s="19"/>
      <c r="MG41" s="19"/>
      <c r="MH41" s="19"/>
      <c r="MI41" s="19"/>
      <c r="MJ41" s="21"/>
      <c r="MK41" s="19"/>
      <c r="MT41" s="19"/>
      <c r="MU41" s="19"/>
      <c r="MV41" s="19"/>
      <c r="MW41" s="19"/>
      <c r="MX41" s="21"/>
      <c r="MY41" s="19"/>
      <c r="NH41" s="19"/>
      <c r="NI41" s="19"/>
      <c r="NJ41" s="19"/>
      <c r="NK41" s="19"/>
      <c r="NL41" s="21"/>
      <c r="NM41" s="19"/>
      <c r="NV41" s="19"/>
      <c r="NW41" s="19"/>
      <c r="NX41" s="19"/>
      <c r="NY41" s="19"/>
      <c r="NZ41" s="21"/>
      <c r="OA41" s="19"/>
      <c r="OJ41" s="19"/>
      <c r="OK41" s="19"/>
      <c r="OL41" s="19"/>
      <c r="OM41" s="19"/>
      <c r="ON41" s="21"/>
      <c r="OO41" s="19"/>
      <c r="OX41" s="19"/>
      <c r="OY41" s="19"/>
      <c r="OZ41" s="19"/>
      <c r="PA41" s="19"/>
      <c r="PB41" s="21"/>
      <c r="PC41" s="19"/>
      <c r="PL41" s="19"/>
      <c r="PM41" s="19"/>
      <c r="PN41" s="19"/>
      <c r="PO41" s="19"/>
      <c r="PP41" s="21"/>
      <c r="PQ41" s="19"/>
      <c r="PZ41" s="19"/>
      <c r="QA41" s="19"/>
      <c r="QB41" s="19"/>
      <c r="QC41" s="19"/>
      <c r="QD41" s="21"/>
      <c r="QE41" s="19"/>
      <c r="QN41" s="19"/>
      <c r="QO41" s="19"/>
      <c r="QP41" s="19"/>
      <c r="QQ41" s="19"/>
      <c r="QR41" s="21"/>
      <c r="QS41" s="19"/>
      <c r="RB41" s="19"/>
      <c r="RC41" s="19"/>
      <c r="RD41" s="19"/>
      <c r="RE41" s="19"/>
      <c r="RF41" s="21"/>
      <c r="RG41" s="19"/>
      <c r="RP41" s="19"/>
      <c r="RQ41" s="19"/>
      <c r="RR41" s="19"/>
      <c r="RS41" s="19"/>
      <c r="RT41" s="21"/>
      <c r="RU41" s="19"/>
      <c r="SD41" s="19"/>
      <c r="SE41" s="19"/>
      <c r="SF41" s="19"/>
      <c r="SG41" s="19"/>
      <c r="SH41" s="21"/>
      <c r="SI41" s="19"/>
      <c r="SR41" s="19"/>
      <c r="SS41" s="19"/>
      <c r="ST41" s="19"/>
      <c r="SU41" s="19"/>
      <c r="SV41" s="21"/>
      <c r="SW41" s="19"/>
      <c r="TF41" s="19"/>
      <c r="TG41" s="19"/>
      <c r="TH41" s="19"/>
      <c r="TI41" s="19"/>
      <c r="TJ41" s="21"/>
      <c r="TK41" s="19"/>
      <c r="TT41" s="19"/>
      <c r="TU41" s="19"/>
      <c r="TV41" s="19"/>
      <c r="TW41" s="19"/>
      <c r="TX41" s="21"/>
      <c r="TY41" s="19"/>
      <c r="UH41" s="19"/>
      <c r="UI41" s="19"/>
      <c r="UJ41" s="19"/>
      <c r="UK41" s="19"/>
      <c r="UL41" s="21"/>
      <c r="UM41" s="19"/>
      <c r="UV41" s="19"/>
      <c r="UW41" s="19"/>
      <c r="UX41" s="19"/>
      <c r="UY41" s="19"/>
      <c r="UZ41" s="21"/>
      <c r="VA41" s="19"/>
      <c r="VJ41" s="19"/>
      <c r="VK41" s="19"/>
      <c r="VL41" s="19"/>
      <c r="VM41" s="19"/>
      <c r="VN41" s="21"/>
      <c r="VO41" s="19"/>
      <c r="VX41" s="19"/>
      <c r="VY41" s="19"/>
      <c r="VZ41" s="19"/>
      <c r="WA41" s="19"/>
      <c r="WB41" s="21"/>
      <c r="WC41" s="19"/>
      <c r="WL41" s="19"/>
      <c r="WM41" s="19"/>
      <c r="WN41" s="19"/>
      <c r="WO41" s="19"/>
      <c r="WP41" s="21"/>
      <c r="WQ41" s="19"/>
      <c r="WZ41" s="19"/>
      <c r="XA41" s="19"/>
      <c r="XB41" s="19"/>
      <c r="XC41" s="19"/>
      <c r="XD41" s="21"/>
      <c r="XE41" s="19"/>
      <c r="XN41" s="19"/>
      <c r="XO41" s="19"/>
      <c r="XP41" s="19"/>
      <c r="XQ41" s="19"/>
      <c r="XR41" s="21"/>
      <c r="XS41" s="19"/>
      <c r="YB41" s="19"/>
      <c r="YC41" s="19"/>
      <c r="YD41" s="19"/>
      <c r="YE41" s="19"/>
      <c r="YF41" s="21"/>
      <c r="YG41" s="19"/>
      <c r="YP41" s="19"/>
      <c r="YQ41" s="19"/>
      <c r="YR41" s="19"/>
      <c r="YS41" s="19"/>
      <c r="YT41" s="21"/>
      <c r="YU41" s="19"/>
      <c r="ZD41" s="19"/>
      <c r="ZE41" s="19"/>
      <c r="ZF41" s="19"/>
      <c r="ZG41" s="19"/>
      <c r="ZH41" s="21"/>
      <c r="ZI41" s="19"/>
      <c r="ZR41" s="19"/>
      <c r="ZS41" s="19"/>
      <c r="ZT41" s="19"/>
      <c r="ZU41" s="19"/>
      <c r="ZV41" s="21"/>
      <c r="ZW41" s="19"/>
      <c r="AAF41" s="19"/>
      <c r="AAG41" s="19"/>
      <c r="AAH41" s="19"/>
      <c r="AAI41" s="19"/>
      <c r="AAJ41" s="21"/>
      <c r="AAK41" s="19"/>
      <c r="AAT41" s="19"/>
      <c r="AAU41" s="19"/>
      <c r="AAV41" s="19"/>
      <c r="AAW41" s="19"/>
      <c r="AAX41" s="21"/>
      <c r="AAY41" s="19"/>
      <c r="ABH41" s="19"/>
      <c r="ABI41" s="19"/>
      <c r="ABJ41" s="19"/>
      <c r="ABK41" s="19"/>
      <c r="ABL41" s="21"/>
      <c r="ABM41" s="19"/>
      <c r="ABV41" s="19"/>
      <c r="ABW41" s="19"/>
      <c r="ABX41" s="19"/>
      <c r="ABY41" s="19"/>
      <c r="ABZ41" s="21"/>
      <c r="ACA41" s="19"/>
      <c r="ACJ41" s="19"/>
      <c r="ACK41" s="19"/>
      <c r="ACL41" s="19"/>
      <c r="ACM41" s="19"/>
      <c r="ACN41" s="21"/>
      <c r="ACO41" s="19"/>
      <c r="ACX41" s="19"/>
      <c r="ACY41" s="19"/>
      <c r="ACZ41" s="19"/>
      <c r="ADA41" s="19"/>
      <c r="ADB41" s="21"/>
      <c r="ADC41" s="19"/>
      <c r="ADL41" s="19"/>
      <c r="ADM41" s="19"/>
      <c r="ADN41" s="19"/>
      <c r="ADO41" s="19"/>
      <c r="ADP41" s="21"/>
      <c r="ADQ41" s="19"/>
      <c r="ADZ41" s="19"/>
      <c r="AEA41" s="19"/>
      <c r="AEB41" s="19"/>
      <c r="AEC41" s="19"/>
      <c r="AED41" s="21"/>
      <c r="AEE41" s="19"/>
      <c r="AEN41" s="19"/>
      <c r="AEO41" s="19"/>
      <c r="AEP41" s="19"/>
      <c r="AEQ41" s="19"/>
      <c r="AER41" s="21"/>
      <c r="AES41" s="19"/>
      <c r="AFB41" s="19"/>
      <c r="AFC41" s="19"/>
      <c r="AFD41" s="19"/>
      <c r="AFE41" s="19"/>
      <c r="AFF41" s="21"/>
      <c r="AFG41" s="19"/>
      <c r="AFP41" s="19"/>
      <c r="AFQ41" s="19"/>
      <c r="AFR41" s="19"/>
      <c r="AFS41" s="19"/>
      <c r="AFT41" s="21"/>
      <c r="AFU41" s="19"/>
      <c r="AGD41" s="19"/>
      <c r="AGE41" s="19"/>
      <c r="AGF41" s="19"/>
      <c r="AGG41" s="19"/>
      <c r="AGH41" s="21"/>
      <c r="AGI41" s="19"/>
      <c r="AGR41" s="19"/>
      <c r="AGS41" s="19"/>
      <c r="AGT41" s="19"/>
      <c r="AGU41" s="19"/>
      <c r="AGV41" s="21"/>
      <c r="AGW41" s="19"/>
      <c r="AHF41" s="19"/>
      <c r="AHG41" s="19"/>
      <c r="AHH41" s="19"/>
      <c r="AHI41" s="19"/>
      <c r="AHJ41" s="21"/>
      <c r="AHK41" s="19"/>
      <c r="AHT41" s="19"/>
      <c r="AHU41" s="19"/>
      <c r="AHV41" s="19"/>
      <c r="AHW41" s="19"/>
      <c r="AHX41" s="21"/>
      <c r="AHY41" s="19"/>
      <c r="AIH41" s="19"/>
      <c r="AII41" s="19"/>
      <c r="AIJ41" s="19"/>
      <c r="AIK41" s="19"/>
      <c r="AIL41" s="21"/>
      <c r="AIM41" s="19"/>
      <c r="AIV41" s="19"/>
      <c r="AIW41" s="19"/>
      <c r="AIX41" s="19"/>
      <c r="AIY41" s="19"/>
      <c r="AIZ41" s="21"/>
      <c r="AJA41" s="19"/>
      <c r="AJJ41" s="19"/>
      <c r="AJK41" s="19"/>
      <c r="AJL41" s="19"/>
      <c r="AJM41" s="19"/>
      <c r="AJN41" s="21"/>
      <c r="AJO41" s="19"/>
      <c r="AJX41" s="19"/>
      <c r="AJY41" s="19"/>
      <c r="AJZ41" s="19"/>
      <c r="AKA41" s="19"/>
      <c r="AKB41" s="21"/>
      <c r="AKC41" s="19"/>
      <c r="AKL41" s="19"/>
      <c r="AKM41" s="19"/>
      <c r="AKN41" s="19"/>
      <c r="AKO41" s="19"/>
      <c r="AKP41" s="21"/>
      <c r="AKQ41" s="19"/>
      <c r="AKZ41" s="19"/>
      <c r="ALA41" s="19"/>
      <c r="ALB41" s="19"/>
      <c r="ALC41" s="19"/>
      <c r="ALD41" s="21"/>
      <c r="ALE41" s="19"/>
      <c r="ALN41" s="19"/>
      <c r="ALO41" s="19"/>
      <c r="ALP41" s="19"/>
      <c r="ALQ41" s="19"/>
      <c r="ALR41" s="21"/>
      <c r="ALS41" s="19"/>
      <c r="AMB41" s="19"/>
      <c r="AMC41" s="19"/>
      <c r="AMD41" s="19"/>
      <c r="AME41" s="19"/>
      <c r="AMF41" s="21"/>
      <c r="AMG41" s="19"/>
      <c r="AMP41" s="19"/>
      <c r="AMQ41" s="19"/>
      <c r="AMR41" s="19"/>
      <c r="AMS41" s="19"/>
      <c r="AMT41" s="21"/>
      <c r="AMU41" s="19"/>
      <c r="AND41" s="19"/>
      <c r="ANE41" s="19"/>
      <c r="ANF41" s="19"/>
      <c r="ANG41" s="19"/>
      <c r="ANH41" s="21"/>
      <c r="ANI41" s="19"/>
      <c r="ANR41" s="19"/>
      <c r="ANS41" s="19"/>
      <c r="ANT41" s="19"/>
      <c r="ANU41" s="19"/>
      <c r="ANV41" s="21"/>
      <c r="ANW41" s="19"/>
      <c r="AOF41" s="19"/>
      <c r="AOG41" s="19"/>
      <c r="AOH41" s="19"/>
      <c r="AOI41" s="19"/>
      <c r="AOJ41" s="21"/>
      <c r="AOK41" s="19"/>
      <c r="AOT41" s="19"/>
      <c r="AOU41" s="19"/>
      <c r="AOV41" s="19"/>
      <c r="AOW41" s="19"/>
      <c r="AOX41" s="21"/>
      <c r="AOY41" s="19"/>
      <c r="APH41" s="19"/>
      <c r="API41" s="19"/>
      <c r="APJ41" s="19"/>
      <c r="APK41" s="19"/>
      <c r="APL41" s="21"/>
      <c r="APM41" s="19"/>
      <c r="APV41" s="19"/>
      <c r="APW41" s="19"/>
      <c r="APX41" s="19"/>
      <c r="APY41" s="19"/>
      <c r="APZ41" s="21"/>
      <c r="AQA41" s="19"/>
      <c r="AQJ41" s="19"/>
      <c r="AQK41" s="19"/>
      <c r="AQL41" s="19"/>
      <c r="AQM41" s="19"/>
      <c r="AQN41" s="21"/>
      <c r="AQO41" s="19"/>
      <c r="AQX41" s="19"/>
      <c r="AQY41" s="19"/>
      <c r="AQZ41" s="19"/>
      <c r="ARA41" s="19"/>
      <c r="ARB41" s="21"/>
      <c r="ARC41" s="19"/>
      <c r="ARL41" s="19"/>
      <c r="ARM41" s="19"/>
      <c r="ARN41" s="19"/>
      <c r="ARO41" s="19"/>
      <c r="ARP41" s="21"/>
      <c r="ARQ41" s="19"/>
      <c r="ARZ41" s="19"/>
      <c r="ASA41" s="19"/>
      <c r="ASB41" s="19"/>
      <c r="ASC41" s="19"/>
      <c r="ASD41" s="21"/>
      <c r="ASE41" s="19"/>
      <c r="ASN41" s="19"/>
      <c r="ASO41" s="19"/>
      <c r="ASP41" s="19"/>
      <c r="ASQ41" s="19"/>
      <c r="ASR41" s="21"/>
      <c r="ASS41" s="19"/>
      <c r="ATB41" s="19"/>
      <c r="ATC41" s="19"/>
      <c r="ATD41" s="19"/>
      <c r="ATE41" s="19"/>
      <c r="ATF41" s="21"/>
      <c r="ATG41" s="19"/>
      <c r="ATP41" s="19"/>
      <c r="ATQ41" s="19"/>
      <c r="ATR41" s="19"/>
      <c r="ATS41" s="19"/>
      <c r="ATT41" s="21"/>
      <c r="ATU41" s="19"/>
      <c r="AUD41" s="19"/>
      <c r="AUE41" s="19"/>
      <c r="AUF41" s="19"/>
      <c r="AUG41" s="19"/>
      <c r="AUH41" s="21"/>
      <c r="AUI41" s="19"/>
      <c r="AUR41" s="19"/>
      <c r="AUS41" s="19"/>
      <c r="AUT41" s="19"/>
      <c r="AUU41" s="19"/>
      <c r="AUV41" s="21"/>
      <c r="AUW41" s="19"/>
      <c r="AVF41" s="19"/>
      <c r="AVG41" s="19"/>
      <c r="AVH41" s="19"/>
      <c r="AVI41" s="19"/>
      <c r="AVJ41" s="21"/>
      <c r="AVK41" s="19"/>
      <c r="AVT41" s="19"/>
      <c r="AVU41" s="19"/>
      <c r="AVV41" s="19"/>
      <c r="AVW41" s="19"/>
      <c r="AVX41" s="21"/>
      <c r="AVY41" s="19"/>
      <c r="AWH41" s="19"/>
      <c r="AWI41" s="19"/>
      <c r="AWJ41" s="19"/>
      <c r="AWK41" s="19"/>
      <c r="AWL41" s="21"/>
      <c r="AWM41" s="19"/>
      <c r="AWV41" s="19"/>
      <c r="AWW41" s="19"/>
      <c r="AWX41" s="19"/>
      <c r="AWY41" s="19"/>
      <c r="AWZ41" s="21"/>
      <c r="AXA41" s="19"/>
      <c r="AXJ41" s="19"/>
      <c r="AXK41" s="19"/>
      <c r="AXL41" s="19"/>
      <c r="AXM41" s="19"/>
      <c r="AXN41" s="21"/>
      <c r="AXO41" s="19"/>
      <c r="AXX41" s="19"/>
      <c r="AXY41" s="19"/>
      <c r="AXZ41" s="19"/>
      <c r="AYA41" s="19"/>
      <c r="AYB41" s="21"/>
      <c r="AYC41" s="19"/>
      <c r="AYL41" s="19"/>
      <c r="AYM41" s="19"/>
      <c r="AYN41" s="19"/>
      <c r="AYO41" s="19"/>
      <c r="AYP41" s="21"/>
      <c r="AYQ41" s="19"/>
      <c r="AYZ41" s="19"/>
      <c r="AZA41" s="19"/>
      <c r="AZB41" s="19"/>
      <c r="AZC41" s="19"/>
      <c r="AZD41" s="21"/>
      <c r="AZE41" s="19"/>
      <c r="AZN41" s="19"/>
      <c r="AZO41" s="19"/>
      <c r="AZP41" s="19"/>
      <c r="AZQ41" s="19"/>
      <c r="AZR41" s="21"/>
      <c r="AZS41" s="19"/>
      <c r="BAB41" s="19"/>
      <c r="BAC41" s="19"/>
      <c r="BAD41" s="19"/>
      <c r="BAE41" s="19"/>
      <c r="BAF41" s="21"/>
      <c r="BAG41" s="19"/>
      <c r="BAP41" s="19"/>
      <c r="BAQ41" s="19"/>
      <c r="BAR41" s="19"/>
      <c r="BAS41" s="19"/>
      <c r="BAT41" s="21"/>
      <c r="BAU41" s="19"/>
      <c r="BBD41" s="19"/>
      <c r="BBE41" s="19"/>
      <c r="BBF41" s="19"/>
      <c r="BBG41" s="19"/>
      <c r="BBH41" s="21"/>
      <c r="BBI41" s="19"/>
      <c r="BBR41" s="19"/>
      <c r="BBS41" s="19"/>
      <c r="BBT41" s="19"/>
      <c r="BBU41" s="19"/>
      <c r="BBV41" s="21"/>
      <c r="BBW41" s="19"/>
      <c r="BCF41" s="19"/>
      <c r="BCG41" s="19"/>
      <c r="BCH41" s="19"/>
      <c r="BCI41" s="19"/>
      <c r="BCJ41" s="21"/>
      <c r="BCK41" s="19"/>
      <c r="BCT41" s="19"/>
      <c r="BCU41" s="19"/>
      <c r="BCV41" s="19"/>
      <c r="BCW41" s="19"/>
      <c r="BCX41" s="21"/>
      <c r="BCY41" s="19"/>
      <c r="BDH41" s="19"/>
      <c r="BDI41" s="19"/>
      <c r="BDJ41" s="19"/>
      <c r="BDK41" s="19"/>
      <c r="BDL41" s="21"/>
      <c r="BDM41" s="19"/>
      <c r="BDV41" s="19"/>
      <c r="BDW41" s="19"/>
      <c r="BDX41" s="19"/>
      <c r="BDY41" s="19"/>
      <c r="BDZ41" s="21"/>
      <c r="BEA41" s="19"/>
      <c r="BEJ41" s="19"/>
      <c r="BEK41" s="19"/>
      <c r="BEL41" s="19"/>
      <c r="BEM41" s="19"/>
      <c r="BEN41" s="21"/>
      <c r="BEO41" s="19"/>
      <c r="BEX41" s="19"/>
      <c r="BEY41" s="19"/>
      <c r="BEZ41" s="19"/>
      <c r="BFA41" s="19"/>
      <c r="BFB41" s="21"/>
      <c r="BFC41" s="19"/>
      <c r="BFL41" s="19"/>
      <c r="BFM41" s="19"/>
      <c r="BFN41" s="19"/>
      <c r="BFO41" s="19"/>
      <c r="BFP41" s="21"/>
      <c r="BFQ41" s="19"/>
      <c r="BFZ41" s="19"/>
      <c r="BGA41" s="19"/>
      <c r="BGB41" s="19"/>
      <c r="BGC41" s="19"/>
      <c r="BGD41" s="21"/>
      <c r="BGE41" s="19"/>
      <c r="BGN41" s="19"/>
      <c r="BGO41" s="19"/>
      <c r="BGP41" s="19"/>
      <c r="BGQ41" s="19"/>
      <c r="BGR41" s="21"/>
      <c r="BGS41" s="19"/>
      <c r="BHB41" s="19"/>
      <c r="BHC41" s="19"/>
      <c r="BHD41" s="19"/>
      <c r="BHE41" s="19"/>
      <c r="BHF41" s="21"/>
      <c r="BHG41" s="19"/>
      <c r="BHP41" s="19"/>
      <c r="BHQ41" s="19"/>
      <c r="BHR41" s="19"/>
      <c r="BHS41" s="19"/>
      <c r="BHT41" s="21"/>
      <c r="BHU41" s="19"/>
      <c r="BID41" s="19"/>
      <c r="BIE41" s="19"/>
      <c r="BIF41" s="19"/>
      <c r="BIG41" s="19"/>
      <c r="BIH41" s="21"/>
      <c r="BII41" s="19"/>
      <c r="BIR41" s="19"/>
      <c r="BIS41" s="19"/>
      <c r="BIT41" s="19"/>
      <c r="BIU41" s="19"/>
      <c r="BIV41" s="21"/>
      <c r="BIW41" s="19"/>
      <c r="BJF41" s="19"/>
      <c r="BJG41" s="19"/>
      <c r="BJH41" s="19"/>
      <c r="BJI41" s="19"/>
      <c r="BJJ41" s="21"/>
      <c r="BJK41" s="19"/>
      <c r="BJT41" s="19"/>
      <c r="BJU41" s="19"/>
      <c r="BJV41" s="19"/>
      <c r="BJW41" s="19"/>
      <c r="BJX41" s="21"/>
      <c r="BJY41" s="19"/>
      <c r="BKH41" s="19"/>
      <c r="BKI41" s="19"/>
      <c r="BKJ41" s="19"/>
      <c r="BKK41" s="19"/>
      <c r="BKL41" s="21"/>
      <c r="BKM41" s="19"/>
      <c r="BKV41" s="19"/>
      <c r="BKW41" s="19"/>
      <c r="BKX41" s="19"/>
      <c r="BKY41" s="19"/>
      <c r="BKZ41" s="21"/>
      <c r="BLA41" s="19"/>
      <c r="BLJ41" s="19"/>
      <c r="BLK41" s="19"/>
      <c r="BLL41" s="19"/>
      <c r="BLM41" s="19"/>
      <c r="BLN41" s="21"/>
      <c r="BLO41" s="19"/>
      <c r="BLX41" s="19"/>
      <c r="BLY41" s="19"/>
      <c r="BLZ41" s="19"/>
      <c r="BMA41" s="19"/>
      <c r="BMB41" s="21"/>
      <c r="BMC41" s="19"/>
      <c r="BML41" s="19"/>
      <c r="BMM41" s="19"/>
      <c r="BMN41" s="19"/>
      <c r="BMO41" s="19"/>
      <c r="BMP41" s="21"/>
      <c r="BMQ41" s="19"/>
      <c r="BMZ41" s="19"/>
      <c r="BNA41" s="19"/>
      <c r="BNB41" s="19"/>
      <c r="BNC41" s="19"/>
      <c r="BND41" s="21"/>
      <c r="BNE41" s="19"/>
      <c r="BNN41" s="19"/>
      <c r="BNO41" s="19"/>
      <c r="BNP41" s="19"/>
      <c r="BNQ41" s="19"/>
      <c r="BNR41" s="21"/>
      <c r="BNS41" s="19"/>
      <c r="BOB41" s="19"/>
      <c r="BOC41" s="19"/>
      <c r="BOD41" s="19"/>
      <c r="BOE41" s="19"/>
      <c r="BOF41" s="21"/>
      <c r="BOG41" s="19"/>
      <c r="BOP41" s="19"/>
      <c r="BOQ41" s="19"/>
      <c r="BOR41" s="19"/>
      <c r="BOS41" s="19"/>
      <c r="BOT41" s="21"/>
      <c r="BOU41" s="19"/>
      <c r="BPD41" s="19"/>
      <c r="BPE41" s="19"/>
      <c r="BPF41" s="19"/>
      <c r="BPG41" s="19"/>
      <c r="BPH41" s="21"/>
      <c r="BPI41" s="19"/>
      <c r="BPR41" s="19"/>
      <c r="BPS41" s="19"/>
      <c r="BPT41" s="19"/>
      <c r="BPU41" s="19"/>
      <c r="BPV41" s="21"/>
      <c r="BPW41" s="19"/>
      <c r="BQF41" s="19"/>
      <c r="BQG41" s="19"/>
      <c r="BQH41" s="19"/>
      <c r="BQI41" s="19"/>
      <c r="BQJ41" s="21"/>
      <c r="BQK41" s="19"/>
      <c r="BQT41" s="19"/>
      <c r="BQU41" s="19"/>
      <c r="BQV41" s="19"/>
      <c r="BQW41" s="19"/>
      <c r="BQX41" s="21"/>
      <c r="BQY41" s="19"/>
      <c r="BRH41" s="19"/>
      <c r="BRI41" s="19"/>
      <c r="BRJ41" s="19"/>
      <c r="BRK41" s="19"/>
      <c r="BRL41" s="21"/>
      <c r="BRM41" s="19"/>
      <c r="BRV41" s="19"/>
      <c r="BRW41" s="19"/>
      <c r="BRX41" s="19"/>
      <c r="BRY41" s="19"/>
      <c r="BRZ41" s="21"/>
      <c r="BSA41" s="19"/>
      <c r="BSJ41" s="19"/>
      <c r="BSK41" s="19"/>
      <c r="BSL41" s="19"/>
      <c r="BSM41" s="19"/>
      <c r="BSN41" s="21"/>
      <c r="BSO41" s="19"/>
      <c r="BSX41" s="19"/>
      <c r="BSY41" s="19"/>
      <c r="BSZ41" s="19"/>
      <c r="BTA41" s="19"/>
      <c r="BTB41" s="21"/>
      <c r="BTC41" s="19"/>
      <c r="BTL41" s="19"/>
      <c r="BTM41" s="19"/>
      <c r="BTN41" s="19"/>
      <c r="BTO41" s="19"/>
      <c r="BTP41" s="21"/>
      <c r="BTQ41" s="19"/>
      <c r="BTZ41" s="19"/>
      <c r="BUA41" s="19"/>
      <c r="BUB41" s="19"/>
      <c r="BUC41" s="19"/>
      <c r="BUD41" s="21"/>
      <c r="BUE41" s="19"/>
      <c r="BUN41" s="19"/>
      <c r="BUO41" s="19"/>
      <c r="BUP41" s="19"/>
      <c r="BUQ41" s="19"/>
      <c r="BUR41" s="21"/>
      <c r="BUS41" s="19"/>
      <c r="BVB41" s="19"/>
      <c r="BVC41" s="19"/>
      <c r="BVD41" s="19"/>
      <c r="BVE41" s="19"/>
      <c r="BVF41" s="21"/>
      <c r="BVG41" s="19"/>
      <c r="BVP41" s="19"/>
      <c r="BVQ41" s="19"/>
      <c r="BVR41" s="19"/>
      <c r="BVS41" s="19"/>
      <c r="BVT41" s="21"/>
      <c r="BVU41" s="19"/>
      <c r="BWD41" s="19"/>
      <c r="BWE41" s="19"/>
      <c r="BWF41" s="19"/>
      <c r="BWG41" s="19"/>
      <c r="BWH41" s="21"/>
      <c r="BWI41" s="19"/>
      <c r="BWR41" s="19"/>
      <c r="BWS41" s="19"/>
      <c r="BWT41" s="19"/>
      <c r="BWU41" s="19"/>
      <c r="BWV41" s="21"/>
      <c r="BWW41" s="19"/>
      <c r="BXF41" s="19"/>
      <c r="BXG41" s="19"/>
      <c r="BXH41" s="19"/>
      <c r="BXI41" s="19"/>
      <c r="BXJ41" s="21"/>
      <c r="BXK41" s="19"/>
      <c r="BXT41" s="19"/>
      <c r="BXU41" s="19"/>
      <c r="BXV41" s="19"/>
      <c r="BXW41" s="19"/>
      <c r="BXX41" s="21"/>
      <c r="BXY41" s="19"/>
      <c r="BYH41" s="19"/>
      <c r="BYI41" s="19"/>
      <c r="BYJ41" s="19"/>
      <c r="BYK41" s="19"/>
      <c r="BYL41" s="21"/>
      <c r="BYM41" s="19"/>
      <c r="BYV41" s="19"/>
      <c r="BYW41" s="19"/>
      <c r="BYX41" s="19"/>
      <c r="BYY41" s="19"/>
      <c r="BYZ41" s="21"/>
      <c r="BZA41" s="19"/>
      <c r="BZJ41" s="19"/>
      <c r="BZK41" s="19"/>
      <c r="BZL41" s="19"/>
      <c r="BZM41" s="19"/>
      <c r="BZN41" s="21"/>
      <c r="BZO41" s="19"/>
      <c r="BZX41" s="19"/>
      <c r="BZY41" s="19"/>
      <c r="BZZ41" s="19"/>
      <c r="CAA41" s="19"/>
      <c r="CAB41" s="21"/>
      <c r="CAC41" s="19"/>
      <c r="CAL41" s="19"/>
      <c r="CAM41" s="19"/>
      <c r="CAN41" s="19"/>
      <c r="CAO41" s="19"/>
      <c r="CAP41" s="21"/>
      <c r="CAQ41" s="19"/>
      <c r="CAZ41" s="19"/>
      <c r="CBA41" s="19"/>
      <c r="CBB41" s="19"/>
      <c r="CBC41" s="19"/>
      <c r="CBD41" s="21"/>
      <c r="CBE41" s="19"/>
      <c r="CBN41" s="19"/>
      <c r="CBO41" s="19"/>
      <c r="CBP41" s="19"/>
      <c r="CBQ41" s="19"/>
      <c r="CBR41" s="21"/>
      <c r="CBS41" s="19"/>
      <c r="CCB41" s="19"/>
      <c r="CCC41" s="19"/>
      <c r="CCD41" s="19"/>
      <c r="CCE41" s="19"/>
      <c r="CCF41" s="21"/>
      <c r="CCG41" s="19"/>
      <c r="CCP41" s="19"/>
      <c r="CCQ41" s="19"/>
      <c r="CCR41" s="19"/>
      <c r="CCS41" s="19"/>
      <c r="CCT41" s="21"/>
      <c r="CCU41" s="19"/>
      <c r="CDD41" s="19"/>
      <c r="CDE41" s="19"/>
      <c r="CDF41" s="19"/>
      <c r="CDG41" s="19"/>
      <c r="CDH41" s="21"/>
      <c r="CDI41" s="19"/>
      <c r="CDR41" s="19"/>
      <c r="CDS41" s="19"/>
      <c r="CDT41" s="19"/>
      <c r="CDU41" s="19"/>
      <c r="CDV41" s="21"/>
      <c r="CDW41" s="19"/>
      <c r="CEF41" s="19"/>
      <c r="CEG41" s="19"/>
      <c r="CEH41" s="19"/>
      <c r="CEI41" s="19"/>
      <c r="CEJ41" s="21"/>
      <c r="CEK41" s="19"/>
      <c r="CET41" s="19"/>
      <c r="CEU41" s="19"/>
      <c r="CEV41" s="19"/>
      <c r="CEW41" s="19"/>
      <c r="CEX41" s="21"/>
      <c r="CEY41" s="19"/>
      <c r="CFH41" s="19"/>
      <c r="CFI41" s="19"/>
      <c r="CFJ41" s="19"/>
      <c r="CFK41" s="19"/>
      <c r="CFL41" s="21"/>
      <c r="CFM41" s="19"/>
      <c r="CFV41" s="19"/>
      <c r="CFW41" s="19"/>
      <c r="CFX41" s="19"/>
      <c r="CFY41" s="19"/>
      <c r="CFZ41" s="21"/>
      <c r="CGA41" s="19"/>
      <c r="CGJ41" s="19"/>
      <c r="CGK41" s="19"/>
      <c r="CGL41" s="19"/>
      <c r="CGM41" s="19"/>
      <c r="CGN41" s="21"/>
      <c r="CGO41" s="19"/>
      <c r="CGX41" s="19"/>
      <c r="CGY41" s="19"/>
      <c r="CGZ41" s="19"/>
      <c r="CHA41" s="19"/>
      <c r="CHB41" s="21"/>
      <c r="CHC41" s="19"/>
      <c r="CHL41" s="19"/>
      <c r="CHM41" s="19"/>
      <c r="CHN41" s="19"/>
      <c r="CHO41" s="19"/>
      <c r="CHP41" s="21"/>
      <c r="CHQ41" s="19"/>
      <c r="CHZ41" s="19"/>
      <c r="CIA41" s="19"/>
      <c r="CIB41" s="19"/>
      <c r="CIC41" s="19"/>
      <c r="CID41" s="21"/>
      <c r="CIE41" s="19"/>
      <c r="CIN41" s="19"/>
      <c r="CIO41" s="19"/>
      <c r="CIP41" s="19"/>
      <c r="CIQ41" s="19"/>
      <c r="CIR41" s="21"/>
      <c r="CIS41" s="19"/>
      <c r="CJB41" s="19"/>
      <c r="CJC41" s="19"/>
      <c r="CJD41" s="19"/>
      <c r="CJE41" s="19"/>
      <c r="CJF41" s="21"/>
      <c r="CJG41" s="19"/>
      <c r="CJP41" s="19"/>
      <c r="CJQ41" s="19"/>
      <c r="CJR41" s="19"/>
      <c r="CJS41" s="19"/>
      <c r="CJT41" s="21"/>
      <c r="CJU41" s="19"/>
      <c r="CKD41" s="19"/>
      <c r="CKE41" s="19"/>
      <c r="CKF41" s="19"/>
      <c r="CKG41" s="19"/>
      <c r="CKH41" s="21"/>
      <c r="CKI41" s="19"/>
      <c r="CKR41" s="19"/>
      <c r="CKS41" s="19"/>
      <c r="CKT41" s="19"/>
      <c r="CKU41" s="19"/>
      <c r="CKV41" s="21"/>
      <c r="CKW41" s="19"/>
      <c r="CLF41" s="19"/>
      <c r="CLG41" s="19"/>
      <c r="CLH41" s="19"/>
      <c r="CLI41" s="19"/>
      <c r="CLJ41" s="21"/>
      <c r="CLK41" s="19"/>
      <c r="CLT41" s="19"/>
      <c r="CLU41" s="19"/>
      <c r="CLV41" s="19"/>
      <c r="CLW41" s="19"/>
      <c r="CLX41" s="21"/>
      <c r="CLY41" s="19"/>
      <c r="CMH41" s="19"/>
      <c r="CMI41" s="19"/>
      <c r="CMJ41" s="19"/>
      <c r="CMK41" s="19"/>
      <c r="CML41" s="21"/>
      <c r="CMM41" s="19"/>
      <c r="CMV41" s="19"/>
      <c r="CMW41" s="19"/>
      <c r="CMX41" s="19"/>
      <c r="CMY41" s="19"/>
      <c r="CMZ41" s="21"/>
      <c r="CNA41" s="19"/>
      <c r="CNJ41" s="19"/>
      <c r="CNK41" s="19"/>
      <c r="CNL41" s="19"/>
      <c r="CNM41" s="19"/>
      <c r="CNN41" s="21"/>
      <c r="CNO41" s="19"/>
      <c r="CNX41" s="19"/>
      <c r="CNY41" s="19"/>
      <c r="CNZ41" s="19"/>
      <c r="COA41" s="19"/>
      <c r="COB41" s="21"/>
      <c r="COC41" s="19"/>
      <c r="COL41" s="19"/>
      <c r="COM41" s="19"/>
      <c r="CON41" s="19"/>
      <c r="COO41" s="19"/>
      <c r="COP41" s="21"/>
      <c r="COQ41" s="19"/>
      <c r="COZ41" s="19"/>
      <c r="CPA41" s="19"/>
      <c r="CPB41" s="19"/>
      <c r="CPC41" s="19"/>
      <c r="CPD41" s="21"/>
      <c r="CPE41" s="19"/>
      <c r="CPN41" s="19"/>
      <c r="CPO41" s="19"/>
      <c r="CPP41" s="19"/>
      <c r="CPQ41" s="19"/>
      <c r="CPR41" s="21"/>
      <c r="CPS41" s="19"/>
      <c r="CQB41" s="19"/>
      <c r="CQC41" s="19"/>
      <c r="CQD41" s="19"/>
      <c r="CQE41" s="19"/>
      <c r="CQF41" s="21"/>
      <c r="CQG41" s="19"/>
      <c r="CQP41" s="19"/>
      <c r="CQQ41" s="19"/>
      <c r="CQR41" s="19"/>
      <c r="CQS41" s="19"/>
      <c r="CQT41" s="21"/>
      <c r="CQU41" s="19"/>
      <c r="CRD41" s="19"/>
      <c r="CRE41" s="19"/>
      <c r="CRF41" s="19"/>
      <c r="CRG41" s="19"/>
      <c r="CRH41" s="21"/>
      <c r="CRI41" s="19"/>
      <c r="CRR41" s="19"/>
      <c r="CRS41" s="19"/>
      <c r="CRT41" s="19"/>
      <c r="CRU41" s="19"/>
      <c r="CRV41" s="21"/>
      <c r="CRW41" s="19"/>
      <c r="CSF41" s="19"/>
      <c r="CSG41" s="19"/>
      <c r="CSH41" s="19"/>
      <c r="CSI41" s="19"/>
      <c r="CSJ41" s="21"/>
      <c r="CSK41" s="19"/>
      <c r="CST41" s="19"/>
      <c r="CSU41" s="19"/>
      <c r="CSV41" s="19"/>
      <c r="CSW41" s="19"/>
      <c r="CSX41" s="21"/>
      <c r="CSY41" s="19"/>
      <c r="CTH41" s="19"/>
      <c r="CTI41" s="19"/>
      <c r="CTJ41" s="19"/>
      <c r="CTK41" s="19"/>
      <c r="CTL41" s="21"/>
      <c r="CTM41" s="19"/>
      <c r="CTV41" s="19"/>
      <c r="CTW41" s="19"/>
      <c r="CTX41" s="19"/>
      <c r="CTY41" s="19"/>
      <c r="CTZ41" s="21"/>
      <c r="CUA41" s="19"/>
      <c r="CUJ41" s="19"/>
      <c r="CUK41" s="19"/>
      <c r="CUL41" s="19"/>
      <c r="CUM41" s="19"/>
      <c r="CUN41" s="21"/>
      <c r="CUO41" s="19"/>
      <c r="CUX41" s="19"/>
      <c r="CUY41" s="19"/>
      <c r="CUZ41" s="19"/>
      <c r="CVA41" s="19"/>
      <c r="CVB41" s="21"/>
      <c r="CVC41" s="19"/>
      <c r="CVL41" s="19"/>
      <c r="CVM41" s="19"/>
      <c r="CVN41" s="19"/>
      <c r="CVO41" s="19"/>
      <c r="CVP41" s="21"/>
      <c r="CVQ41" s="19"/>
      <c r="CVZ41" s="19"/>
      <c r="CWA41" s="19"/>
      <c r="CWB41" s="19"/>
      <c r="CWC41" s="19"/>
      <c r="CWD41" s="21"/>
      <c r="CWE41" s="19"/>
      <c r="CWN41" s="19"/>
      <c r="CWO41" s="19"/>
      <c r="CWP41" s="19"/>
      <c r="CWQ41" s="19"/>
      <c r="CWR41" s="21"/>
      <c r="CWS41" s="19"/>
      <c r="CXB41" s="19"/>
      <c r="CXC41" s="19"/>
      <c r="CXD41" s="19"/>
      <c r="CXE41" s="19"/>
      <c r="CXF41" s="21"/>
      <c r="CXG41" s="19"/>
      <c r="CXP41" s="19"/>
      <c r="CXQ41" s="19"/>
      <c r="CXR41" s="19"/>
      <c r="CXS41" s="19"/>
      <c r="CXT41" s="21"/>
      <c r="CXU41" s="19"/>
      <c r="CYD41" s="19"/>
      <c r="CYE41" s="19"/>
      <c r="CYF41" s="19"/>
      <c r="CYG41" s="19"/>
      <c r="CYH41" s="21"/>
      <c r="CYI41" s="19"/>
      <c r="CYR41" s="19"/>
      <c r="CYS41" s="19"/>
      <c r="CYT41" s="19"/>
      <c r="CYU41" s="19"/>
      <c r="CYV41" s="21"/>
      <c r="CYW41" s="19"/>
      <c r="CZF41" s="19"/>
      <c r="CZG41" s="19"/>
      <c r="CZH41" s="19"/>
      <c r="CZI41" s="19"/>
      <c r="CZJ41" s="21"/>
      <c r="CZK41" s="19"/>
      <c r="CZT41" s="19"/>
      <c r="CZU41" s="19"/>
      <c r="CZV41" s="19"/>
      <c r="CZW41" s="19"/>
      <c r="CZX41" s="21"/>
      <c r="CZY41" s="19"/>
      <c r="DAH41" s="19"/>
      <c r="DAI41" s="19"/>
      <c r="DAJ41" s="19"/>
      <c r="DAK41" s="19"/>
      <c r="DAL41" s="21"/>
      <c r="DAM41" s="19"/>
      <c r="DAV41" s="19"/>
      <c r="DAW41" s="19"/>
      <c r="DAX41" s="19"/>
      <c r="DAY41" s="19"/>
      <c r="DAZ41" s="21"/>
      <c r="DBA41" s="19"/>
      <c r="DBJ41" s="19"/>
      <c r="DBK41" s="19"/>
      <c r="DBL41" s="19"/>
      <c r="DBM41" s="19"/>
      <c r="DBN41" s="21"/>
      <c r="DBO41" s="19"/>
      <c r="DBX41" s="19"/>
      <c r="DBY41" s="19"/>
      <c r="DBZ41" s="19"/>
      <c r="DCA41" s="19"/>
      <c r="DCB41" s="21"/>
      <c r="DCC41" s="19"/>
      <c r="DCL41" s="19"/>
      <c r="DCM41" s="19"/>
      <c r="DCN41" s="19"/>
      <c r="DCO41" s="19"/>
      <c r="DCP41" s="21"/>
      <c r="DCQ41" s="19"/>
      <c r="DCZ41" s="19"/>
      <c r="DDA41" s="19"/>
      <c r="DDB41" s="19"/>
      <c r="DDC41" s="19"/>
      <c r="DDD41" s="21"/>
      <c r="DDE41" s="19"/>
      <c r="DDN41" s="19"/>
      <c r="DDO41" s="19"/>
      <c r="DDP41" s="19"/>
      <c r="DDQ41" s="19"/>
      <c r="DDR41" s="21"/>
      <c r="DDS41" s="19"/>
      <c r="DEB41" s="19"/>
      <c r="DEC41" s="19"/>
      <c r="DED41" s="19"/>
      <c r="DEE41" s="19"/>
      <c r="DEF41" s="21"/>
      <c r="DEG41" s="19"/>
      <c r="DEP41" s="19"/>
      <c r="DEQ41" s="19"/>
      <c r="DER41" s="19"/>
      <c r="DES41" s="19"/>
      <c r="DET41" s="21"/>
      <c r="DEU41" s="19"/>
      <c r="DFD41" s="19"/>
      <c r="DFE41" s="19"/>
      <c r="DFF41" s="19"/>
      <c r="DFG41" s="19"/>
      <c r="DFH41" s="21"/>
      <c r="DFI41" s="19"/>
      <c r="DFR41" s="19"/>
      <c r="DFS41" s="19"/>
      <c r="DFT41" s="19"/>
      <c r="DFU41" s="19"/>
      <c r="DFV41" s="21"/>
      <c r="DFW41" s="19"/>
      <c r="DGF41" s="19"/>
      <c r="DGG41" s="19"/>
      <c r="DGH41" s="19"/>
      <c r="DGI41" s="19"/>
      <c r="DGJ41" s="21"/>
      <c r="DGK41" s="19"/>
      <c r="DGT41" s="19"/>
      <c r="DGU41" s="19"/>
      <c r="DGV41" s="19"/>
      <c r="DGW41" s="19"/>
      <c r="DGX41" s="21"/>
      <c r="DGY41" s="19"/>
      <c r="DHH41" s="19"/>
      <c r="DHI41" s="19"/>
      <c r="DHJ41" s="19"/>
      <c r="DHK41" s="19"/>
      <c r="DHL41" s="21"/>
      <c r="DHM41" s="19"/>
      <c r="DHV41" s="19"/>
      <c r="DHW41" s="19"/>
      <c r="DHX41" s="19"/>
      <c r="DHY41" s="19"/>
      <c r="DHZ41" s="21"/>
      <c r="DIA41" s="19"/>
      <c r="DIJ41" s="19"/>
      <c r="DIK41" s="19"/>
      <c r="DIL41" s="19"/>
      <c r="DIM41" s="19"/>
      <c r="DIN41" s="21"/>
      <c r="DIO41" s="19"/>
      <c r="DIX41" s="19"/>
      <c r="DIY41" s="19"/>
      <c r="DIZ41" s="19"/>
      <c r="DJA41" s="19"/>
      <c r="DJB41" s="21"/>
      <c r="DJC41" s="19"/>
      <c r="DJL41" s="19"/>
      <c r="DJM41" s="19"/>
      <c r="DJN41" s="19"/>
      <c r="DJO41" s="19"/>
      <c r="DJP41" s="21"/>
      <c r="DJQ41" s="19"/>
      <c r="DJZ41" s="19"/>
      <c r="DKA41" s="19"/>
      <c r="DKB41" s="19"/>
      <c r="DKC41" s="19"/>
      <c r="DKD41" s="21"/>
      <c r="DKE41" s="19"/>
      <c r="DKN41" s="19"/>
      <c r="DKO41" s="19"/>
      <c r="DKP41" s="19"/>
      <c r="DKQ41" s="19"/>
      <c r="DKR41" s="21"/>
      <c r="DKS41" s="19"/>
      <c r="DLB41" s="19"/>
      <c r="DLC41" s="19"/>
      <c r="DLD41" s="19"/>
      <c r="DLE41" s="19"/>
      <c r="DLF41" s="21"/>
      <c r="DLG41" s="19"/>
      <c r="DLP41" s="19"/>
      <c r="DLQ41" s="19"/>
      <c r="DLR41" s="19"/>
      <c r="DLS41" s="19"/>
      <c r="DLT41" s="21"/>
      <c r="DLU41" s="19"/>
      <c r="DMD41" s="19"/>
      <c r="DME41" s="19"/>
      <c r="DMF41" s="19"/>
      <c r="DMG41" s="19"/>
      <c r="DMH41" s="21"/>
      <c r="DMI41" s="19"/>
      <c r="DMR41" s="19"/>
      <c r="DMS41" s="19"/>
      <c r="DMT41" s="19"/>
      <c r="DMU41" s="19"/>
      <c r="DMV41" s="21"/>
      <c r="DMW41" s="19"/>
      <c r="DNF41" s="19"/>
      <c r="DNG41" s="19"/>
      <c r="DNH41" s="19"/>
      <c r="DNI41" s="19"/>
      <c r="DNJ41" s="21"/>
      <c r="DNK41" s="19"/>
      <c r="DNT41" s="19"/>
      <c r="DNU41" s="19"/>
      <c r="DNV41" s="19"/>
      <c r="DNW41" s="19"/>
      <c r="DNX41" s="21"/>
      <c r="DNY41" s="19"/>
      <c r="DOH41" s="19"/>
      <c r="DOI41" s="19"/>
      <c r="DOJ41" s="19"/>
      <c r="DOK41" s="19"/>
      <c r="DOL41" s="21"/>
      <c r="DOM41" s="19"/>
      <c r="DOV41" s="19"/>
      <c r="DOW41" s="19"/>
      <c r="DOX41" s="19"/>
      <c r="DOY41" s="19"/>
      <c r="DOZ41" s="21"/>
      <c r="DPA41" s="19"/>
      <c r="DPJ41" s="19"/>
      <c r="DPK41" s="19"/>
      <c r="DPL41" s="19"/>
      <c r="DPM41" s="19"/>
      <c r="DPN41" s="21"/>
      <c r="DPO41" s="19"/>
      <c r="DPX41" s="19"/>
      <c r="DPY41" s="19"/>
      <c r="DPZ41" s="19"/>
      <c r="DQA41" s="19"/>
      <c r="DQB41" s="21"/>
      <c r="DQC41" s="19"/>
      <c r="DQL41" s="19"/>
      <c r="DQM41" s="19"/>
      <c r="DQN41" s="19"/>
      <c r="DQO41" s="19"/>
      <c r="DQP41" s="21"/>
      <c r="DQQ41" s="19"/>
      <c r="DQZ41" s="19"/>
      <c r="DRA41" s="19"/>
      <c r="DRB41" s="19"/>
      <c r="DRC41" s="19"/>
      <c r="DRD41" s="21"/>
      <c r="DRE41" s="19"/>
      <c r="DRN41" s="19"/>
      <c r="DRO41" s="19"/>
      <c r="DRP41" s="19"/>
      <c r="DRQ41" s="19"/>
      <c r="DRR41" s="21"/>
      <c r="DRS41" s="19"/>
      <c r="DSB41" s="19"/>
      <c r="DSC41" s="19"/>
      <c r="DSD41" s="19"/>
      <c r="DSE41" s="19"/>
      <c r="DSF41" s="21"/>
      <c r="DSG41" s="19"/>
      <c r="DSP41" s="19"/>
      <c r="DSQ41" s="19"/>
      <c r="DSR41" s="19"/>
      <c r="DSS41" s="19"/>
      <c r="DST41" s="21"/>
      <c r="DSU41" s="19"/>
      <c r="DTD41" s="19"/>
      <c r="DTE41" s="19"/>
      <c r="DTF41" s="19"/>
      <c r="DTG41" s="19"/>
      <c r="DTH41" s="21"/>
      <c r="DTI41" s="19"/>
      <c r="DTR41" s="19"/>
      <c r="DTS41" s="19"/>
      <c r="DTT41" s="19"/>
      <c r="DTU41" s="19"/>
      <c r="DTV41" s="21"/>
      <c r="DTW41" s="19"/>
      <c r="DUF41" s="19"/>
      <c r="DUG41" s="19"/>
      <c r="DUH41" s="19"/>
      <c r="DUI41" s="19"/>
      <c r="DUJ41" s="21"/>
      <c r="DUK41" s="19"/>
      <c r="DUT41" s="19"/>
      <c r="DUU41" s="19"/>
      <c r="DUV41" s="19"/>
      <c r="DUW41" s="19"/>
      <c r="DUX41" s="21"/>
      <c r="DUY41" s="19"/>
      <c r="DVH41" s="19"/>
      <c r="DVI41" s="19"/>
      <c r="DVJ41" s="19"/>
      <c r="DVK41" s="19"/>
      <c r="DVL41" s="21"/>
      <c r="DVM41" s="19"/>
      <c r="DVV41" s="19"/>
      <c r="DVW41" s="19"/>
      <c r="DVX41" s="19"/>
      <c r="DVY41" s="19"/>
      <c r="DVZ41" s="21"/>
      <c r="DWA41" s="19"/>
      <c r="DWJ41" s="19"/>
      <c r="DWK41" s="19"/>
      <c r="DWL41" s="19"/>
      <c r="DWM41" s="19"/>
      <c r="DWN41" s="21"/>
      <c r="DWO41" s="19"/>
      <c r="DWX41" s="19"/>
      <c r="DWY41" s="19"/>
      <c r="DWZ41" s="19"/>
      <c r="DXA41" s="19"/>
      <c r="DXB41" s="21"/>
      <c r="DXC41" s="19"/>
      <c r="DXL41" s="19"/>
      <c r="DXM41" s="19"/>
      <c r="DXN41" s="19"/>
      <c r="DXO41" s="19"/>
      <c r="DXP41" s="21"/>
      <c r="DXQ41" s="19"/>
      <c r="DXZ41" s="19"/>
      <c r="DYA41" s="19"/>
      <c r="DYB41" s="19"/>
      <c r="DYC41" s="19"/>
      <c r="DYD41" s="21"/>
      <c r="DYE41" s="19"/>
      <c r="DYN41" s="19"/>
      <c r="DYO41" s="19"/>
      <c r="DYP41" s="19"/>
      <c r="DYQ41" s="19"/>
      <c r="DYR41" s="21"/>
      <c r="DYS41" s="19"/>
      <c r="DZB41" s="19"/>
      <c r="DZC41" s="19"/>
      <c r="DZD41" s="19"/>
      <c r="DZE41" s="19"/>
      <c r="DZF41" s="21"/>
      <c r="DZG41" s="19"/>
      <c r="DZP41" s="19"/>
      <c r="DZQ41" s="19"/>
      <c r="DZR41" s="19"/>
      <c r="DZS41" s="19"/>
      <c r="DZT41" s="21"/>
      <c r="DZU41" s="19"/>
      <c r="EAD41" s="19"/>
      <c r="EAE41" s="19"/>
      <c r="EAF41" s="19"/>
      <c r="EAG41" s="19"/>
      <c r="EAH41" s="21"/>
      <c r="EAI41" s="19"/>
      <c r="EAR41" s="19"/>
      <c r="EAS41" s="19"/>
      <c r="EAT41" s="19"/>
      <c r="EAU41" s="19"/>
      <c r="EAV41" s="21"/>
      <c r="EAW41" s="19"/>
      <c r="EBF41" s="19"/>
      <c r="EBG41" s="19"/>
      <c r="EBH41" s="19"/>
      <c r="EBI41" s="19"/>
      <c r="EBJ41" s="21"/>
      <c r="EBK41" s="19"/>
      <c r="EBT41" s="19"/>
      <c r="EBU41" s="19"/>
      <c r="EBV41" s="19"/>
      <c r="EBW41" s="19"/>
      <c r="EBX41" s="21"/>
      <c r="EBY41" s="19"/>
      <c r="ECH41" s="19"/>
      <c r="ECI41" s="19"/>
      <c r="ECJ41" s="19"/>
      <c r="ECK41" s="19"/>
      <c r="ECL41" s="21"/>
      <c r="ECM41" s="19"/>
      <c r="ECV41" s="19"/>
      <c r="ECW41" s="19"/>
      <c r="ECX41" s="19"/>
      <c r="ECY41" s="19"/>
      <c r="ECZ41" s="21"/>
      <c r="EDA41" s="19"/>
      <c r="EDJ41" s="19"/>
      <c r="EDK41" s="19"/>
      <c r="EDL41" s="19"/>
      <c r="EDM41" s="19"/>
      <c r="EDN41" s="21"/>
      <c r="EDO41" s="19"/>
      <c r="EDX41" s="19"/>
      <c r="EDY41" s="19"/>
      <c r="EDZ41" s="19"/>
      <c r="EEA41" s="19"/>
      <c r="EEB41" s="21"/>
      <c r="EEC41" s="19"/>
      <c r="EEL41" s="19"/>
      <c r="EEM41" s="19"/>
      <c r="EEN41" s="19"/>
      <c r="EEO41" s="19"/>
      <c r="EEP41" s="21"/>
      <c r="EEQ41" s="19"/>
      <c r="EEZ41" s="19"/>
      <c r="EFA41" s="19"/>
      <c r="EFB41" s="19"/>
      <c r="EFC41" s="19"/>
      <c r="EFD41" s="21"/>
      <c r="EFE41" s="19"/>
      <c r="EFN41" s="19"/>
      <c r="EFO41" s="19"/>
      <c r="EFP41" s="19"/>
      <c r="EFQ41" s="19"/>
      <c r="EFR41" s="21"/>
      <c r="EFS41" s="19"/>
      <c r="EGB41" s="19"/>
      <c r="EGC41" s="19"/>
      <c r="EGD41" s="19"/>
      <c r="EGE41" s="19"/>
      <c r="EGF41" s="21"/>
      <c r="EGG41" s="19"/>
      <c r="EGP41" s="19"/>
      <c r="EGQ41" s="19"/>
      <c r="EGR41" s="19"/>
      <c r="EGS41" s="19"/>
      <c r="EGT41" s="21"/>
      <c r="EGU41" s="19"/>
      <c r="EHD41" s="19"/>
      <c r="EHE41" s="19"/>
      <c r="EHF41" s="19"/>
      <c r="EHG41" s="19"/>
      <c r="EHH41" s="21"/>
      <c r="EHI41" s="19"/>
      <c r="EHR41" s="19"/>
      <c r="EHS41" s="19"/>
      <c r="EHT41" s="19"/>
      <c r="EHU41" s="19"/>
      <c r="EHV41" s="21"/>
      <c r="EHW41" s="19"/>
      <c r="EIF41" s="19"/>
      <c r="EIG41" s="19"/>
      <c r="EIH41" s="19"/>
      <c r="EII41" s="19"/>
      <c r="EIJ41" s="21"/>
      <c r="EIK41" s="19"/>
      <c r="EIT41" s="19"/>
      <c r="EIU41" s="19"/>
      <c r="EIV41" s="19"/>
      <c r="EIW41" s="19"/>
      <c r="EIX41" s="21"/>
      <c r="EIY41" s="19"/>
      <c r="EJH41" s="19"/>
      <c r="EJI41" s="19"/>
      <c r="EJJ41" s="19"/>
      <c r="EJK41" s="19"/>
      <c r="EJL41" s="21"/>
      <c r="EJM41" s="19"/>
      <c r="EJV41" s="19"/>
      <c r="EJW41" s="19"/>
      <c r="EJX41" s="19"/>
      <c r="EJY41" s="19"/>
      <c r="EJZ41" s="21"/>
      <c r="EKA41" s="19"/>
      <c r="EKJ41" s="19"/>
      <c r="EKK41" s="19"/>
      <c r="EKL41" s="19"/>
      <c r="EKM41" s="19"/>
      <c r="EKN41" s="21"/>
      <c r="EKO41" s="19"/>
      <c r="EKX41" s="19"/>
      <c r="EKY41" s="19"/>
      <c r="EKZ41" s="19"/>
      <c r="ELA41" s="19"/>
      <c r="ELB41" s="21"/>
      <c r="ELC41" s="19"/>
      <c r="ELL41" s="19"/>
      <c r="ELM41" s="19"/>
      <c r="ELN41" s="19"/>
      <c r="ELO41" s="19"/>
      <c r="ELP41" s="21"/>
      <c r="ELQ41" s="19"/>
      <c r="ELZ41" s="19"/>
      <c r="EMA41" s="19"/>
      <c r="EMB41" s="19"/>
      <c r="EMC41" s="19"/>
      <c r="EMD41" s="21"/>
      <c r="EME41" s="19"/>
      <c r="EMN41" s="19"/>
      <c r="EMO41" s="19"/>
      <c r="EMP41" s="19"/>
      <c r="EMQ41" s="19"/>
      <c r="EMR41" s="21"/>
      <c r="EMS41" s="19"/>
      <c r="ENB41" s="19"/>
      <c r="ENC41" s="19"/>
      <c r="END41" s="19"/>
      <c r="ENE41" s="19"/>
      <c r="ENF41" s="21"/>
      <c r="ENG41" s="19"/>
      <c r="ENP41" s="19"/>
      <c r="ENQ41" s="19"/>
      <c r="ENR41" s="19"/>
      <c r="ENS41" s="19"/>
      <c r="ENT41" s="21"/>
      <c r="ENU41" s="19"/>
      <c r="EOD41" s="19"/>
      <c r="EOE41" s="19"/>
      <c r="EOF41" s="19"/>
      <c r="EOG41" s="19"/>
      <c r="EOH41" s="21"/>
      <c r="EOI41" s="19"/>
      <c r="EOR41" s="19"/>
      <c r="EOS41" s="19"/>
      <c r="EOT41" s="19"/>
      <c r="EOU41" s="19"/>
      <c r="EOV41" s="21"/>
      <c r="EOW41" s="19"/>
      <c r="EPF41" s="19"/>
      <c r="EPG41" s="19"/>
      <c r="EPH41" s="19"/>
      <c r="EPI41" s="19"/>
      <c r="EPJ41" s="21"/>
      <c r="EPK41" s="19"/>
      <c r="EPT41" s="19"/>
      <c r="EPU41" s="19"/>
      <c r="EPV41" s="19"/>
      <c r="EPW41" s="19"/>
      <c r="EPX41" s="21"/>
      <c r="EPY41" s="19"/>
      <c r="EQH41" s="19"/>
      <c r="EQI41" s="19"/>
      <c r="EQJ41" s="19"/>
      <c r="EQK41" s="19"/>
      <c r="EQL41" s="21"/>
      <c r="EQM41" s="19"/>
      <c r="EQV41" s="19"/>
      <c r="EQW41" s="19"/>
      <c r="EQX41" s="19"/>
      <c r="EQY41" s="19"/>
      <c r="EQZ41" s="21"/>
      <c r="ERA41" s="19"/>
      <c r="ERJ41" s="19"/>
      <c r="ERK41" s="19"/>
      <c r="ERL41" s="19"/>
      <c r="ERM41" s="19"/>
      <c r="ERN41" s="21"/>
      <c r="ERO41" s="19"/>
      <c r="ERX41" s="19"/>
      <c r="ERY41" s="19"/>
      <c r="ERZ41" s="19"/>
      <c r="ESA41" s="19"/>
      <c r="ESB41" s="21"/>
      <c r="ESC41" s="19"/>
      <c r="ESL41" s="19"/>
      <c r="ESM41" s="19"/>
      <c r="ESN41" s="19"/>
      <c r="ESO41" s="19"/>
      <c r="ESP41" s="21"/>
      <c r="ESQ41" s="19"/>
      <c r="ESZ41" s="19"/>
      <c r="ETA41" s="19"/>
      <c r="ETB41" s="19"/>
      <c r="ETC41" s="19"/>
      <c r="ETD41" s="21"/>
      <c r="ETE41" s="19"/>
      <c r="ETN41" s="19"/>
      <c r="ETO41" s="19"/>
      <c r="ETP41" s="19"/>
      <c r="ETQ41" s="19"/>
      <c r="ETR41" s="21"/>
      <c r="ETS41" s="19"/>
      <c r="EUB41" s="19"/>
      <c r="EUC41" s="19"/>
      <c r="EUD41" s="19"/>
      <c r="EUE41" s="19"/>
      <c r="EUF41" s="21"/>
      <c r="EUG41" s="19"/>
      <c r="EUP41" s="19"/>
      <c r="EUQ41" s="19"/>
      <c r="EUR41" s="19"/>
      <c r="EUS41" s="19"/>
      <c r="EUT41" s="21"/>
      <c r="EUU41" s="19"/>
      <c r="EVD41" s="19"/>
      <c r="EVE41" s="19"/>
      <c r="EVF41" s="19"/>
      <c r="EVG41" s="19"/>
      <c r="EVH41" s="21"/>
      <c r="EVI41" s="19"/>
      <c r="EVR41" s="19"/>
      <c r="EVS41" s="19"/>
      <c r="EVT41" s="19"/>
      <c r="EVU41" s="19"/>
      <c r="EVV41" s="21"/>
      <c r="EVW41" s="19"/>
      <c r="EWF41" s="19"/>
      <c r="EWG41" s="19"/>
      <c r="EWH41" s="19"/>
      <c r="EWI41" s="19"/>
      <c r="EWJ41" s="21"/>
      <c r="EWK41" s="19"/>
      <c r="EWT41" s="19"/>
      <c r="EWU41" s="19"/>
      <c r="EWV41" s="19"/>
      <c r="EWW41" s="19"/>
      <c r="EWX41" s="21"/>
      <c r="EWY41" s="19"/>
      <c r="EXH41" s="19"/>
      <c r="EXI41" s="19"/>
      <c r="EXJ41" s="19"/>
      <c r="EXK41" s="19"/>
      <c r="EXL41" s="21"/>
      <c r="EXM41" s="19"/>
      <c r="EXV41" s="19"/>
      <c r="EXW41" s="19"/>
      <c r="EXX41" s="19"/>
      <c r="EXY41" s="19"/>
      <c r="EXZ41" s="21"/>
      <c r="EYA41" s="19"/>
      <c r="EYJ41" s="19"/>
      <c r="EYK41" s="19"/>
      <c r="EYL41" s="19"/>
      <c r="EYM41" s="19"/>
      <c r="EYN41" s="21"/>
      <c r="EYO41" s="19"/>
      <c r="EYX41" s="19"/>
      <c r="EYY41" s="19"/>
      <c r="EYZ41" s="19"/>
      <c r="EZA41" s="19"/>
      <c r="EZB41" s="21"/>
      <c r="EZC41" s="19"/>
      <c r="EZL41" s="19"/>
      <c r="EZM41" s="19"/>
      <c r="EZN41" s="19"/>
      <c r="EZO41" s="19"/>
      <c r="EZP41" s="21"/>
      <c r="EZQ41" s="19"/>
      <c r="EZZ41" s="19"/>
      <c r="FAA41" s="19"/>
      <c r="FAB41" s="19"/>
      <c r="FAC41" s="19"/>
      <c r="FAD41" s="21"/>
      <c r="FAE41" s="19"/>
      <c r="FAN41" s="19"/>
      <c r="FAO41" s="19"/>
      <c r="FAP41" s="19"/>
      <c r="FAQ41" s="19"/>
      <c r="FAR41" s="21"/>
      <c r="FAS41" s="19"/>
      <c r="FBB41" s="19"/>
      <c r="FBC41" s="19"/>
      <c r="FBD41" s="19"/>
      <c r="FBE41" s="19"/>
      <c r="FBF41" s="21"/>
      <c r="FBG41" s="19"/>
      <c r="FBP41" s="19"/>
      <c r="FBQ41" s="19"/>
      <c r="FBR41" s="19"/>
      <c r="FBS41" s="19"/>
      <c r="FBT41" s="21"/>
      <c r="FBU41" s="19"/>
      <c r="FCD41" s="19"/>
      <c r="FCE41" s="19"/>
      <c r="FCF41" s="19"/>
      <c r="FCG41" s="19"/>
      <c r="FCH41" s="21"/>
      <c r="FCI41" s="19"/>
      <c r="FCR41" s="19"/>
      <c r="FCS41" s="19"/>
      <c r="FCT41" s="19"/>
      <c r="FCU41" s="19"/>
      <c r="FCV41" s="21"/>
      <c r="FCW41" s="19"/>
      <c r="FDF41" s="19"/>
      <c r="FDG41" s="19"/>
      <c r="FDH41" s="19"/>
      <c r="FDI41" s="19"/>
      <c r="FDJ41" s="21"/>
      <c r="FDK41" s="19"/>
      <c r="FDT41" s="19"/>
      <c r="FDU41" s="19"/>
      <c r="FDV41" s="19"/>
      <c r="FDW41" s="19"/>
      <c r="FDX41" s="21"/>
      <c r="FDY41" s="19"/>
      <c r="FEH41" s="19"/>
      <c r="FEI41" s="19"/>
      <c r="FEJ41" s="19"/>
      <c r="FEK41" s="19"/>
      <c r="FEL41" s="21"/>
      <c r="FEM41" s="19"/>
      <c r="FEV41" s="19"/>
      <c r="FEW41" s="19"/>
      <c r="FEX41" s="19"/>
      <c r="FEY41" s="19"/>
      <c r="FEZ41" s="21"/>
      <c r="FFA41" s="19"/>
      <c r="FFJ41" s="19"/>
      <c r="FFK41" s="19"/>
      <c r="FFL41" s="19"/>
      <c r="FFM41" s="19"/>
      <c r="FFN41" s="21"/>
      <c r="FFO41" s="19"/>
      <c r="FFX41" s="19"/>
      <c r="FFY41" s="19"/>
      <c r="FFZ41" s="19"/>
      <c r="FGA41" s="19"/>
      <c r="FGB41" s="21"/>
      <c r="FGC41" s="19"/>
      <c r="FGL41" s="19"/>
      <c r="FGM41" s="19"/>
      <c r="FGN41" s="19"/>
      <c r="FGO41" s="19"/>
      <c r="FGP41" s="21"/>
      <c r="FGQ41" s="19"/>
      <c r="FGZ41" s="19"/>
      <c r="FHA41" s="19"/>
      <c r="FHB41" s="19"/>
      <c r="FHC41" s="19"/>
      <c r="FHD41" s="21"/>
      <c r="FHE41" s="19"/>
      <c r="FHN41" s="19"/>
      <c r="FHO41" s="19"/>
      <c r="FHP41" s="19"/>
      <c r="FHQ41" s="19"/>
      <c r="FHR41" s="21"/>
      <c r="FHS41" s="19"/>
      <c r="FIB41" s="19"/>
      <c r="FIC41" s="19"/>
      <c r="FID41" s="19"/>
      <c r="FIE41" s="19"/>
      <c r="FIF41" s="21"/>
      <c r="FIG41" s="19"/>
      <c r="FIP41" s="19"/>
      <c r="FIQ41" s="19"/>
      <c r="FIR41" s="19"/>
      <c r="FIS41" s="19"/>
      <c r="FIT41" s="21"/>
      <c r="FIU41" s="19"/>
      <c r="FJD41" s="19"/>
      <c r="FJE41" s="19"/>
      <c r="FJF41" s="19"/>
      <c r="FJG41" s="19"/>
      <c r="FJH41" s="21"/>
      <c r="FJI41" s="19"/>
      <c r="FJR41" s="19"/>
      <c r="FJS41" s="19"/>
      <c r="FJT41" s="19"/>
      <c r="FJU41" s="19"/>
      <c r="FJV41" s="21"/>
      <c r="FJW41" s="19"/>
      <c r="FKF41" s="19"/>
      <c r="FKG41" s="19"/>
      <c r="FKH41" s="19"/>
      <c r="FKI41" s="19"/>
      <c r="FKJ41" s="21"/>
      <c r="FKK41" s="19"/>
      <c r="FKT41" s="19"/>
      <c r="FKU41" s="19"/>
      <c r="FKV41" s="19"/>
      <c r="FKW41" s="19"/>
      <c r="FKX41" s="21"/>
      <c r="FKY41" s="19"/>
      <c r="FLH41" s="19"/>
      <c r="FLI41" s="19"/>
      <c r="FLJ41" s="19"/>
      <c r="FLK41" s="19"/>
      <c r="FLL41" s="21"/>
      <c r="FLM41" s="19"/>
      <c r="FLV41" s="19"/>
      <c r="FLW41" s="19"/>
      <c r="FLX41" s="19"/>
      <c r="FLY41" s="19"/>
      <c r="FLZ41" s="21"/>
      <c r="FMA41" s="19"/>
      <c r="FMJ41" s="19"/>
      <c r="FMK41" s="19"/>
      <c r="FML41" s="19"/>
      <c r="FMM41" s="19"/>
      <c r="FMN41" s="21"/>
      <c r="FMO41" s="19"/>
      <c r="FMX41" s="19"/>
      <c r="FMY41" s="19"/>
      <c r="FMZ41" s="19"/>
      <c r="FNA41" s="19"/>
      <c r="FNB41" s="21"/>
      <c r="FNC41" s="19"/>
      <c r="FNL41" s="19"/>
      <c r="FNM41" s="19"/>
      <c r="FNN41" s="19"/>
      <c r="FNO41" s="19"/>
      <c r="FNP41" s="21"/>
      <c r="FNQ41" s="19"/>
      <c r="FNZ41" s="19"/>
      <c r="FOA41" s="19"/>
      <c r="FOB41" s="19"/>
      <c r="FOC41" s="19"/>
      <c r="FOD41" s="21"/>
      <c r="FOE41" s="19"/>
      <c r="FON41" s="19"/>
      <c r="FOO41" s="19"/>
      <c r="FOP41" s="19"/>
      <c r="FOQ41" s="19"/>
      <c r="FOR41" s="21"/>
      <c r="FOS41" s="19"/>
      <c r="FPB41" s="19"/>
      <c r="FPC41" s="19"/>
      <c r="FPD41" s="19"/>
      <c r="FPE41" s="19"/>
      <c r="FPF41" s="21"/>
      <c r="FPG41" s="19"/>
      <c r="FPP41" s="19"/>
      <c r="FPQ41" s="19"/>
      <c r="FPR41" s="19"/>
      <c r="FPS41" s="19"/>
      <c r="FPT41" s="21"/>
      <c r="FPU41" s="19"/>
      <c r="FQD41" s="19"/>
      <c r="FQE41" s="19"/>
      <c r="FQF41" s="19"/>
      <c r="FQG41" s="19"/>
      <c r="FQH41" s="21"/>
      <c r="FQI41" s="19"/>
      <c r="FQR41" s="19"/>
      <c r="FQS41" s="19"/>
      <c r="FQT41" s="19"/>
      <c r="FQU41" s="19"/>
      <c r="FQV41" s="21"/>
      <c r="FQW41" s="19"/>
      <c r="FRF41" s="19"/>
      <c r="FRG41" s="19"/>
      <c r="FRH41" s="19"/>
      <c r="FRI41" s="19"/>
      <c r="FRJ41" s="21"/>
      <c r="FRK41" s="19"/>
      <c r="FRT41" s="19"/>
      <c r="FRU41" s="19"/>
      <c r="FRV41" s="19"/>
      <c r="FRW41" s="19"/>
      <c r="FRX41" s="21"/>
      <c r="FRY41" s="19"/>
      <c r="FSH41" s="19"/>
      <c r="FSI41" s="19"/>
      <c r="FSJ41" s="19"/>
      <c r="FSK41" s="19"/>
      <c r="FSL41" s="21"/>
      <c r="FSM41" s="19"/>
      <c r="FSV41" s="19"/>
      <c r="FSW41" s="19"/>
      <c r="FSX41" s="19"/>
      <c r="FSY41" s="19"/>
      <c r="FSZ41" s="21"/>
      <c r="FTA41" s="19"/>
      <c r="FTJ41" s="19"/>
      <c r="FTK41" s="19"/>
      <c r="FTL41" s="19"/>
      <c r="FTM41" s="19"/>
      <c r="FTN41" s="21"/>
      <c r="FTO41" s="19"/>
      <c r="FTX41" s="19"/>
      <c r="FTY41" s="19"/>
      <c r="FTZ41" s="19"/>
      <c r="FUA41" s="19"/>
      <c r="FUB41" s="21"/>
      <c r="FUC41" s="19"/>
      <c r="FUL41" s="19"/>
      <c r="FUM41" s="19"/>
      <c r="FUN41" s="19"/>
      <c r="FUO41" s="19"/>
      <c r="FUP41" s="21"/>
      <c r="FUQ41" s="19"/>
      <c r="FUZ41" s="19"/>
      <c r="FVA41" s="19"/>
      <c r="FVB41" s="19"/>
      <c r="FVC41" s="19"/>
      <c r="FVD41" s="21"/>
      <c r="FVE41" s="19"/>
      <c r="FVN41" s="19"/>
      <c r="FVO41" s="19"/>
      <c r="FVP41" s="19"/>
      <c r="FVQ41" s="19"/>
      <c r="FVR41" s="21"/>
      <c r="FVS41" s="19"/>
      <c r="FWB41" s="19"/>
      <c r="FWC41" s="19"/>
      <c r="FWD41" s="19"/>
      <c r="FWE41" s="19"/>
      <c r="FWF41" s="21"/>
      <c r="FWG41" s="19"/>
      <c r="FWP41" s="19"/>
      <c r="FWQ41" s="19"/>
      <c r="FWR41" s="19"/>
      <c r="FWS41" s="19"/>
      <c r="FWT41" s="21"/>
      <c r="FWU41" s="19"/>
      <c r="FXD41" s="19"/>
      <c r="FXE41" s="19"/>
      <c r="FXF41" s="19"/>
      <c r="FXG41" s="19"/>
      <c r="FXH41" s="21"/>
      <c r="FXI41" s="19"/>
      <c r="FXR41" s="19"/>
      <c r="FXS41" s="19"/>
      <c r="FXT41" s="19"/>
      <c r="FXU41" s="19"/>
      <c r="FXV41" s="21"/>
      <c r="FXW41" s="19"/>
      <c r="FYF41" s="19"/>
      <c r="FYG41" s="19"/>
      <c r="FYH41" s="19"/>
      <c r="FYI41" s="19"/>
      <c r="FYJ41" s="21"/>
      <c r="FYK41" s="19"/>
      <c r="FYT41" s="19"/>
      <c r="FYU41" s="19"/>
      <c r="FYV41" s="19"/>
      <c r="FYW41" s="19"/>
      <c r="FYX41" s="21"/>
      <c r="FYY41" s="19"/>
      <c r="FZH41" s="19"/>
      <c r="FZI41" s="19"/>
      <c r="FZJ41" s="19"/>
      <c r="FZK41" s="19"/>
      <c r="FZL41" s="21"/>
      <c r="FZM41" s="19"/>
      <c r="FZV41" s="19"/>
      <c r="FZW41" s="19"/>
      <c r="FZX41" s="19"/>
      <c r="FZY41" s="19"/>
      <c r="FZZ41" s="21"/>
      <c r="GAA41" s="19"/>
      <c r="GAJ41" s="19"/>
      <c r="GAK41" s="19"/>
      <c r="GAL41" s="19"/>
      <c r="GAM41" s="19"/>
      <c r="GAN41" s="21"/>
      <c r="GAO41" s="19"/>
      <c r="GAX41" s="19"/>
      <c r="GAY41" s="19"/>
      <c r="GAZ41" s="19"/>
      <c r="GBA41" s="19"/>
      <c r="GBB41" s="21"/>
      <c r="GBC41" s="19"/>
      <c r="GBL41" s="19"/>
      <c r="GBM41" s="19"/>
      <c r="GBN41" s="19"/>
      <c r="GBO41" s="19"/>
      <c r="GBP41" s="21"/>
      <c r="GBQ41" s="19"/>
      <c r="GBZ41" s="19"/>
      <c r="GCA41" s="19"/>
      <c r="GCB41" s="19"/>
      <c r="GCC41" s="19"/>
      <c r="GCD41" s="21"/>
      <c r="GCE41" s="19"/>
      <c r="GCN41" s="19"/>
      <c r="GCO41" s="19"/>
      <c r="GCP41" s="19"/>
      <c r="GCQ41" s="19"/>
      <c r="GCR41" s="21"/>
      <c r="GCS41" s="19"/>
      <c r="GDB41" s="19"/>
      <c r="GDC41" s="19"/>
      <c r="GDD41" s="19"/>
      <c r="GDE41" s="19"/>
      <c r="GDF41" s="21"/>
      <c r="GDG41" s="19"/>
      <c r="GDP41" s="19"/>
      <c r="GDQ41" s="19"/>
      <c r="GDR41" s="19"/>
      <c r="GDS41" s="19"/>
      <c r="GDT41" s="21"/>
      <c r="GDU41" s="19"/>
      <c r="GED41" s="19"/>
      <c r="GEE41" s="19"/>
      <c r="GEF41" s="19"/>
      <c r="GEG41" s="19"/>
      <c r="GEH41" s="21"/>
      <c r="GEI41" s="19"/>
      <c r="GER41" s="19"/>
      <c r="GES41" s="19"/>
      <c r="GET41" s="19"/>
      <c r="GEU41" s="19"/>
      <c r="GEV41" s="21"/>
      <c r="GEW41" s="19"/>
      <c r="GFF41" s="19"/>
      <c r="GFG41" s="19"/>
      <c r="GFH41" s="19"/>
      <c r="GFI41" s="19"/>
      <c r="GFJ41" s="21"/>
      <c r="GFK41" s="19"/>
      <c r="GFT41" s="19"/>
      <c r="GFU41" s="19"/>
      <c r="GFV41" s="19"/>
      <c r="GFW41" s="19"/>
      <c r="GFX41" s="21"/>
      <c r="GFY41" s="19"/>
      <c r="GGH41" s="19"/>
      <c r="GGI41" s="19"/>
      <c r="GGJ41" s="19"/>
      <c r="GGK41" s="19"/>
      <c r="GGL41" s="21"/>
      <c r="GGM41" s="19"/>
      <c r="GGV41" s="19"/>
      <c r="GGW41" s="19"/>
      <c r="GGX41" s="19"/>
      <c r="GGY41" s="19"/>
      <c r="GGZ41" s="21"/>
      <c r="GHA41" s="19"/>
      <c r="GHJ41" s="19"/>
      <c r="GHK41" s="19"/>
      <c r="GHL41" s="19"/>
      <c r="GHM41" s="19"/>
      <c r="GHN41" s="21"/>
      <c r="GHO41" s="19"/>
      <c r="GHX41" s="19"/>
      <c r="GHY41" s="19"/>
      <c r="GHZ41" s="19"/>
      <c r="GIA41" s="19"/>
      <c r="GIB41" s="21"/>
      <c r="GIC41" s="19"/>
      <c r="GIL41" s="19"/>
      <c r="GIM41" s="19"/>
      <c r="GIN41" s="19"/>
      <c r="GIO41" s="19"/>
      <c r="GIP41" s="21"/>
      <c r="GIQ41" s="19"/>
      <c r="GIZ41" s="19"/>
      <c r="GJA41" s="19"/>
      <c r="GJB41" s="19"/>
      <c r="GJC41" s="19"/>
      <c r="GJD41" s="21"/>
      <c r="GJE41" s="19"/>
      <c r="GJN41" s="19"/>
      <c r="GJO41" s="19"/>
      <c r="GJP41" s="19"/>
      <c r="GJQ41" s="19"/>
      <c r="GJR41" s="21"/>
      <c r="GJS41" s="19"/>
      <c r="GKB41" s="19"/>
      <c r="GKC41" s="19"/>
      <c r="GKD41" s="19"/>
      <c r="GKE41" s="19"/>
      <c r="GKF41" s="21"/>
      <c r="GKG41" s="19"/>
      <c r="GKP41" s="19"/>
      <c r="GKQ41" s="19"/>
      <c r="GKR41" s="19"/>
      <c r="GKS41" s="19"/>
      <c r="GKT41" s="21"/>
      <c r="GKU41" s="19"/>
      <c r="GLD41" s="19"/>
      <c r="GLE41" s="19"/>
      <c r="GLF41" s="19"/>
      <c r="GLG41" s="19"/>
      <c r="GLH41" s="21"/>
      <c r="GLI41" s="19"/>
      <c r="GLR41" s="19"/>
      <c r="GLS41" s="19"/>
      <c r="GLT41" s="19"/>
      <c r="GLU41" s="19"/>
      <c r="GLV41" s="21"/>
      <c r="GLW41" s="19"/>
      <c r="GMF41" s="19"/>
      <c r="GMG41" s="19"/>
      <c r="GMH41" s="19"/>
      <c r="GMI41" s="19"/>
      <c r="GMJ41" s="21"/>
      <c r="GMK41" s="19"/>
      <c r="GMT41" s="19"/>
      <c r="GMU41" s="19"/>
      <c r="GMV41" s="19"/>
      <c r="GMW41" s="19"/>
      <c r="GMX41" s="21"/>
      <c r="GMY41" s="19"/>
      <c r="GNH41" s="19"/>
      <c r="GNI41" s="19"/>
      <c r="GNJ41" s="19"/>
      <c r="GNK41" s="19"/>
      <c r="GNL41" s="21"/>
      <c r="GNM41" s="19"/>
      <c r="GNV41" s="19"/>
      <c r="GNW41" s="19"/>
      <c r="GNX41" s="19"/>
      <c r="GNY41" s="19"/>
      <c r="GNZ41" s="21"/>
      <c r="GOA41" s="19"/>
      <c r="GOJ41" s="19"/>
      <c r="GOK41" s="19"/>
      <c r="GOL41" s="19"/>
      <c r="GOM41" s="19"/>
      <c r="GON41" s="21"/>
      <c r="GOO41" s="19"/>
      <c r="GOX41" s="19"/>
      <c r="GOY41" s="19"/>
      <c r="GOZ41" s="19"/>
      <c r="GPA41" s="19"/>
      <c r="GPB41" s="21"/>
      <c r="GPC41" s="19"/>
      <c r="GPL41" s="19"/>
      <c r="GPM41" s="19"/>
      <c r="GPN41" s="19"/>
      <c r="GPO41" s="19"/>
      <c r="GPP41" s="21"/>
      <c r="GPQ41" s="19"/>
      <c r="GPZ41" s="19"/>
      <c r="GQA41" s="19"/>
      <c r="GQB41" s="19"/>
      <c r="GQC41" s="19"/>
      <c r="GQD41" s="21"/>
      <c r="GQE41" s="19"/>
      <c r="GQN41" s="19"/>
      <c r="GQO41" s="19"/>
      <c r="GQP41" s="19"/>
      <c r="GQQ41" s="19"/>
      <c r="GQR41" s="21"/>
      <c r="GQS41" s="19"/>
      <c r="GRB41" s="19"/>
      <c r="GRC41" s="19"/>
      <c r="GRD41" s="19"/>
      <c r="GRE41" s="19"/>
      <c r="GRF41" s="21"/>
      <c r="GRG41" s="19"/>
      <c r="GRP41" s="19"/>
      <c r="GRQ41" s="19"/>
      <c r="GRR41" s="19"/>
      <c r="GRS41" s="19"/>
      <c r="GRT41" s="21"/>
      <c r="GRU41" s="19"/>
      <c r="GSD41" s="19"/>
      <c r="GSE41" s="19"/>
      <c r="GSF41" s="19"/>
      <c r="GSG41" s="19"/>
      <c r="GSH41" s="21"/>
      <c r="GSI41" s="19"/>
      <c r="GSR41" s="19"/>
      <c r="GSS41" s="19"/>
      <c r="GST41" s="19"/>
      <c r="GSU41" s="19"/>
      <c r="GSV41" s="21"/>
      <c r="GSW41" s="19"/>
      <c r="GTF41" s="19"/>
      <c r="GTG41" s="19"/>
      <c r="GTH41" s="19"/>
      <c r="GTI41" s="19"/>
      <c r="GTJ41" s="21"/>
      <c r="GTK41" s="19"/>
      <c r="GTT41" s="19"/>
      <c r="GTU41" s="19"/>
      <c r="GTV41" s="19"/>
      <c r="GTW41" s="19"/>
      <c r="GTX41" s="21"/>
      <c r="GTY41" s="19"/>
      <c r="GUH41" s="19"/>
      <c r="GUI41" s="19"/>
      <c r="GUJ41" s="19"/>
      <c r="GUK41" s="19"/>
      <c r="GUL41" s="21"/>
      <c r="GUM41" s="19"/>
      <c r="GUV41" s="19"/>
      <c r="GUW41" s="19"/>
      <c r="GUX41" s="19"/>
      <c r="GUY41" s="19"/>
      <c r="GUZ41" s="21"/>
      <c r="GVA41" s="19"/>
      <c r="GVJ41" s="19"/>
      <c r="GVK41" s="19"/>
      <c r="GVL41" s="19"/>
      <c r="GVM41" s="19"/>
      <c r="GVN41" s="21"/>
      <c r="GVO41" s="19"/>
      <c r="GVX41" s="19"/>
      <c r="GVY41" s="19"/>
      <c r="GVZ41" s="19"/>
      <c r="GWA41" s="19"/>
      <c r="GWB41" s="21"/>
      <c r="GWC41" s="19"/>
      <c r="GWL41" s="19"/>
      <c r="GWM41" s="19"/>
      <c r="GWN41" s="19"/>
      <c r="GWO41" s="19"/>
      <c r="GWP41" s="21"/>
      <c r="GWQ41" s="19"/>
      <c r="GWZ41" s="19"/>
      <c r="GXA41" s="19"/>
      <c r="GXB41" s="19"/>
      <c r="GXC41" s="19"/>
      <c r="GXD41" s="21"/>
      <c r="GXE41" s="19"/>
      <c r="GXN41" s="19"/>
      <c r="GXO41" s="19"/>
      <c r="GXP41" s="19"/>
      <c r="GXQ41" s="19"/>
      <c r="GXR41" s="21"/>
      <c r="GXS41" s="19"/>
      <c r="GYB41" s="19"/>
      <c r="GYC41" s="19"/>
      <c r="GYD41" s="19"/>
      <c r="GYE41" s="19"/>
      <c r="GYF41" s="21"/>
      <c r="GYG41" s="19"/>
      <c r="GYP41" s="19"/>
      <c r="GYQ41" s="19"/>
      <c r="GYR41" s="19"/>
      <c r="GYS41" s="19"/>
      <c r="GYT41" s="21"/>
      <c r="GYU41" s="19"/>
      <c r="GZD41" s="19"/>
      <c r="GZE41" s="19"/>
      <c r="GZF41" s="19"/>
      <c r="GZG41" s="19"/>
      <c r="GZH41" s="21"/>
      <c r="GZI41" s="19"/>
      <c r="GZR41" s="19"/>
      <c r="GZS41" s="19"/>
      <c r="GZT41" s="19"/>
      <c r="GZU41" s="19"/>
      <c r="GZV41" s="21"/>
      <c r="GZW41" s="19"/>
      <c r="HAF41" s="19"/>
      <c r="HAG41" s="19"/>
      <c r="HAH41" s="19"/>
      <c r="HAI41" s="19"/>
      <c r="HAJ41" s="21"/>
      <c r="HAK41" s="19"/>
      <c r="HAT41" s="19"/>
      <c r="HAU41" s="19"/>
      <c r="HAV41" s="19"/>
      <c r="HAW41" s="19"/>
      <c r="HAX41" s="21"/>
      <c r="HAY41" s="19"/>
      <c r="HBH41" s="19"/>
      <c r="HBI41" s="19"/>
      <c r="HBJ41" s="19"/>
      <c r="HBK41" s="19"/>
      <c r="HBL41" s="21"/>
      <c r="HBM41" s="19"/>
      <c r="HBV41" s="19"/>
      <c r="HBW41" s="19"/>
      <c r="HBX41" s="19"/>
      <c r="HBY41" s="19"/>
      <c r="HBZ41" s="21"/>
      <c r="HCA41" s="19"/>
      <c r="HCJ41" s="19"/>
      <c r="HCK41" s="19"/>
      <c r="HCL41" s="19"/>
      <c r="HCM41" s="19"/>
      <c r="HCN41" s="21"/>
      <c r="HCO41" s="19"/>
      <c r="HCX41" s="19"/>
      <c r="HCY41" s="19"/>
      <c r="HCZ41" s="19"/>
      <c r="HDA41" s="19"/>
      <c r="HDB41" s="21"/>
      <c r="HDC41" s="19"/>
      <c r="HDL41" s="19"/>
      <c r="HDM41" s="19"/>
      <c r="HDN41" s="19"/>
      <c r="HDO41" s="19"/>
      <c r="HDP41" s="21"/>
      <c r="HDQ41" s="19"/>
      <c r="HDZ41" s="19"/>
      <c r="HEA41" s="19"/>
      <c r="HEB41" s="19"/>
      <c r="HEC41" s="19"/>
      <c r="HED41" s="21"/>
      <c r="HEE41" s="19"/>
      <c r="HEN41" s="19"/>
      <c r="HEO41" s="19"/>
      <c r="HEP41" s="19"/>
      <c r="HEQ41" s="19"/>
      <c r="HER41" s="21"/>
      <c r="HES41" s="19"/>
      <c r="HFB41" s="19"/>
      <c r="HFC41" s="19"/>
      <c r="HFD41" s="19"/>
      <c r="HFE41" s="19"/>
      <c r="HFF41" s="21"/>
      <c r="HFG41" s="19"/>
      <c r="HFP41" s="19"/>
      <c r="HFQ41" s="19"/>
      <c r="HFR41" s="19"/>
      <c r="HFS41" s="19"/>
      <c r="HFT41" s="21"/>
      <c r="HFU41" s="19"/>
      <c r="HGD41" s="19"/>
      <c r="HGE41" s="19"/>
      <c r="HGF41" s="19"/>
      <c r="HGG41" s="19"/>
      <c r="HGH41" s="21"/>
      <c r="HGI41" s="19"/>
      <c r="HGR41" s="19"/>
      <c r="HGS41" s="19"/>
      <c r="HGT41" s="19"/>
      <c r="HGU41" s="19"/>
      <c r="HGV41" s="21"/>
      <c r="HGW41" s="19"/>
      <c r="HHF41" s="19"/>
      <c r="HHG41" s="19"/>
      <c r="HHH41" s="19"/>
      <c r="HHI41" s="19"/>
      <c r="HHJ41" s="21"/>
      <c r="HHK41" s="19"/>
      <c r="HHT41" s="19"/>
      <c r="HHU41" s="19"/>
      <c r="HHV41" s="19"/>
      <c r="HHW41" s="19"/>
      <c r="HHX41" s="21"/>
      <c r="HHY41" s="19"/>
      <c r="HIH41" s="19"/>
      <c r="HII41" s="19"/>
      <c r="HIJ41" s="19"/>
      <c r="HIK41" s="19"/>
      <c r="HIL41" s="21"/>
      <c r="HIM41" s="19"/>
      <c r="HIV41" s="19"/>
      <c r="HIW41" s="19"/>
      <c r="HIX41" s="19"/>
      <c r="HIY41" s="19"/>
      <c r="HIZ41" s="21"/>
      <c r="HJA41" s="19"/>
      <c r="HJJ41" s="19"/>
      <c r="HJK41" s="19"/>
      <c r="HJL41" s="19"/>
      <c r="HJM41" s="19"/>
      <c r="HJN41" s="21"/>
      <c r="HJO41" s="19"/>
      <c r="HJX41" s="19"/>
      <c r="HJY41" s="19"/>
      <c r="HJZ41" s="19"/>
      <c r="HKA41" s="19"/>
      <c r="HKB41" s="21"/>
      <c r="HKC41" s="19"/>
      <c r="HKL41" s="19"/>
      <c r="HKM41" s="19"/>
      <c r="HKN41" s="19"/>
      <c r="HKO41" s="19"/>
      <c r="HKP41" s="21"/>
      <c r="HKQ41" s="19"/>
      <c r="HKZ41" s="19"/>
      <c r="HLA41" s="19"/>
      <c r="HLB41" s="19"/>
      <c r="HLC41" s="19"/>
      <c r="HLD41" s="21"/>
      <c r="HLE41" s="19"/>
      <c r="HLN41" s="19"/>
      <c r="HLO41" s="19"/>
      <c r="HLP41" s="19"/>
      <c r="HLQ41" s="19"/>
      <c r="HLR41" s="21"/>
      <c r="HLS41" s="19"/>
      <c r="HMB41" s="19"/>
      <c r="HMC41" s="19"/>
      <c r="HMD41" s="19"/>
      <c r="HME41" s="19"/>
      <c r="HMF41" s="21"/>
      <c r="HMG41" s="19"/>
      <c r="HMP41" s="19"/>
      <c r="HMQ41" s="19"/>
      <c r="HMR41" s="19"/>
      <c r="HMS41" s="19"/>
      <c r="HMT41" s="21"/>
      <c r="HMU41" s="19"/>
      <c r="HND41" s="19"/>
      <c r="HNE41" s="19"/>
      <c r="HNF41" s="19"/>
      <c r="HNG41" s="19"/>
      <c r="HNH41" s="21"/>
      <c r="HNI41" s="19"/>
      <c r="HNR41" s="19"/>
      <c r="HNS41" s="19"/>
      <c r="HNT41" s="19"/>
      <c r="HNU41" s="19"/>
      <c r="HNV41" s="21"/>
      <c r="HNW41" s="19"/>
      <c r="HOF41" s="19"/>
      <c r="HOG41" s="19"/>
      <c r="HOH41" s="19"/>
      <c r="HOI41" s="19"/>
      <c r="HOJ41" s="21"/>
      <c r="HOK41" s="19"/>
      <c r="HOT41" s="19"/>
      <c r="HOU41" s="19"/>
      <c r="HOV41" s="19"/>
      <c r="HOW41" s="19"/>
      <c r="HOX41" s="21"/>
      <c r="HOY41" s="19"/>
      <c r="HPH41" s="19"/>
      <c r="HPI41" s="19"/>
      <c r="HPJ41" s="19"/>
      <c r="HPK41" s="19"/>
      <c r="HPL41" s="21"/>
      <c r="HPM41" s="19"/>
      <c r="HPV41" s="19"/>
      <c r="HPW41" s="19"/>
      <c r="HPX41" s="19"/>
      <c r="HPY41" s="19"/>
      <c r="HPZ41" s="21"/>
      <c r="HQA41" s="19"/>
      <c r="HQJ41" s="19"/>
      <c r="HQK41" s="19"/>
      <c r="HQL41" s="19"/>
      <c r="HQM41" s="19"/>
      <c r="HQN41" s="21"/>
      <c r="HQO41" s="19"/>
      <c r="HQX41" s="19"/>
      <c r="HQY41" s="19"/>
      <c r="HQZ41" s="19"/>
      <c r="HRA41" s="19"/>
      <c r="HRB41" s="21"/>
      <c r="HRC41" s="19"/>
      <c r="HRL41" s="19"/>
      <c r="HRM41" s="19"/>
      <c r="HRN41" s="19"/>
      <c r="HRO41" s="19"/>
      <c r="HRP41" s="21"/>
      <c r="HRQ41" s="19"/>
      <c r="HRZ41" s="19"/>
      <c r="HSA41" s="19"/>
      <c r="HSB41" s="19"/>
      <c r="HSC41" s="19"/>
      <c r="HSD41" s="21"/>
      <c r="HSE41" s="19"/>
      <c r="HSN41" s="19"/>
      <c r="HSO41" s="19"/>
      <c r="HSP41" s="19"/>
      <c r="HSQ41" s="19"/>
      <c r="HSR41" s="21"/>
      <c r="HSS41" s="19"/>
      <c r="HTB41" s="19"/>
      <c r="HTC41" s="19"/>
      <c r="HTD41" s="19"/>
      <c r="HTE41" s="19"/>
      <c r="HTF41" s="21"/>
      <c r="HTG41" s="19"/>
      <c r="HTP41" s="19"/>
      <c r="HTQ41" s="19"/>
      <c r="HTR41" s="19"/>
      <c r="HTS41" s="19"/>
      <c r="HTT41" s="21"/>
      <c r="HTU41" s="19"/>
      <c r="HUD41" s="19"/>
      <c r="HUE41" s="19"/>
      <c r="HUF41" s="19"/>
      <c r="HUG41" s="19"/>
      <c r="HUH41" s="21"/>
      <c r="HUI41" s="19"/>
      <c r="HUR41" s="19"/>
      <c r="HUS41" s="19"/>
      <c r="HUT41" s="19"/>
      <c r="HUU41" s="19"/>
      <c r="HUV41" s="21"/>
      <c r="HUW41" s="19"/>
      <c r="HVF41" s="19"/>
      <c r="HVG41" s="19"/>
      <c r="HVH41" s="19"/>
      <c r="HVI41" s="19"/>
      <c r="HVJ41" s="21"/>
      <c r="HVK41" s="19"/>
      <c r="HVT41" s="19"/>
      <c r="HVU41" s="19"/>
      <c r="HVV41" s="19"/>
      <c r="HVW41" s="19"/>
      <c r="HVX41" s="21"/>
      <c r="HVY41" s="19"/>
      <c r="HWH41" s="19"/>
      <c r="HWI41" s="19"/>
      <c r="HWJ41" s="19"/>
      <c r="HWK41" s="19"/>
      <c r="HWL41" s="21"/>
      <c r="HWM41" s="19"/>
      <c r="HWV41" s="19"/>
      <c r="HWW41" s="19"/>
      <c r="HWX41" s="19"/>
      <c r="HWY41" s="19"/>
      <c r="HWZ41" s="21"/>
      <c r="HXA41" s="19"/>
      <c r="HXJ41" s="19"/>
      <c r="HXK41" s="19"/>
      <c r="HXL41" s="19"/>
      <c r="HXM41" s="19"/>
      <c r="HXN41" s="21"/>
      <c r="HXO41" s="19"/>
      <c r="HXX41" s="19"/>
      <c r="HXY41" s="19"/>
      <c r="HXZ41" s="19"/>
      <c r="HYA41" s="19"/>
      <c r="HYB41" s="21"/>
      <c r="HYC41" s="19"/>
      <c r="HYL41" s="19"/>
      <c r="HYM41" s="19"/>
      <c r="HYN41" s="19"/>
      <c r="HYO41" s="19"/>
      <c r="HYP41" s="21"/>
      <c r="HYQ41" s="19"/>
      <c r="HYZ41" s="19"/>
      <c r="HZA41" s="19"/>
      <c r="HZB41" s="19"/>
      <c r="HZC41" s="19"/>
      <c r="HZD41" s="21"/>
      <c r="HZE41" s="19"/>
      <c r="HZN41" s="19"/>
      <c r="HZO41" s="19"/>
      <c r="HZP41" s="19"/>
      <c r="HZQ41" s="19"/>
      <c r="HZR41" s="21"/>
      <c r="HZS41" s="19"/>
      <c r="IAB41" s="19"/>
      <c r="IAC41" s="19"/>
      <c r="IAD41" s="19"/>
      <c r="IAE41" s="19"/>
      <c r="IAF41" s="21"/>
      <c r="IAG41" s="19"/>
      <c r="IAP41" s="19"/>
      <c r="IAQ41" s="19"/>
      <c r="IAR41" s="19"/>
      <c r="IAS41" s="19"/>
      <c r="IAT41" s="21"/>
      <c r="IAU41" s="19"/>
      <c r="IBD41" s="19"/>
      <c r="IBE41" s="19"/>
      <c r="IBF41" s="19"/>
      <c r="IBG41" s="19"/>
      <c r="IBH41" s="21"/>
      <c r="IBI41" s="19"/>
      <c r="IBR41" s="19"/>
      <c r="IBS41" s="19"/>
      <c r="IBT41" s="19"/>
      <c r="IBU41" s="19"/>
      <c r="IBV41" s="21"/>
      <c r="IBW41" s="19"/>
      <c r="ICF41" s="19"/>
      <c r="ICG41" s="19"/>
      <c r="ICH41" s="19"/>
      <c r="ICI41" s="19"/>
      <c r="ICJ41" s="21"/>
      <c r="ICK41" s="19"/>
      <c r="ICT41" s="19"/>
      <c r="ICU41" s="19"/>
      <c r="ICV41" s="19"/>
      <c r="ICW41" s="19"/>
      <c r="ICX41" s="21"/>
      <c r="ICY41" s="19"/>
      <c r="IDH41" s="19"/>
      <c r="IDI41" s="19"/>
      <c r="IDJ41" s="19"/>
      <c r="IDK41" s="19"/>
      <c r="IDL41" s="21"/>
      <c r="IDM41" s="19"/>
      <c r="IDV41" s="19"/>
      <c r="IDW41" s="19"/>
      <c r="IDX41" s="19"/>
      <c r="IDY41" s="19"/>
      <c r="IDZ41" s="21"/>
      <c r="IEA41" s="19"/>
      <c r="IEJ41" s="19"/>
      <c r="IEK41" s="19"/>
      <c r="IEL41" s="19"/>
      <c r="IEM41" s="19"/>
      <c r="IEN41" s="21"/>
      <c r="IEO41" s="19"/>
      <c r="IEX41" s="19"/>
      <c r="IEY41" s="19"/>
      <c r="IEZ41" s="19"/>
      <c r="IFA41" s="19"/>
      <c r="IFB41" s="21"/>
      <c r="IFC41" s="19"/>
      <c r="IFL41" s="19"/>
      <c r="IFM41" s="19"/>
      <c r="IFN41" s="19"/>
      <c r="IFO41" s="19"/>
      <c r="IFP41" s="21"/>
      <c r="IFQ41" s="19"/>
      <c r="IFZ41" s="19"/>
      <c r="IGA41" s="19"/>
      <c r="IGB41" s="19"/>
      <c r="IGC41" s="19"/>
      <c r="IGD41" s="21"/>
      <c r="IGE41" s="19"/>
      <c r="IGN41" s="19"/>
      <c r="IGO41" s="19"/>
      <c r="IGP41" s="19"/>
      <c r="IGQ41" s="19"/>
      <c r="IGR41" s="21"/>
      <c r="IGS41" s="19"/>
      <c r="IHB41" s="19"/>
      <c r="IHC41" s="19"/>
      <c r="IHD41" s="19"/>
      <c r="IHE41" s="19"/>
      <c r="IHF41" s="21"/>
      <c r="IHG41" s="19"/>
      <c r="IHP41" s="19"/>
      <c r="IHQ41" s="19"/>
      <c r="IHR41" s="19"/>
      <c r="IHS41" s="19"/>
      <c r="IHT41" s="21"/>
      <c r="IHU41" s="19"/>
      <c r="IID41" s="19"/>
      <c r="IIE41" s="19"/>
      <c r="IIF41" s="19"/>
      <c r="IIG41" s="19"/>
      <c r="IIH41" s="21"/>
      <c r="III41" s="19"/>
      <c r="IIR41" s="19"/>
      <c r="IIS41" s="19"/>
      <c r="IIT41" s="19"/>
      <c r="IIU41" s="19"/>
      <c r="IIV41" s="21"/>
      <c r="IIW41" s="19"/>
      <c r="IJF41" s="19"/>
      <c r="IJG41" s="19"/>
      <c r="IJH41" s="19"/>
      <c r="IJI41" s="19"/>
      <c r="IJJ41" s="21"/>
      <c r="IJK41" s="19"/>
      <c r="IJT41" s="19"/>
      <c r="IJU41" s="19"/>
      <c r="IJV41" s="19"/>
      <c r="IJW41" s="19"/>
      <c r="IJX41" s="21"/>
      <c r="IJY41" s="19"/>
      <c r="IKH41" s="19"/>
      <c r="IKI41" s="19"/>
      <c r="IKJ41" s="19"/>
      <c r="IKK41" s="19"/>
      <c r="IKL41" s="21"/>
      <c r="IKM41" s="19"/>
      <c r="IKV41" s="19"/>
      <c r="IKW41" s="19"/>
      <c r="IKX41" s="19"/>
      <c r="IKY41" s="19"/>
      <c r="IKZ41" s="21"/>
      <c r="ILA41" s="19"/>
      <c r="ILJ41" s="19"/>
      <c r="ILK41" s="19"/>
      <c r="ILL41" s="19"/>
      <c r="ILM41" s="19"/>
      <c r="ILN41" s="21"/>
      <c r="ILO41" s="19"/>
      <c r="ILX41" s="19"/>
      <c r="ILY41" s="19"/>
      <c r="ILZ41" s="19"/>
      <c r="IMA41" s="19"/>
      <c r="IMB41" s="21"/>
      <c r="IMC41" s="19"/>
      <c r="IML41" s="19"/>
      <c r="IMM41" s="19"/>
      <c r="IMN41" s="19"/>
      <c r="IMO41" s="19"/>
      <c r="IMP41" s="21"/>
      <c r="IMQ41" s="19"/>
      <c r="IMZ41" s="19"/>
      <c r="INA41" s="19"/>
      <c r="INB41" s="19"/>
      <c r="INC41" s="19"/>
      <c r="IND41" s="21"/>
      <c r="INE41" s="19"/>
      <c r="INN41" s="19"/>
      <c r="INO41" s="19"/>
      <c r="INP41" s="19"/>
      <c r="INQ41" s="19"/>
      <c r="INR41" s="21"/>
      <c r="INS41" s="19"/>
      <c r="IOB41" s="19"/>
      <c r="IOC41" s="19"/>
      <c r="IOD41" s="19"/>
      <c r="IOE41" s="19"/>
      <c r="IOF41" s="21"/>
      <c r="IOG41" s="19"/>
      <c r="IOP41" s="19"/>
      <c r="IOQ41" s="19"/>
      <c r="IOR41" s="19"/>
      <c r="IOS41" s="19"/>
      <c r="IOT41" s="21"/>
      <c r="IOU41" s="19"/>
      <c r="IPD41" s="19"/>
      <c r="IPE41" s="19"/>
      <c r="IPF41" s="19"/>
      <c r="IPG41" s="19"/>
      <c r="IPH41" s="21"/>
      <c r="IPI41" s="19"/>
      <c r="IPR41" s="19"/>
      <c r="IPS41" s="19"/>
      <c r="IPT41" s="19"/>
      <c r="IPU41" s="19"/>
      <c r="IPV41" s="21"/>
      <c r="IPW41" s="19"/>
      <c r="IQF41" s="19"/>
      <c r="IQG41" s="19"/>
      <c r="IQH41" s="19"/>
      <c r="IQI41" s="19"/>
      <c r="IQJ41" s="21"/>
      <c r="IQK41" s="19"/>
      <c r="IQT41" s="19"/>
      <c r="IQU41" s="19"/>
      <c r="IQV41" s="19"/>
      <c r="IQW41" s="19"/>
      <c r="IQX41" s="21"/>
      <c r="IQY41" s="19"/>
      <c r="IRH41" s="19"/>
      <c r="IRI41" s="19"/>
      <c r="IRJ41" s="19"/>
      <c r="IRK41" s="19"/>
      <c r="IRL41" s="21"/>
      <c r="IRM41" s="19"/>
      <c r="IRV41" s="19"/>
      <c r="IRW41" s="19"/>
      <c r="IRX41" s="19"/>
      <c r="IRY41" s="19"/>
      <c r="IRZ41" s="21"/>
      <c r="ISA41" s="19"/>
      <c r="ISJ41" s="19"/>
      <c r="ISK41" s="19"/>
      <c r="ISL41" s="19"/>
      <c r="ISM41" s="19"/>
      <c r="ISN41" s="21"/>
      <c r="ISO41" s="19"/>
      <c r="ISX41" s="19"/>
      <c r="ISY41" s="19"/>
      <c r="ISZ41" s="19"/>
      <c r="ITA41" s="19"/>
      <c r="ITB41" s="21"/>
      <c r="ITC41" s="19"/>
      <c r="ITL41" s="19"/>
      <c r="ITM41" s="19"/>
      <c r="ITN41" s="19"/>
      <c r="ITO41" s="19"/>
      <c r="ITP41" s="21"/>
      <c r="ITQ41" s="19"/>
      <c r="ITZ41" s="19"/>
      <c r="IUA41" s="19"/>
      <c r="IUB41" s="19"/>
      <c r="IUC41" s="19"/>
      <c r="IUD41" s="21"/>
      <c r="IUE41" s="19"/>
      <c r="IUN41" s="19"/>
      <c r="IUO41" s="19"/>
      <c r="IUP41" s="19"/>
      <c r="IUQ41" s="19"/>
      <c r="IUR41" s="21"/>
      <c r="IUS41" s="19"/>
      <c r="IVB41" s="19"/>
      <c r="IVC41" s="19"/>
      <c r="IVD41" s="19"/>
      <c r="IVE41" s="19"/>
      <c r="IVF41" s="21"/>
      <c r="IVG41" s="19"/>
      <c r="IVP41" s="19"/>
      <c r="IVQ41" s="19"/>
      <c r="IVR41" s="19"/>
      <c r="IVS41" s="19"/>
      <c r="IVT41" s="21"/>
      <c r="IVU41" s="19"/>
      <c r="IWD41" s="19"/>
      <c r="IWE41" s="19"/>
      <c r="IWF41" s="19"/>
      <c r="IWG41" s="19"/>
      <c r="IWH41" s="21"/>
      <c r="IWI41" s="19"/>
      <c r="IWR41" s="19"/>
      <c r="IWS41" s="19"/>
      <c r="IWT41" s="19"/>
      <c r="IWU41" s="19"/>
      <c r="IWV41" s="21"/>
      <c r="IWW41" s="19"/>
      <c r="IXF41" s="19"/>
      <c r="IXG41" s="19"/>
      <c r="IXH41" s="19"/>
      <c r="IXI41" s="19"/>
      <c r="IXJ41" s="21"/>
      <c r="IXK41" s="19"/>
      <c r="IXT41" s="19"/>
      <c r="IXU41" s="19"/>
      <c r="IXV41" s="19"/>
      <c r="IXW41" s="19"/>
      <c r="IXX41" s="21"/>
      <c r="IXY41" s="19"/>
      <c r="IYH41" s="19"/>
      <c r="IYI41" s="19"/>
      <c r="IYJ41" s="19"/>
      <c r="IYK41" s="19"/>
      <c r="IYL41" s="21"/>
      <c r="IYM41" s="19"/>
      <c r="IYV41" s="19"/>
      <c r="IYW41" s="19"/>
      <c r="IYX41" s="19"/>
      <c r="IYY41" s="19"/>
      <c r="IYZ41" s="21"/>
      <c r="IZA41" s="19"/>
      <c r="IZJ41" s="19"/>
      <c r="IZK41" s="19"/>
      <c r="IZL41" s="19"/>
      <c r="IZM41" s="19"/>
      <c r="IZN41" s="21"/>
      <c r="IZO41" s="19"/>
      <c r="IZX41" s="19"/>
      <c r="IZY41" s="19"/>
      <c r="IZZ41" s="19"/>
      <c r="JAA41" s="19"/>
      <c r="JAB41" s="21"/>
      <c r="JAC41" s="19"/>
      <c r="JAL41" s="19"/>
      <c r="JAM41" s="19"/>
      <c r="JAN41" s="19"/>
      <c r="JAO41" s="19"/>
      <c r="JAP41" s="21"/>
      <c r="JAQ41" s="19"/>
      <c r="JAZ41" s="19"/>
      <c r="JBA41" s="19"/>
      <c r="JBB41" s="19"/>
      <c r="JBC41" s="19"/>
      <c r="JBD41" s="21"/>
      <c r="JBE41" s="19"/>
      <c r="JBN41" s="19"/>
      <c r="JBO41" s="19"/>
      <c r="JBP41" s="19"/>
      <c r="JBQ41" s="19"/>
      <c r="JBR41" s="21"/>
      <c r="JBS41" s="19"/>
      <c r="JCB41" s="19"/>
      <c r="JCC41" s="19"/>
      <c r="JCD41" s="19"/>
      <c r="JCE41" s="19"/>
      <c r="JCF41" s="21"/>
      <c r="JCG41" s="19"/>
      <c r="JCP41" s="19"/>
      <c r="JCQ41" s="19"/>
      <c r="JCR41" s="19"/>
      <c r="JCS41" s="19"/>
      <c r="JCT41" s="21"/>
      <c r="JCU41" s="19"/>
      <c r="JDD41" s="19"/>
      <c r="JDE41" s="19"/>
      <c r="JDF41" s="19"/>
      <c r="JDG41" s="19"/>
      <c r="JDH41" s="21"/>
      <c r="JDI41" s="19"/>
      <c r="JDR41" s="19"/>
      <c r="JDS41" s="19"/>
      <c r="JDT41" s="19"/>
      <c r="JDU41" s="19"/>
      <c r="JDV41" s="21"/>
      <c r="JDW41" s="19"/>
      <c r="JEF41" s="19"/>
      <c r="JEG41" s="19"/>
      <c r="JEH41" s="19"/>
      <c r="JEI41" s="19"/>
      <c r="JEJ41" s="21"/>
      <c r="JEK41" s="19"/>
      <c r="JET41" s="19"/>
      <c r="JEU41" s="19"/>
      <c r="JEV41" s="19"/>
      <c r="JEW41" s="19"/>
      <c r="JEX41" s="21"/>
      <c r="JEY41" s="19"/>
      <c r="JFH41" s="19"/>
      <c r="JFI41" s="19"/>
      <c r="JFJ41" s="19"/>
      <c r="JFK41" s="19"/>
      <c r="JFL41" s="21"/>
      <c r="JFM41" s="19"/>
      <c r="JFV41" s="19"/>
      <c r="JFW41" s="19"/>
      <c r="JFX41" s="19"/>
      <c r="JFY41" s="19"/>
      <c r="JFZ41" s="21"/>
      <c r="JGA41" s="19"/>
      <c r="JGJ41" s="19"/>
      <c r="JGK41" s="19"/>
      <c r="JGL41" s="19"/>
      <c r="JGM41" s="19"/>
      <c r="JGN41" s="21"/>
      <c r="JGO41" s="19"/>
      <c r="JGX41" s="19"/>
      <c r="JGY41" s="19"/>
      <c r="JGZ41" s="19"/>
      <c r="JHA41" s="19"/>
      <c r="JHB41" s="21"/>
      <c r="JHC41" s="19"/>
      <c r="JHL41" s="19"/>
      <c r="JHM41" s="19"/>
      <c r="JHN41" s="19"/>
      <c r="JHO41" s="19"/>
      <c r="JHP41" s="21"/>
      <c r="JHQ41" s="19"/>
      <c r="JHZ41" s="19"/>
      <c r="JIA41" s="19"/>
      <c r="JIB41" s="19"/>
      <c r="JIC41" s="19"/>
      <c r="JID41" s="21"/>
      <c r="JIE41" s="19"/>
      <c r="JIN41" s="19"/>
      <c r="JIO41" s="19"/>
      <c r="JIP41" s="19"/>
      <c r="JIQ41" s="19"/>
      <c r="JIR41" s="21"/>
      <c r="JIS41" s="19"/>
      <c r="JJB41" s="19"/>
      <c r="JJC41" s="19"/>
      <c r="JJD41" s="19"/>
      <c r="JJE41" s="19"/>
      <c r="JJF41" s="21"/>
      <c r="JJG41" s="19"/>
      <c r="JJP41" s="19"/>
      <c r="JJQ41" s="19"/>
      <c r="JJR41" s="19"/>
      <c r="JJS41" s="19"/>
      <c r="JJT41" s="21"/>
      <c r="JJU41" s="19"/>
      <c r="JKD41" s="19"/>
      <c r="JKE41" s="19"/>
      <c r="JKF41" s="19"/>
      <c r="JKG41" s="19"/>
      <c r="JKH41" s="21"/>
      <c r="JKI41" s="19"/>
      <c r="JKR41" s="19"/>
      <c r="JKS41" s="19"/>
      <c r="JKT41" s="19"/>
      <c r="JKU41" s="19"/>
      <c r="JKV41" s="21"/>
      <c r="JKW41" s="19"/>
      <c r="JLF41" s="19"/>
      <c r="JLG41" s="19"/>
      <c r="JLH41" s="19"/>
      <c r="JLI41" s="19"/>
      <c r="JLJ41" s="21"/>
      <c r="JLK41" s="19"/>
      <c r="JLT41" s="19"/>
      <c r="JLU41" s="19"/>
      <c r="JLV41" s="19"/>
      <c r="JLW41" s="19"/>
      <c r="JLX41" s="21"/>
      <c r="JLY41" s="19"/>
      <c r="JMH41" s="19"/>
      <c r="JMI41" s="19"/>
      <c r="JMJ41" s="19"/>
      <c r="JMK41" s="19"/>
      <c r="JML41" s="21"/>
      <c r="JMM41" s="19"/>
      <c r="JMV41" s="19"/>
      <c r="JMW41" s="19"/>
      <c r="JMX41" s="19"/>
      <c r="JMY41" s="19"/>
      <c r="JMZ41" s="21"/>
      <c r="JNA41" s="19"/>
      <c r="JNJ41" s="19"/>
      <c r="JNK41" s="19"/>
      <c r="JNL41" s="19"/>
      <c r="JNM41" s="19"/>
      <c r="JNN41" s="21"/>
      <c r="JNO41" s="19"/>
      <c r="JNX41" s="19"/>
      <c r="JNY41" s="19"/>
      <c r="JNZ41" s="19"/>
      <c r="JOA41" s="19"/>
      <c r="JOB41" s="21"/>
      <c r="JOC41" s="19"/>
      <c r="JOL41" s="19"/>
      <c r="JOM41" s="19"/>
      <c r="JON41" s="19"/>
      <c r="JOO41" s="19"/>
      <c r="JOP41" s="21"/>
      <c r="JOQ41" s="19"/>
      <c r="JOZ41" s="19"/>
      <c r="JPA41" s="19"/>
      <c r="JPB41" s="19"/>
      <c r="JPC41" s="19"/>
      <c r="JPD41" s="21"/>
      <c r="JPE41" s="19"/>
      <c r="JPN41" s="19"/>
      <c r="JPO41" s="19"/>
      <c r="JPP41" s="19"/>
      <c r="JPQ41" s="19"/>
      <c r="JPR41" s="21"/>
      <c r="JPS41" s="19"/>
      <c r="JQB41" s="19"/>
      <c r="JQC41" s="19"/>
      <c r="JQD41" s="19"/>
      <c r="JQE41" s="19"/>
      <c r="JQF41" s="21"/>
      <c r="JQG41" s="19"/>
      <c r="JQP41" s="19"/>
      <c r="JQQ41" s="19"/>
      <c r="JQR41" s="19"/>
      <c r="JQS41" s="19"/>
      <c r="JQT41" s="21"/>
      <c r="JQU41" s="19"/>
      <c r="JRD41" s="19"/>
      <c r="JRE41" s="19"/>
      <c r="JRF41" s="19"/>
      <c r="JRG41" s="19"/>
      <c r="JRH41" s="21"/>
      <c r="JRI41" s="19"/>
      <c r="JRR41" s="19"/>
      <c r="JRS41" s="19"/>
      <c r="JRT41" s="19"/>
      <c r="JRU41" s="19"/>
      <c r="JRV41" s="21"/>
      <c r="JRW41" s="19"/>
      <c r="JSF41" s="19"/>
      <c r="JSG41" s="19"/>
      <c r="JSH41" s="19"/>
      <c r="JSI41" s="19"/>
      <c r="JSJ41" s="21"/>
      <c r="JSK41" s="19"/>
      <c r="JST41" s="19"/>
      <c r="JSU41" s="19"/>
      <c r="JSV41" s="19"/>
      <c r="JSW41" s="19"/>
      <c r="JSX41" s="21"/>
      <c r="JSY41" s="19"/>
      <c r="JTH41" s="19"/>
      <c r="JTI41" s="19"/>
      <c r="JTJ41" s="19"/>
      <c r="JTK41" s="19"/>
      <c r="JTL41" s="21"/>
      <c r="JTM41" s="19"/>
      <c r="JTV41" s="19"/>
      <c r="JTW41" s="19"/>
      <c r="JTX41" s="19"/>
      <c r="JTY41" s="19"/>
      <c r="JTZ41" s="21"/>
      <c r="JUA41" s="19"/>
      <c r="JUJ41" s="19"/>
      <c r="JUK41" s="19"/>
      <c r="JUL41" s="19"/>
      <c r="JUM41" s="19"/>
      <c r="JUN41" s="21"/>
      <c r="JUO41" s="19"/>
      <c r="JUX41" s="19"/>
      <c r="JUY41" s="19"/>
      <c r="JUZ41" s="19"/>
      <c r="JVA41" s="19"/>
      <c r="JVB41" s="21"/>
      <c r="JVC41" s="19"/>
      <c r="JVL41" s="19"/>
      <c r="JVM41" s="19"/>
      <c r="JVN41" s="19"/>
      <c r="JVO41" s="19"/>
      <c r="JVP41" s="21"/>
      <c r="JVQ41" s="19"/>
      <c r="JVZ41" s="19"/>
      <c r="JWA41" s="19"/>
      <c r="JWB41" s="19"/>
      <c r="JWC41" s="19"/>
      <c r="JWD41" s="21"/>
      <c r="JWE41" s="19"/>
      <c r="JWN41" s="19"/>
      <c r="JWO41" s="19"/>
      <c r="JWP41" s="19"/>
      <c r="JWQ41" s="19"/>
      <c r="JWR41" s="21"/>
      <c r="JWS41" s="19"/>
      <c r="JXB41" s="19"/>
      <c r="JXC41" s="19"/>
      <c r="JXD41" s="19"/>
      <c r="JXE41" s="19"/>
      <c r="JXF41" s="21"/>
      <c r="JXG41" s="19"/>
      <c r="JXP41" s="19"/>
      <c r="JXQ41" s="19"/>
      <c r="JXR41" s="19"/>
      <c r="JXS41" s="19"/>
      <c r="JXT41" s="21"/>
      <c r="JXU41" s="19"/>
      <c r="JYD41" s="19"/>
      <c r="JYE41" s="19"/>
      <c r="JYF41" s="19"/>
      <c r="JYG41" s="19"/>
      <c r="JYH41" s="21"/>
      <c r="JYI41" s="19"/>
      <c r="JYR41" s="19"/>
      <c r="JYS41" s="19"/>
      <c r="JYT41" s="19"/>
      <c r="JYU41" s="19"/>
      <c r="JYV41" s="21"/>
      <c r="JYW41" s="19"/>
      <c r="JZF41" s="19"/>
      <c r="JZG41" s="19"/>
      <c r="JZH41" s="19"/>
      <c r="JZI41" s="19"/>
      <c r="JZJ41" s="21"/>
      <c r="JZK41" s="19"/>
      <c r="JZT41" s="19"/>
      <c r="JZU41" s="19"/>
      <c r="JZV41" s="19"/>
      <c r="JZW41" s="19"/>
      <c r="JZX41" s="21"/>
      <c r="JZY41" s="19"/>
      <c r="KAH41" s="19"/>
      <c r="KAI41" s="19"/>
      <c r="KAJ41" s="19"/>
      <c r="KAK41" s="19"/>
      <c r="KAL41" s="21"/>
      <c r="KAM41" s="19"/>
      <c r="KAV41" s="19"/>
      <c r="KAW41" s="19"/>
      <c r="KAX41" s="19"/>
      <c r="KAY41" s="19"/>
      <c r="KAZ41" s="21"/>
      <c r="KBA41" s="19"/>
      <c r="KBJ41" s="19"/>
      <c r="KBK41" s="19"/>
      <c r="KBL41" s="19"/>
      <c r="KBM41" s="19"/>
      <c r="KBN41" s="21"/>
      <c r="KBO41" s="19"/>
      <c r="KBX41" s="19"/>
      <c r="KBY41" s="19"/>
      <c r="KBZ41" s="19"/>
      <c r="KCA41" s="19"/>
      <c r="KCB41" s="21"/>
      <c r="KCC41" s="19"/>
      <c r="KCL41" s="19"/>
      <c r="KCM41" s="19"/>
      <c r="KCN41" s="19"/>
      <c r="KCO41" s="19"/>
      <c r="KCP41" s="21"/>
      <c r="KCQ41" s="19"/>
      <c r="KCZ41" s="19"/>
      <c r="KDA41" s="19"/>
      <c r="KDB41" s="19"/>
      <c r="KDC41" s="19"/>
      <c r="KDD41" s="21"/>
      <c r="KDE41" s="19"/>
      <c r="KDN41" s="19"/>
      <c r="KDO41" s="19"/>
      <c r="KDP41" s="19"/>
      <c r="KDQ41" s="19"/>
      <c r="KDR41" s="21"/>
      <c r="KDS41" s="19"/>
      <c r="KEB41" s="19"/>
      <c r="KEC41" s="19"/>
      <c r="KED41" s="19"/>
      <c r="KEE41" s="19"/>
      <c r="KEF41" s="21"/>
      <c r="KEG41" s="19"/>
      <c r="KEP41" s="19"/>
      <c r="KEQ41" s="19"/>
      <c r="KER41" s="19"/>
      <c r="KES41" s="19"/>
      <c r="KET41" s="21"/>
      <c r="KEU41" s="19"/>
      <c r="KFD41" s="19"/>
      <c r="KFE41" s="19"/>
      <c r="KFF41" s="19"/>
      <c r="KFG41" s="19"/>
      <c r="KFH41" s="21"/>
      <c r="KFI41" s="19"/>
      <c r="KFR41" s="19"/>
      <c r="KFS41" s="19"/>
      <c r="KFT41" s="19"/>
      <c r="KFU41" s="19"/>
      <c r="KFV41" s="21"/>
      <c r="KFW41" s="19"/>
      <c r="KGF41" s="19"/>
      <c r="KGG41" s="19"/>
      <c r="KGH41" s="19"/>
      <c r="KGI41" s="19"/>
      <c r="KGJ41" s="21"/>
      <c r="KGK41" s="19"/>
      <c r="KGT41" s="19"/>
      <c r="KGU41" s="19"/>
      <c r="KGV41" s="19"/>
      <c r="KGW41" s="19"/>
      <c r="KGX41" s="21"/>
      <c r="KGY41" s="19"/>
      <c r="KHH41" s="19"/>
      <c r="KHI41" s="19"/>
      <c r="KHJ41" s="19"/>
      <c r="KHK41" s="19"/>
      <c r="KHL41" s="21"/>
      <c r="KHM41" s="19"/>
      <c r="KHV41" s="19"/>
      <c r="KHW41" s="19"/>
      <c r="KHX41" s="19"/>
      <c r="KHY41" s="19"/>
      <c r="KHZ41" s="21"/>
      <c r="KIA41" s="19"/>
      <c r="KIJ41" s="19"/>
      <c r="KIK41" s="19"/>
      <c r="KIL41" s="19"/>
      <c r="KIM41" s="19"/>
      <c r="KIN41" s="21"/>
      <c r="KIO41" s="19"/>
      <c r="KIX41" s="19"/>
      <c r="KIY41" s="19"/>
      <c r="KIZ41" s="19"/>
      <c r="KJA41" s="19"/>
      <c r="KJB41" s="21"/>
      <c r="KJC41" s="19"/>
      <c r="KJL41" s="19"/>
      <c r="KJM41" s="19"/>
      <c r="KJN41" s="19"/>
      <c r="KJO41" s="19"/>
      <c r="KJP41" s="21"/>
      <c r="KJQ41" s="19"/>
      <c r="KJZ41" s="19"/>
      <c r="KKA41" s="19"/>
      <c r="KKB41" s="19"/>
      <c r="KKC41" s="19"/>
      <c r="KKD41" s="21"/>
      <c r="KKE41" s="19"/>
      <c r="KKN41" s="19"/>
      <c r="KKO41" s="19"/>
      <c r="KKP41" s="19"/>
      <c r="KKQ41" s="19"/>
      <c r="KKR41" s="21"/>
      <c r="KKS41" s="19"/>
      <c r="KLB41" s="19"/>
      <c r="KLC41" s="19"/>
      <c r="KLD41" s="19"/>
      <c r="KLE41" s="19"/>
      <c r="KLF41" s="21"/>
      <c r="KLG41" s="19"/>
      <c r="KLP41" s="19"/>
      <c r="KLQ41" s="19"/>
      <c r="KLR41" s="19"/>
      <c r="KLS41" s="19"/>
      <c r="KLT41" s="21"/>
      <c r="KLU41" s="19"/>
      <c r="KMD41" s="19"/>
      <c r="KME41" s="19"/>
      <c r="KMF41" s="19"/>
      <c r="KMG41" s="19"/>
      <c r="KMH41" s="21"/>
      <c r="KMI41" s="19"/>
      <c r="KMR41" s="19"/>
      <c r="KMS41" s="19"/>
      <c r="KMT41" s="19"/>
      <c r="KMU41" s="19"/>
      <c r="KMV41" s="21"/>
      <c r="KMW41" s="19"/>
      <c r="KNF41" s="19"/>
      <c r="KNG41" s="19"/>
      <c r="KNH41" s="19"/>
      <c r="KNI41" s="19"/>
      <c r="KNJ41" s="21"/>
      <c r="KNK41" s="19"/>
      <c r="KNT41" s="19"/>
      <c r="KNU41" s="19"/>
      <c r="KNV41" s="19"/>
      <c r="KNW41" s="19"/>
      <c r="KNX41" s="21"/>
      <c r="KNY41" s="19"/>
      <c r="KOH41" s="19"/>
      <c r="KOI41" s="19"/>
      <c r="KOJ41" s="19"/>
      <c r="KOK41" s="19"/>
      <c r="KOL41" s="21"/>
      <c r="KOM41" s="19"/>
      <c r="KOV41" s="19"/>
      <c r="KOW41" s="19"/>
      <c r="KOX41" s="19"/>
      <c r="KOY41" s="19"/>
      <c r="KOZ41" s="21"/>
      <c r="KPA41" s="19"/>
      <c r="KPJ41" s="19"/>
      <c r="KPK41" s="19"/>
      <c r="KPL41" s="19"/>
      <c r="KPM41" s="19"/>
      <c r="KPN41" s="21"/>
      <c r="KPO41" s="19"/>
      <c r="KPX41" s="19"/>
      <c r="KPY41" s="19"/>
      <c r="KPZ41" s="19"/>
      <c r="KQA41" s="19"/>
      <c r="KQB41" s="21"/>
      <c r="KQC41" s="19"/>
      <c r="KQL41" s="19"/>
      <c r="KQM41" s="19"/>
      <c r="KQN41" s="19"/>
      <c r="KQO41" s="19"/>
      <c r="KQP41" s="21"/>
      <c r="KQQ41" s="19"/>
      <c r="KQZ41" s="19"/>
      <c r="KRA41" s="19"/>
      <c r="KRB41" s="19"/>
      <c r="KRC41" s="19"/>
      <c r="KRD41" s="21"/>
      <c r="KRE41" s="19"/>
      <c r="KRN41" s="19"/>
      <c r="KRO41" s="19"/>
      <c r="KRP41" s="19"/>
      <c r="KRQ41" s="19"/>
      <c r="KRR41" s="21"/>
      <c r="KRS41" s="19"/>
      <c r="KSB41" s="19"/>
      <c r="KSC41" s="19"/>
      <c r="KSD41" s="19"/>
      <c r="KSE41" s="19"/>
      <c r="KSF41" s="21"/>
      <c r="KSG41" s="19"/>
      <c r="KSP41" s="19"/>
      <c r="KSQ41" s="19"/>
      <c r="KSR41" s="19"/>
      <c r="KSS41" s="19"/>
      <c r="KST41" s="21"/>
      <c r="KSU41" s="19"/>
      <c r="KTD41" s="19"/>
      <c r="KTE41" s="19"/>
      <c r="KTF41" s="19"/>
      <c r="KTG41" s="19"/>
      <c r="KTH41" s="21"/>
      <c r="KTI41" s="19"/>
      <c r="KTR41" s="19"/>
      <c r="KTS41" s="19"/>
      <c r="KTT41" s="19"/>
      <c r="KTU41" s="19"/>
      <c r="KTV41" s="21"/>
      <c r="KTW41" s="19"/>
      <c r="KUF41" s="19"/>
      <c r="KUG41" s="19"/>
      <c r="KUH41" s="19"/>
      <c r="KUI41" s="19"/>
      <c r="KUJ41" s="21"/>
      <c r="KUK41" s="19"/>
      <c r="KUT41" s="19"/>
      <c r="KUU41" s="19"/>
      <c r="KUV41" s="19"/>
      <c r="KUW41" s="19"/>
      <c r="KUX41" s="21"/>
      <c r="KUY41" s="19"/>
      <c r="KVH41" s="19"/>
      <c r="KVI41" s="19"/>
      <c r="KVJ41" s="19"/>
      <c r="KVK41" s="19"/>
      <c r="KVL41" s="21"/>
      <c r="KVM41" s="19"/>
      <c r="KVV41" s="19"/>
      <c r="KVW41" s="19"/>
      <c r="KVX41" s="19"/>
      <c r="KVY41" s="19"/>
      <c r="KVZ41" s="21"/>
      <c r="KWA41" s="19"/>
      <c r="KWJ41" s="19"/>
      <c r="KWK41" s="19"/>
      <c r="KWL41" s="19"/>
      <c r="KWM41" s="19"/>
      <c r="KWN41" s="21"/>
      <c r="KWO41" s="19"/>
      <c r="KWX41" s="19"/>
      <c r="KWY41" s="19"/>
      <c r="KWZ41" s="19"/>
      <c r="KXA41" s="19"/>
      <c r="KXB41" s="21"/>
      <c r="KXC41" s="19"/>
      <c r="KXL41" s="19"/>
      <c r="KXM41" s="19"/>
      <c r="KXN41" s="19"/>
      <c r="KXO41" s="19"/>
      <c r="KXP41" s="21"/>
      <c r="KXQ41" s="19"/>
      <c r="KXZ41" s="19"/>
      <c r="KYA41" s="19"/>
      <c r="KYB41" s="19"/>
      <c r="KYC41" s="19"/>
      <c r="KYD41" s="21"/>
      <c r="KYE41" s="19"/>
      <c r="KYN41" s="19"/>
      <c r="KYO41" s="19"/>
      <c r="KYP41" s="19"/>
      <c r="KYQ41" s="19"/>
      <c r="KYR41" s="21"/>
      <c r="KYS41" s="19"/>
      <c r="KZB41" s="19"/>
      <c r="KZC41" s="19"/>
      <c r="KZD41" s="19"/>
      <c r="KZE41" s="19"/>
      <c r="KZF41" s="21"/>
      <c r="KZG41" s="19"/>
      <c r="KZP41" s="19"/>
      <c r="KZQ41" s="19"/>
      <c r="KZR41" s="19"/>
      <c r="KZS41" s="19"/>
      <c r="KZT41" s="21"/>
      <c r="KZU41" s="19"/>
      <c r="LAD41" s="19"/>
      <c r="LAE41" s="19"/>
      <c r="LAF41" s="19"/>
      <c r="LAG41" s="19"/>
      <c r="LAH41" s="21"/>
      <c r="LAI41" s="19"/>
      <c r="LAR41" s="19"/>
      <c r="LAS41" s="19"/>
      <c r="LAT41" s="19"/>
      <c r="LAU41" s="19"/>
      <c r="LAV41" s="21"/>
      <c r="LAW41" s="19"/>
      <c r="LBF41" s="19"/>
      <c r="LBG41" s="19"/>
      <c r="LBH41" s="19"/>
      <c r="LBI41" s="19"/>
      <c r="LBJ41" s="21"/>
      <c r="LBK41" s="19"/>
      <c r="LBT41" s="19"/>
      <c r="LBU41" s="19"/>
      <c r="LBV41" s="19"/>
      <c r="LBW41" s="19"/>
      <c r="LBX41" s="21"/>
      <c r="LBY41" s="19"/>
      <c r="LCH41" s="19"/>
      <c r="LCI41" s="19"/>
      <c r="LCJ41" s="19"/>
      <c r="LCK41" s="19"/>
      <c r="LCL41" s="21"/>
      <c r="LCM41" s="19"/>
      <c r="LCV41" s="19"/>
      <c r="LCW41" s="19"/>
      <c r="LCX41" s="19"/>
      <c r="LCY41" s="19"/>
      <c r="LCZ41" s="21"/>
      <c r="LDA41" s="19"/>
      <c r="LDJ41" s="19"/>
      <c r="LDK41" s="19"/>
      <c r="LDL41" s="19"/>
      <c r="LDM41" s="19"/>
      <c r="LDN41" s="21"/>
      <c r="LDO41" s="19"/>
      <c r="LDX41" s="19"/>
      <c r="LDY41" s="19"/>
      <c r="LDZ41" s="19"/>
      <c r="LEA41" s="19"/>
      <c r="LEB41" s="21"/>
      <c r="LEC41" s="19"/>
      <c r="LEL41" s="19"/>
      <c r="LEM41" s="19"/>
      <c r="LEN41" s="19"/>
      <c r="LEO41" s="19"/>
      <c r="LEP41" s="21"/>
      <c r="LEQ41" s="19"/>
      <c r="LEZ41" s="19"/>
      <c r="LFA41" s="19"/>
      <c r="LFB41" s="19"/>
      <c r="LFC41" s="19"/>
      <c r="LFD41" s="21"/>
      <c r="LFE41" s="19"/>
      <c r="LFN41" s="19"/>
      <c r="LFO41" s="19"/>
      <c r="LFP41" s="19"/>
      <c r="LFQ41" s="19"/>
      <c r="LFR41" s="21"/>
      <c r="LFS41" s="19"/>
      <c r="LGB41" s="19"/>
      <c r="LGC41" s="19"/>
      <c r="LGD41" s="19"/>
      <c r="LGE41" s="19"/>
      <c r="LGF41" s="21"/>
      <c r="LGG41" s="19"/>
      <c r="LGP41" s="19"/>
      <c r="LGQ41" s="19"/>
      <c r="LGR41" s="19"/>
      <c r="LGS41" s="19"/>
      <c r="LGT41" s="21"/>
      <c r="LGU41" s="19"/>
      <c r="LHD41" s="19"/>
      <c r="LHE41" s="19"/>
      <c r="LHF41" s="19"/>
      <c r="LHG41" s="19"/>
      <c r="LHH41" s="21"/>
      <c r="LHI41" s="19"/>
      <c r="LHR41" s="19"/>
      <c r="LHS41" s="19"/>
      <c r="LHT41" s="19"/>
      <c r="LHU41" s="19"/>
      <c r="LHV41" s="21"/>
      <c r="LHW41" s="19"/>
      <c r="LIF41" s="19"/>
      <c r="LIG41" s="19"/>
      <c r="LIH41" s="19"/>
      <c r="LII41" s="19"/>
      <c r="LIJ41" s="21"/>
      <c r="LIK41" s="19"/>
      <c r="LIT41" s="19"/>
      <c r="LIU41" s="19"/>
      <c r="LIV41" s="19"/>
      <c r="LIW41" s="19"/>
      <c r="LIX41" s="21"/>
      <c r="LIY41" s="19"/>
      <c r="LJH41" s="19"/>
      <c r="LJI41" s="19"/>
      <c r="LJJ41" s="19"/>
      <c r="LJK41" s="19"/>
      <c r="LJL41" s="21"/>
      <c r="LJM41" s="19"/>
      <c r="LJV41" s="19"/>
      <c r="LJW41" s="19"/>
      <c r="LJX41" s="19"/>
      <c r="LJY41" s="19"/>
      <c r="LJZ41" s="21"/>
      <c r="LKA41" s="19"/>
      <c r="LKJ41" s="19"/>
      <c r="LKK41" s="19"/>
      <c r="LKL41" s="19"/>
      <c r="LKM41" s="19"/>
      <c r="LKN41" s="21"/>
      <c r="LKO41" s="19"/>
      <c r="LKX41" s="19"/>
      <c r="LKY41" s="19"/>
      <c r="LKZ41" s="19"/>
      <c r="LLA41" s="19"/>
      <c r="LLB41" s="21"/>
      <c r="LLC41" s="19"/>
      <c r="LLL41" s="19"/>
      <c r="LLM41" s="19"/>
      <c r="LLN41" s="19"/>
      <c r="LLO41" s="19"/>
      <c r="LLP41" s="21"/>
      <c r="LLQ41" s="19"/>
      <c r="LLZ41" s="19"/>
      <c r="LMA41" s="19"/>
      <c r="LMB41" s="19"/>
      <c r="LMC41" s="19"/>
      <c r="LMD41" s="21"/>
      <c r="LME41" s="19"/>
      <c r="LMN41" s="19"/>
      <c r="LMO41" s="19"/>
      <c r="LMP41" s="19"/>
      <c r="LMQ41" s="19"/>
      <c r="LMR41" s="21"/>
      <c r="LMS41" s="19"/>
      <c r="LNB41" s="19"/>
      <c r="LNC41" s="19"/>
      <c r="LND41" s="19"/>
      <c r="LNE41" s="19"/>
      <c r="LNF41" s="21"/>
      <c r="LNG41" s="19"/>
      <c r="LNP41" s="19"/>
      <c r="LNQ41" s="19"/>
      <c r="LNR41" s="19"/>
      <c r="LNS41" s="19"/>
      <c r="LNT41" s="21"/>
      <c r="LNU41" s="19"/>
      <c r="LOD41" s="19"/>
      <c r="LOE41" s="19"/>
      <c r="LOF41" s="19"/>
      <c r="LOG41" s="19"/>
      <c r="LOH41" s="21"/>
      <c r="LOI41" s="19"/>
      <c r="LOR41" s="19"/>
      <c r="LOS41" s="19"/>
      <c r="LOT41" s="19"/>
      <c r="LOU41" s="19"/>
      <c r="LOV41" s="21"/>
      <c r="LOW41" s="19"/>
      <c r="LPF41" s="19"/>
      <c r="LPG41" s="19"/>
      <c r="LPH41" s="19"/>
      <c r="LPI41" s="19"/>
      <c r="LPJ41" s="21"/>
      <c r="LPK41" s="19"/>
      <c r="LPT41" s="19"/>
      <c r="LPU41" s="19"/>
      <c r="LPV41" s="19"/>
      <c r="LPW41" s="19"/>
      <c r="LPX41" s="21"/>
      <c r="LPY41" s="19"/>
      <c r="LQH41" s="19"/>
      <c r="LQI41" s="19"/>
      <c r="LQJ41" s="19"/>
      <c r="LQK41" s="19"/>
      <c r="LQL41" s="21"/>
      <c r="LQM41" s="19"/>
      <c r="LQV41" s="19"/>
      <c r="LQW41" s="19"/>
      <c r="LQX41" s="19"/>
      <c r="LQY41" s="19"/>
      <c r="LQZ41" s="21"/>
      <c r="LRA41" s="19"/>
      <c r="LRJ41" s="19"/>
      <c r="LRK41" s="19"/>
      <c r="LRL41" s="19"/>
      <c r="LRM41" s="19"/>
      <c r="LRN41" s="21"/>
      <c r="LRO41" s="19"/>
      <c r="LRX41" s="19"/>
      <c r="LRY41" s="19"/>
      <c r="LRZ41" s="19"/>
      <c r="LSA41" s="19"/>
      <c r="LSB41" s="21"/>
      <c r="LSC41" s="19"/>
      <c r="LSL41" s="19"/>
      <c r="LSM41" s="19"/>
      <c r="LSN41" s="19"/>
      <c r="LSO41" s="19"/>
      <c r="LSP41" s="21"/>
      <c r="LSQ41" s="19"/>
      <c r="LSZ41" s="19"/>
      <c r="LTA41" s="19"/>
      <c r="LTB41" s="19"/>
      <c r="LTC41" s="19"/>
      <c r="LTD41" s="21"/>
      <c r="LTE41" s="19"/>
      <c r="LTN41" s="19"/>
      <c r="LTO41" s="19"/>
      <c r="LTP41" s="19"/>
      <c r="LTQ41" s="19"/>
      <c r="LTR41" s="21"/>
      <c r="LTS41" s="19"/>
      <c r="LUB41" s="19"/>
      <c r="LUC41" s="19"/>
      <c r="LUD41" s="19"/>
      <c r="LUE41" s="19"/>
      <c r="LUF41" s="21"/>
      <c r="LUG41" s="19"/>
      <c r="LUP41" s="19"/>
      <c r="LUQ41" s="19"/>
      <c r="LUR41" s="19"/>
      <c r="LUS41" s="19"/>
      <c r="LUT41" s="21"/>
      <c r="LUU41" s="19"/>
      <c r="LVD41" s="19"/>
      <c r="LVE41" s="19"/>
      <c r="LVF41" s="19"/>
      <c r="LVG41" s="19"/>
      <c r="LVH41" s="21"/>
      <c r="LVI41" s="19"/>
      <c r="LVR41" s="19"/>
      <c r="LVS41" s="19"/>
      <c r="LVT41" s="19"/>
      <c r="LVU41" s="19"/>
      <c r="LVV41" s="21"/>
      <c r="LVW41" s="19"/>
      <c r="LWF41" s="19"/>
      <c r="LWG41" s="19"/>
      <c r="LWH41" s="19"/>
      <c r="LWI41" s="19"/>
      <c r="LWJ41" s="21"/>
      <c r="LWK41" s="19"/>
      <c r="LWT41" s="19"/>
      <c r="LWU41" s="19"/>
      <c r="LWV41" s="19"/>
      <c r="LWW41" s="19"/>
      <c r="LWX41" s="21"/>
      <c r="LWY41" s="19"/>
      <c r="LXH41" s="19"/>
      <c r="LXI41" s="19"/>
      <c r="LXJ41" s="19"/>
      <c r="LXK41" s="19"/>
      <c r="LXL41" s="21"/>
      <c r="LXM41" s="19"/>
      <c r="LXV41" s="19"/>
      <c r="LXW41" s="19"/>
      <c r="LXX41" s="19"/>
      <c r="LXY41" s="19"/>
      <c r="LXZ41" s="21"/>
      <c r="LYA41" s="19"/>
      <c r="LYJ41" s="19"/>
      <c r="LYK41" s="19"/>
      <c r="LYL41" s="19"/>
      <c r="LYM41" s="19"/>
      <c r="LYN41" s="21"/>
      <c r="LYO41" s="19"/>
      <c r="LYX41" s="19"/>
      <c r="LYY41" s="19"/>
      <c r="LYZ41" s="19"/>
      <c r="LZA41" s="19"/>
      <c r="LZB41" s="21"/>
      <c r="LZC41" s="19"/>
      <c r="LZL41" s="19"/>
      <c r="LZM41" s="19"/>
      <c r="LZN41" s="19"/>
      <c r="LZO41" s="19"/>
      <c r="LZP41" s="21"/>
      <c r="LZQ41" s="19"/>
      <c r="LZZ41" s="19"/>
      <c r="MAA41" s="19"/>
      <c r="MAB41" s="19"/>
      <c r="MAC41" s="19"/>
      <c r="MAD41" s="21"/>
      <c r="MAE41" s="19"/>
      <c r="MAN41" s="19"/>
      <c r="MAO41" s="19"/>
      <c r="MAP41" s="19"/>
      <c r="MAQ41" s="19"/>
      <c r="MAR41" s="21"/>
      <c r="MAS41" s="19"/>
      <c r="MBB41" s="19"/>
      <c r="MBC41" s="19"/>
      <c r="MBD41" s="19"/>
      <c r="MBE41" s="19"/>
      <c r="MBF41" s="21"/>
      <c r="MBG41" s="19"/>
      <c r="MBP41" s="19"/>
      <c r="MBQ41" s="19"/>
      <c r="MBR41" s="19"/>
      <c r="MBS41" s="19"/>
      <c r="MBT41" s="21"/>
      <c r="MBU41" s="19"/>
      <c r="MCD41" s="19"/>
      <c r="MCE41" s="19"/>
      <c r="MCF41" s="19"/>
      <c r="MCG41" s="19"/>
      <c r="MCH41" s="21"/>
      <c r="MCI41" s="19"/>
      <c r="MCR41" s="19"/>
      <c r="MCS41" s="19"/>
      <c r="MCT41" s="19"/>
      <c r="MCU41" s="19"/>
      <c r="MCV41" s="21"/>
      <c r="MCW41" s="19"/>
      <c r="MDF41" s="19"/>
      <c r="MDG41" s="19"/>
      <c r="MDH41" s="19"/>
      <c r="MDI41" s="19"/>
      <c r="MDJ41" s="21"/>
      <c r="MDK41" s="19"/>
      <c r="MDT41" s="19"/>
      <c r="MDU41" s="19"/>
      <c r="MDV41" s="19"/>
      <c r="MDW41" s="19"/>
      <c r="MDX41" s="21"/>
      <c r="MDY41" s="19"/>
      <c r="MEH41" s="19"/>
      <c r="MEI41" s="19"/>
      <c r="MEJ41" s="19"/>
      <c r="MEK41" s="19"/>
      <c r="MEL41" s="21"/>
      <c r="MEM41" s="19"/>
      <c r="MEV41" s="19"/>
      <c r="MEW41" s="19"/>
      <c r="MEX41" s="19"/>
      <c r="MEY41" s="19"/>
      <c r="MEZ41" s="21"/>
      <c r="MFA41" s="19"/>
      <c r="MFJ41" s="19"/>
      <c r="MFK41" s="19"/>
      <c r="MFL41" s="19"/>
      <c r="MFM41" s="19"/>
      <c r="MFN41" s="21"/>
      <c r="MFO41" s="19"/>
      <c r="MFX41" s="19"/>
      <c r="MFY41" s="19"/>
      <c r="MFZ41" s="19"/>
      <c r="MGA41" s="19"/>
      <c r="MGB41" s="21"/>
      <c r="MGC41" s="19"/>
      <c r="MGL41" s="19"/>
      <c r="MGM41" s="19"/>
      <c r="MGN41" s="19"/>
      <c r="MGO41" s="19"/>
      <c r="MGP41" s="21"/>
      <c r="MGQ41" s="19"/>
      <c r="MGZ41" s="19"/>
      <c r="MHA41" s="19"/>
      <c r="MHB41" s="19"/>
      <c r="MHC41" s="19"/>
      <c r="MHD41" s="21"/>
      <c r="MHE41" s="19"/>
      <c r="MHN41" s="19"/>
      <c r="MHO41" s="19"/>
      <c r="MHP41" s="19"/>
      <c r="MHQ41" s="19"/>
      <c r="MHR41" s="21"/>
      <c r="MHS41" s="19"/>
      <c r="MIB41" s="19"/>
      <c r="MIC41" s="19"/>
      <c r="MID41" s="19"/>
      <c r="MIE41" s="19"/>
      <c r="MIF41" s="21"/>
      <c r="MIG41" s="19"/>
      <c r="MIP41" s="19"/>
      <c r="MIQ41" s="19"/>
      <c r="MIR41" s="19"/>
      <c r="MIS41" s="19"/>
      <c r="MIT41" s="21"/>
      <c r="MIU41" s="19"/>
      <c r="MJD41" s="19"/>
      <c r="MJE41" s="19"/>
      <c r="MJF41" s="19"/>
      <c r="MJG41" s="19"/>
      <c r="MJH41" s="21"/>
      <c r="MJI41" s="19"/>
      <c r="MJR41" s="19"/>
      <c r="MJS41" s="19"/>
      <c r="MJT41" s="19"/>
      <c r="MJU41" s="19"/>
      <c r="MJV41" s="21"/>
      <c r="MJW41" s="19"/>
      <c r="MKF41" s="19"/>
      <c r="MKG41" s="19"/>
      <c r="MKH41" s="19"/>
      <c r="MKI41" s="19"/>
      <c r="MKJ41" s="21"/>
      <c r="MKK41" s="19"/>
      <c r="MKT41" s="19"/>
      <c r="MKU41" s="19"/>
      <c r="MKV41" s="19"/>
      <c r="MKW41" s="19"/>
      <c r="MKX41" s="21"/>
      <c r="MKY41" s="19"/>
      <c r="MLH41" s="19"/>
      <c r="MLI41" s="19"/>
      <c r="MLJ41" s="19"/>
      <c r="MLK41" s="19"/>
      <c r="MLL41" s="21"/>
      <c r="MLM41" s="19"/>
      <c r="MLV41" s="19"/>
      <c r="MLW41" s="19"/>
      <c r="MLX41" s="19"/>
      <c r="MLY41" s="19"/>
      <c r="MLZ41" s="21"/>
      <c r="MMA41" s="19"/>
      <c r="MMJ41" s="19"/>
      <c r="MMK41" s="19"/>
      <c r="MML41" s="19"/>
      <c r="MMM41" s="19"/>
      <c r="MMN41" s="21"/>
      <c r="MMO41" s="19"/>
      <c r="MMX41" s="19"/>
      <c r="MMY41" s="19"/>
      <c r="MMZ41" s="19"/>
      <c r="MNA41" s="19"/>
      <c r="MNB41" s="21"/>
      <c r="MNC41" s="19"/>
      <c r="MNL41" s="19"/>
      <c r="MNM41" s="19"/>
      <c r="MNN41" s="19"/>
      <c r="MNO41" s="19"/>
      <c r="MNP41" s="21"/>
      <c r="MNQ41" s="19"/>
      <c r="MNZ41" s="19"/>
      <c r="MOA41" s="19"/>
      <c r="MOB41" s="19"/>
      <c r="MOC41" s="19"/>
      <c r="MOD41" s="21"/>
      <c r="MOE41" s="19"/>
      <c r="MON41" s="19"/>
      <c r="MOO41" s="19"/>
      <c r="MOP41" s="19"/>
      <c r="MOQ41" s="19"/>
      <c r="MOR41" s="21"/>
      <c r="MOS41" s="19"/>
      <c r="MPB41" s="19"/>
      <c r="MPC41" s="19"/>
      <c r="MPD41" s="19"/>
      <c r="MPE41" s="19"/>
      <c r="MPF41" s="21"/>
      <c r="MPG41" s="19"/>
      <c r="MPP41" s="19"/>
      <c r="MPQ41" s="19"/>
      <c r="MPR41" s="19"/>
      <c r="MPS41" s="19"/>
      <c r="MPT41" s="21"/>
      <c r="MPU41" s="19"/>
      <c r="MQD41" s="19"/>
      <c r="MQE41" s="19"/>
      <c r="MQF41" s="19"/>
      <c r="MQG41" s="19"/>
      <c r="MQH41" s="21"/>
      <c r="MQI41" s="19"/>
      <c r="MQR41" s="19"/>
      <c r="MQS41" s="19"/>
      <c r="MQT41" s="19"/>
      <c r="MQU41" s="19"/>
      <c r="MQV41" s="21"/>
      <c r="MQW41" s="19"/>
      <c r="MRF41" s="19"/>
      <c r="MRG41" s="19"/>
      <c r="MRH41" s="19"/>
      <c r="MRI41" s="19"/>
      <c r="MRJ41" s="21"/>
      <c r="MRK41" s="19"/>
      <c r="MRT41" s="19"/>
      <c r="MRU41" s="19"/>
      <c r="MRV41" s="19"/>
      <c r="MRW41" s="19"/>
      <c r="MRX41" s="21"/>
      <c r="MRY41" s="19"/>
      <c r="MSH41" s="19"/>
      <c r="MSI41" s="19"/>
      <c r="MSJ41" s="19"/>
      <c r="MSK41" s="19"/>
      <c r="MSL41" s="21"/>
      <c r="MSM41" s="19"/>
      <c r="MSV41" s="19"/>
      <c r="MSW41" s="19"/>
      <c r="MSX41" s="19"/>
      <c r="MSY41" s="19"/>
      <c r="MSZ41" s="21"/>
      <c r="MTA41" s="19"/>
      <c r="MTJ41" s="19"/>
      <c r="MTK41" s="19"/>
      <c r="MTL41" s="19"/>
      <c r="MTM41" s="19"/>
      <c r="MTN41" s="21"/>
      <c r="MTO41" s="19"/>
      <c r="MTX41" s="19"/>
      <c r="MTY41" s="19"/>
      <c r="MTZ41" s="19"/>
      <c r="MUA41" s="19"/>
      <c r="MUB41" s="21"/>
      <c r="MUC41" s="19"/>
      <c r="MUL41" s="19"/>
      <c r="MUM41" s="19"/>
      <c r="MUN41" s="19"/>
      <c r="MUO41" s="19"/>
      <c r="MUP41" s="21"/>
      <c r="MUQ41" s="19"/>
      <c r="MUZ41" s="19"/>
      <c r="MVA41" s="19"/>
      <c r="MVB41" s="19"/>
      <c r="MVC41" s="19"/>
      <c r="MVD41" s="21"/>
      <c r="MVE41" s="19"/>
      <c r="MVN41" s="19"/>
      <c r="MVO41" s="19"/>
      <c r="MVP41" s="19"/>
      <c r="MVQ41" s="19"/>
      <c r="MVR41" s="21"/>
      <c r="MVS41" s="19"/>
      <c r="MWB41" s="19"/>
      <c r="MWC41" s="19"/>
      <c r="MWD41" s="19"/>
      <c r="MWE41" s="19"/>
      <c r="MWF41" s="21"/>
      <c r="MWG41" s="19"/>
      <c r="MWP41" s="19"/>
      <c r="MWQ41" s="19"/>
      <c r="MWR41" s="19"/>
      <c r="MWS41" s="19"/>
      <c r="MWT41" s="21"/>
      <c r="MWU41" s="19"/>
      <c r="MXD41" s="19"/>
      <c r="MXE41" s="19"/>
      <c r="MXF41" s="19"/>
      <c r="MXG41" s="19"/>
      <c r="MXH41" s="21"/>
      <c r="MXI41" s="19"/>
      <c r="MXR41" s="19"/>
      <c r="MXS41" s="19"/>
      <c r="MXT41" s="19"/>
      <c r="MXU41" s="19"/>
      <c r="MXV41" s="21"/>
      <c r="MXW41" s="19"/>
      <c r="MYF41" s="19"/>
      <c r="MYG41" s="19"/>
      <c r="MYH41" s="19"/>
      <c r="MYI41" s="19"/>
      <c r="MYJ41" s="21"/>
      <c r="MYK41" s="19"/>
      <c r="MYT41" s="19"/>
      <c r="MYU41" s="19"/>
      <c r="MYV41" s="19"/>
      <c r="MYW41" s="19"/>
      <c r="MYX41" s="21"/>
      <c r="MYY41" s="19"/>
      <c r="MZH41" s="19"/>
      <c r="MZI41" s="19"/>
      <c r="MZJ41" s="19"/>
      <c r="MZK41" s="19"/>
      <c r="MZL41" s="21"/>
      <c r="MZM41" s="19"/>
      <c r="MZV41" s="19"/>
      <c r="MZW41" s="19"/>
      <c r="MZX41" s="19"/>
      <c r="MZY41" s="19"/>
      <c r="MZZ41" s="21"/>
      <c r="NAA41" s="19"/>
      <c r="NAJ41" s="19"/>
      <c r="NAK41" s="19"/>
      <c r="NAL41" s="19"/>
      <c r="NAM41" s="19"/>
      <c r="NAN41" s="21"/>
      <c r="NAO41" s="19"/>
      <c r="NAX41" s="19"/>
      <c r="NAY41" s="19"/>
      <c r="NAZ41" s="19"/>
      <c r="NBA41" s="19"/>
      <c r="NBB41" s="21"/>
      <c r="NBC41" s="19"/>
      <c r="NBL41" s="19"/>
      <c r="NBM41" s="19"/>
      <c r="NBN41" s="19"/>
      <c r="NBO41" s="19"/>
      <c r="NBP41" s="21"/>
      <c r="NBQ41" s="19"/>
      <c r="NBZ41" s="19"/>
      <c r="NCA41" s="19"/>
      <c r="NCB41" s="19"/>
      <c r="NCC41" s="19"/>
      <c r="NCD41" s="21"/>
      <c r="NCE41" s="19"/>
      <c r="NCN41" s="19"/>
      <c r="NCO41" s="19"/>
      <c r="NCP41" s="19"/>
      <c r="NCQ41" s="19"/>
      <c r="NCR41" s="21"/>
      <c r="NCS41" s="19"/>
      <c r="NDB41" s="19"/>
      <c r="NDC41" s="19"/>
      <c r="NDD41" s="19"/>
      <c r="NDE41" s="19"/>
      <c r="NDF41" s="21"/>
      <c r="NDG41" s="19"/>
      <c r="NDP41" s="19"/>
      <c r="NDQ41" s="19"/>
      <c r="NDR41" s="19"/>
      <c r="NDS41" s="19"/>
      <c r="NDT41" s="21"/>
      <c r="NDU41" s="19"/>
      <c r="NED41" s="19"/>
      <c r="NEE41" s="19"/>
      <c r="NEF41" s="19"/>
      <c r="NEG41" s="19"/>
      <c r="NEH41" s="21"/>
      <c r="NEI41" s="19"/>
      <c r="NER41" s="19"/>
      <c r="NES41" s="19"/>
      <c r="NET41" s="19"/>
      <c r="NEU41" s="19"/>
      <c r="NEV41" s="21"/>
      <c r="NEW41" s="19"/>
      <c r="NFF41" s="19"/>
      <c r="NFG41" s="19"/>
      <c r="NFH41" s="19"/>
      <c r="NFI41" s="19"/>
      <c r="NFJ41" s="21"/>
      <c r="NFK41" s="19"/>
      <c r="NFT41" s="19"/>
      <c r="NFU41" s="19"/>
      <c r="NFV41" s="19"/>
      <c r="NFW41" s="19"/>
      <c r="NFX41" s="21"/>
      <c r="NFY41" s="19"/>
      <c r="NGH41" s="19"/>
      <c r="NGI41" s="19"/>
      <c r="NGJ41" s="19"/>
      <c r="NGK41" s="19"/>
      <c r="NGL41" s="21"/>
      <c r="NGM41" s="19"/>
      <c r="NGV41" s="19"/>
      <c r="NGW41" s="19"/>
      <c r="NGX41" s="19"/>
      <c r="NGY41" s="19"/>
      <c r="NGZ41" s="21"/>
      <c r="NHA41" s="19"/>
      <c r="NHJ41" s="19"/>
      <c r="NHK41" s="19"/>
      <c r="NHL41" s="19"/>
      <c r="NHM41" s="19"/>
      <c r="NHN41" s="21"/>
      <c r="NHO41" s="19"/>
      <c r="NHX41" s="19"/>
      <c r="NHY41" s="19"/>
      <c r="NHZ41" s="19"/>
      <c r="NIA41" s="19"/>
      <c r="NIB41" s="21"/>
      <c r="NIC41" s="19"/>
      <c r="NIL41" s="19"/>
      <c r="NIM41" s="19"/>
      <c r="NIN41" s="19"/>
      <c r="NIO41" s="19"/>
      <c r="NIP41" s="21"/>
      <c r="NIQ41" s="19"/>
      <c r="NIZ41" s="19"/>
      <c r="NJA41" s="19"/>
      <c r="NJB41" s="19"/>
      <c r="NJC41" s="19"/>
      <c r="NJD41" s="21"/>
      <c r="NJE41" s="19"/>
      <c r="NJN41" s="19"/>
      <c r="NJO41" s="19"/>
      <c r="NJP41" s="19"/>
      <c r="NJQ41" s="19"/>
      <c r="NJR41" s="21"/>
      <c r="NJS41" s="19"/>
      <c r="NKB41" s="19"/>
      <c r="NKC41" s="19"/>
      <c r="NKD41" s="19"/>
      <c r="NKE41" s="19"/>
      <c r="NKF41" s="21"/>
      <c r="NKG41" s="19"/>
      <c r="NKP41" s="19"/>
      <c r="NKQ41" s="19"/>
      <c r="NKR41" s="19"/>
      <c r="NKS41" s="19"/>
      <c r="NKT41" s="21"/>
      <c r="NKU41" s="19"/>
      <c r="NLD41" s="19"/>
      <c r="NLE41" s="19"/>
      <c r="NLF41" s="19"/>
      <c r="NLG41" s="19"/>
      <c r="NLH41" s="21"/>
      <c r="NLI41" s="19"/>
      <c r="NLR41" s="19"/>
      <c r="NLS41" s="19"/>
      <c r="NLT41" s="19"/>
      <c r="NLU41" s="19"/>
      <c r="NLV41" s="21"/>
      <c r="NLW41" s="19"/>
      <c r="NMF41" s="19"/>
      <c r="NMG41" s="19"/>
      <c r="NMH41" s="19"/>
      <c r="NMI41" s="19"/>
      <c r="NMJ41" s="21"/>
      <c r="NMK41" s="19"/>
      <c r="NMT41" s="19"/>
      <c r="NMU41" s="19"/>
      <c r="NMV41" s="19"/>
      <c r="NMW41" s="19"/>
      <c r="NMX41" s="21"/>
      <c r="NMY41" s="19"/>
      <c r="NNH41" s="19"/>
      <c r="NNI41" s="19"/>
      <c r="NNJ41" s="19"/>
      <c r="NNK41" s="19"/>
      <c r="NNL41" s="21"/>
      <c r="NNM41" s="19"/>
      <c r="NNV41" s="19"/>
      <c r="NNW41" s="19"/>
      <c r="NNX41" s="19"/>
      <c r="NNY41" s="19"/>
      <c r="NNZ41" s="21"/>
      <c r="NOA41" s="19"/>
      <c r="NOJ41" s="19"/>
      <c r="NOK41" s="19"/>
      <c r="NOL41" s="19"/>
      <c r="NOM41" s="19"/>
      <c r="NON41" s="21"/>
      <c r="NOO41" s="19"/>
      <c r="NOX41" s="19"/>
      <c r="NOY41" s="19"/>
      <c r="NOZ41" s="19"/>
      <c r="NPA41" s="19"/>
      <c r="NPB41" s="21"/>
      <c r="NPC41" s="19"/>
      <c r="NPL41" s="19"/>
      <c r="NPM41" s="19"/>
      <c r="NPN41" s="19"/>
      <c r="NPO41" s="19"/>
      <c r="NPP41" s="21"/>
      <c r="NPQ41" s="19"/>
      <c r="NPZ41" s="19"/>
      <c r="NQA41" s="19"/>
      <c r="NQB41" s="19"/>
      <c r="NQC41" s="19"/>
      <c r="NQD41" s="21"/>
      <c r="NQE41" s="19"/>
      <c r="NQN41" s="19"/>
      <c r="NQO41" s="19"/>
      <c r="NQP41" s="19"/>
      <c r="NQQ41" s="19"/>
      <c r="NQR41" s="21"/>
      <c r="NQS41" s="19"/>
      <c r="NRB41" s="19"/>
      <c r="NRC41" s="19"/>
      <c r="NRD41" s="19"/>
      <c r="NRE41" s="19"/>
      <c r="NRF41" s="21"/>
      <c r="NRG41" s="19"/>
      <c r="NRP41" s="19"/>
      <c r="NRQ41" s="19"/>
      <c r="NRR41" s="19"/>
      <c r="NRS41" s="19"/>
      <c r="NRT41" s="21"/>
      <c r="NRU41" s="19"/>
      <c r="NSD41" s="19"/>
      <c r="NSE41" s="19"/>
      <c r="NSF41" s="19"/>
      <c r="NSG41" s="19"/>
      <c r="NSH41" s="21"/>
      <c r="NSI41" s="19"/>
      <c r="NSR41" s="19"/>
      <c r="NSS41" s="19"/>
      <c r="NST41" s="19"/>
      <c r="NSU41" s="19"/>
      <c r="NSV41" s="21"/>
      <c r="NSW41" s="19"/>
      <c r="NTF41" s="19"/>
      <c r="NTG41" s="19"/>
      <c r="NTH41" s="19"/>
      <c r="NTI41" s="19"/>
      <c r="NTJ41" s="21"/>
      <c r="NTK41" s="19"/>
      <c r="NTT41" s="19"/>
      <c r="NTU41" s="19"/>
      <c r="NTV41" s="19"/>
      <c r="NTW41" s="19"/>
      <c r="NTX41" s="21"/>
      <c r="NTY41" s="19"/>
      <c r="NUH41" s="19"/>
      <c r="NUI41" s="19"/>
      <c r="NUJ41" s="19"/>
      <c r="NUK41" s="19"/>
      <c r="NUL41" s="21"/>
      <c r="NUM41" s="19"/>
      <c r="NUV41" s="19"/>
      <c r="NUW41" s="19"/>
      <c r="NUX41" s="19"/>
      <c r="NUY41" s="19"/>
      <c r="NUZ41" s="21"/>
      <c r="NVA41" s="19"/>
      <c r="NVJ41" s="19"/>
      <c r="NVK41" s="19"/>
      <c r="NVL41" s="19"/>
      <c r="NVM41" s="19"/>
      <c r="NVN41" s="21"/>
      <c r="NVO41" s="19"/>
      <c r="NVX41" s="19"/>
      <c r="NVY41" s="19"/>
      <c r="NVZ41" s="19"/>
      <c r="NWA41" s="19"/>
      <c r="NWB41" s="21"/>
      <c r="NWC41" s="19"/>
      <c r="NWL41" s="19"/>
      <c r="NWM41" s="19"/>
      <c r="NWN41" s="19"/>
      <c r="NWO41" s="19"/>
      <c r="NWP41" s="21"/>
      <c r="NWQ41" s="19"/>
      <c r="NWZ41" s="19"/>
      <c r="NXA41" s="19"/>
      <c r="NXB41" s="19"/>
      <c r="NXC41" s="19"/>
      <c r="NXD41" s="21"/>
      <c r="NXE41" s="19"/>
      <c r="NXN41" s="19"/>
      <c r="NXO41" s="19"/>
      <c r="NXP41" s="19"/>
      <c r="NXQ41" s="19"/>
      <c r="NXR41" s="21"/>
      <c r="NXS41" s="19"/>
      <c r="NYB41" s="19"/>
      <c r="NYC41" s="19"/>
      <c r="NYD41" s="19"/>
      <c r="NYE41" s="19"/>
      <c r="NYF41" s="21"/>
      <c r="NYG41" s="19"/>
      <c r="NYP41" s="19"/>
      <c r="NYQ41" s="19"/>
      <c r="NYR41" s="19"/>
      <c r="NYS41" s="19"/>
      <c r="NYT41" s="21"/>
      <c r="NYU41" s="19"/>
      <c r="NZD41" s="19"/>
      <c r="NZE41" s="19"/>
      <c r="NZF41" s="19"/>
      <c r="NZG41" s="19"/>
      <c r="NZH41" s="21"/>
      <c r="NZI41" s="19"/>
      <c r="NZR41" s="19"/>
      <c r="NZS41" s="19"/>
      <c r="NZT41" s="19"/>
      <c r="NZU41" s="19"/>
      <c r="NZV41" s="21"/>
      <c r="NZW41" s="19"/>
      <c r="OAF41" s="19"/>
      <c r="OAG41" s="19"/>
      <c r="OAH41" s="19"/>
      <c r="OAI41" s="19"/>
      <c r="OAJ41" s="21"/>
      <c r="OAK41" s="19"/>
      <c r="OAT41" s="19"/>
      <c r="OAU41" s="19"/>
      <c r="OAV41" s="19"/>
      <c r="OAW41" s="19"/>
      <c r="OAX41" s="21"/>
      <c r="OAY41" s="19"/>
      <c r="OBH41" s="19"/>
      <c r="OBI41" s="19"/>
      <c r="OBJ41" s="19"/>
      <c r="OBK41" s="19"/>
      <c r="OBL41" s="21"/>
      <c r="OBM41" s="19"/>
      <c r="OBV41" s="19"/>
      <c r="OBW41" s="19"/>
      <c r="OBX41" s="19"/>
      <c r="OBY41" s="19"/>
      <c r="OBZ41" s="21"/>
      <c r="OCA41" s="19"/>
      <c r="OCJ41" s="19"/>
      <c r="OCK41" s="19"/>
      <c r="OCL41" s="19"/>
      <c r="OCM41" s="19"/>
      <c r="OCN41" s="21"/>
      <c r="OCO41" s="19"/>
      <c r="OCX41" s="19"/>
      <c r="OCY41" s="19"/>
      <c r="OCZ41" s="19"/>
      <c r="ODA41" s="19"/>
      <c r="ODB41" s="21"/>
      <c r="ODC41" s="19"/>
      <c r="ODL41" s="19"/>
      <c r="ODM41" s="19"/>
      <c r="ODN41" s="19"/>
      <c r="ODO41" s="19"/>
      <c r="ODP41" s="21"/>
      <c r="ODQ41" s="19"/>
      <c r="ODZ41" s="19"/>
      <c r="OEA41" s="19"/>
      <c r="OEB41" s="19"/>
      <c r="OEC41" s="19"/>
      <c r="OED41" s="21"/>
      <c r="OEE41" s="19"/>
      <c r="OEN41" s="19"/>
      <c r="OEO41" s="19"/>
      <c r="OEP41" s="19"/>
      <c r="OEQ41" s="19"/>
      <c r="OER41" s="21"/>
      <c r="OES41" s="19"/>
      <c r="OFB41" s="19"/>
      <c r="OFC41" s="19"/>
      <c r="OFD41" s="19"/>
      <c r="OFE41" s="19"/>
      <c r="OFF41" s="21"/>
      <c r="OFG41" s="19"/>
      <c r="OFP41" s="19"/>
      <c r="OFQ41" s="19"/>
      <c r="OFR41" s="19"/>
      <c r="OFS41" s="19"/>
      <c r="OFT41" s="21"/>
      <c r="OFU41" s="19"/>
      <c r="OGD41" s="19"/>
      <c r="OGE41" s="19"/>
      <c r="OGF41" s="19"/>
      <c r="OGG41" s="19"/>
      <c r="OGH41" s="21"/>
      <c r="OGI41" s="19"/>
      <c r="OGR41" s="19"/>
      <c r="OGS41" s="19"/>
      <c r="OGT41" s="19"/>
      <c r="OGU41" s="19"/>
      <c r="OGV41" s="21"/>
      <c r="OGW41" s="19"/>
      <c r="OHF41" s="19"/>
      <c r="OHG41" s="19"/>
      <c r="OHH41" s="19"/>
      <c r="OHI41" s="19"/>
      <c r="OHJ41" s="21"/>
      <c r="OHK41" s="19"/>
      <c r="OHT41" s="19"/>
      <c r="OHU41" s="19"/>
      <c r="OHV41" s="19"/>
      <c r="OHW41" s="19"/>
      <c r="OHX41" s="21"/>
      <c r="OHY41" s="19"/>
      <c r="OIH41" s="19"/>
      <c r="OII41" s="19"/>
      <c r="OIJ41" s="19"/>
      <c r="OIK41" s="19"/>
      <c r="OIL41" s="21"/>
      <c r="OIM41" s="19"/>
      <c r="OIV41" s="19"/>
      <c r="OIW41" s="19"/>
      <c r="OIX41" s="19"/>
      <c r="OIY41" s="19"/>
      <c r="OIZ41" s="21"/>
      <c r="OJA41" s="19"/>
      <c r="OJJ41" s="19"/>
      <c r="OJK41" s="19"/>
      <c r="OJL41" s="19"/>
      <c r="OJM41" s="19"/>
      <c r="OJN41" s="21"/>
      <c r="OJO41" s="19"/>
      <c r="OJX41" s="19"/>
      <c r="OJY41" s="19"/>
      <c r="OJZ41" s="19"/>
      <c r="OKA41" s="19"/>
      <c r="OKB41" s="21"/>
      <c r="OKC41" s="19"/>
      <c r="OKL41" s="19"/>
      <c r="OKM41" s="19"/>
      <c r="OKN41" s="19"/>
      <c r="OKO41" s="19"/>
      <c r="OKP41" s="21"/>
      <c r="OKQ41" s="19"/>
      <c r="OKZ41" s="19"/>
      <c r="OLA41" s="19"/>
      <c r="OLB41" s="19"/>
      <c r="OLC41" s="19"/>
      <c r="OLD41" s="21"/>
      <c r="OLE41" s="19"/>
      <c r="OLN41" s="19"/>
      <c r="OLO41" s="19"/>
      <c r="OLP41" s="19"/>
      <c r="OLQ41" s="19"/>
      <c r="OLR41" s="21"/>
      <c r="OLS41" s="19"/>
      <c r="OMB41" s="19"/>
      <c r="OMC41" s="19"/>
      <c r="OMD41" s="19"/>
      <c r="OME41" s="19"/>
      <c r="OMF41" s="21"/>
      <c r="OMG41" s="19"/>
      <c r="OMP41" s="19"/>
      <c r="OMQ41" s="19"/>
      <c r="OMR41" s="19"/>
      <c r="OMS41" s="19"/>
      <c r="OMT41" s="21"/>
      <c r="OMU41" s="19"/>
      <c r="OND41" s="19"/>
      <c r="ONE41" s="19"/>
      <c r="ONF41" s="19"/>
      <c r="ONG41" s="19"/>
      <c r="ONH41" s="21"/>
      <c r="ONI41" s="19"/>
      <c r="ONR41" s="19"/>
      <c r="ONS41" s="19"/>
      <c r="ONT41" s="19"/>
      <c r="ONU41" s="19"/>
      <c r="ONV41" s="21"/>
      <c r="ONW41" s="19"/>
      <c r="OOF41" s="19"/>
      <c r="OOG41" s="19"/>
      <c r="OOH41" s="19"/>
      <c r="OOI41" s="19"/>
      <c r="OOJ41" s="21"/>
      <c r="OOK41" s="19"/>
      <c r="OOT41" s="19"/>
      <c r="OOU41" s="19"/>
      <c r="OOV41" s="19"/>
      <c r="OOW41" s="19"/>
      <c r="OOX41" s="21"/>
      <c r="OOY41" s="19"/>
      <c r="OPH41" s="19"/>
      <c r="OPI41" s="19"/>
      <c r="OPJ41" s="19"/>
      <c r="OPK41" s="19"/>
      <c r="OPL41" s="21"/>
      <c r="OPM41" s="19"/>
      <c r="OPV41" s="19"/>
      <c r="OPW41" s="19"/>
      <c r="OPX41" s="19"/>
      <c r="OPY41" s="19"/>
      <c r="OPZ41" s="21"/>
      <c r="OQA41" s="19"/>
      <c r="OQJ41" s="19"/>
      <c r="OQK41" s="19"/>
      <c r="OQL41" s="19"/>
      <c r="OQM41" s="19"/>
      <c r="OQN41" s="21"/>
      <c r="OQO41" s="19"/>
      <c r="OQX41" s="19"/>
      <c r="OQY41" s="19"/>
      <c r="OQZ41" s="19"/>
      <c r="ORA41" s="19"/>
      <c r="ORB41" s="21"/>
      <c r="ORC41" s="19"/>
      <c r="ORL41" s="19"/>
      <c r="ORM41" s="19"/>
      <c r="ORN41" s="19"/>
      <c r="ORO41" s="19"/>
      <c r="ORP41" s="21"/>
      <c r="ORQ41" s="19"/>
      <c r="ORZ41" s="19"/>
      <c r="OSA41" s="19"/>
      <c r="OSB41" s="19"/>
      <c r="OSC41" s="19"/>
      <c r="OSD41" s="21"/>
      <c r="OSE41" s="19"/>
      <c r="OSN41" s="19"/>
      <c r="OSO41" s="19"/>
      <c r="OSP41" s="19"/>
      <c r="OSQ41" s="19"/>
      <c r="OSR41" s="21"/>
      <c r="OSS41" s="19"/>
      <c r="OTB41" s="19"/>
      <c r="OTC41" s="19"/>
      <c r="OTD41" s="19"/>
      <c r="OTE41" s="19"/>
      <c r="OTF41" s="21"/>
      <c r="OTG41" s="19"/>
      <c r="OTP41" s="19"/>
      <c r="OTQ41" s="19"/>
      <c r="OTR41" s="19"/>
      <c r="OTS41" s="19"/>
      <c r="OTT41" s="21"/>
      <c r="OTU41" s="19"/>
      <c r="OUD41" s="19"/>
      <c r="OUE41" s="19"/>
      <c r="OUF41" s="19"/>
      <c r="OUG41" s="19"/>
      <c r="OUH41" s="21"/>
      <c r="OUI41" s="19"/>
      <c r="OUR41" s="19"/>
      <c r="OUS41" s="19"/>
      <c r="OUT41" s="19"/>
      <c r="OUU41" s="19"/>
      <c r="OUV41" s="21"/>
      <c r="OUW41" s="19"/>
      <c r="OVF41" s="19"/>
      <c r="OVG41" s="19"/>
      <c r="OVH41" s="19"/>
      <c r="OVI41" s="19"/>
      <c r="OVJ41" s="21"/>
      <c r="OVK41" s="19"/>
      <c r="OVT41" s="19"/>
      <c r="OVU41" s="19"/>
      <c r="OVV41" s="19"/>
      <c r="OVW41" s="19"/>
      <c r="OVX41" s="21"/>
      <c r="OVY41" s="19"/>
      <c r="OWH41" s="19"/>
      <c r="OWI41" s="19"/>
      <c r="OWJ41" s="19"/>
      <c r="OWK41" s="19"/>
      <c r="OWL41" s="21"/>
      <c r="OWM41" s="19"/>
      <c r="OWV41" s="19"/>
      <c r="OWW41" s="19"/>
      <c r="OWX41" s="19"/>
      <c r="OWY41" s="19"/>
      <c r="OWZ41" s="21"/>
      <c r="OXA41" s="19"/>
      <c r="OXJ41" s="19"/>
      <c r="OXK41" s="19"/>
      <c r="OXL41" s="19"/>
      <c r="OXM41" s="19"/>
      <c r="OXN41" s="21"/>
      <c r="OXO41" s="19"/>
      <c r="OXX41" s="19"/>
      <c r="OXY41" s="19"/>
      <c r="OXZ41" s="19"/>
      <c r="OYA41" s="19"/>
      <c r="OYB41" s="21"/>
      <c r="OYC41" s="19"/>
      <c r="OYL41" s="19"/>
      <c r="OYM41" s="19"/>
      <c r="OYN41" s="19"/>
      <c r="OYO41" s="19"/>
      <c r="OYP41" s="21"/>
      <c r="OYQ41" s="19"/>
      <c r="OYZ41" s="19"/>
      <c r="OZA41" s="19"/>
      <c r="OZB41" s="19"/>
      <c r="OZC41" s="19"/>
      <c r="OZD41" s="21"/>
      <c r="OZE41" s="19"/>
      <c r="OZN41" s="19"/>
      <c r="OZO41" s="19"/>
      <c r="OZP41" s="19"/>
      <c r="OZQ41" s="19"/>
      <c r="OZR41" s="21"/>
      <c r="OZS41" s="19"/>
      <c r="PAB41" s="19"/>
      <c r="PAC41" s="19"/>
      <c r="PAD41" s="19"/>
      <c r="PAE41" s="19"/>
      <c r="PAF41" s="21"/>
      <c r="PAG41" s="19"/>
      <c r="PAP41" s="19"/>
      <c r="PAQ41" s="19"/>
      <c r="PAR41" s="19"/>
      <c r="PAS41" s="19"/>
      <c r="PAT41" s="21"/>
      <c r="PAU41" s="19"/>
      <c r="PBD41" s="19"/>
      <c r="PBE41" s="19"/>
      <c r="PBF41" s="19"/>
      <c r="PBG41" s="19"/>
      <c r="PBH41" s="21"/>
      <c r="PBI41" s="19"/>
      <c r="PBR41" s="19"/>
      <c r="PBS41" s="19"/>
      <c r="PBT41" s="19"/>
      <c r="PBU41" s="19"/>
      <c r="PBV41" s="21"/>
      <c r="PBW41" s="19"/>
      <c r="PCF41" s="19"/>
      <c r="PCG41" s="19"/>
      <c r="PCH41" s="19"/>
      <c r="PCI41" s="19"/>
      <c r="PCJ41" s="21"/>
      <c r="PCK41" s="19"/>
      <c r="PCT41" s="19"/>
      <c r="PCU41" s="19"/>
      <c r="PCV41" s="19"/>
      <c r="PCW41" s="19"/>
      <c r="PCX41" s="21"/>
      <c r="PCY41" s="19"/>
      <c r="PDH41" s="19"/>
      <c r="PDI41" s="19"/>
      <c r="PDJ41" s="19"/>
      <c r="PDK41" s="19"/>
      <c r="PDL41" s="21"/>
      <c r="PDM41" s="19"/>
      <c r="PDV41" s="19"/>
      <c r="PDW41" s="19"/>
      <c r="PDX41" s="19"/>
      <c r="PDY41" s="19"/>
      <c r="PDZ41" s="21"/>
      <c r="PEA41" s="19"/>
      <c r="PEJ41" s="19"/>
      <c r="PEK41" s="19"/>
      <c r="PEL41" s="19"/>
      <c r="PEM41" s="19"/>
      <c r="PEN41" s="21"/>
      <c r="PEO41" s="19"/>
      <c r="PEX41" s="19"/>
      <c r="PEY41" s="19"/>
      <c r="PEZ41" s="19"/>
      <c r="PFA41" s="19"/>
      <c r="PFB41" s="21"/>
      <c r="PFC41" s="19"/>
      <c r="PFL41" s="19"/>
      <c r="PFM41" s="19"/>
      <c r="PFN41" s="19"/>
      <c r="PFO41" s="19"/>
      <c r="PFP41" s="21"/>
      <c r="PFQ41" s="19"/>
      <c r="PFZ41" s="19"/>
      <c r="PGA41" s="19"/>
      <c r="PGB41" s="19"/>
      <c r="PGC41" s="19"/>
      <c r="PGD41" s="21"/>
      <c r="PGE41" s="19"/>
      <c r="PGN41" s="19"/>
      <c r="PGO41" s="19"/>
      <c r="PGP41" s="19"/>
      <c r="PGQ41" s="19"/>
      <c r="PGR41" s="21"/>
      <c r="PGS41" s="19"/>
      <c r="PHB41" s="19"/>
      <c r="PHC41" s="19"/>
      <c r="PHD41" s="19"/>
      <c r="PHE41" s="19"/>
      <c r="PHF41" s="21"/>
      <c r="PHG41" s="19"/>
      <c r="PHP41" s="19"/>
      <c r="PHQ41" s="19"/>
      <c r="PHR41" s="19"/>
      <c r="PHS41" s="19"/>
      <c r="PHT41" s="21"/>
      <c r="PHU41" s="19"/>
      <c r="PID41" s="19"/>
      <c r="PIE41" s="19"/>
      <c r="PIF41" s="19"/>
      <c r="PIG41" s="19"/>
      <c r="PIH41" s="21"/>
      <c r="PII41" s="19"/>
      <c r="PIR41" s="19"/>
      <c r="PIS41" s="19"/>
      <c r="PIT41" s="19"/>
      <c r="PIU41" s="19"/>
      <c r="PIV41" s="21"/>
      <c r="PIW41" s="19"/>
      <c r="PJF41" s="19"/>
      <c r="PJG41" s="19"/>
      <c r="PJH41" s="19"/>
      <c r="PJI41" s="19"/>
      <c r="PJJ41" s="21"/>
      <c r="PJK41" s="19"/>
      <c r="PJT41" s="19"/>
      <c r="PJU41" s="19"/>
      <c r="PJV41" s="19"/>
      <c r="PJW41" s="19"/>
      <c r="PJX41" s="21"/>
      <c r="PJY41" s="19"/>
      <c r="PKH41" s="19"/>
      <c r="PKI41" s="19"/>
      <c r="PKJ41" s="19"/>
      <c r="PKK41" s="19"/>
      <c r="PKL41" s="21"/>
      <c r="PKM41" s="19"/>
      <c r="PKV41" s="19"/>
      <c r="PKW41" s="19"/>
      <c r="PKX41" s="19"/>
      <c r="PKY41" s="19"/>
      <c r="PKZ41" s="21"/>
      <c r="PLA41" s="19"/>
      <c r="PLJ41" s="19"/>
      <c r="PLK41" s="19"/>
      <c r="PLL41" s="19"/>
      <c r="PLM41" s="19"/>
      <c r="PLN41" s="21"/>
      <c r="PLO41" s="19"/>
      <c r="PLX41" s="19"/>
      <c r="PLY41" s="19"/>
      <c r="PLZ41" s="19"/>
      <c r="PMA41" s="19"/>
      <c r="PMB41" s="21"/>
      <c r="PMC41" s="19"/>
      <c r="PML41" s="19"/>
      <c r="PMM41" s="19"/>
      <c r="PMN41" s="19"/>
      <c r="PMO41" s="19"/>
      <c r="PMP41" s="21"/>
      <c r="PMQ41" s="19"/>
      <c r="PMZ41" s="19"/>
      <c r="PNA41" s="19"/>
      <c r="PNB41" s="19"/>
      <c r="PNC41" s="19"/>
      <c r="PND41" s="21"/>
      <c r="PNE41" s="19"/>
      <c r="PNN41" s="19"/>
      <c r="PNO41" s="19"/>
      <c r="PNP41" s="19"/>
      <c r="PNQ41" s="19"/>
      <c r="PNR41" s="21"/>
      <c r="PNS41" s="19"/>
      <c r="POB41" s="19"/>
      <c r="POC41" s="19"/>
      <c r="POD41" s="19"/>
      <c r="POE41" s="19"/>
      <c r="POF41" s="21"/>
      <c r="POG41" s="19"/>
      <c r="POP41" s="19"/>
      <c r="POQ41" s="19"/>
      <c r="POR41" s="19"/>
      <c r="POS41" s="19"/>
      <c r="POT41" s="21"/>
      <c r="POU41" s="19"/>
      <c r="PPD41" s="19"/>
      <c r="PPE41" s="19"/>
      <c r="PPF41" s="19"/>
      <c r="PPG41" s="19"/>
      <c r="PPH41" s="21"/>
      <c r="PPI41" s="19"/>
      <c r="PPR41" s="19"/>
      <c r="PPS41" s="19"/>
      <c r="PPT41" s="19"/>
      <c r="PPU41" s="19"/>
      <c r="PPV41" s="21"/>
      <c r="PPW41" s="19"/>
      <c r="PQF41" s="19"/>
      <c r="PQG41" s="19"/>
      <c r="PQH41" s="19"/>
      <c r="PQI41" s="19"/>
      <c r="PQJ41" s="21"/>
      <c r="PQK41" s="19"/>
      <c r="PQT41" s="19"/>
      <c r="PQU41" s="19"/>
      <c r="PQV41" s="19"/>
      <c r="PQW41" s="19"/>
      <c r="PQX41" s="21"/>
      <c r="PQY41" s="19"/>
      <c r="PRH41" s="19"/>
      <c r="PRI41" s="19"/>
      <c r="PRJ41" s="19"/>
      <c r="PRK41" s="19"/>
      <c r="PRL41" s="21"/>
      <c r="PRM41" s="19"/>
      <c r="PRV41" s="19"/>
      <c r="PRW41" s="19"/>
      <c r="PRX41" s="19"/>
      <c r="PRY41" s="19"/>
      <c r="PRZ41" s="21"/>
      <c r="PSA41" s="19"/>
      <c r="PSJ41" s="19"/>
      <c r="PSK41" s="19"/>
      <c r="PSL41" s="19"/>
      <c r="PSM41" s="19"/>
      <c r="PSN41" s="21"/>
      <c r="PSO41" s="19"/>
      <c r="PSX41" s="19"/>
      <c r="PSY41" s="19"/>
      <c r="PSZ41" s="19"/>
      <c r="PTA41" s="19"/>
      <c r="PTB41" s="21"/>
      <c r="PTC41" s="19"/>
      <c r="PTL41" s="19"/>
      <c r="PTM41" s="19"/>
      <c r="PTN41" s="19"/>
      <c r="PTO41" s="19"/>
      <c r="PTP41" s="21"/>
      <c r="PTQ41" s="19"/>
      <c r="PTZ41" s="19"/>
      <c r="PUA41" s="19"/>
      <c r="PUB41" s="19"/>
      <c r="PUC41" s="19"/>
      <c r="PUD41" s="21"/>
      <c r="PUE41" s="19"/>
      <c r="PUN41" s="19"/>
      <c r="PUO41" s="19"/>
      <c r="PUP41" s="19"/>
      <c r="PUQ41" s="19"/>
      <c r="PUR41" s="21"/>
      <c r="PUS41" s="19"/>
      <c r="PVB41" s="19"/>
      <c r="PVC41" s="19"/>
      <c r="PVD41" s="19"/>
      <c r="PVE41" s="19"/>
      <c r="PVF41" s="21"/>
      <c r="PVG41" s="19"/>
      <c r="PVP41" s="19"/>
      <c r="PVQ41" s="19"/>
      <c r="PVR41" s="19"/>
      <c r="PVS41" s="19"/>
      <c r="PVT41" s="21"/>
      <c r="PVU41" s="19"/>
      <c r="PWD41" s="19"/>
      <c r="PWE41" s="19"/>
      <c r="PWF41" s="19"/>
      <c r="PWG41" s="19"/>
      <c r="PWH41" s="21"/>
      <c r="PWI41" s="19"/>
      <c r="PWR41" s="19"/>
      <c r="PWS41" s="19"/>
      <c r="PWT41" s="19"/>
      <c r="PWU41" s="19"/>
      <c r="PWV41" s="21"/>
      <c r="PWW41" s="19"/>
      <c r="PXF41" s="19"/>
      <c r="PXG41" s="19"/>
      <c r="PXH41" s="19"/>
      <c r="PXI41" s="19"/>
      <c r="PXJ41" s="21"/>
      <c r="PXK41" s="19"/>
      <c r="PXT41" s="19"/>
      <c r="PXU41" s="19"/>
      <c r="PXV41" s="19"/>
      <c r="PXW41" s="19"/>
      <c r="PXX41" s="21"/>
      <c r="PXY41" s="19"/>
      <c r="PYH41" s="19"/>
      <c r="PYI41" s="19"/>
      <c r="PYJ41" s="19"/>
      <c r="PYK41" s="19"/>
      <c r="PYL41" s="21"/>
      <c r="PYM41" s="19"/>
      <c r="PYV41" s="19"/>
      <c r="PYW41" s="19"/>
      <c r="PYX41" s="19"/>
      <c r="PYY41" s="19"/>
      <c r="PYZ41" s="21"/>
      <c r="PZA41" s="19"/>
      <c r="PZJ41" s="19"/>
      <c r="PZK41" s="19"/>
      <c r="PZL41" s="19"/>
      <c r="PZM41" s="19"/>
      <c r="PZN41" s="21"/>
      <c r="PZO41" s="19"/>
      <c r="PZX41" s="19"/>
      <c r="PZY41" s="19"/>
      <c r="PZZ41" s="19"/>
      <c r="QAA41" s="19"/>
      <c r="QAB41" s="21"/>
      <c r="QAC41" s="19"/>
      <c r="QAL41" s="19"/>
      <c r="QAM41" s="19"/>
      <c r="QAN41" s="19"/>
      <c r="QAO41" s="19"/>
      <c r="QAP41" s="21"/>
      <c r="QAQ41" s="19"/>
      <c r="QAZ41" s="19"/>
      <c r="QBA41" s="19"/>
      <c r="QBB41" s="19"/>
      <c r="QBC41" s="19"/>
      <c r="QBD41" s="21"/>
      <c r="QBE41" s="19"/>
      <c r="QBN41" s="19"/>
      <c r="QBO41" s="19"/>
      <c r="QBP41" s="19"/>
      <c r="QBQ41" s="19"/>
      <c r="QBR41" s="21"/>
      <c r="QBS41" s="19"/>
      <c r="QCB41" s="19"/>
      <c r="QCC41" s="19"/>
      <c r="QCD41" s="19"/>
      <c r="QCE41" s="19"/>
      <c r="QCF41" s="21"/>
      <c r="QCG41" s="19"/>
      <c r="QCP41" s="19"/>
      <c r="QCQ41" s="19"/>
      <c r="QCR41" s="19"/>
      <c r="QCS41" s="19"/>
      <c r="QCT41" s="21"/>
      <c r="QCU41" s="19"/>
      <c r="QDD41" s="19"/>
      <c r="QDE41" s="19"/>
      <c r="QDF41" s="19"/>
      <c r="QDG41" s="19"/>
      <c r="QDH41" s="21"/>
      <c r="QDI41" s="19"/>
      <c r="QDR41" s="19"/>
      <c r="QDS41" s="19"/>
      <c r="QDT41" s="19"/>
      <c r="QDU41" s="19"/>
      <c r="QDV41" s="21"/>
      <c r="QDW41" s="19"/>
      <c r="QEF41" s="19"/>
      <c r="QEG41" s="19"/>
      <c r="QEH41" s="19"/>
      <c r="QEI41" s="19"/>
      <c r="QEJ41" s="21"/>
      <c r="QEK41" s="19"/>
      <c r="QET41" s="19"/>
      <c r="QEU41" s="19"/>
      <c r="QEV41" s="19"/>
      <c r="QEW41" s="19"/>
      <c r="QEX41" s="21"/>
      <c r="QEY41" s="19"/>
      <c r="QFH41" s="19"/>
      <c r="QFI41" s="19"/>
      <c r="QFJ41" s="19"/>
      <c r="QFK41" s="19"/>
      <c r="QFL41" s="21"/>
      <c r="QFM41" s="19"/>
      <c r="QFV41" s="19"/>
      <c r="QFW41" s="19"/>
      <c r="QFX41" s="19"/>
      <c r="QFY41" s="19"/>
      <c r="QFZ41" s="21"/>
      <c r="QGA41" s="19"/>
      <c r="QGJ41" s="19"/>
      <c r="QGK41" s="19"/>
      <c r="QGL41" s="19"/>
      <c r="QGM41" s="19"/>
      <c r="QGN41" s="21"/>
      <c r="QGO41" s="19"/>
      <c r="QGX41" s="19"/>
      <c r="QGY41" s="19"/>
      <c r="QGZ41" s="19"/>
      <c r="QHA41" s="19"/>
      <c r="QHB41" s="21"/>
      <c r="QHC41" s="19"/>
      <c r="QHL41" s="19"/>
      <c r="QHM41" s="19"/>
      <c r="QHN41" s="19"/>
      <c r="QHO41" s="19"/>
      <c r="QHP41" s="21"/>
      <c r="QHQ41" s="19"/>
      <c r="QHZ41" s="19"/>
      <c r="QIA41" s="19"/>
      <c r="QIB41" s="19"/>
      <c r="QIC41" s="19"/>
      <c r="QID41" s="21"/>
      <c r="QIE41" s="19"/>
      <c r="QIN41" s="19"/>
      <c r="QIO41" s="19"/>
      <c r="QIP41" s="19"/>
      <c r="QIQ41" s="19"/>
      <c r="QIR41" s="21"/>
      <c r="QIS41" s="19"/>
      <c r="QJB41" s="19"/>
      <c r="QJC41" s="19"/>
      <c r="QJD41" s="19"/>
      <c r="QJE41" s="19"/>
      <c r="QJF41" s="21"/>
      <c r="QJG41" s="19"/>
      <c r="QJP41" s="19"/>
      <c r="QJQ41" s="19"/>
      <c r="QJR41" s="19"/>
      <c r="QJS41" s="19"/>
      <c r="QJT41" s="21"/>
      <c r="QJU41" s="19"/>
      <c r="QKD41" s="19"/>
      <c r="QKE41" s="19"/>
      <c r="QKF41" s="19"/>
      <c r="QKG41" s="19"/>
      <c r="QKH41" s="21"/>
      <c r="QKI41" s="19"/>
      <c r="QKR41" s="19"/>
      <c r="QKS41" s="19"/>
      <c r="QKT41" s="19"/>
      <c r="QKU41" s="19"/>
      <c r="QKV41" s="21"/>
      <c r="QKW41" s="19"/>
      <c r="QLF41" s="19"/>
      <c r="QLG41" s="19"/>
      <c r="QLH41" s="19"/>
      <c r="QLI41" s="19"/>
      <c r="QLJ41" s="21"/>
      <c r="QLK41" s="19"/>
      <c r="QLT41" s="19"/>
      <c r="QLU41" s="19"/>
      <c r="QLV41" s="19"/>
      <c r="QLW41" s="19"/>
      <c r="QLX41" s="21"/>
      <c r="QLY41" s="19"/>
      <c r="QMH41" s="19"/>
      <c r="QMI41" s="19"/>
      <c r="QMJ41" s="19"/>
      <c r="QMK41" s="19"/>
      <c r="QML41" s="21"/>
      <c r="QMM41" s="19"/>
      <c r="QMV41" s="19"/>
      <c r="QMW41" s="19"/>
      <c r="QMX41" s="19"/>
      <c r="QMY41" s="19"/>
      <c r="QMZ41" s="21"/>
      <c r="QNA41" s="19"/>
      <c r="QNJ41" s="19"/>
      <c r="QNK41" s="19"/>
      <c r="QNL41" s="19"/>
      <c r="QNM41" s="19"/>
      <c r="QNN41" s="21"/>
      <c r="QNO41" s="19"/>
      <c r="QNX41" s="19"/>
      <c r="QNY41" s="19"/>
      <c r="QNZ41" s="19"/>
      <c r="QOA41" s="19"/>
      <c r="QOB41" s="21"/>
      <c r="QOC41" s="19"/>
      <c r="QOL41" s="19"/>
      <c r="QOM41" s="19"/>
      <c r="QON41" s="19"/>
      <c r="QOO41" s="19"/>
      <c r="QOP41" s="21"/>
      <c r="QOQ41" s="19"/>
      <c r="QOZ41" s="19"/>
      <c r="QPA41" s="19"/>
      <c r="QPB41" s="19"/>
      <c r="QPC41" s="19"/>
      <c r="QPD41" s="21"/>
      <c r="QPE41" s="19"/>
      <c r="QPN41" s="19"/>
      <c r="QPO41" s="19"/>
      <c r="QPP41" s="19"/>
      <c r="QPQ41" s="19"/>
      <c r="QPR41" s="21"/>
      <c r="QPS41" s="19"/>
      <c r="QQB41" s="19"/>
      <c r="QQC41" s="19"/>
      <c r="QQD41" s="19"/>
      <c r="QQE41" s="19"/>
      <c r="QQF41" s="21"/>
      <c r="QQG41" s="19"/>
      <c r="QQP41" s="19"/>
      <c r="QQQ41" s="19"/>
      <c r="QQR41" s="19"/>
      <c r="QQS41" s="19"/>
      <c r="QQT41" s="21"/>
      <c r="QQU41" s="19"/>
      <c r="QRD41" s="19"/>
      <c r="QRE41" s="19"/>
      <c r="QRF41" s="19"/>
      <c r="QRG41" s="19"/>
      <c r="QRH41" s="21"/>
      <c r="QRI41" s="19"/>
      <c r="QRR41" s="19"/>
      <c r="QRS41" s="19"/>
      <c r="QRT41" s="19"/>
      <c r="QRU41" s="19"/>
      <c r="QRV41" s="21"/>
      <c r="QRW41" s="19"/>
      <c r="QSF41" s="19"/>
      <c r="QSG41" s="19"/>
      <c r="QSH41" s="19"/>
      <c r="QSI41" s="19"/>
      <c r="QSJ41" s="21"/>
      <c r="QSK41" s="19"/>
      <c r="QST41" s="19"/>
      <c r="QSU41" s="19"/>
      <c r="QSV41" s="19"/>
      <c r="QSW41" s="19"/>
      <c r="QSX41" s="21"/>
      <c r="QSY41" s="19"/>
      <c r="QTH41" s="19"/>
      <c r="QTI41" s="19"/>
      <c r="QTJ41" s="19"/>
      <c r="QTK41" s="19"/>
      <c r="QTL41" s="21"/>
      <c r="QTM41" s="19"/>
      <c r="QTV41" s="19"/>
      <c r="QTW41" s="19"/>
      <c r="QTX41" s="19"/>
      <c r="QTY41" s="19"/>
      <c r="QTZ41" s="21"/>
      <c r="QUA41" s="19"/>
      <c r="QUJ41" s="19"/>
      <c r="QUK41" s="19"/>
      <c r="QUL41" s="19"/>
      <c r="QUM41" s="19"/>
      <c r="QUN41" s="21"/>
      <c r="QUO41" s="19"/>
      <c r="QUX41" s="19"/>
      <c r="QUY41" s="19"/>
      <c r="QUZ41" s="19"/>
      <c r="QVA41" s="19"/>
      <c r="QVB41" s="21"/>
      <c r="QVC41" s="19"/>
      <c r="QVL41" s="19"/>
      <c r="QVM41" s="19"/>
      <c r="QVN41" s="19"/>
      <c r="QVO41" s="19"/>
      <c r="QVP41" s="21"/>
      <c r="QVQ41" s="19"/>
      <c r="QVZ41" s="19"/>
      <c r="QWA41" s="19"/>
      <c r="QWB41" s="19"/>
      <c r="QWC41" s="19"/>
      <c r="QWD41" s="21"/>
      <c r="QWE41" s="19"/>
      <c r="QWN41" s="19"/>
      <c r="QWO41" s="19"/>
      <c r="QWP41" s="19"/>
      <c r="QWQ41" s="19"/>
      <c r="QWR41" s="21"/>
      <c r="QWS41" s="19"/>
      <c r="QXB41" s="19"/>
      <c r="QXC41" s="19"/>
      <c r="QXD41" s="19"/>
      <c r="QXE41" s="19"/>
      <c r="QXF41" s="21"/>
      <c r="QXG41" s="19"/>
      <c r="QXP41" s="19"/>
      <c r="QXQ41" s="19"/>
      <c r="QXR41" s="19"/>
      <c r="QXS41" s="19"/>
      <c r="QXT41" s="21"/>
      <c r="QXU41" s="19"/>
      <c r="QYD41" s="19"/>
      <c r="QYE41" s="19"/>
      <c r="QYF41" s="19"/>
      <c r="QYG41" s="19"/>
      <c r="QYH41" s="21"/>
      <c r="QYI41" s="19"/>
      <c r="QYR41" s="19"/>
      <c r="QYS41" s="19"/>
      <c r="QYT41" s="19"/>
      <c r="QYU41" s="19"/>
      <c r="QYV41" s="21"/>
      <c r="QYW41" s="19"/>
      <c r="QZF41" s="19"/>
      <c r="QZG41" s="19"/>
      <c r="QZH41" s="19"/>
      <c r="QZI41" s="19"/>
      <c r="QZJ41" s="21"/>
      <c r="QZK41" s="19"/>
      <c r="QZT41" s="19"/>
      <c r="QZU41" s="19"/>
      <c r="QZV41" s="19"/>
      <c r="QZW41" s="19"/>
      <c r="QZX41" s="21"/>
      <c r="QZY41" s="19"/>
      <c r="RAH41" s="19"/>
      <c r="RAI41" s="19"/>
      <c r="RAJ41" s="19"/>
      <c r="RAK41" s="19"/>
      <c r="RAL41" s="21"/>
      <c r="RAM41" s="19"/>
      <c r="RAV41" s="19"/>
      <c r="RAW41" s="19"/>
      <c r="RAX41" s="19"/>
      <c r="RAY41" s="19"/>
      <c r="RAZ41" s="21"/>
      <c r="RBA41" s="19"/>
      <c r="RBJ41" s="19"/>
      <c r="RBK41" s="19"/>
      <c r="RBL41" s="19"/>
      <c r="RBM41" s="19"/>
      <c r="RBN41" s="21"/>
      <c r="RBO41" s="19"/>
      <c r="RBX41" s="19"/>
      <c r="RBY41" s="19"/>
      <c r="RBZ41" s="19"/>
      <c r="RCA41" s="19"/>
      <c r="RCB41" s="21"/>
      <c r="RCC41" s="19"/>
      <c r="RCL41" s="19"/>
      <c r="RCM41" s="19"/>
      <c r="RCN41" s="19"/>
      <c r="RCO41" s="19"/>
      <c r="RCP41" s="21"/>
      <c r="RCQ41" s="19"/>
      <c r="RCZ41" s="19"/>
      <c r="RDA41" s="19"/>
      <c r="RDB41" s="19"/>
      <c r="RDC41" s="19"/>
      <c r="RDD41" s="21"/>
      <c r="RDE41" s="19"/>
      <c r="RDN41" s="19"/>
      <c r="RDO41" s="19"/>
      <c r="RDP41" s="19"/>
      <c r="RDQ41" s="19"/>
      <c r="RDR41" s="21"/>
      <c r="RDS41" s="19"/>
      <c r="REB41" s="19"/>
      <c r="REC41" s="19"/>
      <c r="RED41" s="19"/>
      <c r="REE41" s="19"/>
      <c r="REF41" s="21"/>
      <c r="REG41" s="19"/>
      <c r="REP41" s="19"/>
      <c r="REQ41" s="19"/>
      <c r="RER41" s="19"/>
      <c r="RES41" s="19"/>
      <c r="RET41" s="21"/>
      <c r="REU41" s="19"/>
      <c r="RFD41" s="19"/>
      <c r="RFE41" s="19"/>
      <c r="RFF41" s="19"/>
      <c r="RFG41" s="19"/>
      <c r="RFH41" s="21"/>
      <c r="RFI41" s="19"/>
      <c r="RFR41" s="19"/>
      <c r="RFS41" s="19"/>
      <c r="RFT41" s="19"/>
      <c r="RFU41" s="19"/>
      <c r="RFV41" s="21"/>
      <c r="RFW41" s="19"/>
      <c r="RGF41" s="19"/>
      <c r="RGG41" s="19"/>
      <c r="RGH41" s="19"/>
      <c r="RGI41" s="19"/>
      <c r="RGJ41" s="21"/>
      <c r="RGK41" s="19"/>
      <c r="RGT41" s="19"/>
      <c r="RGU41" s="19"/>
      <c r="RGV41" s="19"/>
      <c r="RGW41" s="19"/>
      <c r="RGX41" s="21"/>
      <c r="RGY41" s="19"/>
      <c r="RHH41" s="19"/>
      <c r="RHI41" s="19"/>
      <c r="RHJ41" s="19"/>
      <c r="RHK41" s="19"/>
      <c r="RHL41" s="21"/>
      <c r="RHM41" s="19"/>
      <c r="RHV41" s="19"/>
      <c r="RHW41" s="19"/>
      <c r="RHX41" s="19"/>
      <c r="RHY41" s="19"/>
      <c r="RHZ41" s="21"/>
      <c r="RIA41" s="19"/>
      <c r="RIJ41" s="19"/>
      <c r="RIK41" s="19"/>
      <c r="RIL41" s="19"/>
      <c r="RIM41" s="19"/>
      <c r="RIN41" s="21"/>
      <c r="RIO41" s="19"/>
      <c r="RIX41" s="19"/>
      <c r="RIY41" s="19"/>
      <c r="RIZ41" s="19"/>
      <c r="RJA41" s="19"/>
      <c r="RJB41" s="21"/>
      <c r="RJC41" s="19"/>
      <c r="RJL41" s="19"/>
      <c r="RJM41" s="19"/>
      <c r="RJN41" s="19"/>
      <c r="RJO41" s="19"/>
      <c r="RJP41" s="21"/>
      <c r="RJQ41" s="19"/>
      <c r="RJZ41" s="19"/>
      <c r="RKA41" s="19"/>
      <c r="RKB41" s="19"/>
      <c r="RKC41" s="19"/>
      <c r="RKD41" s="21"/>
      <c r="RKE41" s="19"/>
      <c r="RKN41" s="19"/>
      <c r="RKO41" s="19"/>
      <c r="RKP41" s="19"/>
      <c r="RKQ41" s="19"/>
      <c r="RKR41" s="21"/>
      <c r="RKS41" s="19"/>
      <c r="RLB41" s="19"/>
      <c r="RLC41" s="19"/>
      <c r="RLD41" s="19"/>
      <c r="RLE41" s="19"/>
      <c r="RLF41" s="21"/>
      <c r="RLG41" s="19"/>
      <c r="RLP41" s="19"/>
      <c r="RLQ41" s="19"/>
      <c r="RLR41" s="19"/>
      <c r="RLS41" s="19"/>
      <c r="RLT41" s="21"/>
      <c r="RLU41" s="19"/>
      <c r="RMD41" s="19"/>
      <c r="RME41" s="19"/>
      <c r="RMF41" s="19"/>
      <c r="RMG41" s="19"/>
      <c r="RMH41" s="21"/>
      <c r="RMI41" s="19"/>
      <c r="RMR41" s="19"/>
      <c r="RMS41" s="19"/>
      <c r="RMT41" s="19"/>
      <c r="RMU41" s="19"/>
      <c r="RMV41" s="21"/>
      <c r="RMW41" s="19"/>
      <c r="RNF41" s="19"/>
      <c r="RNG41" s="19"/>
      <c r="RNH41" s="19"/>
      <c r="RNI41" s="19"/>
      <c r="RNJ41" s="21"/>
      <c r="RNK41" s="19"/>
      <c r="RNT41" s="19"/>
      <c r="RNU41" s="19"/>
      <c r="RNV41" s="19"/>
      <c r="RNW41" s="19"/>
      <c r="RNX41" s="21"/>
      <c r="RNY41" s="19"/>
      <c r="ROH41" s="19"/>
      <c r="ROI41" s="19"/>
      <c r="ROJ41" s="19"/>
      <c r="ROK41" s="19"/>
      <c r="ROL41" s="21"/>
      <c r="ROM41" s="19"/>
      <c r="ROV41" s="19"/>
      <c r="ROW41" s="19"/>
      <c r="ROX41" s="19"/>
      <c r="ROY41" s="19"/>
      <c r="ROZ41" s="21"/>
      <c r="RPA41" s="19"/>
      <c r="RPJ41" s="19"/>
      <c r="RPK41" s="19"/>
      <c r="RPL41" s="19"/>
      <c r="RPM41" s="19"/>
      <c r="RPN41" s="21"/>
      <c r="RPO41" s="19"/>
      <c r="RPX41" s="19"/>
      <c r="RPY41" s="19"/>
      <c r="RPZ41" s="19"/>
      <c r="RQA41" s="19"/>
      <c r="RQB41" s="21"/>
      <c r="RQC41" s="19"/>
      <c r="RQL41" s="19"/>
      <c r="RQM41" s="19"/>
      <c r="RQN41" s="19"/>
      <c r="RQO41" s="19"/>
      <c r="RQP41" s="21"/>
      <c r="RQQ41" s="19"/>
      <c r="RQZ41" s="19"/>
      <c r="RRA41" s="19"/>
      <c r="RRB41" s="19"/>
      <c r="RRC41" s="19"/>
      <c r="RRD41" s="21"/>
      <c r="RRE41" s="19"/>
      <c r="RRN41" s="19"/>
      <c r="RRO41" s="19"/>
      <c r="RRP41" s="19"/>
      <c r="RRQ41" s="19"/>
      <c r="RRR41" s="21"/>
      <c r="RRS41" s="19"/>
      <c r="RSB41" s="19"/>
      <c r="RSC41" s="19"/>
      <c r="RSD41" s="19"/>
      <c r="RSE41" s="19"/>
      <c r="RSF41" s="21"/>
      <c r="RSG41" s="19"/>
      <c r="RSP41" s="19"/>
      <c r="RSQ41" s="19"/>
      <c r="RSR41" s="19"/>
      <c r="RSS41" s="19"/>
      <c r="RST41" s="21"/>
      <c r="RSU41" s="19"/>
      <c r="RTD41" s="19"/>
      <c r="RTE41" s="19"/>
      <c r="RTF41" s="19"/>
      <c r="RTG41" s="19"/>
      <c r="RTH41" s="21"/>
      <c r="RTI41" s="19"/>
      <c r="RTR41" s="19"/>
      <c r="RTS41" s="19"/>
      <c r="RTT41" s="19"/>
      <c r="RTU41" s="19"/>
      <c r="RTV41" s="21"/>
      <c r="RTW41" s="19"/>
      <c r="RUF41" s="19"/>
      <c r="RUG41" s="19"/>
      <c r="RUH41" s="19"/>
      <c r="RUI41" s="19"/>
      <c r="RUJ41" s="21"/>
      <c r="RUK41" s="19"/>
      <c r="RUT41" s="19"/>
      <c r="RUU41" s="19"/>
      <c r="RUV41" s="19"/>
      <c r="RUW41" s="19"/>
      <c r="RUX41" s="21"/>
      <c r="RUY41" s="19"/>
      <c r="RVH41" s="19"/>
      <c r="RVI41" s="19"/>
      <c r="RVJ41" s="19"/>
      <c r="RVK41" s="19"/>
      <c r="RVL41" s="21"/>
      <c r="RVM41" s="19"/>
      <c r="RVV41" s="19"/>
      <c r="RVW41" s="19"/>
      <c r="RVX41" s="19"/>
      <c r="RVY41" s="19"/>
      <c r="RVZ41" s="21"/>
      <c r="RWA41" s="19"/>
      <c r="RWJ41" s="19"/>
      <c r="RWK41" s="19"/>
      <c r="RWL41" s="19"/>
      <c r="RWM41" s="19"/>
      <c r="RWN41" s="21"/>
      <c r="RWO41" s="19"/>
      <c r="RWX41" s="19"/>
      <c r="RWY41" s="19"/>
      <c r="RWZ41" s="19"/>
      <c r="RXA41" s="19"/>
      <c r="RXB41" s="21"/>
      <c r="RXC41" s="19"/>
      <c r="RXL41" s="19"/>
      <c r="RXM41" s="19"/>
      <c r="RXN41" s="19"/>
      <c r="RXO41" s="19"/>
      <c r="RXP41" s="21"/>
      <c r="RXQ41" s="19"/>
      <c r="RXZ41" s="19"/>
      <c r="RYA41" s="19"/>
      <c r="RYB41" s="19"/>
      <c r="RYC41" s="19"/>
      <c r="RYD41" s="21"/>
      <c r="RYE41" s="19"/>
      <c r="RYN41" s="19"/>
      <c r="RYO41" s="19"/>
      <c r="RYP41" s="19"/>
      <c r="RYQ41" s="19"/>
      <c r="RYR41" s="21"/>
      <c r="RYS41" s="19"/>
      <c r="RZB41" s="19"/>
      <c r="RZC41" s="19"/>
      <c r="RZD41" s="19"/>
      <c r="RZE41" s="19"/>
      <c r="RZF41" s="21"/>
      <c r="RZG41" s="19"/>
      <c r="RZP41" s="19"/>
      <c r="RZQ41" s="19"/>
      <c r="RZR41" s="19"/>
      <c r="RZS41" s="19"/>
      <c r="RZT41" s="21"/>
      <c r="RZU41" s="19"/>
      <c r="SAD41" s="19"/>
      <c r="SAE41" s="19"/>
      <c r="SAF41" s="19"/>
      <c r="SAG41" s="19"/>
      <c r="SAH41" s="21"/>
      <c r="SAI41" s="19"/>
      <c r="SAR41" s="19"/>
      <c r="SAS41" s="19"/>
      <c r="SAT41" s="19"/>
      <c r="SAU41" s="19"/>
      <c r="SAV41" s="21"/>
      <c r="SAW41" s="19"/>
      <c r="SBF41" s="19"/>
      <c r="SBG41" s="19"/>
      <c r="SBH41" s="19"/>
      <c r="SBI41" s="19"/>
      <c r="SBJ41" s="21"/>
      <c r="SBK41" s="19"/>
      <c r="SBT41" s="19"/>
      <c r="SBU41" s="19"/>
      <c r="SBV41" s="19"/>
      <c r="SBW41" s="19"/>
      <c r="SBX41" s="21"/>
      <c r="SBY41" s="19"/>
      <c r="SCH41" s="19"/>
      <c r="SCI41" s="19"/>
      <c r="SCJ41" s="19"/>
      <c r="SCK41" s="19"/>
      <c r="SCL41" s="21"/>
      <c r="SCM41" s="19"/>
      <c r="SCV41" s="19"/>
      <c r="SCW41" s="19"/>
      <c r="SCX41" s="19"/>
      <c r="SCY41" s="19"/>
      <c r="SCZ41" s="21"/>
      <c r="SDA41" s="19"/>
      <c r="SDJ41" s="19"/>
      <c r="SDK41" s="19"/>
      <c r="SDL41" s="19"/>
      <c r="SDM41" s="19"/>
      <c r="SDN41" s="21"/>
      <c r="SDO41" s="19"/>
      <c r="SDX41" s="19"/>
      <c r="SDY41" s="19"/>
      <c r="SDZ41" s="19"/>
      <c r="SEA41" s="19"/>
      <c r="SEB41" s="21"/>
      <c r="SEC41" s="19"/>
      <c r="SEL41" s="19"/>
      <c r="SEM41" s="19"/>
      <c r="SEN41" s="19"/>
      <c r="SEO41" s="19"/>
      <c r="SEP41" s="21"/>
      <c r="SEQ41" s="19"/>
      <c r="SEZ41" s="19"/>
      <c r="SFA41" s="19"/>
      <c r="SFB41" s="19"/>
      <c r="SFC41" s="19"/>
      <c r="SFD41" s="21"/>
      <c r="SFE41" s="19"/>
      <c r="SFN41" s="19"/>
      <c r="SFO41" s="19"/>
      <c r="SFP41" s="19"/>
      <c r="SFQ41" s="19"/>
      <c r="SFR41" s="21"/>
      <c r="SFS41" s="19"/>
      <c r="SGB41" s="19"/>
      <c r="SGC41" s="19"/>
      <c r="SGD41" s="19"/>
      <c r="SGE41" s="19"/>
      <c r="SGF41" s="21"/>
      <c r="SGG41" s="19"/>
      <c r="SGP41" s="19"/>
      <c r="SGQ41" s="19"/>
      <c r="SGR41" s="19"/>
      <c r="SGS41" s="19"/>
      <c r="SGT41" s="21"/>
      <c r="SGU41" s="19"/>
      <c r="SHD41" s="19"/>
      <c r="SHE41" s="19"/>
      <c r="SHF41" s="19"/>
      <c r="SHG41" s="19"/>
      <c r="SHH41" s="21"/>
      <c r="SHI41" s="19"/>
      <c r="SHR41" s="19"/>
      <c r="SHS41" s="19"/>
      <c r="SHT41" s="19"/>
      <c r="SHU41" s="19"/>
      <c r="SHV41" s="21"/>
      <c r="SHW41" s="19"/>
      <c r="SIF41" s="19"/>
      <c r="SIG41" s="19"/>
      <c r="SIH41" s="19"/>
      <c r="SII41" s="19"/>
      <c r="SIJ41" s="21"/>
      <c r="SIK41" s="19"/>
      <c r="SIT41" s="19"/>
      <c r="SIU41" s="19"/>
      <c r="SIV41" s="19"/>
      <c r="SIW41" s="19"/>
      <c r="SIX41" s="21"/>
      <c r="SIY41" s="19"/>
      <c r="SJH41" s="19"/>
      <c r="SJI41" s="19"/>
      <c r="SJJ41" s="19"/>
      <c r="SJK41" s="19"/>
      <c r="SJL41" s="21"/>
      <c r="SJM41" s="19"/>
      <c r="SJV41" s="19"/>
      <c r="SJW41" s="19"/>
      <c r="SJX41" s="19"/>
      <c r="SJY41" s="19"/>
      <c r="SJZ41" s="21"/>
      <c r="SKA41" s="19"/>
      <c r="SKJ41" s="19"/>
      <c r="SKK41" s="19"/>
      <c r="SKL41" s="19"/>
      <c r="SKM41" s="19"/>
      <c r="SKN41" s="21"/>
      <c r="SKO41" s="19"/>
      <c r="SKX41" s="19"/>
      <c r="SKY41" s="19"/>
      <c r="SKZ41" s="19"/>
      <c r="SLA41" s="19"/>
      <c r="SLB41" s="21"/>
      <c r="SLC41" s="19"/>
      <c r="SLL41" s="19"/>
      <c r="SLM41" s="19"/>
      <c r="SLN41" s="19"/>
      <c r="SLO41" s="19"/>
      <c r="SLP41" s="21"/>
      <c r="SLQ41" s="19"/>
      <c r="SLZ41" s="19"/>
      <c r="SMA41" s="19"/>
      <c r="SMB41" s="19"/>
      <c r="SMC41" s="19"/>
      <c r="SMD41" s="21"/>
      <c r="SME41" s="19"/>
      <c r="SMN41" s="19"/>
      <c r="SMO41" s="19"/>
      <c r="SMP41" s="19"/>
      <c r="SMQ41" s="19"/>
      <c r="SMR41" s="21"/>
      <c r="SMS41" s="19"/>
      <c r="SNB41" s="19"/>
      <c r="SNC41" s="19"/>
      <c r="SND41" s="19"/>
      <c r="SNE41" s="19"/>
      <c r="SNF41" s="21"/>
      <c r="SNG41" s="19"/>
      <c r="SNP41" s="19"/>
      <c r="SNQ41" s="19"/>
      <c r="SNR41" s="19"/>
      <c r="SNS41" s="19"/>
      <c r="SNT41" s="21"/>
      <c r="SNU41" s="19"/>
      <c r="SOD41" s="19"/>
      <c r="SOE41" s="19"/>
      <c r="SOF41" s="19"/>
      <c r="SOG41" s="19"/>
      <c r="SOH41" s="21"/>
      <c r="SOI41" s="19"/>
      <c r="SOR41" s="19"/>
      <c r="SOS41" s="19"/>
      <c r="SOT41" s="19"/>
      <c r="SOU41" s="19"/>
      <c r="SOV41" s="21"/>
      <c r="SOW41" s="19"/>
      <c r="SPF41" s="19"/>
      <c r="SPG41" s="19"/>
      <c r="SPH41" s="19"/>
      <c r="SPI41" s="19"/>
      <c r="SPJ41" s="21"/>
      <c r="SPK41" s="19"/>
      <c r="SPT41" s="19"/>
      <c r="SPU41" s="19"/>
      <c r="SPV41" s="19"/>
      <c r="SPW41" s="19"/>
      <c r="SPX41" s="21"/>
      <c r="SPY41" s="19"/>
      <c r="SQH41" s="19"/>
      <c r="SQI41" s="19"/>
      <c r="SQJ41" s="19"/>
      <c r="SQK41" s="19"/>
      <c r="SQL41" s="21"/>
      <c r="SQM41" s="19"/>
      <c r="SQV41" s="19"/>
      <c r="SQW41" s="19"/>
      <c r="SQX41" s="19"/>
      <c r="SQY41" s="19"/>
      <c r="SQZ41" s="21"/>
      <c r="SRA41" s="19"/>
      <c r="SRJ41" s="19"/>
      <c r="SRK41" s="19"/>
      <c r="SRL41" s="19"/>
      <c r="SRM41" s="19"/>
      <c r="SRN41" s="21"/>
      <c r="SRO41" s="19"/>
      <c r="SRX41" s="19"/>
      <c r="SRY41" s="19"/>
      <c r="SRZ41" s="19"/>
      <c r="SSA41" s="19"/>
      <c r="SSB41" s="21"/>
      <c r="SSC41" s="19"/>
      <c r="SSL41" s="19"/>
      <c r="SSM41" s="19"/>
      <c r="SSN41" s="19"/>
      <c r="SSO41" s="19"/>
      <c r="SSP41" s="21"/>
      <c r="SSQ41" s="19"/>
      <c r="SSZ41" s="19"/>
      <c r="STA41" s="19"/>
      <c r="STB41" s="19"/>
      <c r="STC41" s="19"/>
      <c r="STD41" s="21"/>
      <c r="STE41" s="19"/>
      <c r="STN41" s="19"/>
      <c r="STO41" s="19"/>
      <c r="STP41" s="19"/>
      <c r="STQ41" s="19"/>
      <c r="STR41" s="21"/>
      <c r="STS41" s="19"/>
      <c r="SUB41" s="19"/>
      <c r="SUC41" s="19"/>
      <c r="SUD41" s="19"/>
      <c r="SUE41" s="19"/>
      <c r="SUF41" s="21"/>
      <c r="SUG41" s="19"/>
      <c r="SUP41" s="19"/>
      <c r="SUQ41" s="19"/>
      <c r="SUR41" s="19"/>
      <c r="SUS41" s="19"/>
      <c r="SUT41" s="21"/>
      <c r="SUU41" s="19"/>
      <c r="SVD41" s="19"/>
      <c r="SVE41" s="19"/>
      <c r="SVF41" s="19"/>
      <c r="SVG41" s="19"/>
      <c r="SVH41" s="21"/>
      <c r="SVI41" s="19"/>
      <c r="SVR41" s="19"/>
      <c r="SVS41" s="19"/>
      <c r="SVT41" s="19"/>
      <c r="SVU41" s="19"/>
      <c r="SVV41" s="21"/>
      <c r="SVW41" s="19"/>
      <c r="SWF41" s="19"/>
      <c r="SWG41" s="19"/>
      <c r="SWH41" s="19"/>
      <c r="SWI41" s="19"/>
      <c r="SWJ41" s="21"/>
      <c r="SWK41" s="19"/>
      <c r="SWT41" s="19"/>
      <c r="SWU41" s="19"/>
      <c r="SWV41" s="19"/>
      <c r="SWW41" s="19"/>
      <c r="SWX41" s="21"/>
      <c r="SWY41" s="19"/>
      <c r="SXH41" s="19"/>
      <c r="SXI41" s="19"/>
      <c r="SXJ41" s="19"/>
      <c r="SXK41" s="19"/>
      <c r="SXL41" s="21"/>
      <c r="SXM41" s="19"/>
      <c r="SXV41" s="19"/>
      <c r="SXW41" s="19"/>
      <c r="SXX41" s="19"/>
      <c r="SXY41" s="19"/>
      <c r="SXZ41" s="21"/>
      <c r="SYA41" s="19"/>
      <c r="SYJ41" s="19"/>
      <c r="SYK41" s="19"/>
      <c r="SYL41" s="19"/>
      <c r="SYM41" s="19"/>
      <c r="SYN41" s="21"/>
      <c r="SYO41" s="19"/>
      <c r="SYX41" s="19"/>
      <c r="SYY41" s="19"/>
      <c r="SYZ41" s="19"/>
      <c r="SZA41" s="19"/>
      <c r="SZB41" s="21"/>
      <c r="SZC41" s="19"/>
      <c r="SZL41" s="19"/>
      <c r="SZM41" s="19"/>
      <c r="SZN41" s="19"/>
      <c r="SZO41" s="19"/>
      <c r="SZP41" s="21"/>
      <c r="SZQ41" s="19"/>
      <c r="SZZ41" s="19"/>
      <c r="TAA41" s="19"/>
      <c r="TAB41" s="19"/>
      <c r="TAC41" s="19"/>
      <c r="TAD41" s="21"/>
      <c r="TAE41" s="19"/>
      <c r="TAN41" s="19"/>
      <c r="TAO41" s="19"/>
      <c r="TAP41" s="19"/>
      <c r="TAQ41" s="19"/>
      <c r="TAR41" s="21"/>
      <c r="TAS41" s="19"/>
      <c r="TBB41" s="19"/>
      <c r="TBC41" s="19"/>
      <c r="TBD41" s="19"/>
      <c r="TBE41" s="19"/>
      <c r="TBF41" s="21"/>
      <c r="TBG41" s="19"/>
      <c r="TBP41" s="19"/>
      <c r="TBQ41" s="19"/>
      <c r="TBR41" s="19"/>
      <c r="TBS41" s="19"/>
      <c r="TBT41" s="21"/>
      <c r="TBU41" s="19"/>
      <c r="TCD41" s="19"/>
      <c r="TCE41" s="19"/>
      <c r="TCF41" s="19"/>
      <c r="TCG41" s="19"/>
      <c r="TCH41" s="21"/>
      <c r="TCI41" s="19"/>
      <c r="TCR41" s="19"/>
      <c r="TCS41" s="19"/>
      <c r="TCT41" s="19"/>
      <c r="TCU41" s="19"/>
      <c r="TCV41" s="21"/>
      <c r="TCW41" s="19"/>
      <c r="TDF41" s="19"/>
      <c r="TDG41" s="19"/>
      <c r="TDH41" s="19"/>
      <c r="TDI41" s="19"/>
      <c r="TDJ41" s="21"/>
      <c r="TDK41" s="19"/>
      <c r="TDT41" s="19"/>
      <c r="TDU41" s="19"/>
      <c r="TDV41" s="19"/>
      <c r="TDW41" s="19"/>
      <c r="TDX41" s="21"/>
      <c r="TDY41" s="19"/>
      <c r="TEH41" s="19"/>
      <c r="TEI41" s="19"/>
      <c r="TEJ41" s="19"/>
      <c r="TEK41" s="19"/>
      <c r="TEL41" s="21"/>
      <c r="TEM41" s="19"/>
      <c r="TEV41" s="19"/>
      <c r="TEW41" s="19"/>
      <c r="TEX41" s="19"/>
      <c r="TEY41" s="19"/>
      <c r="TEZ41" s="21"/>
      <c r="TFA41" s="19"/>
      <c r="TFJ41" s="19"/>
      <c r="TFK41" s="19"/>
      <c r="TFL41" s="19"/>
      <c r="TFM41" s="19"/>
      <c r="TFN41" s="21"/>
      <c r="TFO41" s="19"/>
      <c r="TFX41" s="19"/>
      <c r="TFY41" s="19"/>
      <c r="TFZ41" s="19"/>
      <c r="TGA41" s="19"/>
      <c r="TGB41" s="21"/>
      <c r="TGC41" s="19"/>
      <c r="TGL41" s="19"/>
      <c r="TGM41" s="19"/>
      <c r="TGN41" s="19"/>
      <c r="TGO41" s="19"/>
      <c r="TGP41" s="21"/>
      <c r="TGQ41" s="19"/>
      <c r="TGZ41" s="19"/>
      <c r="THA41" s="19"/>
      <c r="THB41" s="19"/>
      <c r="THC41" s="19"/>
      <c r="THD41" s="21"/>
      <c r="THE41" s="19"/>
      <c r="THN41" s="19"/>
      <c r="THO41" s="19"/>
      <c r="THP41" s="19"/>
      <c r="THQ41" s="19"/>
      <c r="THR41" s="21"/>
      <c r="THS41" s="19"/>
      <c r="TIB41" s="19"/>
      <c r="TIC41" s="19"/>
      <c r="TID41" s="19"/>
      <c r="TIE41" s="19"/>
      <c r="TIF41" s="21"/>
      <c r="TIG41" s="19"/>
      <c r="TIP41" s="19"/>
      <c r="TIQ41" s="19"/>
      <c r="TIR41" s="19"/>
      <c r="TIS41" s="19"/>
      <c r="TIT41" s="21"/>
      <c r="TIU41" s="19"/>
      <c r="TJD41" s="19"/>
      <c r="TJE41" s="19"/>
      <c r="TJF41" s="19"/>
      <c r="TJG41" s="19"/>
      <c r="TJH41" s="21"/>
      <c r="TJI41" s="19"/>
      <c r="TJR41" s="19"/>
      <c r="TJS41" s="19"/>
      <c r="TJT41" s="19"/>
      <c r="TJU41" s="19"/>
      <c r="TJV41" s="21"/>
      <c r="TJW41" s="19"/>
      <c r="TKF41" s="19"/>
      <c r="TKG41" s="19"/>
      <c r="TKH41" s="19"/>
      <c r="TKI41" s="19"/>
      <c r="TKJ41" s="21"/>
      <c r="TKK41" s="19"/>
      <c r="TKT41" s="19"/>
      <c r="TKU41" s="19"/>
      <c r="TKV41" s="19"/>
      <c r="TKW41" s="19"/>
      <c r="TKX41" s="21"/>
      <c r="TKY41" s="19"/>
      <c r="TLH41" s="19"/>
      <c r="TLI41" s="19"/>
      <c r="TLJ41" s="19"/>
      <c r="TLK41" s="19"/>
      <c r="TLL41" s="21"/>
      <c r="TLM41" s="19"/>
      <c r="TLV41" s="19"/>
      <c r="TLW41" s="19"/>
      <c r="TLX41" s="19"/>
      <c r="TLY41" s="19"/>
      <c r="TLZ41" s="21"/>
      <c r="TMA41" s="19"/>
      <c r="TMJ41" s="19"/>
      <c r="TMK41" s="19"/>
      <c r="TML41" s="19"/>
      <c r="TMM41" s="19"/>
      <c r="TMN41" s="21"/>
      <c r="TMO41" s="19"/>
      <c r="TMX41" s="19"/>
      <c r="TMY41" s="19"/>
      <c r="TMZ41" s="19"/>
      <c r="TNA41" s="19"/>
      <c r="TNB41" s="21"/>
      <c r="TNC41" s="19"/>
      <c r="TNL41" s="19"/>
      <c r="TNM41" s="19"/>
      <c r="TNN41" s="19"/>
      <c r="TNO41" s="19"/>
      <c r="TNP41" s="21"/>
      <c r="TNQ41" s="19"/>
      <c r="TNZ41" s="19"/>
      <c r="TOA41" s="19"/>
      <c r="TOB41" s="19"/>
      <c r="TOC41" s="19"/>
      <c r="TOD41" s="21"/>
      <c r="TOE41" s="19"/>
      <c r="TON41" s="19"/>
      <c r="TOO41" s="19"/>
      <c r="TOP41" s="19"/>
      <c r="TOQ41" s="19"/>
      <c r="TOR41" s="21"/>
      <c r="TOS41" s="19"/>
      <c r="TPB41" s="19"/>
      <c r="TPC41" s="19"/>
      <c r="TPD41" s="19"/>
      <c r="TPE41" s="19"/>
      <c r="TPF41" s="21"/>
      <c r="TPG41" s="19"/>
      <c r="TPP41" s="19"/>
      <c r="TPQ41" s="19"/>
      <c r="TPR41" s="19"/>
      <c r="TPS41" s="19"/>
      <c r="TPT41" s="21"/>
      <c r="TPU41" s="19"/>
      <c r="TQD41" s="19"/>
      <c r="TQE41" s="19"/>
      <c r="TQF41" s="19"/>
      <c r="TQG41" s="19"/>
      <c r="TQH41" s="21"/>
      <c r="TQI41" s="19"/>
      <c r="TQR41" s="19"/>
      <c r="TQS41" s="19"/>
      <c r="TQT41" s="19"/>
      <c r="TQU41" s="19"/>
      <c r="TQV41" s="21"/>
      <c r="TQW41" s="19"/>
      <c r="TRF41" s="19"/>
      <c r="TRG41" s="19"/>
      <c r="TRH41" s="19"/>
      <c r="TRI41" s="19"/>
      <c r="TRJ41" s="21"/>
      <c r="TRK41" s="19"/>
      <c r="TRT41" s="19"/>
      <c r="TRU41" s="19"/>
      <c r="TRV41" s="19"/>
      <c r="TRW41" s="19"/>
      <c r="TRX41" s="21"/>
      <c r="TRY41" s="19"/>
      <c r="TSH41" s="19"/>
      <c r="TSI41" s="19"/>
      <c r="TSJ41" s="19"/>
      <c r="TSK41" s="19"/>
      <c r="TSL41" s="21"/>
      <c r="TSM41" s="19"/>
      <c r="TSV41" s="19"/>
      <c r="TSW41" s="19"/>
      <c r="TSX41" s="19"/>
      <c r="TSY41" s="19"/>
      <c r="TSZ41" s="21"/>
      <c r="TTA41" s="19"/>
      <c r="TTJ41" s="19"/>
      <c r="TTK41" s="19"/>
      <c r="TTL41" s="19"/>
      <c r="TTM41" s="19"/>
      <c r="TTN41" s="21"/>
      <c r="TTO41" s="19"/>
      <c r="TTX41" s="19"/>
      <c r="TTY41" s="19"/>
      <c r="TTZ41" s="19"/>
      <c r="TUA41" s="19"/>
      <c r="TUB41" s="21"/>
      <c r="TUC41" s="19"/>
      <c r="TUL41" s="19"/>
      <c r="TUM41" s="19"/>
      <c r="TUN41" s="19"/>
      <c r="TUO41" s="19"/>
      <c r="TUP41" s="21"/>
      <c r="TUQ41" s="19"/>
      <c r="TUZ41" s="19"/>
      <c r="TVA41" s="19"/>
      <c r="TVB41" s="19"/>
      <c r="TVC41" s="19"/>
      <c r="TVD41" s="21"/>
      <c r="TVE41" s="19"/>
      <c r="TVN41" s="19"/>
      <c r="TVO41" s="19"/>
      <c r="TVP41" s="19"/>
      <c r="TVQ41" s="19"/>
      <c r="TVR41" s="21"/>
      <c r="TVS41" s="19"/>
      <c r="TWB41" s="19"/>
      <c r="TWC41" s="19"/>
      <c r="TWD41" s="19"/>
      <c r="TWE41" s="19"/>
      <c r="TWF41" s="21"/>
      <c r="TWG41" s="19"/>
      <c r="TWP41" s="19"/>
      <c r="TWQ41" s="19"/>
      <c r="TWR41" s="19"/>
      <c r="TWS41" s="19"/>
      <c r="TWT41" s="21"/>
      <c r="TWU41" s="19"/>
      <c r="TXD41" s="19"/>
      <c r="TXE41" s="19"/>
      <c r="TXF41" s="19"/>
      <c r="TXG41" s="19"/>
      <c r="TXH41" s="21"/>
      <c r="TXI41" s="19"/>
      <c r="TXR41" s="19"/>
      <c r="TXS41" s="19"/>
      <c r="TXT41" s="19"/>
      <c r="TXU41" s="19"/>
      <c r="TXV41" s="21"/>
      <c r="TXW41" s="19"/>
      <c r="TYF41" s="19"/>
      <c r="TYG41" s="19"/>
      <c r="TYH41" s="19"/>
      <c r="TYI41" s="19"/>
      <c r="TYJ41" s="21"/>
      <c r="TYK41" s="19"/>
      <c r="TYT41" s="19"/>
      <c r="TYU41" s="19"/>
      <c r="TYV41" s="19"/>
      <c r="TYW41" s="19"/>
      <c r="TYX41" s="21"/>
      <c r="TYY41" s="19"/>
      <c r="TZH41" s="19"/>
      <c r="TZI41" s="19"/>
      <c r="TZJ41" s="19"/>
      <c r="TZK41" s="19"/>
      <c r="TZL41" s="21"/>
      <c r="TZM41" s="19"/>
      <c r="TZV41" s="19"/>
      <c r="TZW41" s="19"/>
      <c r="TZX41" s="19"/>
      <c r="TZY41" s="19"/>
      <c r="TZZ41" s="21"/>
      <c r="UAA41" s="19"/>
      <c r="UAJ41" s="19"/>
      <c r="UAK41" s="19"/>
      <c r="UAL41" s="19"/>
      <c r="UAM41" s="19"/>
      <c r="UAN41" s="21"/>
      <c r="UAO41" s="19"/>
      <c r="UAX41" s="19"/>
      <c r="UAY41" s="19"/>
      <c r="UAZ41" s="19"/>
      <c r="UBA41" s="19"/>
      <c r="UBB41" s="21"/>
      <c r="UBC41" s="19"/>
      <c r="UBL41" s="19"/>
      <c r="UBM41" s="19"/>
      <c r="UBN41" s="19"/>
      <c r="UBO41" s="19"/>
      <c r="UBP41" s="21"/>
      <c r="UBQ41" s="19"/>
      <c r="UBZ41" s="19"/>
      <c r="UCA41" s="19"/>
      <c r="UCB41" s="19"/>
      <c r="UCC41" s="19"/>
      <c r="UCD41" s="21"/>
      <c r="UCE41" s="19"/>
      <c r="UCN41" s="19"/>
      <c r="UCO41" s="19"/>
      <c r="UCP41" s="19"/>
      <c r="UCQ41" s="19"/>
      <c r="UCR41" s="21"/>
      <c r="UCS41" s="19"/>
      <c r="UDB41" s="19"/>
      <c r="UDC41" s="19"/>
      <c r="UDD41" s="19"/>
      <c r="UDE41" s="19"/>
      <c r="UDF41" s="21"/>
      <c r="UDG41" s="19"/>
      <c r="UDP41" s="19"/>
      <c r="UDQ41" s="19"/>
      <c r="UDR41" s="19"/>
      <c r="UDS41" s="19"/>
      <c r="UDT41" s="21"/>
      <c r="UDU41" s="19"/>
      <c r="UED41" s="19"/>
      <c r="UEE41" s="19"/>
      <c r="UEF41" s="19"/>
      <c r="UEG41" s="19"/>
      <c r="UEH41" s="21"/>
      <c r="UEI41" s="19"/>
      <c r="UER41" s="19"/>
      <c r="UES41" s="19"/>
      <c r="UET41" s="19"/>
      <c r="UEU41" s="19"/>
      <c r="UEV41" s="21"/>
      <c r="UEW41" s="19"/>
      <c r="UFF41" s="19"/>
      <c r="UFG41" s="19"/>
      <c r="UFH41" s="19"/>
      <c r="UFI41" s="19"/>
      <c r="UFJ41" s="21"/>
      <c r="UFK41" s="19"/>
      <c r="UFT41" s="19"/>
      <c r="UFU41" s="19"/>
      <c r="UFV41" s="19"/>
      <c r="UFW41" s="19"/>
      <c r="UFX41" s="21"/>
      <c r="UFY41" s="19"/>
      <c r="UGH41" s="19"/>
      <c r="UGI41" s="19"/>
      <c r="UGJ41" s="19"/>
      <c r="UGK41" s="19"/>
      <c r="UGL41" s="21"/>
      <c r="UGM41" s="19"/>
      <c r="UGV41" s="19"/>
      <c r="UGW41" s="19"/>
      <c r="UGX41" s="19"/>
      <c r="UGY41" s="19"/>
      <c r="UGZ41" s="21"/>
      <c r="UHA41" s="19"/>
      <c r="UHJ41" s="19"/>
      <c r="UHK41" s="19"/>
      <c r="UHL41" s="19"/>
      <c r="UHM41" s="19"/>
      <c r="UHN41" s="21"/>
      <c r="UHO41" s="19"/>
      <c r="UHX41" s="19"/>
      <c r="UHY41" s="19"/>
      <c r="UHZ41" s="19"/>
      <c r="UIA41" s="19"/>
      <c r="UIB41" s="21"/>
      <c r="UIC41" s="19"/>
      <c r="UIL41" s="19"/>
      <c r="UIM41" s="19"/>
      <c r="UIN41" s="19"/>
      <c r="UIO41" s="19"/>
      <c r="UIP41" s="21"/>
      <c r="UIQ41" s="19"/>
      <c r="UIZ41" s="19"/>
      <c r="UJA41" s="19"/>
      <c r="UJB41" s="19"/>
      <c r="UJC41" s="19"/>
      <c r="UJD41" s="21"/>
      <c r="UJE41" s="19"/>
      <c r="UJN41" s="19"/>
      <c r="UJO41" s="19"/>
      <c r="UJP41" s="19"/>
      <c r="UJQ41" s="19"/>
      <c r="UJR41" s="21"/>
      <c r="UJS41" s="19"/>
      <c r="UKB41" s="19"/>
      <c r="UKC41" s="19"/>
      <c r="UKD41" s="19"/>
      <c r="UKE41" s="19"/>
      <c r="UKF41" s="21"/>
      <c r="UKG41" s="19"/>
      <c r="UKP41" s="19"/>
      <c r="UKQ41" s="19"/>
      <c r="UKR41" s="19"/>
      <c r="UKS41" s="19"/>
      <c r="UKT41" s="21"/>
      <c r="UKU41" s="19"/>
      <c r="ULD41" s="19"/>
      <c r="ULE41" s="19"/>
      <c r="ULF41" s="19"/>
      <c r="ULG41" s="19"/>
      <c r="ULH41" s="21"/>
      <c r="ULI41" s="19"/>
      <c r="ULR41" s="19"/>
      <c r="ULS41" s="19"/>
      <c r="ULT41" s="19"/>
      <c r="ULU41" s="19"/>
      <c r="ULV41" s="21"/>
      <c r="ULW41" s="19"/>
      <c r="UMF41" s="19"/>
      <c r="UMG41" s="19"/>
      <c r="UMH41" s="19"/>
      <c r="UMI41" s="19"/>
      <c r="UMJ41" s="21"/>
      <c r="UMK41" s="19"/>
      <c r="UMT41" s="19"/>
      <c r="UMU41" s="19"/>
      <c r="UMV41" s="19"/>
      <c r="UMW41" s="19"/>
      <c r="UMX41" s="21"/>
      <c r="UMY41" s="19"/>
      <c r="UNH41" s="19"/>
      <c r="UNI41" s="19"/>
      <c r="UNJ41" s="19"/>
      <c r="UNK41" s="19"/>
      <c r="UNL41" s="21"/>
      <c r="UNM41" s="19"/>
      <c r="UNV41" s="19"/>
      <c r="UNW41" s="19"/>
      <c r="UNX41" s="19"/>
      <c r="UNY41" s="19"/>
      <c r="UNZ41" s="21"/>
      <c r="UOA41" s="19"/>
      <c r="UOJ41" s="19"/>
      <c r="UOK41" s="19"/>
      <c r="UOL41" s="19"/>
      <c r="UOM41" s="19"/>
      <c r="UON41" s="21"/>
      <c r="UOO41" s="19"/>
      <c r="UOX41" s="19"/>
      <c r="UOY41" s="19"/>
      <c r="UOZ41" s="19"/>
      <c r="UPA41" s="19"/>
      <c r="UPB41" s="21"/>
      <c r="UPC41" s="19"/>
      <c r="UPL41" s="19"/>
      <c r="UPM41" s="19"/>
      <c r="UPN41" s="19"/>
      <c r="UPO41" s="19"/>
      <c r="UPP41" s="21"/>
      <c r="UPQ41" s="19"/>
      <c r="UPZ41" s="19"/>
      <c r="UQA41" s="19"/>
      <c r="UQB41" s="19"/>
      <c r="UQC41" s="19"/>
      <c r="UQD41" s="21"/>
      <c r="UQE41" s="19"/>
      <c r="UQN41" s="19"/>
      <c r="UQO41" s="19"/>
      <c r="UQP41" s="19"/>
      <c r="UQQ41" s="19"/>
      <c r="UQR41" s="21"/>
      <c r="UQS41" s="19"/>
      <c r="URB41" s="19"/>
      <c r="URC41" s="19"/>
      <c r="URD41" s="19"/>
      <c r="URE41" s="19"/>
      <c r="URF41" s="21"/>
      <c r="URG41" s="19"/>
      <c r="URP41" s="19"/>
      <c r="URQ41" s="19"/>
      <c r="URR41" s="19"/>
      <c r="URS41" s="19"/>
      <c r="URT41" s="21"/>
      <c r="URU41" s="19"/>
      <c r="USD41" s="19"/>
      <c r="USE41" s="19"/>
      <c r="USF41" s="19"/>
      <c r="USG41" s="19"/>
      <c r="USH41" s="21"/>
      <c r="USI41" s="19"/>
      <c r="USR41" s="19"/>
      <c r="USS41" s="19"/>
      <c r="UST41" s="19"/>
      <c r="USU41" s="19"/>
      <c r="USV41" s="21"/>
      <c r="USW41" s="19"/>
      <c r="UTF41" s="19"/>
      <c r="UTG41" s="19"/>
      <c r="UTH41" s="19"/>
      <c r="UTI41" s="19"/>
      <c r="UTJ41" s="21"/>
      <c r="UTK41" s="19"/>
      <c r="UTT41" s="19"/>
      <c r="UTU41" s="19"/>
      <c r="UTV41" s="19"/>
      <c r="UTW41" s="19"/>
      <c r="UTX41" s="21"/>
      <c r="UTY41" s="19"/>
      <c r="UUH41" s="19"/>
      <c r="UUI41" s="19"/>
      <c r="UUJ41" s="19"/>
      <c r="UUK41" s="19"/>
      <c r="UUL41" s="21"/>
      <c r="UUM41" s="19"/>
      <c r="UUV41" s="19"/>
      <c r="UUW41" s="19"/>
      <c r="UUX41" s="19"/>
      <c r="UUY41" s="19"/>
      <c r="UUZ41" s="21"/>
      <c r="UVA41" s="19"/>
      <c r="UVJ41" s="19"/>
      <c r="UVK41" s="19"/>
      <c r="UVL41" s="19"/>
      <c r="UVM41" s="19"/>
      <c r="UVN41" s="21"/>
      <c r="UVO41" s="19"/>
      <c r="UVX41" s="19"/>
      <c r="UVY41" s="19"/>
      <c r="UVZ41" s="19"/>
      <c r="UWA41" s="19"/>
      <c r="UWB41" s="21"/>
      <c r="UWC41" s="19"/>
      <c r="UWL41" s="19"/>
      <c r="UWM41" s="19"/>
      <c r="UWN41" s="19"/>
      <c r="UWO41" s="19"/>
      <c r="UWP41" s="21"/>
      <c r="UWQ41" s="19"/>
      <c r="UWZ41" s="19"/>
      <c r="UXA41" s="19"/>
      <c r="UXB41" s="19"/>
      <c r="UXC41" s="19"/>
      <c r="UXD41" s="21"/>
      <c r="UXE41" s="19"/>
      <c r="UXN41" s="19"/>
      <c r="UXO41" s="19"/>
      <c r="UXP41" s="19"/>
      <c r="UXQ41" s="19"/>
      <c r="UXR41" s="21"/>
      <c r="UXS41" s="19"/>
      <c r="UYB41" s="19"/>
      <c r="UYC41" s="19"/>
      <c r="UYD41" s="19"/>
      <c r="UYE41" s="19"/>
      <c r="UYF41" s="21"/>
      <c r="UYG41" s="19"/>
      <c r="UYP41" s="19"/>
      <c r="UYQ41" s="19"/>
      <c r="UYR41" s="19"/>
      <c r="UYS41" s="19"/>
      <c r="UYT41" s="21"/>
      <c r="UYU41" s="19"/>
      <c r="UZD41" s="19"/>
      <c r="UZE41" s="19"/>
      <c r="UZF41" s="19"/>
      <c r="UZG41" s="19"/>
      <c r="UZH41" s="21"/>
      <c r="UZI41" s="19"/>
      <c r="UZR41" s="19"/>
      <c r="UZS41" s="19"/>
      <c r="UZT41" s="19"/>
      <c r="UZU41" s="19"/>
      <c r="UZV41" s="21"/>
      <c r="UZW41" s="19"/>
      <c r="VAF41" s="19"/>
      <c r="VAG41" s="19"/>
      <c r="VAH41" s="19"/>
      <c r="VAI41" s="19"/>
      <c r="VAJ41" s="21"/>
      <c r="VAK41" s="19"/>
      <c r="VAT41" s="19"/>
      <c r="VAU41" s="19"/>
      <c r="VAV41" s="19"/>
      <c r="VAW41" s="19"/>
      <c r="VAX41" s="21"/>
      <c r="VAY41" s="19"/>
      <c r="VBH41" s="19"/>
      <c r="VBI41" s="19"/>
      <c r="VBJ41" s="19"/>
      <c r="VBK41" s="19"/>
      <c r="VBL41" s="21"/>
      <c r="VBM41" s="19"/>
      <c r="VBV41" s="19"/>
      <c r="VBW41" s="19"/>
      <c r="VBX41" s="19"/>
      <c r="VBY41" s="19"/>
      <c r="VBZ41" s="21"/>
      <c r="VCA41" s="19"/>
      <c r="VCJ41" s="19"/>
      <c r="VCK41" s="19"/>
      <c r="VCL41" s="19"/>
      <c r="VCM41" s="19"/>
      <c r="VCN41" s="21"/>
      <c r="VCO41" s="19"/>
      <c r="VCX41" s="19"/>
      <c r="VCY41" s="19"/>
      <c r="VCZ41" s="19"/>
      <c r="VDA41" s="19"/>
      <c r="VDB41" s="21"/>
      <c r="VDC41" s="19"/>
      <c r="VDL41" s="19"/>
      <c r="VDM41" s="19"/>
      <c r="VDN41" s="19"/>
      <c r="VDO41" s="19"/>
      <c r="VDP41" s="21"/>
      <c r="VDQ41" s="19"/>
      <c r="VDZ41" s="19"/>
      <c r="VEA41" s="19"/>
      <c r="VEB41" s="19"/>
      <c r="VEC41" s="19"/>
      <c r="VED41" s="21"/>
      <c r="VEE41" s="19"/>
      <c r="VEN41" s="19"/>
      <c r="VEO41" s="19"/>
      <c r="VEP41" s="19"/>
      <c r="VEQ41" s="19"/>
      <c r="VER41" s="21"/>
      <c r="VES41" s="19"/>
      <c r="VFB41" s="19"/>
      <c r="VFC41" s="19"/>
      <c r="VFD41" s="19"/>
      <c r="VFE41" s="19"/>
      <c r="VFF41" s="21"/>
      <c r="VFG41" s="19"/>
      <c r="VFP41" s="19"/>
      <c r="VFQ41" s="19"/>
      <c r="VFR41" s="19"/>
      <c r="VFS41" s="19"/>
      <c r="VFT41" s="21"/>
      <c r="VFU41" s="19"/>
      <c r="VGD41" s="19"/>
      <c r="VGE41" s="19"/>
      <c r="VGF41" s="19"/>
      <c r="VGG41" s="19"/>
      <c r="VGH41" s="21"/>
      <c r="VGI41" s="19"/>
      <c r="VGR41" s="19"/>
      <c r="VGS41" s="19"/>
      <c r="VGT41" s="19"/>
      <c r="VGU41" s="19"/>
      <c r="VGV41" s="21"/>
      <c r="VGW41" s="19"/>
      <c r="VHF41" s="19"/>
      <c r="VHG41" s="19"/>
      <c r="VHH41" s="19"/>
      <c r="VHI41" s="19"/>
      <c r="VHJ41" s="21"/>
      <c r="VHK41" s="19"/>
      <c r="VHT41" s="19"/>
      <c r="VHU41" s="19"/>
      <c r="VHV41" s="19"/>
      <c r="VHW41" s="19"/>
      <c r="VHX41" s="21"/>
      <c r="VHY41" s="19"/>
      <c r="VIH41" s="19"/>
      <c r="VII41" s="19"/>
      <c r="VIJ41" s="19"/>
      <c r="VIK41" s="19"/>
      <c r="VIL41" s="21"/>
      <c r="VIM41" s="19"/>
      <c r="VIV41" s="19"/>
      <c r="VIW41" s="19"/>
      <c r="VIX41" s="19"/>
      <c r="VIY41" s="19"/>
      <c r="VIZ41" s="21"/>
      <c r="VJA41" s="19"/>
      <c r="VJJ41" s="19"/>
      <c r="VJK41" s="19"/>
      <c r="VJL41" s="19"/>
      <c r="VJM41" s="19"/>
      <c r="VJN41" s="21"/>
      <c r="VJO41" s="19"/>
      <c r="VJX41" s="19"/>
      <c r="VJY41" s="19"/>
      <c r="VJZ41" s="19"/>
      <c r="VKA41" s="19"/>
      <c r="VKB41" s="21"/>
      <c r="VKC41" s="19"/>
      <c r="VKL41" s="19"/>
      <c r="VKM41" s="19"/>
      <c r="VKN41" s="19"/>
      <c r="VKO41" s="19"/>
      <c r="VKP41" s="21"/>
      <c r="VKQ41" s="19"/>
      <c r="VKZ41" s="19"/>
      <c r="VLA41" s="19"/>
      <c r="VLB41" s="19"/>
      <c r="VLC41" s="19"/>
      <c r="VLD41" s="21"/>
      <c r="VLE41" s="19"/>
      <c r="VLN41" s="19"/>
      <c r="VLO41" s="19"/>
      <c r="VLP41" s="19"/>
      <c r="VLQ41" s="19"/>
      <c r="VLR41" s="21"/>
      <c r="VLS41" s="19"/>
      <c r="VMB41" s="19"/>
      <c r="VMC41" s="19"/>
      <c r="VMD41" s="19"/>
      <c r="VME41" s="19"/>
      <c r="VMF41" s="21"/>
      <c r="VMG41" s="19"/>
      <c r="VMP41" s="19"/>
      <c r="VMQ41" s="19"/>
      <c r="VMR41" s="19"/>
      <c r="VMS41" s="19"/>
      <c r="VMT41" s="21"/>
      <c r="VMU41" s="19"/>
      <c r="VND41" s="19"/>
      <c r="VNE41" s="19"/>
      <c r="VNF41" s="19"/>
      <c r="VNG41" s="19"/>
      <c r="VNH41" s="21"/>
      <c r="VNI41" s="19"/>
      <c r="VNR41" s="19"/>
      <c r="VNS41" s="19"/>
      <c r="VNT41" s="19"/>
      <c r="VNU41" s="19"/>
      <c r="VNV41" s="21"/>
      <c r="VNW41" s="19"/>
      <c r="VOF41" s="19"/>
      <c r="VOG41" s="19"/>
      <c r="VOH41" s="19"/>
      <c r="VOI41" s="19"/>
      <c r="VOJ41" s="21"/>
      <c r="VOK41" s="19"/>
      <c r="VOT41" s="19"/>
      <c r="VOU41" s="19"/>
      <c r="VOV41" s="19"/>
      <c r="VOW41" s="19"/>
      <c r="VOX41" s="21"/>
      <c r="VOY41" s="19"/>
      <c r="VPH41" s="19"/>
      <c r="VPI41" s="19"/>
      <c r="VPJ41" s="19"/>
      <c r="VPK41" s="19"/>
      <c r="VPL41" s="21"/>
      <c r="VPM41" s="19"/>
      <c r="VPV41" s="19"/>
      <c r="VPW41" s="19"/>
      <c r="VPX41" s="19"/>
      <c r="VPY41" s="19"/>
      <c r="VPZ41" s="21"/>
      <c r="VQA41" s="19"/>
      <c r="VQJ41" s="19"/>
      <c r="VQK41" s="19"/>
      <c r="VQL41" s="19"/>
      <c r="VQM41" s="19"/>
      <c r="VQN41" s="21"/>
      <c r="VQO41" s="19"/>
      <c r="VQX41" s="19"/>
      <c r="VQY41" s="19"/>
      <c r="VQZ41" s="19"/>
      <c r="VRA41" s="19"/>
      <c r="VRB41" s="21"/>
      <c r="VRC41" s="19"/>
      <c r="VRL41" s="19"/>
      <c r="VRM41" s="19"/>
      <c r="VRN41" s="19"/>
      <c r="VRO41" s="19"/>
      <c r="VRP41" s="21"/>
      <c r="VRQ41" s="19"/>
      <c r="VRZ41" s="19"/>
      <c r="VSA41" s="19"/>
      <c r="VSB41" s="19"/>
      <c r="VSC41" s="19"/>
      <c r="VSD41" s="21"/>
      <c r="VSE41" s="19"/>
      <c r="VSN41" s="19"/>
      <c r="VSO41" s="19"/>
      <c r="VSP41" s="19"/>
      <c r="VSQ41" s="19"/>
      <c r="VSR41" s="21"/>
      <c r="VSS41" s="19"/>
      <c r="VTB41" s="19"/>
      <c r="VTC41" s="19"/>
      <c r="VTD41" s="19"/>
      <c r="VTE41" s="19"/>
      <c r="VTF41" s="21"/>
      <c r="VTG41" s="19"/>
      <c r="VTP41" s="19"/>
      <c r="VTQ41" s="19"/>
      <c r="VTR41" s="19"/>
      <c r="VTS41" s="19"/>
      <c r="VTT41" s="21"/>
      <c r="VTU41" s="19"/>
      <c r="VUD41" s="19"/>
      <c r="VUE41" s="19"/>
      <c r="VUF41" s="19"/>
      <c r="VUG41" s="19"/>
      <c r="VUH41" s="21"/>
      <c r="VUI41" s="19"/>
      <c r="VUR41" s="19"/>
      <c r="VUS41" s="19"/>
      <c r="VUT41" s="19"/>
      <c r="VUU41" s="19"/>
      <c r="VUV41" s="21"/>
      <c r="VUW41" s="19"/>
      <c r="VVF41" s="19"/>
      <c r="VVG41" s="19"/>
      <c r="VVH41" s="19"/>
      <c r="VVI41" s="19"/>
      <c r="VVJ41" s="21"/>
      <c r="VVK41" s="19"/>
      <c r="VVT41" s="19"/>
      <c r="VVU41" s="19"/>
      <c r="VVV41" s="19"/>
      <c r="VVW41" s="19"/>
      <c r="VVX41" s="21"/>
      <c r="VVY41" s="19"/>
      <c r="VWH41" s="19"/>
      <c r="VWI41" s="19"/>
      <c r="VWJ41" s="19"/>
      <c r="VWK41" s="19"/>
      <c r="VWL41" s="21"/>
      <c r="VWM41" s="19"/>
      <c r="VWV41" s="19"/>
      <c r="VWW41" s="19"/>
      <c r="VWX41" s="19"/>
      <c r="VWY41" s="19"/>
      <c r="VWZ41" s="21"/>
      <c r="VXA41" s="19"/>
      <c r="VXJ41" s="19"/>
      <c r="VXK41" s="19"/>
      <c r="VXL41" s="19"/>
      <c r="VXM41" s="19"/>
      <c r="VXN41" s="21"/>
      <c r="VXO41" s="19"/>
      <c r="VXX41" s="19"/>
      <c r="VXY41" s="19"/>
      <c r="VXZ41" s="19"/>
      <c r="VYA41" s="19"/>
      <c r="VYB41" s="21"/>
      <c r="VYC41" s="19"/>
      <c r="VYL41" s="19"/>
      <c r="VYM41" s="19"/>
      <c r="VYN41" s="19"/>
      <c r="VYO41" s="19"/>
      <c r="VYP41" s="21"/>
      <c r="VYQ41" s="19"/>
      <c r="VYZ41" s="19"/>
      <c r="VZA41" s="19"/>
      <c r="VZB41" s="19"/>
      <c r="VZC41" s="19"/>
      <c r="VZD41" s="21"/>
      <c r="VZE41" s="19"/>
      <c r="VZN41" s="19"/>
      <c r="VZO41" s="19"/>
      <c r="VZP41" s="19"/>
      <c r="VZQ41" s="19"/>
      <c r="VZR41" s="21"/>
      <c r="VZS41" s="19"/>
      <c r="WAB41" s="19"/>
      <c r="WAC41" s="19"/>
      <c r="WAD41" s="19"/>
      <c r="WAE41" s="19"/>
      <c r="WAF41" s="21"/>
      <c r="WAG41" s="19"/>
      <c r="WAP41" s="19"/>
      <c r="WAQ41" s="19"/>
      <c r="WAR41" s="19"/>
      <c r="WAS41" s="19"/>
      <c r="WAT41" s="21"/>
      <c r="WAU41" s="19"/>
      <c r="WBD41" s="19"/>
      <c r="WBE41" s="19"/>
      <c r="WBF41" s="19"/>
      <c r="WBG41" s="19"/>
      <c r="WBH41" s="21"/>
      <c r="WBI41" s="19"/>
      <c r="WBR41" s="19"/>
      <c r="WBS41" s="19"/>
      <c r="WBT41" s="19"/>
      <c r="WBU41" s="19"/>
      <c r="WBV41" s="21"/>
      <c r="WBW41" s="19"/>
      <c r="WCF41" s="19"/>
      <c r="WCG41" s="19"/>
      <c r="WCH41" s="19"/>
      <c r="WCI41" s="19"/>
      <c r="WCJ41" s="21"/>
      <c r="WCK41" s="19"/>
      <c r="WCT41" s="19"/>
      <c r="WCU41" s="19"/>
      <c r="WCV41" s="19"/>
      <c r="WCW41" s="19"/>
      <c r="WCX41" s="21"/>
      <c r="WCY41" s="19"/>
      <c r="WDH41" s="19"/>
      <c r="WDI41" s="19"/>
      <c r="WDJ41" s="19"/>
      <c r="WDK41" s="19"/>
      <c r="WDL41" s="21"/>
      <c r="WDM41" s="19"/>
      <c r="WDV41" s="19"/>
      <c r="WDW41" s="19"/>
      <c r="WDX41" s="19"/>
      <c r="WDY41" s="19"/>
      <c r="WDZ41" s="21"/>
      <c r="WEA41" s="19"/>
      <c r="WEJ41" s="19"/>
      <c r="WEK41" s="19"/>
      <c r="WEL41" s="19"/>
      <c r="WEM41" s="19"/>
      <c r="WEN41" s="21"/>
      <c r="WEO41" s="19"/>
      <c r="WEX41" s="19"/>
      <c r="WEY41" s="19"/>
      <c r="WEZ41" s="19"/>
      <c r="WFA41" s="19"/>
      <c r="WFB41" s="21"/>
      <c r="WFC41" s="19"/>
      <c r="WFL41" s="19"/>
      <c r="WFM41" s="19"/>
      <c r="WFN41" s="19"/>
      <c r="WFO41" s="19"/>
      <c r="WFP41" s="21"/>
      <c r="WFQ41" s="19"/>
      <c r="WFZ41" s="19"/>
      <c r="WGA41" s="19"/>
      <c r="WGB41" s="19"/>
      <c r="WGC41" s="19"/>
      <c r="WGD41" s="21"/>
      <c r="WGE41" s="19"/>
      <c r="WGN41" s="19"/>
      <c r="WGO41" s="19"/>
      <c r="WGP41" s="19"/>
      <c r="WGQ41" s="19"/>
      <c r="WGR41" s="21"/>
      <c r="WGS41" s="19"/>
      <c r="WHB41" s="19"/>
      <c r="WHC41" s="19"/>
      <c r="WHD41" s="19"/>
      <c r="WHE41" s="19"/>
      <c r="WHF41" s="21"/>
      <c r="WHG41" s="19"/>
      <c r="WHP41" s="19"/>
      <c r="WHQ41" s="19"/>
      <c r="WHR41" s="19"/>
      <c r="WHS41" s="19"/>
      <c r="WHT41" s="21"/>
      <c r="WHU41" s="19"/>
      <c r="WID41" s="19"/>
      <c r="WIE41" s="19"/>
      <c r="WIF41" s="19"/>
      <c r="WIG41" s="19"/>
      <c r="WIH41" s="21"/>
      <c r="WII41" s="19"/>
      <c r="WIR41" s="19"/>
      <c r="WIS41" s="19"/>
      <c r="WIT41" s="19"/>
      <c r="WIU41" s="19"/>
      <c r="WIV41" s="21"/>
      <c r="WIW41" s="19"/>
      <c r="WJF41" s="19"/>
      <c r="WJG41" s="19"/>
      <c r="WJH41" s="19"/>
      <c r="WJI41" s="19"/>
      <c r="WJJ41" s="21"/>
      <c r="WJK41" s="19"/>
      <c r="WJT41" s="19"/>
      <c r="WJU41" s="19"/>
      <c r="WJV41" s="19"/>
      <c r="WJW41" s="19"/>
      <c r="WJX41" s="21"/>
      <c r="WJY41" s="19"/>
      <c r="WKH41" s="19"/>
      <c r="WKI41" s="19"/>
      <c r="WKJ41" s="19"/>
      <c r="WKK41" s="19"/>
      <c r="WKL41" s="21"/>
      <c r="WKM41" s="19"/>
      <c r="WKV41" s="19"/>
      <c r="WKW41" s="19"/>
      <c r="WKX41" s="19"/>
      <c r="WKY41" s="19"/>
      <c r="WKZ41" s="21"/>
      <c r="WLA41" s="19"/>
      <c r="WLJ41" s="19"/>
      <c r="WLK41" s="19"/>
      <c r="WLL41" s="19"/>
      <c r="WLM41" s="19"/>
      <c r="WLN41" s="21"/>
      <c r="WLO41" s="19"/>
      <c r="WLX41" s="19"/>
      <c r="WLY41" s="19"/>
      <c r="WLZ41" s="19"/>
      <c r="WMA41" s="19"/>
      <c r="WMB41" s="21"/>
      <c r="WMC41" s="19"/>
      <c r="WML41" s="19"/>
      <c r="WMM41" s="19"/>
      <c r="WMN41" s="19"/>
      <c r="WMO41" s="19"/>
      <c r="WMP41" s="21"/>
      <c r="WMQ41" s="19"/>
      <c r="WMZ41" s="19"/>
      <c r="WNA41" s="19"/>
      <c r="WNB41" s="19"/>
      <c r="WNC41" s="19"/>
      <c r="WND41" s="21"/>
      <c r="WNE41" s="19"/>
      <c r="WNN41" s="19"/>
      <c r="WNO41" s="19"/>
      <c r="WNP41" s="19"/>
      <c r="WNQ41" s="19"/>
      <c r="WNR41" s="21"/>
      <c r="WNS41" s="19"/>
      <c r="WOB41" s="19"/>
      <c r="WOC41" s="19"/>
      <c r="WOD41" s="19"/>
      <c r="WOE41" s="19"/>
      <c r="WOF41" s="21"/>
      <c r="WOG41" s="19"/>
      <c r="WOP41" s="19"/>
      <c r="WOQ41" s="19"/>
      <c r="WOR41" s="19"/>
      <c r="WOS41" s="19"/>
      <c r="WOT41" s="21"/>
      <c r="WOU41" s="19"/>
      <c r="WPD41" s="19"/>
      <c r="WPE41" s="19"/>
      <c r="WPF41" s="19"/>
      <c r="WPG41" s="19"/>
      <c r="WPH41" s="21"/>
      <c r="WPI41" s="19"/>
      <c r="WPR41" s="19"/>
      <c r="WPS41" s="19"/>
      <c r="WPT41" s="19"/>
      <c r="WPU41" s="19"/>
      <c r="WPV41" s="21"/>
      <c r="WPW41" s="19"/>
      <c r="WQF41" s="19"/>
      <c r="WQG41" s="19"/>
      <c r="WQH41" s="19"/>
      <c r="WQI41" s="19"/>
      <c r="WQJ41" s="21"/>
      <c r="WQK41" s="19"/>
      <c r="WQT41" s="19"/>
      <c r="WQU41" s="19"/>
      <c r="WQV41" s="19"/>
      <c r="WQW41" s="19"/>
      <c r="WQX41" s="21"/>
      <c r="WQY41" s="19"/>
      <c r="WRH41" s="19"/>
      <c r="WRI41" s="19"/>
      <c r="WRJ41" s="19"/>
      <c r="WRK41" s="19"/>
      <c r="WRL41" s="21"/>
      <c r="WRM41" s="19"/>
      <c r="WRV41" s="19"/>
      <c r="WRW41" s="19"/>
      <c r="WRX41" s="19"/>
      <c r="WRY41" s="19"/>
      <c r="WRZ41" s="21"/>
      <c r="WSA41" s="19"/>
      <c r="WSJ41" s="19"/>
      <c r="WSK41" s="19"/>
      <c r="WSL41" s="19"/>
      <c r="WSM41" s="19"/>
      <c r="WSN41" s="21"/>
      <c r="WSO41" s="19"/>
      <c r="WSX41" s="19"/>
      <c r="WSY41" s="19"/>
      <c r="WSZ41" s="19"/>
      <c r="WTA41" s="19"/>
      <c r="WTB41" s="21"/>
      <c r="WTC41" s="19"/>
      <c r="WTL41" s="19"/>
      <c r="WTM41" s="19"/>
      <c r="WTN41" s="19"/>
      <c r="WTO41" s="19"/>
      <c r="WTP41" s="21"/>
      <c r="WTQ41" s="19"/>
      <c r="WTZ41" s="19"/>
      <c r="WUA41" s="19"/>
      <c r="WUB41" s="19"/>
      <c r="WUC41" s="19"/>
      <c r="WUD41" s="21"/>
      <c r="WUE41" s="19"/>
      <c r="WUN41" s="19"/>
      <c r="WUO41" s="19"/>
      <c r="WUP41" s="19"/>
      <c r="WUQ41" s="19"/>
      <c r="WUR41" s="21"/>
      <c r="WUS41" s="19"/>
      <c r="WVB41" s="19"/>
      <c r="WVC41" s="19"/>
      <c r="WVD41" s="19"/>
      <c r="WVE41" s="19"/>
      <c r="WVF41" s="21"/>
      <c r="WVG41" s="19"/>
      <c r="WVP41" s="19"/>
      <c r="WVQ41" s="19"/>
      <c r="WVR41" s="19"/>
      <c r="WVS41" s="19"/>
      <c r="WVT41" s="21"/>
      <c r="WVU41" s="19"/>
      <c r="WWD41" s="19"/>
      <c r="WWE41" s="19"/>
      <c r="WWF41" s="19"/>
      <c r="WWG41" s="19"/>
      <c r="WWH41" s="21"/>
      <c r="WWI41" s="19"/>
      <c r="WWR41" s="19"/>
      <c r="WWS41" s="19"/>
      <c r="WWT41" s="19"/>
      <c r="WWU41" s="19"/>
      <c r="WWV41" s="21"/>
      <c r="WWW41" s="19"/>
      <c r="WXF41" s="19"/>
      <c r="WXG41" s="19"/>
      <c r="WXH41" s="19"/>
      <c r="WXI41" s="19"/>
      <c r="WXJ41" s="21"/>
      <c r="WXK41" s="19"/>
      <c r="WXT41" s="19"/>
      <c r="WXU41" s="19"/>
      <c r="WXV41" s="19"/>
      <c r="WXW41" s="19"/>
      <c r="WXX41" s="21"/>
      <c r="WXY41" s="19"/>
      <c r="WYH41" s="19"/>
      <c r="WYI41" s="19"/>
      <c r="WYJ41" s="19"/>
      <c r="WYK41" s="19"/>
      <c r="WYL41" s="21"/>
      <c r="WYM41" s="19"/>
      <c r="WYV41" s="19"/>
      <c r="WYW41" s="19"/>
      <c r="WYX41" s="19"/>
      <c r="WYY41" s="19"/>
      <c r="WYZ41" s="21"/>
      <c r="WZA41" s="19"/>
      <c r="WZJ41" s="19"/>
      <c r="WZK41" s="19"/>
      <c r="WZL41" s="19"/>
      <c r="WZM41" s="19"/>
      <c r="WZN41" s="21"/>
      <c r="WZO41" s="19"/>
      <c r="WZX41" s="19"/>
      <c r="WZY41" s="19"/>
      <c r="WZZ41" s="19"/>
      <c r="XAA41" s="19"/>
      <c r="XAB41" s="21"/>
      <c r="XAC41" s="19"/>
      <c r="XAL41" s="19"/>
      <c r="XAM41" s="19"/>
      <c r="XAN41" s="19"/>
      <c r="XAO41" s="19"/>
      <c r="XAP41" s="21"/>
      <c r="XAQ41" s="19"/>
      <c r="XAZ41" s="19"/>
      <c r="XBA41" s="19"/>
      <c r="XBB41" s="19"/>
      <c r="XBC41" s="19"/>
      <c r="XBD41" s="21"/>
      <c r="XBE41" s="19"/>
      <c r="XBN41" s="19"/>
      <c r="XBO41" s="19"/>
      <c r="XBP41" s="19"/>
      <c r="XBQ41" s="19"/>
      <c r="XBR41" s="21"/>
      <c r="XBS41" s="19"/>
      <c r="XCB41" s="19"/>
      <c r="XCC41" s="19"/>
      <c r="XCD41" s="19"/>
      <c r="XCE41" s="19"/>
      <c r="XCF41" s="21"/>
      <c r="XCG41" s="19"/>
      <c r="XCP41" s="19"/>
      <c r="XCQ41" s="19"/>
      <c r="XCR41" s="19"/>
      <c r="XCS41" s="19"/>
      <c r="XCT41" s="21"/>
      <c r="XCU41" s="19"/>
      <c r="XDD41" s="19"/>
      <c r="XDE41" s="19"/>
      <c r="XDF41" s="19"/>
      <c r="XDG41" s="19"/>
      <c r="XDH41" s="21"/>
      <c r="XDI41" s="19"/>
      <c r="XDR41" s="19"/>
      <c r="XDS41" s="19"/>
      <c r="XDT41" s="19"/>
      <c r="XDU41" s="19"/>
      <c r="XDV41" s="21"/>
      <c r="XDW41" s="19"/>
      <c r="XEF41" s="19"/>
      <c r="XEG41" s="19"/>
      <c r="XEH41" s="19"/>
      <c r="XEI41" s="19"/>
      <c r="XEJ41" s="21"/>
      <c r="XEK41" s="19"/>
    </row>
    <row r="42" spans="1:1021 1030:2043 2052:3065 3074:7167 7176:8189 8198:9211 9220:10233 10242:14335 14344:15357 15366:16365" s="20" customFormat="1">
      <c r="A42" s="19">
        <v>3</v>
      </c>
      <c r="B42" s="21">
        <v>9</v>
      </c>
      <c r="C42" s="19" t="s">
        <v>128</v>
      </c>
      <c r="D42" s="20">
        <v>4</v>
      </c>
      <c r="E42" s="20">
        <v>3</v>
      </c>
      <c r="F42" s="20">
        <v>1</v>
      </c>
      <c r="G42" s="20">
        <v>1</v>
      </c>
      <c r="H42" s="20">
        <v>1</v>
      </c>
      <c r="I42" s="20">
        <v>3</v>
      </c>
      <c r="J42" s="20">
        <v>3</v>
      </c>
      <c r="K42" s="20">
        <v>0</v>
      </c>
      <c r="L42" s="27"/>
      <c r="M42" s="19"/>
      <c r="V42" s="19"/>
      <c r="W42" s="19"/>
      <c r="X42" s="19"/>
      <c r="Y42" s="19"/>
      <c r="Z42" s="21"/>
      <c r="AA42" s="19"/>
      <c r="AJ42" s="19"/>
      <c r="AK42" s="19"/>
      <c r="AL42" s="19"/>
      <c r="AM42" s="19"/>
      <c r="AN42" s="21"/>
      <c r="AO42" s="19"/>
      <c r="AX42" s="19"/>
      <c r="AY42" s="19"/>
      <c r="AZ42" s="19"/>
      <c r="BA42" s="19"/>
      <c r="BB42" s="21"/>
      <c r="BC42" s="19"/>
      <c r="BL42" s="19"/>
      <c r="BM42" s="19"/>
      <c r="BN42" s="19"/>
      <c r="BO42" s="19"/>
      <c r="BP42" s="21"/>
      <c r="BQ42" s="19"/>
      <c r="BZ42" s="19"/>
      <c r="CA42" s="19"/>
      <c r="CB42" s="19"/>
      <c r="CC42" s="19"/>
      <c r="CD42" s="21"/>
      <c r="CE42" s="19"/>
      <c r="CN42" s="19"/>
      <c r="CO42" s="19"/>
      <c r="CP42" s="19"/>
      <c r="CQ42" s="19"/>
      <c r="CR42" s="21"/>
      <c r="CS42" s="19"/>
      <c r="DB42" s="19"/>
      <c r="DC42" s="19"/>
      <c r="DD42" s="19"/>
      <c r="DE42" s="19"/>
      <c r="DF42" s="21"/>
      <c r="DG42" s="19"/>
      <c r="DP42" s="19"/>
      <c r="DQ42" s="19"/>
      <c r="DR42" s="19"/>
      <c r="DS42" s="19"/>
      <c r="DT42" s="21"/>
      <c r="DU42" s="19"/>
      <c r="ED42" s="19"/>
      <c r="EE42" s="19"/>
      <c r="EF42" s="19"/>
      <c r="EG42" s="19"/>
      <c r="EH42" s="21"/>
      <c r="EI42" s="19"/>
      <c r="ER42" s="19"/>
      <c r="ES42" s="19"/>
      <c r="ET42" s="19"/>
      <c r="EU42" s="19"/>
      <c r="EV42" s="21"/>
      <c r="EW42" s="19"/>
      <c r="FF42" s="19"/>
      <c r="FG42" s="19"/>
      <c r="FH42" s="19"/>
      <c r="FI42" s="19"/>
      <c r="FJ42" s="21"/>
      <c r="FK42" s="19"/>
      <c r="FT42" s="19"/>
      <c r="FU42" s="19"/>
      <c r="FV42" s="19"/>
      <c r="FW42" s="19"/>
      <c r="FX42" s="21"/>
      <c r="FY42" s="19"/>
      <c r="GH42" s="19"/>
      <c r="GI42" s="19"/>
      <c r="GJ42" s="19"/>
      <c r="GK42" s="19"/>
      <c r="GL42" s="21"/>
      <c r="GM42" s="19"/>
      <c r="GV42" s="19"/>
      <c r="GW42" s="19"/>
      <c r="GX42" s="19"/>
      <c r="GY42" s="19"/>
      <c r="GZ42" s="21"/>
      <c r="HA42" s="19"/>
      <c r="HJ42" s="19"/>
      <c r="HK42" s="19"/>
      <c r="HL42" s="19"/>
      <c r="HM42" s="19"/>
      <c r="HN42" s="21"/>
      <c r="HO42" s="19"/>
      <c r="HX42" s="19"/>
      <c r="HY42" s="19"/>
      <c r="HZ42" s="19"/>
      <c r="IA42" s="19"/>
      <c r="IB42" s="21"/>
      <c r="IC42" s="19"/>
      <c r="IL42" s="19"/>
      <c r="IM42" s="19"/>
      <c r="IN42" s="19"/>
      <c r="IO42" s="19"/>
      <c r="IP42" s="21"/>
      <c r="IQ42" s="19"/>
      <c r="IZ42" s="19"/>
      <c r="JA42" s="19"/>
      <c r="JB42" s="19"/>
      <c r="JC42" s="19"/>
      <c r="JD42" s="21"/>
      <c r="JE42" s="19"/>
      <c r="JN42" s="19"/>
      <c r="JO42" s="19"/>
      <c r="JP42" s="19"/>
      <c r="JQ42" s="19"/>
      <c r="JR42" s="21"/>
      <c r="JS42" s="19"/>
      <c r="KB42" s="19"/>
      <c r="KC42" s="19"/>
      <c r="KD42" s="19"/>
      <c r="KE42" s="19"/>
      <c r="KF42" s="21"/>
      <c r="KG42" s="19"/>
      <c r="KP42" s="19"/>
      <c r="KQ42" s="19"/>
      <c r="KR42" s="19"/>
      <c r="KS42" s="19"/>
      <c r="KT42" s="21"/>
      <c r="KU42" s="19"/>
      <c r="LD42" s="19"/>
      <c r="LE42" s="19"/>
      <c r="LF42" s="19"/>
      <c r="LG42" s="19"/>
      <c r="LH42" s="21"/>
      <c r="LI42" s="19"/>
      <c r="LR42" s="19"/>
      <c r="LS42" s="19"/>
      <c r="LT42" s="19"/>
      <c r="LU42" s="19"/>
      <c r="LV42" s="21"/>
      <c r="LW42" s="19"/>
      <c r="MF42" s="19"/>
      <c r="MG42" s="19"/>
      <c r="MH42" s="19"/>
      <c r="MI42" s="19"/>
      <c r="MJ42" s="21"/>
      <c r="MK42" s="19"/>
      <c r="MT42" s="19"/>
      <c r="MU42" s="19"/>
      <c r="MV42" s="19"/>
      <c r="MW42" s="19"/>
      <c r="MX42" s="21"/>
      <c r="MY42" s="19"/>
      <c r="NH42" s="19"/>
      <c r="NI42" s="19"/>
      <c r="NJ42" s="19"/>
      <c r="NK42" s="19"/>
      <c r="NL42" s="21"/>
      <c r="NM42" s="19"/>
      <c r="NV42" s="19"/>
      <c r="NW42" s="19"/>
      <c r="NX42" s="19"/>
      <c r="NY42" s="19"/>
      <c r="NZ42" s="21"/>
      <c r="OA42" s="19"/>
      <c r="OJ42" s="19"/>
      <c r="OK42" s="19"/>
      <c r="OL42" s="19"/>
      <c r="OM42" s="19"/>
      <c r="ON42" s="21"/>
      <c r="OO42" s="19"/>
      <c r="OX42" s="19"/>
      <c r="OY42" s="19"/>
      <c r="OZ42" s="19"/>
      <c r="PA42" s="19"/>
      <c r="PB42" s="21"/>
      <c r="PC42" s="19"/>
      <c r="PL42" s="19"/>
      <c r="PM42" s="19"/>
      <c r="PN42" s="19"/>
      <c r="PO42" s="19"/>
      <c r="PP42" s="21"/>
      <c r="PQ42" s="19"/>
      <c r="PZ42" s="19"/>
      <c r="QA42" s="19"/>
      <c r="QB42" s="19"/>
      <c r="QC42" s="19"/>
      <c r="QD42" s="21"/>
      <c r="QE42" s="19"/>
      <c r="QN42" s="19"/>
      <c r="QO42" s="19"/>
      <c r="QP42" s="19"/>
      <c r="QQ42" s="19"/>
      <c r="QR42" s="21"/>
      <c r="QS42" s="19"/>
      <c r="RB42" s="19"/>
      <c r="RC42" s="19"/>
      <c r="RD42" s="19"/>
      <c r="RE42" s="19"/>
      <c r="RF42" s="21"/>
      <c r="RG42" s="19"/>
      <c r="RP42" s="19"/>
      <c r="RQ42" s="19"/>
      <c r="RR42" s="19"/>
      <c r="RS42" s="19"/>
      <c r="RT42" s="21"/>
      <c r="RU42" s="19"/>
      <c r="SD42" s="19"/>
      <c r="SE42" s="19"/>
      <c r="SF42" s="19"/>
      <c r="SG42" s="19"/>
      <c r="SH42" s="21"/>
      <c r="SI42" s="19"/>
      <c r="SR42" s="19"/>
      <c r="SS42" s="19"/>
      <c r="ST42" s="19"/>
      <c r="SU42" s="19"/>
      <c r="SV42" s="21"/>
      <c r="SW42" s="19"/>
      <c r="TF42" s="19"/>
      <c r="TG42" s="19"/>
      <c r="TH42" s="19"/>
      <c r="TI42" s="19"/>
      <c r="TJ42" s="21"/>
      <c r="TK42" s="19"/>
      <c r="TT42" s="19"/>
      <c r="TU42" s="19"/>
      <c r="TV42" s="19"/>
      <c r="TW42" s="19"/>
      <c r="TX42" s="21"/>
      <c r="TY42" s="19"/>
      <c r="UH42" s="19"/>
      <c r="UI42" s="19"/>
      <c r="UJ42" s="19"/>
      <c r="UK42" s="19"/>
      <c r="UL42" s="21"/>
      <c r="UM42" s="19"/>
      <c r="UV42" s="19"/>
      <c r="UW42" s="19"/>
      <c r="UX42" s="19"/>
      <c r="UY42" s="19"/>
      <c r="UZ42" s="21"/>
      <c r="VA42" s="19"/>
      <c r="VJ42" s="19"/>
      <c r="VK42" s="19"/>
      <c r="VL42" s="19"/>
      <c r="VM42" s="19"/>
      <c r="VN42" s="21"/>
      <c r="VO42" s="19"/>
      <c r="VX42" s="19"/>
      <c r="VY42" s="19"/>
      <c r="VZ42" s="19"/>
      <c r="WA42" s="19"/>
      <c r="WB42" s="21"/>
      <c r="WC42" s="19"/>
      <c r="WL42" s="19"/>
      <c r="WM42" s="19"/>
      <c r="WN42" s="19"/>
      <c r="WO42" s="19"/>
      <c r="WP42" s="21"/>
      <c r="WQ42" s="19"/>
      <c r="WZ42" s="19"/>
      <c r="XA42" s="19"/>
      <c r="XB42" s="19"/>
      <c r="XC42" s="19"/>
      <c r="XD42" s="21"/>
      <c r="XE42" s="19"/>
      <c r="XN42" s="19"/>
      <c r="XO42" s="19"/>
      <c r="XP42" s="19"/>
      <c r="XQ42" s="19"/>
      <c r="XR42" s="21"/>
      <c r="XS42" s="19"/>
      <c r="YB42" s="19"/>
      <c r="YC42" s="19"/>
      <c r="YD42" s="19"/>
      <c r="YE42" s="19"/>
      <c r="YF42" s="21"/>
      <c r="YG42" s="19"/>
      <c r="YP42" s="19"/>
      <c r="YQ42" s="19"/>
      <c r="YR42" s="19"/>
      <c r="YS42" s="19"/>
      <c r="YT42" s="21"/>
      <c r="YU42" s="19"/>
      <c r="ZD42" s="19"/>
      <c r="ZE42" s="19"/>
      <c r="ZF42" s="19"/>
      <c r="ZG42" s="19"/>
      <c r="ZH42" s="21"/>
      <c r="ZI42" s="19"/>
      <c r="ZR42" s="19"/>
      <c r="ZS42" s="19"/>
      <c r="ZT42" s="19"/>
      <c r="ZU42" s="19"/>
      <c r="ZV42" s="21"/>
      <c r="ZW42" s="19"/>
      <c r="AAF42" s="19"/>
      <c r="AAG42" s="19"/>
      <c r="AAH42" s="19"/>
      <c r="AAI42" s="19"/>
      <c r="AAJ42" s="21"/>
      <c r="AAK42" s="19"/>
      <c r="AAT42" s="19"/>
      <c r="AAU42" s="19"/>
      <c r="AAV42" s="19"/>
      <c r="AAW42" s="19"/>
      <c r="AAX42" s="21"/>
      <c r="AAY42" s="19"/>
      <c r="ABH42" s="19"/>
      <c r="ABI42" s="19"/>
      <c r="ABJ42" s="19"/>
      <c r="ABK42" s="19"/>
      <c r="ABL42" s="21"/>
      <c r="ABM42" s="19"/>
      <c r="ABV42" s="19"/>
      <c r="ABW42" s="19"/>
      <c r="ABX42" s="19"/>
      <c r="ABY42" s="19"/>
      <c r="ABZ42" s="21"/>
      <c r="ACA42" s="19"/>
      <c r="ACJ42" s="19"/>
      <c r="ACK42" s="19"/>
      <c r="ACL42" s="19"/>
      <c r="ACM42" s="19"/>
      <c r="ACN42" s="21"/>
      <c r="ACO42" s="19"/>
      <c r="ACX42" s="19"/>
      <c r="ACY42" s="19"/>
      <c r="ACZ42" s="19"/>
      <c r="ADA42" s="19"/>
      <c r="ADB42" s="21"/>
      <c r="ADC42" s="19"/>
      <c r="ADL42" s="19"/>
      <c r="ADM42" s="19"/>
      <c r="ADN42" s="19"/>
      <c r="ADO42" s="19"/>
      <c r="ADP42" s="21"/>
      <c r="ADQ42" s="19"/>
      <c r="ADZ42" s="19"/>
      <c r="AEA42" s="19"/>
      <c r="AEB42" s="19"/>
      <c r="AEC42" s="19"/>
      <c r="AED42" s="21"/>
      <c r="AEE42" s="19"/>
      <c r="AEN42" s="19"/>
      <c r="AEO42" s="19"/>
      <c r="AEP42" s="19"/>
      <c r="AEQ42" s="19"/>
      <c r="AER42" s="21"/>
      <c r="AES42" s="19"/>
      <c r="AFB42" s="19"/>
      <c r="AFC42" s="19"/>
      <c r="AFD42" s="19"/>
      <c r="AFE42" s="19"/>
      <c r="AFF42" s="21"/>
      <c r="AFG42" s="19"/>
      <c r="AFP42" s="19"/>
      <c r="AFQ42" s="19"/>
      <c r="AFR42" s="19"/>
      <c r="AFS42" s="19"/>
      <c r="AFT42" s="21"/>
      <c r="AFU42" s="19"/>
      <c r="AGD42" s="19"/>
      <c r="AGE42" s="19"/>
      <c r="AGF42" s="19"/>
      <c r="AGG42" s="19"/>
      <c r="AGH42" s="21"/>
      <c r="AGI42" s="19"/>
      <c r="AGR42" s="19"/>
      <c r="AGS42" s="19"/>
      <c r="AGT42" s="19"/>
      <c r="AGU42" s="19"/>
      <c r="AGV42" s="21"/>
      <c r="AGW42" s="19"/>
      <c r="AHF42" s="19"/>
      <c r="AHG42" s="19"/>
      <c r="AHH42" s="19"/>
      <c r="AHI42" s="19"/>
      <c r="AHJ42" s="21"/>
      <c r="AHK42" s="19"/>
      <c r="AHT42" s="19"/>
      <c r="AHU42" s="19"/>
      <c r="AHV42" s="19"/>
      <c r="AHW42" s="19"/>
      <c r="AHX42" s="21"/>
      <c r="AHY42" s="19"/>
      <c r="AIH42" s="19"/>
      <c r="AII42" s="19"/>
      <c r="AIJ42" s="19"/>
      <c r="AIK42" s="19"/>
      <c r="AIL42" s="21"/>
      <c r="AIM42" s="19"/>
      <c r="AIV42" s="19"/>
      <c r="AIW42" s="19"/>
      <c r="AIX42" s="19"/>
      <c r="AIY42" s="19"/>
      <c r="AIZ42" s="21"/>
      <c r="AJA42" s="19"/>
      <c r="AJJ42" s="19"/>
      <c r="AJK42" s="19"/>
      <c r="AJL42" s="19"/>
      <c r="AJM42" s="19"/>
      <c r="AJN42" s="21"/>
      <c r="AJO42" s="19"/>
      <c r="AJX42" s="19"/>
      <c r="AJY42" s="19"/>
      <c r="AJZ42" s="19"/>
      <c r="AKA42" s="19"/>
      <c r="AKB42" s="21"/>
      <c r="AKC42" s="19"/>
      <c r="AKL42" s="19"/>
      <c r="AKM42" s="19"/>
      <c r="AKN42" s="19"/>
      <c r="AKO42" s="19"/>
      <c r="AKP42" s="21"/>
      <c r="AKQ42" s="19"/>
      <c r="AKZ42" s="19"/>
      <c r="ALA42" s="19"/>
      <c r="ALB42" s="19"/>
      <c r="ALC42" s="19"/>
      <c r="ALD42" s="21"/>
      <c r="ALE42" s="19"/>
      <c r="ALN42" s="19"/>
      <c r="ALO42" s="19"/>
      <c r="ALP42" s="19"/>
      <c r="ALQ42" s="19"/>
      <c r="ALR42" s="21"/>
      <c r="ALS42" s="19"/>
      <c r="AMB42" s="19"/>
      <c r="AMC42" s="19"/>
      <c r="AMD42" s="19"/>
      <c r="AME42" s="19"/>
      <c r="AMF42" s="21"/>
      <c r="AMG42" s="19"/>
      <c r="AMP42" s="19"/>
      <c r="AMQ42" s="19"/>
      <c r="AMR42" s="19"/>
      <c r="AMS42" s="19"/>
      <c r="AMT42" s="21"/>
      <c r="AMU42" s="19"/>
      <c r="AND42" s="19"/>
      <c r="ANE42" s="19"/>
      <c r="ANF42" s="19"/>
      <c r="ANG42" s="19"/>
      <c r="ANH42" s="21"/>
      <c r="ANI42" s="19"/>
      <c r="ANR42" s="19"/>
      <c r="ANS42" s="19"/>
      <c r="ANT42" s="19"/>
      <c r="ANU42" s="19"/>
      <c r="ANV42" s="21"/>
      <c r="ANW42" s="19"/>
      <c r="AOF42" s="19"/>
      <c r="AOG42" s="19"/>
      <c r="AOH42" s="19"/>
      <c r="AOI42" s="19"/>
      <c r="AOJ42" s="21"/>
      <c r="AOK42" s="19"/>
      <c r="AOT42" s="19"/>
      <c r="AOU42" s="19"/>
      <c r="AOV42" s="19"/>
      <c r="AOW42" s="19"/>
      <c r="AOX42" s="21"/>
      <c r="AOY42" s="19"/>
      <c r="APH42" s="19"/>
      <c r="API42" s="19"/>
      <c r="APJ42" s="19"/>
      <c r="APK42" s="19"/>
      <c r="APL42" s="21"/>
      <c r="APM42" s="19"/>
      <c r="APV42" s="19"/>
      <c r="APW42" s="19"/>
      <c r="APX42" s="19"/>
      <c r="APY42" s="19"/>
      <c r="APZ42" s="21"/>
      <c r="AQA42" s="19"/>
      <c r="AQJ42" s="19"/>
      <c r="AQK42" s="19"/>
      <c r="AQL42" s="19"/>
      <c r="AQM42" s="19"/>
      <c r="AQN42" s="21"/>
      <c r="AQO42" s="19"/>
      <c r="AQX42" s="19"/>
      <c r="AQY42" s="19"/>
      <c r="AQZ42" s="19"/>
      <c r="ARA42" s="19"/>
      <c r="ARB42" s="21"/>
      <c r="ARC42" s="19"/>
      <c r="ARL42" s="19"/>
      <c r="ARM42" s="19"/>
      <c r="ARN42" s="19"/>
      <c r="ARO42" s="19"/>
      <c r="ARP42" s="21"/>
      <c r="ARQ42" s="19"/>
      <c r="ARZ42" s="19"/>
      <c r="ASA42" s="19"/>
      <c r="ASB42" s="19"/>
      <c r="ASC42" s="19"/>
      <c r="ASD42" s="21"/>
      <c r="ASE42" s="19"/>
      <c r="ASN42" s="19"/>
      <c r="ASO42" s="19"/>
      <c r="ASP42" s="19"/>
      <c r="ASQ42" s="19"/>
      <c r="ASR42" s="21"/>
      <c r="ASS42" s="19"/>
      <c r="ATB42" s="19"/>
      <c r="ATC42" s="19"/>
      <c r="ATD42" s="19"/>
      <c r="ATE42" s="19"/>
      <c r="ATF42" s="21"/>
      <c r="ATG42" s="19"/>
      <c r="ATP42" s="19"/>
      <c r="ATQ42" s="19"/>
      <c r="ATR42" s="19"/>
      <c r="ATS42" s="19"/>
      <c r="ATT42" s="21"/>
      <c r="ATU42" s="19"/>
      <c r="AUD42" s="19"/>
      <c r="AUE42" s="19"/>
      <c r="AUF42" s="19"/>
      <c r="AUG42" s="19"/>
      <c r="AUH42" s="21"/>
      <c r="AUI42" s="19"/>
      <c r="AUR42" s="19"/>
      <c r="AUS42" s="19"/>
      <c r="AUT42" s="19"/>
      <c r="AUU42" s="19"/>
      <c r="AUV42" s="21"/>
      <c r="AUW42" s="19"/>
      <c r="AVF42" s="19"/>
      <c r="AVG42" s="19"/>
      <c r="AVH42" s="19"/>
      <c r="AVI42" s="19"/>
      <c r="AVJ42" s="21"/>
      <c r="AVK42" s="19"/>
      <c r="AVT42" s="19"/>
      <c r="AVU42" s="19"/>
      <c r="AVV42" s="19"/>
      <c r="AVW42" s="19"/>
      <c r="AVX42" s="21"/>
      <c r="AVY42" s="19"/>
      <c r="AWH42" s="19"/>
      <c r="AWI42" s="19"/>
      <c r="AWJ42" s="19"/>
      <c r="AWK42" s="19"/>
      <c r="AWL42" s="21"/>
      <c r="AWM42" s="19"/>
      <c r="AWV42" s="19"/>
      <c r="AWW42" s="19"/>
      <c r="AWX42" s="19"/>
      <c r="AWY42" s="19"/>
      <c r="AWZ42" s="21"/>
      <c r="AXA42" s="19"/>
      <c r="AXJ42" s="19"/>
      <c r="AXK42" s="19"/>
      <c r="AXL42" s="19"/>
      <c r="AXM42" s="19"/>
      <c r="AXN42" s="21"/>
      <c r="AXO42" s="19"/>
      <c r="AXX42" s="19"/>
      <c r="AXY42" s="19"/>
      <c r="AXZ42" s="19"/>
      <c r="AYA42" s="19"/>
      <c r="AYB42" s="21"/>
      <c r="AYC42" s="19"/>
      <c r="AYL42" s="19"/>
      <c r="AYM42" s="19"/>
      <c r="AYN42" s="19"/>
      <c r="AYO42" s="19"/>
      <c r="AYP42" s="21"/>
      <c r="AYQ42" s="19"/>
      <c r="AYZ42" s="19"/>
      <c r="AZA42" s="19"/>
      <c r="AZB42" s="19"/>
      <c r="AZC42" s="19"/>
      <c r="AZD42" s="21"/>
      <c r="AZE42" s="19"/>
      <c r="AZN42" s="19"/>
      <c r="AZO42" s="19"/>
      <c r="AZP42" s="19"/>
      <c r="AZQ42" s="19"/>
      <c r="AZR42" s="21"/>
      <c r="AZS42" s="19"/>
      <c r="BAB42" s="19"/>
      <c r="BAC42" s="19"/>
      <c r="BAD42" s="19"/>
      <c r="BAE42" s="19"/>
      <c r="BAF42" s="21"/>
      <c r="BAG42" s="19"/>
      <c r="BAP42" s="19"/>
      <c r="BAQ42" s="19"/>
      <c r="BAR42" s="19"/>
      <c r="BAS42" s="19"/>
      <c r="BAT42" s="21"/>
      <c r="BAU42" s="19"/>
      <c r="BBD42" s="19"/>
      <c r="BBE42" s="19"/>
      <c r="BBF42" s="19"/>
      <c r="BBG42" s="19"/>
      <c r="BBH42" s="21"/>
      <c r="BBI42" s="19"/>
      <c r="BBR42" s="19"/>
      <c r="BBS42" s="19"/>
      <c r="BBT42" s="19"/>
      <c r="BBU42" s="19"/>
      <c r="BBV42" s="21"/>
      <c r="BBW42" s="19"/>
      <c r="BCF42" s="19"/>
      <c r="BCG42" s="19"/>
      <c r="BCH42" s="19"/>
      <c r="BCI42" s="19"/>
      <c r="BCJ42" s="21"/>
      <c r="BCK42" s="19"/>
      <c r="BCT42" s="19"/>
      <c r="BCU42" s="19"/>
      <c r="BCV42" s="19"/>
      <c r="BCW42" s="19"/>
      <c r="BCX42" s="21"/>
      <c r="BCY42" s="19"/>
      <c r="BDH42" s="19"/>
      <c r="BDI42" s="19"/>
      <c r="BDJ42" s="19"/>
      <c r="BDK42" s="19"/>
      <c r="BDL42" s="21"/>
      <c r="BDM42" s="19"/>
      <c r="BDV42" s="19"/>
      <c r="BDW42" s="19"/>
      <c r="BDX42" s="19"/>
      <c r="BDY42" s="19"/>
      <c r="BDZ42" s="21"/>
      <c r="BEA42" s="19"/>
      <c r="BEJ42" s="19"/>
      <c r="BEK42" s="19"/>
      <c r="BEL42" s="19"/>
      <c r="BEM42" s="19"/>
      <c r="BEN42" s="21"/>
      <c r="BEO42" s="19"/>
      <c r="BEX42" s="19"/>
      <c r="BEY42" s="19"/>
      <c r="BEZ42" s="19"/>
      <c r="BFA42" s="19"/>
      <c r="BFB42" s="21"/>
      <c r="BFC42" s="19"/>
      <c r="BFL42" s="19"/>
      <c r="BFM42" s="19"/>
      <c r="BFN42" s="19"/>
      <c r="BFO42" s="19"/>
      <c r="BFP42" s="21"/>
      <c r="BFQ42" s="19"/>
      <c r="BFZ42" s="19"/>
      <c r="BGA42" s="19"/>
      <c r="BGB42" s="19"/>
      <c r="BGC42" s="19"/>
      <c r="BGD42" s="21"/>
      <c r="BGE42" s="19"/>
      <c r="BGN42" s="19"/>
      <c r="BGO42" s="19"/>
      <c r="BGP42" s="19"/>
      <c r="BGQ42" s="19"/>
      <c r="BGR42" s="21"/>
      <c r="BGS42" s="19"/>
      <c r="BHB42" s="19"/>
      <c r="BHC42" s="19"/>
      <c r="BHD42" s="19"/>
      <c r="BHE42" s="19"/>
      <c r="BHF42" s="21"/>
      <c r="BHG42" s="19"/>
      <c r="BHP42" s="19"/>
      <c r="BHQ42" s="19"/>
      <c r="BHR42" s="19"/>
      <c r="BHS42" s="19"/>
      <c r="BHT42" s="21"/>
      <c r="BHU42" s="19"/>
      <c r="BID42" s="19"/>
      <c r="BIE42" s="19"/>
      <c r="BIF42" s="19"/>
      <c r="BIG42" s="19"/>
      <c r="BIH42" s="21"/>
      <c r="BII42" s="19"/>
      <c r="BIR42" s="19"/>
      <c r="BIS42" s="19"/>
      <c r="BIT42" s="19"/>
      <c r="BIU42" s="19"/>
      <c r="BIV42" s="21"/>
      <c r="BIW42" s="19"/>
      <c r="BJF42" s="19"/>
      <c r="BJG42" s="19"/>
      <c r="BJH42" s="19"/>
      <c r="BJI42" s="19"/>
      <c r="BJJ42" s="21"/>
      <c r="BJK42" s="19"/>
      <c r="BJT42" s="19"/>
      <c r="BJU42" s="19"/>
      <c r="BJV42" s="19"/>
      <c r="BJW42" s="19"/>
      <c r="BJX42" s="21"/>
      <c r="BJY42" s="19"/>
      <c r="BKH42" s="19"/>
      <c r="BKI42" s="19"/>
      <c r="BKJ42" s="19"/>
      <c r="BKK42" s="19"/>
      <c r="BKL42" s="21"/>
      <c r="BKM42" s="19"/>
      <c r="BKV42" s="19"/>
      <c r="BKW42" s="19"/>
      <c r="BKX42" s="19"/>
      <c r="BKY42" s="19"/>
      <c r="BKZ42" s="21"/>
      <c r="BLA42" s="19"/>
      <c r="BLJ42" s="19"/>
      <c r="BLK42" s="19"/>
      <c r="BLL42" s="19"/>
      <c r="BLM42" s="19"/>
      <c r="BLN42" s="21"/>
      <c r="BLO42" s="19"/>
      <c r="BLX42" s="19"/>
      <c r="BLY42" s="19"/>
      <c r="BLZ42" s="19"/>
      <c r="BMA42" s="19"/>
      <c r="BMB42" s="21"/>
      <c r="BMC42" s="19"/>
      <c r="BML42" s="19"/>
      <c r="BMM42" s="19"/>
      <c r="BMN42" s="19"/>
      <c r="BMO42" s="19"/>
      <c r="BMP42" s="21"/>
      <c r="BMQ42" s="19"/>
      <c r="BMZ42" s="19"/>
      <c r="BNA42" s="19"/>
      <c r="BNB42" s="19"/>
      <c r="BNC42" s="19"/>
      <c r="BND42" s="21"/>
      <c r="BNE42" s="19"/>
      <c r="BNN42" s="19"/>
      <c r="BNO42" s="19"/>
      <c r="BNP42" s="19"/>
      <c r="BNQ42" s="19"/>
      <c r="BNR42" s="21"/>
      <c r="BNS42" s="19"/>
      <c r="BOB42" s="19"/>
      <c r="BOC42" s="19"/>
      <c r="BOD42" s="19"/>
      <c r="BOE42" s="19"/>
      <c r="BOF42" s="21"/>
      <c r="BOG42" s="19"/>
      <c r="BOP42" s="19"/>
      <c r="BOQ42" s="19"/>
      <c r="BOR42" s="19"/>
      <c r="BOS42" s="19"/>
      <c r="BOT42" s="21"/>
      <c r="BOU42" s="19"/>
      <c r="BPD42" s="19"/>
      <c r="BPE42" s="19"/>
      <c r="BPF42" s="19"/>
      <c r="BPG42" s="19"/>
      <c r="BPH42" s="21"/>
      <c r="BPI42" s="19"/>
      <c r="BPR42" s="19"/>
      <c r="BPS42" s="19"/>
      <c r="BPT42" s="19"/>
      <c r="BPU42" s="19"/>
      <c r="BPV42" s="21"/>
      <c r="BPW42" s="19"/>
      <c r="BQF42" s="19"/>
      <c r="BQG42" s="19"/>
      <c r="BQH42" s="19"/>
      <c r="BQI42" s="19"/>
      <c r="BQJ42" s="21"/>
      <c r="BQK42" s="19"/>
      <c r="BQT42" s="19"/>
      <c r="BQU42" s="19"/>
      <c r="BQV42" s="19"/>
      <c r="BQW42" s="19"/>
      <c r="BQX42" s="21"/>
      <c r="BQY42" s="19"/>
      <c r="BRH42" s="19"/>
      <c r="BRI42" s="19"/>
      <c r="BRJ42" s="19"/>
      <c r="BRK42" s="19"/>
      <c r="BRL42" s="21"/>
      <c r="BRM42" s="19"/>
      <c r="BRV42" s="19"/>
      <c r="BRW42" s="19"/>
      <c r="BRX42" s="19"/>
      <c r="BRY42" s="19"/>
      <c r="BRZ42" s="21"/>
      <c r="BSA42" s="19"/>
      <c r="BSJ42" s="19"/>
      <c r="BSK42" s="19"/>
      <c r="BSL42" s="19"/>
      <c r="BSM42" s="19"/>
      <c r="BSN42" s="21"/>
      <c r="BSO42" s="19"/>
      <c r="BSX42" s="19"/>
      <c r="BSY42" s="19"/>
      <c r="BSZ42" s="19"/>
      <c r="BTA42" s="19"/>
      <c r="BTB42" s="21"/>
      <c r="BTC42" s="19"/>
      <c r="BTL42" s="19"/>
      <c r="BTM42" s="19"/>
      <c r="BTN42" s="19"/>
      <c r="BTO42" s="19"/>
      <c r="BTP42" s="21"/>
      <c r="BTQ42" s="19"/>
      <c r="BTZ42" s="19"/>
      <c r="BUA42" s="19"/>
      <c r="BUB42" s="19"/>
      <c r="BUC42" s="19"/>
      <c r="BUD42" s="21"/>
      <c r="BUE42" s="19"/>
      <c r="BUN42" s="19"/>
      <c r="BUO42" s="19"/>
      <c r="BUP42" s="19"/>
      <c r="BUQ42" s="19"/>
      <c r="BUR42" s="21"/>
      <c r="BUS42" s="19"/>
      <c r="BVB42" s="19"/>
      <c r="BVC42" s="19"/>
      <c r="BVD42" s="19"/>
      <c r="BVE42" s="19"/>
      <c r="BVF42" s="21"/>
      <c r="BVG42" s="19"/>
      <c r="BVP42" s="19"/>
      <c r="BVQ42" s="19"/>
      <c r="BVR42" s="19"/>
      <c r="BVS42" s="19"/>
      <c r="BVT42" s="21"/>
      <c r="BVU42" s="19"/>
      <c r="BWD42" s="19"/>
      <c r="BWE42" s="19"/>
      <c r="BWF42" s="19"/>
      <c r="BWG42" s="19"/>
      <c r="BWH42" s="21"/>
      <c r="BWI42" s="19"/>
      <c r="BWR42" s="19"/>
      <c r="BWS42" s="19"/>
      <c r="BWT42" s="19"/>
      <c r="BWU42" s="19"/>
      <c r="BWV42" s="21"/>
      <c r="BWW42" s="19"/>
      <c r="BXF42" s="19"/>
      <c r="BXG42" s="19"/>
      <c r="BXH42" s="19"/>
      <c r="BXI42" s="19"/>
      <c r="BXJ42" s="21"/>
      <c r="BXK42" s="19"/>
      <c r="BXT42" s="19"/>
      <c r="BXU42" s="19"/>
      <c r="BXV42" s="19"/>
      <c r="BXW42" s="19"/>
      <c r="BXX42" s="21"/>
      <c r="BXY42" s="19"/>
      <c r="BYH42" s="19"/>
      <c r="BYI42" s="19"/>
      <c r="BYJ42" s="19"/>
      <c r="BYK42" s="19"/>
      <c r="BYL42" s="21"/>
      <c r="BYM42" s="19"/>
      <c r="BYV42" s="19"/>
      <c r="BYW42" s="19"/>
      <c r="BYX42" s="19"/>
      <c r="BYY42" s="19"/>
      <c r="BYZ42" s="21"/>
      <c r="BZA42" s="19"/>
      <c r="BZJ42" s="19"/>
      <c r="BZK42" s="19"/>
      <c r="BZL42" s="19"/>
      <c r="BZM42" s="19"/>
      <c r="BZN42" s="21"/>
      <c r="BZO42" s="19"/>
      <c r="BZX42" s="19"/>
      <c r="BZY42" s="19"/>
      <c r="BZZ42" s="19"/>
      <c r="CAA42" s="19"/>
      <c r="CAB42" s="21"/>
      <c r="CAC42" s="19"/>
      <c r="CAL42" s="19"/>
      <c r="CAM42" s="19"/>
      <c r="CAN42" s="19"/>
      <c r="CAO42" s="19"/>
      <c r="CAP42" s="21"/>
      <c r="CAQ42" s="19"/>
      <c r="CAZ42" s="19"/>
      <c r="CBA42" s="19"/>
      <c r="CBB42" s="19"/>
      <c r="CBC42" s="19"/>
      <c r="CBD42" s="21"/>
      <c r="CBE42" s="19"/>
      <c r="CBN42" s="19"/>
      <c r="CBO42" s="19"/>
      <c r="CBP42" s="19"/>
      <c r="CBQ42" s="19"/>
      <c r="CBR42" s="21"/>
      <c r="CBS42" s="19"/>
      <c r="CCB42" s="19"/>
      <c r="CCC42" s="19"/>
      <c r="CCD42" s="19"/>
      <c r="CCE42" s="19"/>
      <c r="CCF42" s="21"/>
      <c r="CCG42" s="19"/>
      <c r="CCP42" s="19"/>
      <c r="CCQ42" s="19"/>
      <c r="CCR42" s="19"/>
      <c r="CCS42" s="19"/>
      <c r="CCT42" s="21"/>
      <c r="CCU42" s="19"/>
      <c r="CDD42" s="19"/>
      <c r="CDE42" s="19"/>
      <c r="CDF42" s="19"/>
      <c r="CDG42" s="19"/>
      <c r="CDH42" s="21"/>
      <c r="CDI42" s="19"/>
      <c r="CDR42" s="19"/>
      <c r="CDS42" s="19"/>
      <c r="CDT42" s="19"/>
      <c r="CDU42" s="19"/>
      <c r="CDV42" s="21"/>
      <c r="CDW42" s="19"/>
      <c r="CEF42" s="19"/>
      <c r="CEG42" s="19"/>
      <c r="CEH42" s="19"/>
      <c r="CEI42" s="19"/>
      <c r="CEJ42" s="21"/>
      <c r="CEK42" s="19"/>
      <c r="CET42" s="19"/>
      <c r="CEU42" s="19"/>
      <c r="CEV42" s="19"/>
      <c r="CEW42" s="19"/>
      <c r="CEX42" s="21"/>
      <c r="CEY42" s="19"/>
      <c r="CFH42" s="19"/>
      <c r="CFI42" s="19"/>
      <c r="CFJ42" s="19"/>
      <c r="CFK42" s="19"/>
      <c r="CFL42" s="21"/>
      <c r="CFM42" s="19"/>
      <c r="CFV42" s="19"/>
      <c r="CFW42" s="19"/>
      <c r="CFX42" s="19"/>
      <c r="CFY42" s="19"/>
      <c r="CFZ42" s="21"/>
      <c r="CGA42" s="19"/>
      <c r="CGJ42" s="19"/>
      <c r="CGK42" s="19"/>
      <c r="CGL42" s="19"/>
      <c r="CGM42" s="19"/>
      <c r="CGN42" s="21"/>
      <c r="CGO42" s="19"/>
      <c r="CGX42" s="19"/>
      <c r="CGY42" s="19"/>
      <c r="CGZ42" s="19"/>
      <c r="CHA42" s="19"/>
      <c r="CHB42" s="21"/>
      <c r="CHC42" s="19"/>
      <c r="CHL42" s="19"/>
      <c r="CHM42" s="19"/>
      <c r="CHN42" s="19"/>
      <c r="CHO42" s="19"/>
      <c r="CHP42" s="21"/>
      <c r="CHQ42" s="19"/>
      <c r="CHZ42" s="19"/>
      <c r="CIA42" s="19"/>
      <c r="CIB42" s="19"/>
      <c r="CIC42" s="19"/>
      <c r="CID42" s="21"/>
      <c r="CIE42" s="19"/>
      <c r="CIN42" s="19"/>
      <c r="CIO42" s="19"/>
      <c r="CIP42" s="19"/>
      <c r="CIQ42" s="19"/>
      <c r="CIR42" s="21"/>
      <c r="CIS42" s="19"/>
      <c r="CJB42" s="19"/>
      <c r="CJC42" s="19"/>
      <c r="CJD42" s="19"/>
      <c r="CJE42" s="19"/>
      <c r="CJF42" s="21"/>
      <c r="CJG42" s="19"/>
      <c r="CJP42" s="19"/>
      <c r="CJQ42" s="19"/>
      <c r="CJR42" s="19"/>
      <c r="CJS42" s="19"/>
      <c r="CJT42" s="21"/>
      <c r="CJU42" s="19"/>
      <c r="CKD42" s="19"/>
      <c r="CKE42" s="19"/>
      <c r="CKF42" s="19"/>
      <c r="CKG42" s="19"/>
      <c r="CKH42" s="21"/>
      <c r="CKI42" s="19"/>
      <c r="CKR42" s="19"/>
      <c r="CKS42" s="19"/>
      <c r="CKT42" s="19"/>
      <c r="CKU42" s="19"/>
      <c r="CKV42" s="21"/>
      <c r="CKW42" s="19"/>
      <c r="CLF42" s="19"/>
      <c r="CLG42" s="19"/>
      <c r="CLH42" s="19"/>
      <c r="CLI42" s="19"/>
      <c r="CLJ42" s="21"/>
      <c r="CLK42" s="19"/>
      <c r="CLT42" s="19"/>
      <c r="CLU42" s="19"/>
      <c r="CLV42" s="19"/>
      <c r="CLW42" s="19"/>
      <c r="CLX42" s="21"/>
      <c r="CLY42" s="19"/>
      <c r="CMH42" s="19"/>
      <c r="CMI42" s="19"/>
      <c r="CMJ42" s="19"/>
      <c r="CMK42" s="19"/>
      <c r="CML42" s="21"/>
      <c r="CMM42" s="19"/>
      <c r="CMV42" s="19"/>
      <c r="CMW42" s="19"/>
      <c r="CMX42" s="19"/>
      <c r="CMY42" s="19"/>
      <c r="CMZ42" s="21"/>
      <c r="CNA42" s="19"/>
      <c r="CNJ42" s="19"/>
      <c r="CNK42" s="19"/>
      <c r="CNL42" s="19"/>
      <c r="CNM42" s="19"/>
      <c r="CNN42" s="21"/>
      <c r="CNO42" s="19"/>
      <c r="CNX42" s="19"/>
      <c r="CNY42" s="19"/>
      <c r="CNZ42" s="19"/>
      <c r="COA42" s="19"/>
      <c r="COB42" s="21"/>
      <c r="COC42" s="19"/>
      <c r="COL42" s="19"/>
      <c r="COM42" s="19"/>
      <c r="CON42" s="19"/>
      <c r="COO42" s="19"/>
      <c r="COP42" s="21"/>
      <c r="COQ42" s="19"/>
      <c r="COZ42" s="19"/>
      <c r="CPA42" s="19"/>
      <c r="CPB42" s="19"/>
      <c r="CPC42" s="19"/>
      <c r="CPD42" s="21"/>
      <c r="CPE42" s="19"/>
      <c r="CPN42" s="19"/>
      <c r="CPO42" s="19"/>
      <c r="CPP42" s="19"/>
      <c r="CPQ42" s="19"/>
      <c r="CPR42" s="21"/>
      <c r="CPS42" s="19"/>
      <c r="CQB42" s="19"/>
      <c r="CQC42" s="19"/>
      <c r="CQD42" s="19"/>
      <c r="CQE42" s="19"/>
      <c r="CQF42" s="21"/>
      <c r="CQG42" s="19"/>
      <c r="CQP42" s="19"/>
      <c r="CQQ42" s="19"/>
      <c r="CQR42" s="19"/>
      <c r="CQS42" s="19"/>
      <c r="CQT42" s="21"/>
      <c r="CQU42" s="19"/>
      <c r="CRD42" s="19"/>
      <c r="CRE42" s="19"/>
      <c r="CRF42" s="19"/>
      <c r="CRG42" s="19"/>
      <c r="CRH42" s="21"/>
      <c r="CRI42" s="19"/>
      <c r="CRR42" s="19"/>
      <c r="CRS42" s="19"/>
      <c r="CRT42" s="19"/>
      <c r="CRU42" s="19"/>
      <c r="CRV42" s="21"/>
      <c r="CRW42" s="19"/>
      <c r="CSF42" s="19"/>
      <c r="CSG42" s="19"/>
      <c r="CSH42" s="19"/>
      <c r="CSI42" s="19"/>
      <c r="CSJ42" s="21"/>
      <c r="CSK42" s="19"/>
      <c r="CST42" s="19"/>
      <c r="CSU42" s="19"/>
      <c r="CSV42" s="19"/>
      <c r="CSW42" s="19"/>
      <c r="CSX42" s="21"/>
      <c r="CSY42" s="19"/>
      <c r="CTH42" s="19"/>
      <c r="CTI42" s="19"/>
      <c r="CTJ42" s="19"/>
      <c r="CTK42" s="19"/>
      <c r="CTL42" s="21"/>
      <c r="CTM42" s="19"/>
      <c r="CTV42" s="19"/>
      <c r="CTW42" s="19"/>
      <c r="CTX42" s="19"/>
      <c r="CTY42" s="19"/>
      <c r="CTZ42" s="21"/>
      <c r="CUA42" s="19"/>
      <c r="CUJ42" s="19"/>
      <c r="CUK42" s="19"/>
      <c r="CUL42" s="19"/>
      <c r="CUM42" s="19"/>
      <c r="CUN42" s="21"/>
      <c r="CUO42" s="19"/>
      <c r="CUX42" s="19"/>
      <c r="CUY42" s="19"/>
      <c r="CUZ42" s="19"/>
      <c r="CVA42" s="19"/>
      <c r="CVB42" s="21"/>
      <c r="CVC42" s="19"/>
      <c r="CVL42" s="19"/>
      <c r="CVM42" s="19"/>
      <c r="CVN42" s="19"/>
      <c r="CVO42" s="19"/>
      <c r="CVP42" s="21"/>
      <c r="CVQ42" s="19"/>
      <c r="CVZ42" s="19"/>
      <c r="CWA42" s="19"/>
      <c r="CWB42" s="19"/>
      <c r="CWC42" s="19"/>
      <c r="CWD42" s="21"/>
      <c r="CWE42" s="19"/>
      <c r="CWN42" s="19"/>
      <c r="CWO42" s="19"/>
      <c r="CWP42" s="19"/>
      <c r="CWQ42" s="19"/>
      <c r="CWR42" s="21"/>
      <c r="CWS42" s="19"/>
      <c r="CXB42" s="19"/>
      <c r="CXC42" s="19"/>
      <c r="CXD42" s="19"/>
      <c r="CXE42" s="19"/>
      <c r="CXF42" s="21"/>
      <c r="CXG42" s="19"/>
      <c r="CXP42" s="19"/>
      <c r="CXQ42" s="19"/>
      <c r="CXR42" s="19"/>
      <c r="CXS42" s="19"/>
      <c r="CXT42" s="21"/>
      <c r="CXU42" s="19"/>
      <c r="CYD42" s="19"/>
      <c r="CYE42" s="19"/>
      <c r="CYF42" s="19"/>
      <c r="CYG42" s="19"/>
      <c r="CYH42" s="21"/>
      <c r="CYI42" s="19"/>
      <c r="CYR42" s="19"/>
      <c r="CYS42" s="19"/>
      <c r="CYT42" s="19"/>
      <c r="CYU42" s="19"/>
      <c r="CYV42" s="21"/>
      <c r="CYW42" s="19"/>
      <c r="CZF42" s="19"/>
      <c r="CZG42" s="19"/>
      <c r="CZH42" s="19"/>
      <c r="CZI42" s="19"/>
      <c r="CZJ42" s="21"/>
      <c r="CZK42" s="19"/>
      <c r="CZT42" s="19"/>
      <c r="CZU42" s="19"/>
      <c r="CZV42" s="19"/>
      <c r="CZW42" s="19"/>
      <c r="CZX42" s="21"/>
      <c r="CZY42" s="19"/>
      <c r="DAH42" s="19"/>
      <c r="DAI42" s="19"/>
      <c r="DAJ42" s="19"/>
      <c r="DAK42" s="19"/>
      <c r="DAL42" s="21"/>
      <c r="DAM42" s="19"/>
      <c r="DAV42" s="19"/>
      <c r="DAW42" s="19"/>
      <c r="DAX42" s="19"/>
      <c r="DAY42" s="19"/>
      <c r="DAZ42" s="21"/>
      <c r="DBA42" s="19"/>
      <c r="DBJ42" s="19"/>
      <c r="DBK42" s="19"/>
      <c r="DBL42" s="19"/>
      <c r="DBM42" s="19"/>
      <c r="DBN42" s="21"/>
      <c r="DBO42" s="19"/>
      <c r="DBX42" s="19"/>
      <c r="DBY42" s="19"/>
      <c r="DBZ42" s="19"/>
      <c r="DCA42" s="19"/>
      <c r="DCB42" s="21"/>
      <c r="DCC42" s="19"/>
      <c r="DCL42" s="19"/>
      <c r="DCM42" s="19"/>
      <c r="DCN42" s="19"/>
      <c r="DCO42" s="19"/>
      <c r="DCP42" s="21"/>
      <c r="DCQ42" s="19"/>
      <c r="DCZ42" s="19"/>
      <c r="DDA42" s="19"/>
      <c r="DDB42" s="19"/>
      <c r="DDC42" s="19"/>
      <c r="DDD42" s="21"/>
      <c r="DDE42" s="19"/>
      <c r="DDN42" s="19"/>
      <c r="DDO42" s="19"/>
      <c r="DDP42" s="19"/>
      <c r="DDQ42" s="19"/>
      <c r="DDR42" s="21"/>
      <c r="DDS42" s="19"/>
      <c r="DEB42" s="19"/>
      <c r="DEC42" s="19"/>
      <c r="DED42" s="19"/>
      <c r="DEE42" s="19"/>
      <c r="DEF42" s="21"/>
      <c r="DEG42" s="19"/>
      <c r="DEP42" s="19"/>
      <c r="DEQ42" s="19"/>
      <c r="DER42" s="19"/>
      <c r="DES42" s="19"/>
      <c r="DET42" s="21"/>
      <c r="DEU42" s="19"/>
      <c r="DFD42" s="19"/>
      <c r="DFE42" s="19"/>
      <c r="DFF42" s="19"/>
      <c r="DFG42" s="19"/>
      <c r="DFH42" s="21"/>
      <c r="DFI42" s="19"/>
      <c r="DFR42" s="19"/>
      <c r="DFS42" s="19"/>
      <c r="DFT42" s="19"/>
      <c r="DFU42" s="19"/>
      <c r="DFV42" s="21"/>
      <c r="DFW42" s="19"/>
      <c r="DGF42" s="19"/>
      <c r="DGG42" s="19"/>
      <c r="DGH42" s="19"/>
      <c r="DGI42" s="19"/>
      <c r="DGJ42" s="21"/>
      <c r="DGK42" s="19"/>
      <c r="DGT42" s="19"/>
      <c r="DGU42" s="19"/>
      <c r="DGV42" s="19"/>
      <c r="DGW42" s="19"/>
      <c r="DGX42" s="21"/>
      <c r="DGY42" s="19"/>
      <c r="DHH42" s="19"/>
      <c r="DHI42" s="19"/>
      <c r="DHJ42" s="19"/>
      <c r="DHK42" s="19"/>
      <c r="DHL42" s="21"/>
      <c r="DHM42" s="19"/>
      <c r="DHV42" s="19"/>
      <c r="DHW42" s="19"/>
      <c r="DHX42" s="19"/>
      <c r="DHY42" s="19"/>
      <c r="DHZ42" s="21"/>
      <c r="DIA42" s="19"/>
      <c r="DIJ42" s="19"/>
      <c r="DIK42" s="19"/>
      <c r="DIL42" s="19"/>
      <c r="DIM42" s="19"/>
      <c r="DIN42" s="21"/>
      <c r="DIO42" s="19"/>
      <c r="DIX42" s="19"/>
      <c r="DIY42" s="19"/>
      <c r="DIZ42" s="19"/>
      <c r="DJA42" s="19"/>
      <c r="DJB42" s="21"/>
      <c r="DJC42" s="19"/>
      <c r="DJL42" s="19"/>
      <c r="DJM42" s="19"/>
      <c r="DJN42" s="19"/>
      <c r="DJO42" s="19"/>
      <c r="DJP42" s="21"/>
      <c r="DJQ42" s="19"/>
      <c r="DJZ42" s="19"/>
      <c r="DKA42" s="19"/>
      <c r="DKB42" s="19"/>
      <c r="DKC42" s="19"/>
      <c r="DKD42" s="21"/>
      <c r="DKE42" s="19"/>
      <c r="DKN42" s="19"/>
      <c r="DKO42" s="19"/>
      <c r="DKP42" s="19"/>
      <c r="DKQ42" s="19"/>
      <c r="DKR42" s="21"/>
      <c r="DKS42" s="19"/>
      <c r="DLB42" s="19"/>
      <c r="DLC42" s="19"/>
      <c r="DLD42" s="19"/>
      <c r="DLE42" s="19"/>
      <c r="DLF42" s="21"/>
      <c r="DLG42" s="19"/>
      <c r="DLP42" s="19"/>
      <c r="DLQ42" s="19"/>
      <c r="DLR42" s="19"/>
      <c r="DLS42" s="19"/>
      <c r="DLT42" s="21"/>
      <c r="DLU42" s="19"/>
      <c r="DMD42" s="19"/>
      <c r="DME42" s="19"/>
      <c r="DMF42" s="19"/>
      <c r="DMG42" s="19"/>
      <c r="DMH42" s="21"/>
      <c r="DMI42" s="19"/>
      <c r="DMR42" s="19"/>
      <c r="DMS42" s="19"/>
      <c r="DMT42" s="19"/>
      <c r="DMU42" s="19"/>
      <c r="DMV42" s="21"/>
      <c r="DMW42" s="19"/>
      <c r="DNF42" s="19"/>
      <c r="DNG42" s="19"/>
      <c r="DNH42" s="19"/>
      <c r="DNI42" s="19"/>
      <c r="DNJ42" s="21"/>
      <c r="DNK42" s="19"/>
      <c r="DNT42" s="19"/>
      <c r="DNU42" s="19"/>
      <c r="DNV42" s="19"/>
      <c r="DNW42" s="19"/>
      <c r="DNX42" s="21"/>
      <c r="DNY42" s="19"/>
      <c r="DOH42" s="19"/>
      <c r="DOI42" s="19"/>
      <c r="DOJ42" s="19"/>
      <c r="DOK42" s="19"/>
      <c r="DOL42" s="21"/>
      <c r="DOM42" s="19"/>
      <c r="DOV42" s="19"/>
      <c r="DOW42" s="19"/>
      <c r="DOX42" s="19"/>
      <c r="DOY42" s="19"/>
      <c r="DOZ42" s="21"/>
      <c r="DPA42" s="19"/>
      <c r="DPJ42" s="19"/>
      <c r="DPK42" s="19"/>
      <c r="DPL42" s="19"/>
      <c r="DPM42" s="19"/>
      <c r="DPN42" s="21"/>
      <c r="DPO42" s="19"/>
      <c r="DPX42" s="19"/>
      <c r="DPY42" s="19"/>
      <c r="DPZ42" s="19"/>
      <c r="DQA42" s="19"/>
      <c r="DQB42" s="21"/>
      <c r="DQC42" s="19"/>
      <c r="DQL42" s="19"/>
      <c r="DQM42" s="19"/>
      <c r="DQN42" s="19"/>
      <c r="DQO42" s="19"/>
      <c r="DQP42" s="21"/>
      <c r="DQQ42" s="19"/>
      <c r="DQZ42" s="19"/>
      <c r="DRA42" s="19"/>
      <c r="DRB42" s="19"/>
      <c r="DRC42" s="19"/>
      <c r="DRD42" s="21"/>
      <c r="DRE42" s="19"/>
      <c r="DRN42" s="19"/>
      <c r="DRO42" s="19"/>
      <c r="DRP42" s="19"/>
      <c r="DRQ42" s="19"/>
      <c r="DRR42" s="21"/>
      <c r="DRS42" s="19"/>
      <c r="DSB42" s="19"/>
      <c r="DSC42" s="19"/>
      <c r="DSD42" s="19"/>
      <c r="DSE42" s="19"/>
      <c r="DSF42" s="21"/>
      <c r="DSG42" s="19"/>
      <c r="DSP42" s="19"/>
      <c r="DSQ42" s="19"/>
      <c r="DSR42" s="19"/>
      <c r="DSS42" s="19"/>
      <c r="DST42" s="21"/>
      <c r="DSU42" s="19"/>
      <c r="DTD42" s="19"/>
      <c r="DTE42" s="19"/>
      <c r="DTF42" s="19"/>
      <c r="DTG42" s="19"/>
      <c r="DTH42" s="21"/>
      <c r="DTI42" s="19"/>
      <c r="DTR42" s="19"/>
      <c r="DTS42" s="19"/>
      <c r="DTT42" s="19"/>
      <c r="DTU42" s="19"/>
      <c r="DTV42" s="21"/>
      <c r="DTW42" s="19"/>
      <c r="DUF42" s="19"/>
      <c r="DUG42" s="19"/>
      <c r="DUH42" s="19"/>
      <c r="DUI42" s="19"/>
      <c r="DUJ42" s="21"/>
      <c r="DUK42" s="19"/>
      <c r="DUT42" s="19"/>
      <c r="DUU42" s="19"/>
      <c r="DUV42" s="19"/>
      <c r="DUW42" s="19"/>
      <c r="DUX42" s="21"/>
      <c r="DUY42" s="19"/>
      <c r="DVH42" s="19"/>
      <c r="DVI42" s="19"/>
      <c r="DVJ42" s="19"/>
      <c r="DVK42" s="19"/>
      <c r="DVL42" s="21"/>
      <c r="DVM42" s="19"/>
      <c r="DVV42" s="19"/>
      <c r="DVW42" s="19"/>
      <c r="DVX42" s="19"/>
      <c r="DVY42" s="19"/>
      <c r="DVZ42" s="21"/>
      <c r="DWA42" s="19"/>
      <c r="DWJ42" s="19"/>
      <c r="DWK42" s="19"/>
      <c r="DWL42" s="19"/>
      <c r="DWM42" s="19"/>
      <c r="DWN42" s="21"/>
      <c r="DWO42" s="19"/>
      <c r="DWX42" s="19"/>
      <c r="DWY42" s="19"/>
      <c r="DWZ42" s="19"/>
      <c r="DXA42" s="19"/>
      <c r="DXB42" s="21"/>
      <c r="DXC42" s="19"/>
      <c r="DXL42" s="19"/>
      <c r="DXM42" s="19"/>
      <c r="DXN42" s="19"/>
      <c r="DXO42" s="19"/>
      <c r="DXP42" s="21"/>
      <c r="DXQ42" s="19"/>
      <c r="DXZ42" s="19"/>
      <c r="DYA42" s="19"/>
      <c r="DYB42" s="19"/>
      <c r="DYC42" s="19"/>
      <c r="DYD42" s="21"/>
      <c r="DYE42" s="19"/>
      <c r="DYN42" s="19"/>
      <c r="DYO42" s="19"/>
      <c r="DYP42" s="19"/>
      <c r="DYQ42" s="19"/>
      <c r="DYR42" s="21"/>
      <c r="DYS42" s="19"/>
      <c r="DZB42" s="19"/>
      <c r="DZC42" s="19"/>
      <c r="DZD42" s="19"/>
      <c r="DZE42" s="19"/>
      <c r="DZF42" s="21"/>
      <c r="DZG42" s="19"/>
      <c r="DZP42" s="19"/>
      <c r="DZQ42" s="19"/>
      <c r="DZR42" s="19"/>
      <c r="DZS42" s="19"/>
      <c r="DZT42" s="21"/>
      <c r="DZU42" s="19"/>
      <c r="EAD42" s="19"/>
      <c r="EAE42" s="19"/>
      <c r="EAF42" s="19"/>
      <c r="EAG42" s="19"/>
      <c r="EAH42" s="21"/>
      <c r="EAI42" s="19"/>
      <c r="EAR42" s="19"/>
      <c r="EAS42" s="19"/>
      <c r="EAT42" s="19"/>
      <c r="EAU42" s="19"/>
      <c r="EAV42" s="21"/>
      <c r="EAW42" s="19"/>
      <c r="EBF42" s="19"/>
      <c r="EBG42" s="19"/>
      <c r="EBH42" s="19"/>
      <c r="EBI42" s="19"/>
      <c r="EBJ42" s="21"/>
      <c r="EBK42" s="19"/>
      <c r="EBT42" s="19"/>
      <c r="EBU42" s="19"/>
      <c r="EBV42" s="19"/>
      <c r="EBW42" s="19"/>
      <c r="EBX42" s="21"/>
      <c r="EBY42" s="19"/>
      <c r="ECH42" s="19"/>
      <c r="ECI42" s="19"/>
      <c r="ECJ42" s="19"/>
      <c r="ECK42" s="19"/>
      <c r="ECL42" s="21"/>
      <c r="ECM42" s="19"/>
      <c r="ECV42" s="19"/>
      <c r="ECW42" s="19"/>
      <c r="ECX42" s="19"/>
      <c r="ECY42" s="19"/>
      <c r="ECZ42" s="21"/>
      <c r="EDA42" s="19"/>
      <c r="EDJ42" s="19"/>
      <c r="EDK42" s="19"/>
      <c r="EDL42" s="19"/>
      <c r="EDM42" s="19"/>
      <c r="EDN42" s="21"/>
      <c r="EDO42" s="19"/>
      <c r="EDX42" s="19"/>
      <c r="EDY42" s="19"/>
      <c r="EDZ42" s="19"/>
      <c r="EEA42" s="19"/>
      <c r="EEB42" s="21"/>
      <c r="EEC42" s="19"/>
      <c r="EEL42" s="19"/>
      <c r="EEM42" s="19"/>
      <c r="EEN42" s="19"/>
      <c r="EEO42" s="19"/>
      <c r="EEP42" s="21"/>
      <c r="EEQ42" s="19"/>
      <c r="EEZ42" s="19"/>
      <c r="EFA42" s="19"/>
      <c r="EFB42" s="19"/>
      <c r="EFC42" s="19"/>
      <c r="EFD42" s="21"/>
      <c r="EFE42" s="19"/>
      <c r="EFN42" s="19"/>
      <c r="EFO42" s="19"/>
      <c r="EFP42" s="19"/>
      <c r="EFQ42" s="19"/>
      <c r="EFR42" s="21"/>
      <c r="EFS42" s="19"/>
      <c r="EGB42" s="19"/>
      <c r="EGC42" s="19"/>
      <c r="EGD42" s="19"/>
      <c r="EGE42" s="19"/>
      <c r="EGF42" s="21"/>
      <c r="EGG42" s="19"/>
      <c r="EGP42" s="19"/>
      <c r="EGQ42" s="19"/>
      <c r="EGR42" s="19"/>
      <c r="EGS42" s="19"/>
      <c r="EGT42" s="21"/>
      <c r="EGU42" s="19"/>
      <c r="EHD42" s="19"/>
      <c r="EHE42" s="19"/>
      <c r="EHF42" s="19"/>
      <c r="EHG42" s="19"/>
      <c r="EHH42" s="21"/>
      <c r="EHI42" s="19"/>
      <c r="EHR42" s="19"/>
      <c r="EHS42" s="19"/>
      <c r="EHT42" s="19"/>
      <c r="EHU42" s="19"/>
      <c r="EHV42" s="21"/>
      <c r="EHW42" s="19"/>
      <c r="EIF42" s="19"/>
      <c r="EIG42" s="19"/>
      <c r="EIH42" s="19"/>
      <c r="EII42" s="19"/>
      <c r="EIJ42" s="21"/>
      <c r="EIK42" s="19"/>
      <c r="EIT42" s="19"/>
      <c r="EIU42" s="19"/>
      <c r="EIV42" s="19"/>
      <c r="EIW42" s="19"/>
      <c r="EIX42" s="21"/>
      <c r="EIY42" s="19"/>
      <c r="EJH42" s="19"/>
      <c r="EJI42" s="19"/>
      <c r="EJJ42" s="19"/>
      <c r="EJK42" s="19"/>
      <c r="EJL42" s="21"/>
      <c r="EJM42" s="19"/>
      <c r="EJV42" s="19"/>
      <c r="EJW42" s="19"/>
      <c r="EJX42" s="19"/>
      <c r="EJY42" s="19"/>
      <c r="EJZ42" s="21"/>
      <c r="EKA42" s="19"/>
      <c r="EKJ42" s="19"/>
      <c r="EKK42" s="19"/>
      <c r="EKL42" s="19"/>
      <c r="EKM42" s="19"/>
      <c r="EKN42" s="21"/>
      <c r="EKO42" s="19"/>
      <c r="EKX42" s="19"/>
      <c r="EKY42" s="19"/>
      <c r="EKZ42" s="19"/>
      <c r="ELA42" s="19"/>
      <c r="ELB42" s="21"/>
      <c r="ELC42" s="19"/>
      <c r="ELL42" s="19"/>
      <c r="ELM42" s="19"/>
      <c r="ELN42" s="19"/>
      <c r="ELO42" s="19"/>
      <c r="ELP42" s="21"/>
      <c r="ELQ42" s="19"/>
      <c r="ELZ42" s="19"/>
      <c r="EMA42" s="19"/>
      <c r="EMB42" s="19"/>
      <c r="EMC42" s="19"/>
      <c r="EMD42" s="21"/>
      <c r="EME42" s="19"/>
      <c r="EMN42" s="19"/>
      <c r="EMO42" s="19"/>
      <c r="EMP42" s="19"/>
      <c r="EMQ42" s="19"/>
      <c r="EMR42" s="21"/>
      <c r="EMS42" s="19"/>
      <c r="ENB42" s="19"/>
      <c r="ENC42" s="19"/>
      <c r="END42" s="19"/>
      <c r="ENE42" s="19"/>
      <c r="ENF42" s="21"/>
      <c r="ENG42" s="19"/>
      <c r="ENP42" s="19"/>
      <c r="ENQ42" s="19"/>
      <c r="ENR42" s="19"/>
      <c r="ENS42" s="19"/>
      <c r="ENT42" s="21"/>
      <c r="ENU42" s="19"/>
      <c r="EOD42" s="19"/>
      <c r="EOE42" s="19"/>
      <c r="EOF42" s="19"/>
      <c r="EOG42" s="19"/>
      <c r="EOH42" s="21"/>
      <c r="EOI42" s="19"/>
      <c r="EOR42" s="19"/>
      <c r="EOS42" s="19"/>
      <c r="EOT42" s="19"/>
      <c r="EOU42" s="19"/>
      <c r="EOV42" s="21"/>
      <c r="EOW42" s="19"/>
      <c r="EPF42" s="19"/>
      <c r="EPG42" s="19"/>
      <c r="EPH42" s="19"/>
      <c r="EPI42" s="19"/>
      <c r="EPJ42" s="21"/>
      <c r="EPK42" s="19"/>
      <c r="EPT42" s="19"/>
      <c r="EPU42" s="19"/>
      <c r="EPV42" s="19"/>
      <c r="EPW42" s="19"/>
      <c r="EPX42" s="21"/>
      <c r="EPY42" s="19"/>
      <c r="EQH42" s="19"/>
      <c r="EQI42" s="19"/>
      <c r="EQJ42" s="19"/>
      <c r="EQK42" s="19"/>
      <c r="EQL42" s="21"/>
      <c r="EQM42" s="19"/>
      <c r="EQV42" s="19"/>
      <c r="EQW42" s="19"/>
      <c r="EQX42" s="19"/>
      <c r="EQY42" s="19"/>
      <c r="EQZ42" s="21"/>
      <c r="ERA42" s="19"/>
      <c r="ERJ42" s="19"/>
      <c r="ERK42" s="19"/>
      <c r="ERL42" s="19"/>
      <c r="ERM42" s="19"/>
      <c r="ERN42" s="21"/>
      <c r="ERO42" s="19"/>
      <c r="ERX42" s="19"/>
      <c r="ERY42" s="19"/>
      <c r="ERZ42" s="19"/>
      <c r="ESA42" s="19"/>
      <c r="ESB42" s="21"/>
      <c r="ESC42" s="19"/>
      <c r="ESL42" s="19"/>
      <c r="ESM42" s="19"/>
      <c r="ESN42" s="19"/>
      <c r="ESO42" s="19"/>
      <c r="ESP42" s="21"/>
      <c r="ESQ42" s="19"/>
      <c r="ESZ42" s="19"/>
      <c r="ETA42" s="19"/>
      <c r="ETB42" s="19"/>
      <c r="ETC42" s="19"/>
      <c r="ETD42" s="21"/>
      <c r="ETE42" s="19"/>
      <c r="ETN42" s="19"/>
      <c r="ETO42" s="19"/>
      <c r="ETP42" s="19"/>
      <c r="ETQ42" s="19"/>
      <c r="ETR42" s="21"/>
      <c r="ETS42" s="19"/>
      <c r="EUB42" s="19"/>
      <c r="EUC42" s="19"/>
      <c r="EUD42" s="19"/>
      <c r="EUE42" s="19"/>
      <c r="EUF42" s="21"/>
      <c r="EUG42" s="19"/>
      <c r="EUP42" s="19"/>
      <c r="EUQ42" s="19"/>
      <c r="EUR42" s="19"/>
      <c r="EUS42" s="19"/>
      <c r="EUT42" s="21"/>
      <c r="EUU42" s="19"/>
      <c r="EVD42" s="19"/>
      <c r="EVE42" s="19"/>
      <c r="EVF42" s="19"/>
      <c r="EVG42" s="19"/>
      <c r="EVH42" s="21"/>
      <c r="EVI42" s="19"/>
      <c r="EVR42" s="19"/>
      <c r="EVS42" s="19"/>
      <c r="EVT42" s="19"/>
      <c r="EVU42" s="19"/>
      <c r="EVV42" s="21"/>
      <c r="EVW42" s="19"/>
      <c r="EWF42" s="19"/>
      <c r="EWG42" s="19"/>
      <c r="EWH42" s="19"/>
      <c r="EWI42" s="19"/>
      <c r="EWJ42" s="21"/>
      <c r="EWK42" s="19"/>
      <c r="EWT42" s="19"/>
      <c r="EWU42" s="19"/>
      <c r="EWV42" s="19"/>
      <c r="EWW42" s="19"/>
      <c r="EWX42" s="21"/>
      <c r="EWY42" s="19"/>
      <c r="EXH42" s="19"/>
      <c r="EXI42" s="19"/>
      <c r="EXJ42" s="19"/>
      <c r="EXK42" s="19"/>
      <c r="EXL42" s="21"/>
      <c r="EXM42" s="19"/>
      <c r="EXV42" s="19"/>
      <c r="EXW42" s="19"/>
      <c r="EXX42" s="19"/>
      <c r="EXY42" s="19"/>
      <c r="EXZ42" s="21"/>
      <c r="EYA42" s="19"/>
      <c r="EYJ42" s="19"/>
      <c r="EYK42" s="19"/>
      <c r="EYL42" s="19"/>
      <c r="EYM42" s="19"/>
      <c r="EYN42" s="21"/>
      <c r="EYO42" s="19"/>
      <c r="EYX42" s="19"/>
      <c r="EYY42" s="19"/>
      <c r="EYZ42" s="19"/>
      <c r="EZA42" s="19"/>
      <c r="EZB42" s="21"/>
      <c r="EZC42" s="19"/>
      <c r="EZL42" s="19"/>
      <c r="EZM42" s="19"/>
      <c r="EZN42" s="19"/>
      <c r="EZO42" s="19"/>
      <c r="EZP42" s="21"/>
      <c r="EZQ42" s="19"/>
      <c r="EZZ42" s="19"/>
      <c r="FAA42" s="19"/>
      <c r="FAB42" s="19"/>
      <c r="FAC42" s="19"/>
      <c r="FAD42" s="21"/>
      <c r="FAE42" s="19"/>
      <c r="FAN42" s="19"/>
      <c r="FAO42" s="19"/>
      <c r="FAP42" s="19"/>
      <c r="FAQ42" s="19"/>
      <c r="FAR42" s="21"/>
      <c r="FAS42" s="19"/>
      <c r="FBB42" s="19"/>
      <c r="FBC42" s="19"/>
      <c r="FBD42" s="19"/>
      <c r="FBE42" s="19"/>
      <c r="FBF42" s="21"/>
      <c r="FBG42" s="19"/>
      <c r="FBP42" s="19"/>
      <c r="FBQ42" s="19"/>
      <c r="FBR42" s="19"/>
      <c r="FBS42" s="19"/>
      <c r="FBT42" s="21"/>
      <c r="FBU42" s="19"/>
      <c r="FCD42" s="19"/>
      <c r="FCE42" s="19"/>
      <c r="FCF42" s="19"/>
      <c r="FCG42" s="19"/>
      <c r="FCH42" s="21"/>
      <c r="FCI42" s="19"/>
      <c r="FCR42" s="19"/>
      <c r="FCS42" s="19"/>
      <c r="FCT42" s="19"/>
      <c r="FCU42" s="19"/>
      <c r="FCV42" s="21"/>
      <c r="FCW42" s="19"/>
      <c r="FDF42" s="19"/>
      <c r="FDG42" s="19"/>
      <c r="FDH42" s="19"/>
      <c r="FDI42" s="19"/>
      <c r="FDJ42" s="21"/>
      <c r="FDK42" s="19"/>
      <c r="FDT42" s="19"/>
      <c r="FDU42" s="19"/>
      <c r="FDV42" s="19"/>
      <c r="FDW42" s="19"/>
      <c r="FDX42" s="21"/>
      <c r="FDY42" s="19"/>
      <c r="FEH42" s="19"/>
      <c r="FEI42" s="19"/>
      <c r="FEJ42" s="19"/>
      <c r="FEK42" s="19"/>
      <c r="FEL42" s="21"/>
      <c r="FEM42" s="19"/>
      <c r="FEV42" s="19"/>
      <c r="FEW42" s="19"/>
      <c r="FEX42" s="19"/>
      <c r="FEY42" s="19"/>
      <c r="FEZ42" s="21"/>
      <c r="FFA42" s="19"/>
      <c r="FFJ42" s="19"/>
      <c r="FFK42" s="19"/>
      <c r="FFL42" s="19"/>
      <c r="FFM42" s="19"/>
      <c r="FFN42" s="21"/>
      <c r="FFO42" s="19"/>
      <c r="FFX42" s="19"/>
      <c r="FFY42" s="19"/>
      <c r="FFZ42" s="19"/>
      <c r="FGA42" s="19"/>
      <c r="FGB42" s="21"/>
      <c r="FGC42" s="19"/>
      <c r="FGL42" s="19"/>
      <c r="FGM42" s="19"/>
      <c r="FGN42" s="19"/>
      <c r="FGO42" s="19"/>
      <c r="FGP42" s="21"/>
      <c r="FGQ42" s="19"/>
      <c r="FGZ42" s="19"/>
      <c r="FHA42" s="19"/>
      <c r="FHB42" s="19"/>
      <c r="FHC42" s="19"/>
      <c r="FHD42" s="21"/>
      <c r="FHE42" s="19"/>
      <c r="FHN42" s="19"/>
      <c r="FHO42" s="19"/>
      <c r="FHP42" s="19"/>
      <c r="FHQ42" s="19"/>
      <c r="FHR42" s="21"/>
      <c r="FHS42" s="19"/>
      <c r="FIB42" s="19"/>
      <c r="FIC42" s="19"/>
      <c r="FID42" s="19"/>
      <c r="FIE42" s="19"/>
      <c r="FIF42" s="21"/>
      <c r="FIG42" s="19"/>
      <c r="FIP42" s="19"/>
      <c r="FIQ42" s="19"/>
      <c r="FIR42" s="19"/>
      <c r="FIS42" s="19"/>
      <c r="FIT42" s="21"/>
      <c r="FIU42" s="19"/>
      <c r="FJD42" s="19"/>
      <c r="FJE42" s="19"/>
      <c r="FJF42" s="19"/>
      <c r="FJG42" s="19"/>
      <c r="FJH42" s="21"/>
      <c r="FJI42" s="19"/>
      <c r="FJR42" s="19"/>
      <c r="FJS42" s="19"/>
      <c r="FJT42" s="19"/>
      <c r="FJU42" s="19"/>
      <c r="FJV42" s="21"/>
      <c r="FJW42" s="19"/>
      <c r="FKF42" s="19"/>
      <c r="FKG42" s="19"/>
      <c r="FKH42" s="19"/>
      <c r="FKI42" s="19"/>
      <c r="FKJ42" s="21"/>
      <c r="FKK42" s="19"/>
      <c r="FKT42" s="19"/>
      <c r="FKU42" s="19"/>
      <c r="FKV42" s="19"/>
      <c r="FKW42" s="19"/>
      <c r="FKX42" s="21"/>
      <c r="FKY42" s="19"/>
      <c r="FLH42" s="19"/>
      <c r="FLI42" s="19"/>
      <c r="FLJ42" s="19"/>
      <c r="FLK42" s="19"/>
      <c r="FLL42" s="21"/>
      <c r="FLM42" s="19"/>
      <c r="FLV42" s="19"/>
      <c r="FLW42" s="19"/>
      <c r="FLX42" s="19"/>
      <c r="FLY42" s="19"/>
      <c r="FLZ42" s="21"/>
      <c r="FMA42" s="19"/>
      <c r="FMJ42" s="19"/>
      <c r="FMK42" s="19"/>
      <c r="FML42" s="19"/>
      <c r="FMM42" s="19"/>
      <c r="FMN42" s="21"/>
      <c r="FMO42" s="19"/>
      <c r="FMX42" s="19"/>
      <c r="FMY42" s="19"/>
      <c r="FMZ42" s="19"/>
      <c r="FNA42" s="19"/>
      <c r="FNB42" s="21"/>
      <c r="FNC42" s="19"/>
      <c r="FNL42" s="19"/>
      <c r="FNM42" s="19"/>
      <c r="FNN42" s="19"/>
      <c r="FNO42" s="19"/>
      <c r="FNP42" s="21"/>
      <c r="FNQ42" s="19"/>
      <c r="FNZ42" s="19"/>
      <c r="FOA42" s="19"/>
      <c r="FOB42" s="19"/>
      <c r="FOC42" s="19"/>
      <c r="FOD42" s="21"/>
      <c r="FOE42" s="19"/>
      <c r="FON42" s="19"/>
      <c r="FOO42" s="19"/>
      <c r="FOP42" s="19"/>
      <c r="FOQ42" s="19"/>
      <c r="FOR42" s="21"/>
      <c r="FOS42" s="19"/>
      <c r="FPB42" s="19"/>
      <c r="FPC42" s="19"/>
      <c r="FPD42" s="19"/>
      <c r="FPE42" s="19"/>
      <c r="FPF42" s="21"/>
      <c r="FPG42" s="19"/>
      <c r="FPP42" s="19"/>
      <c r="FPQ42" s="19"/>
      <c r="FPR42" s="19"/>
      <c r="FPS42" s="19"/>
      <c r="FPT42" s="21"/>
      <c r="FPU42" s="19"/>
      <c r="FQD42" s="19"/>
      <c r="FQE42" s="19"/>
      <c r="FQF42" s="19"/>
      <c r="FQG42" s="19"/>
      <c r="FQH42" s="21"/>
      <c r="FQI42" s="19"/>
      <c r="FQR42" s="19"/>
      <c r="FQS42" s="19"/>
      <c r="FQT42" s="19"/>
      <c r="FQU42" s="19"/>
      <c r="FQV42" s="21"/>
      <c r="FQW42" s="19"/>
      <c r="FRF42" s="19"/>
      <c r="FRG42" s="19"/>
      <c r="FRH42" s="19"/>
      <c r="FRI42" s="19"/>
      <c r="FRJ42" s="21"/>
      <c r="FRK42" s="19"/>
      <c r="FRT42" s="19"/>
      <c r="FRU42" s="19"/>
      <c r="FRV42" s="19"/>
      <c r="FRW42" s="19"/>
      <c r="FRX42" s="21"/>
      <c r="FRY42" s="19"/>
      <c r="FSH42" s="19"/>
      <c r="FSI42" s="19"/>
      <c r="FSJ42" s="19"/>
      <c r="FSK42" s="19"/>
      <c r="FSL42" s="21"/>
      <c r="FSM42" s="19"/>
      <c r="FSV42" s="19"/>
      <c r="FSW42" s="19"/>
      <c r="FSX42" s="19"/>
      <c r="FSY42" s="19"/>
      <c r="FSZ42" s="21"/>
      <c r="FTA42" s="19"/>
      <c r="FTJ42" s="19"/>
      <c r="FTK42" s="19"/>
      <c r="FTL42" s="19"/>
      <c r="FTM42" s="19"/>
      <c r="FTN42" s="21"/>
      <c r="FTO42" s="19"/>
      <c r="FTX42" s="19"/>
      <c r="FTY42" s="19"/>
      <c r="FTZ42" s="19"/>
      <c r="FUA42" s="19"/>
      <c r="FUB42" s="21"/>
      <c r="FUC42" s="19"/>
      <c r="FUL42" s="19"/>
      <c r="FUM42" s="19"/>
      <c r="FUN42" s="19"/>
      <c r="FUO42" s="19"/>
      <c r="FUP42" s="21"/>
      <c r="FUQ42" s="19"/>
      <c r="FUZ42" s="19"/>
      <c r="FVA42" s="19"/>
      <c r="FVB42" s="19"/>
      <c r="FVC42" s="19"/>
      <c r="FVD42" s="21"/>
      <c r="FVE42" s="19"/>
      <c r="FVN42" s="19"/>
      <c r="FVO42" s="19"/>
      <c r="FVP42" s="19"/>
      <c r="FVQ42" s="19"/>
      <c r="FVR42" s="21"/>
      <c r="FVS42" s="19"/>
      <c r="FWB42" s="19"/>
      <c r="FWC42" s="19"/>
      <c r="FWD42" s="19"/>
      <c r="FWE42" s="19"/>
      <c r="FWF42" s="21"/>
      <c r="FWG42" s="19"/>
      <c r="FWP42" s="19"/>
      <c r="FWQ42" s="19"/>
      <c r="FWR42" s="19"/>
      <c r="FWS42" s="19"/>
      <c r="FWT42" s="21"/>
      <c r="FWU42" s="19"/>
      <c r="FXD42" s="19"/>
      <c r="FXE42" s="19"/>
      <c r="FXF42" s="19"/>
      <c r="FXG42" s="19"/>
      <c r="FXH42" s="21"/>
      <c r="FXI42" s="19"/>
      <c r="FXR42" s="19"/>
      <c r="FXS42" s="19"/>
      <c r="FXT42" s="19"/>
      <c r="FXU42" s="19"/>
      <c r="FXV42" s="21"/>
      <c r="FXW42" s="19"/>
      <c r="FYF42" s="19"/>
      <c r="FYG42" s="19"/>
      <c r="FYH42" s="19"/>
      <c r="FYI42" s="19"/>
      <c r="FYJ42" s="21"/>
      <c r="FYK42" s="19"/>
      <c r="FYT42" s="19"/>
      <c r="FYU42" s="19"/>
      <c r="FYV42" s="19"/>
      <c r="FYW42" s="19"/>
      <c r="FYX42" s="21"/>
      <c r="FYY42" s="19"/>
      <c r="FZH42" s="19"/>
      <c r="FZI42" s="19"/>
      <c r="FZJ42" s="19"/>
      <c r="FZK42" s="19"/>
      <c r="FZL42" s="21"/>
      <c r="FZM42" s="19"/>
      <c r="FZV42" s="19"/>
      <c r="FZW42" s="19"/>
      <c r="FZX42" s="19"/>
      <c r="FZY42" s="19"/>
      <c r="FZZ42" s="21"/>
      <c r="GAA42" s="19"/>
      <c r="GAJ42" s="19"/>
      <c r="GAK42" s="19"/>
      <c r="GAL42" s="19"/>
      <c r="GAM42" s="19"/>
      <c r="GAN42" s="21"/>
      <c r="GAO42" s="19"/>
      <c r="GAX42" s="19"/>
      <c r="GAY42" s="19"/>
      <c r="GAZ42" s="19"/>
      <c r="GBA42" s="19"/>
      <c r="GBB42" s="21"/>
      <c r="GBC42" s="19"/>
      <c r="GBL42" s="19"/>
      <c r="GBM42" s="19"/>
      <c r="GBN42" s="19"/>
      <c r="GBO42" s="19"/>
      <c r="GBP42" s="21"/>
      <c r="GBQ42" s="19"/>
      <c r="GBZ42" s="19"/>
      <c r="GCA42" s="19"/>
      <c r="GCB42" s="19"/>
      <c r="GCC42" s="19"/>
      <c r="GCD42" s="21"/>
      <c r="GCE42" s="19"/>
      <c r="GCN42" s="19"/>
      <c r="GCO42" s="19"/>
      <c r="GCP42" s="19"/>
      <c r="GCQ42" s="19"/>
      <c r="GCR42" s="21"/>
      <c r="GCS42" s="19"/>
      <c r="GDB42" s="19"/>
      <c r="GDC42" s="19"/>
      <c r="GDD42" s="19"/>
      <c r="GDE42" s="19"/>
      <c r="GDF42" s="21"/>
      <c r="GDG42" s="19"/>
      <c r="GDP42" s="19"/>
      <c r="GDQ42" s="19"/>
      <c r="GDR42" s="19"/>
      <c r="GDS42" s="19"/>
      <c r="GDT42" s="21"/>
      <c r="GDU42" s="19"/>
      <c r="GED42" s="19"/>
      <c r="GEE42" s="19"/>
      <c r="GEF42" s="19"/>
      <c r="GEG42" s="19"/>
      <c r="GEH42" s="21"/>
      <c r="GEI42" s="19"/>
      <c r="GER42" s="19"/>
      <c r="GES42" s="19"/>
      <c r="GET42" s="19"/>
      <c r="GEU42" s="19"/>
      <c r="GEV42" s="21"/>
      <c r="GEW42" s="19"/>
      <c r="GFF42" s="19"/>
      <c r="GFG42" s="19"/>
      <c r="GFH42" s="19"/>
      <c r="GFI42" s="19"/>
      <c r="GFJ42" s="21"/>
      <c r="GFK42" s="19"/>
      <c r="GFT42" s="19"/>
      <c r="GFU42" s="19"/>
      <c r="GFV42" s="19"/>
      <c r="GFW42" s="19"/>
      <c r="GFX42" s="21"/>
      <c r="GFY42" s="19"/>
      <c r="GGH42" s="19"/>
      <c r="GGI42" s="19"/>
      <c r="GGJ42" s="19"/>
      <c r="GGK42" s="19"/>
      <c r="GGL42" s="21"/>
      <c r="GGM42" s="19"/>
      <c r="GGV42" s="19"/>
      <c r="GGW42" s="19"/>
      <c r="GGX42" s="19"/>
      <c r="GGY42" s="19"/>
      <c r="GGZ42" s="21"/>
      <c r="GHA42" s="19"/>
      <c r="GHJ42" s="19"/>
      <c r="GHK42" s="19"/>
      <c r="GHL42" s="19"/>
      <c r="GHM42" s="19"/>
      <c r="GHN42" s="21"/>
      <c r="GHO42" s="19"/>
      <c r="GHX42" s="19"/>
      <c r="GHY42" s="19"/>
      <c r="GHZ42" s="19"/>
      <c r="GIA42" s="19"/>
      <c r="GIB42" s="21"/>
      <c r="GIC42" s="19"/>
      <c r="GIL42" s="19"/>
      <c r="GIM42" s="19"/>
      <c r="GIN42" s="19"/>
      <c r="GIO42" s="19"/>
      <c r="GIP42" s="21"/>
      <c r="GIQ42" s="19"/>
      <c r="GIZ42" s="19"/>
      <c r="GJA42" s="19"/>
      <c r="GJB42" s="19"/>
      <c r="GJC42" s="19"/>
      <c r="GJD42" s="21"/>
      <c r="GJE42" s="19"/>
      <c r="GJN42" s="19"/>
      <c r="GJO42" s="19"/>
      <c r="GJP42" s="19"/>
      <c r="GJQ42" s="19"/>
      <c r="GJR42" s="21"/>
      <c r="GJS42" s="19"/>
      <c r="GKB42" s="19"/>
      <c r="GKC42" s="19"/>
      <c r="GKD42" s="19"/>
      <c r="GKE42" s="19"/>
      <c r="GKF42" s="21"/>
      <c r="GKG42" s="19"/>
      <c r="GKP42" s="19"/>
      <c r="GKQ42" s="19"/>
      <c r="GKR42" s="19"/>
      <c r="GKS42" s="19"/>
      <c r="GKT42" s="21"/>
      <c r="GKU42" s="19"/>
      <c r="GLD42" s="19"/>
      <c r="GLE42" s="19"/>
      <c r="GLF42" s="19"/>
      <c r="GLG42" s="19"/>
      <c r="GLH42" s="21"/>
      <c r="GLI42" s="19"/>
      <c r="GLR42" s="19"/>
      <c r="GLS42" s="19"/>
      <c r="GLT42" s="19"/>
      <c r="GLU42" s="19"/>
      <c r="GLV42" s="21"/>
      <c r="GLW42" s="19"/>
      <c r="GMF42" s="19"/>
      <c r="GMG42" s="19"/>
      <c r="GMH42" s="19"/>
      <c r="GMI42" s="19"/>
      <c r="GMJ42" s="21"/>
      <c r="GMK42" s="19"/>
      <c r="GMT42" s="19"/>
      <c r="GMU42" s="19"/>
      <c r="GMV42" s="19"/>
      <c r="GMW42" s="19"/>
      <c r="GMX42" s="21"/>
      <c r="GMY42" s="19"/>
      <c r="GNH42" s="19"/>
      <c r="GNI42" s="19"/>
      <c r="GNJ42" s="19"/>
      <c r="GNK42" s="19"/>
      <c r="GNL42" s="21"/>
      <c r="GNM42" s="19"/>
      <c r="GNV42" s="19"/>
      <c r="GNW42" s="19"/>
      <c r="GNX42" s="19"/>
      <c r="GNY42" s="19"/>
      <c r="GNZ42" s="21"/>
      <c r="GOA42" s="19"/>
      <c r="GOJ42" s="19"/>
      <c r="GOK42" s="19"/>
      <c r="GOL42" s="19"/>
      <c r="GOM42" s="19"/>
      <c r="GON42" s="21"/>
      <c r="GOO42" s="19"/>
      <c r="GOX42" s="19"/>
      <c r="GOY42" s="19"/>
      <c r="GOZ42" s="19"/>
      <c r="GPA42" s="19"/>
      <c r="GPB42" s="21"/>
      <c r="GPC42" s="19"/>
      <c r="GPL42" s="19"/>
      <c r="GPM42" s="19"/>
      <c r="GPN42" s="19"/>
      <c r="GPO42" s="19"/>
      <c r="GPP42" s="21"/>
      <c r="GPQ42" s="19"/>
      <c r="GPZ42" s="19"/>
      <c r="GQA42" s="19"/>
      <c r="GQB42" s="19"/>
      <c r="GQC42" s="19"/>
      <c r="GQD42" s="21"/>
      <c r="GQE42" s="19"/>
      <c r="GQN42" s="19"/>
      <c r="GQO42" s="19"/>
      <c r="GQP42" s="19"/>
      <c r="GQQ42" s="19"/>
      <c r="GQR42" s="21"/>
      <c r="GQS42" s="19"/>
      <c r="GRB42" s="19"/>
      <c r="GRC42" s="19"/>
      <c r="GRD42" s="19"/>
      <c r="GRE42" s="19"/>
      <c r="GRF42" s="21"/>
      <c r="GRG42" s="19"/>
      <c r="GRP42" s="19"/>
      <c r="GRQ42" s="19"/>
      <c r="GRR42" s="19"/>
      <c r="GRS42" s="19"/>
      <c r="GRT42" s="21"/>
      <c r="GRU42" s="19"/>
      <c r="GSD42" s="19"/>
      <c r="GSE42" s="19"/>
      <c r="GSF42" s="19"/>
      <c r="GSG42" s="19"/>
      <c r="GSH42" s="21"/>
      <c r="GSI42" s="19"/>
      <c r="GSR42" s="19"/>
      <c r="GSS42" s="19"/>
      <c r="GST42" s="19"/>
      <c r="GSU42" s="19"/>
      <c r="GSV42" s="21"/>
      <c r="GSW42" s="19"/>
      <c r="GTF42" s="19"/>
      <c r="GTG42" s="19"/>
      <c r="GTH42" s="19"/>
      <c r="GTI42" s="19"/>
      <c r="GTJ42" s="21"/>
      <c r="GTK42" s="19"/>
      <c r="GTT42" s="19"/>
      <c r="GTU42" s="19"/>
      <c r="GTV42" s="19"/>
      <c r="GTW42" s="19"/>
      <c r="GTX42" s="21"/>
      <c r="GTY42" s="19"/>
      <c r="GUH42" s="19"/>
      <c r="GUI42" s="19"/>
      <c r="GUJ42" s="19"/>
      <c r="GUK42" s="19"/>
      <c r="GUL42" s="21"/>
      <c r="GUM42" s="19"/>
      <c r="GUV42" s="19"/>
      <c r="GUW42" s="19"/>
      <c r="GUX42" s="19"/>
      <c r="GUY42" s="19"/>
      <c r="GUZ42" s="21"/>
      <c r="GVA42" s="19"/>
      <c r="GVJ42" s="19"/>
      <c r="GVK42" s="19"/>
      <c r="GVL42" s="19"/>
      <c r="GVM42" s="19"/>
      <c r="GVN42" s="21"/>
      <c r="GVO42" s="19"/>
      <c r="GVX42" s="19"/>
      <c r="GVY42" s="19"/>
      <c r="GVZ42" s="19"/>
      <c r="GWA42" s="19"/>
      <c r="GWB42" s="21"/>
      <c r="GWC42" s="19"/>
      <c r="GWL42" s="19"/>
      <c r="GWM42" s="19"/>
      <c r="GWN42" s="19"/>
      <c r="GWO42" s="19"/>
      <c r="GWP42" s="21"/>
      <c r="GWQ42" s="19"/>
      <c r="GWZ42" s="19"/>
      <c r="GXA42" s="19"/>
      <c r="GXB42" s="19"/>
      <c r="GXC42" s="19"/>
      <c r="GXD42" s="21"/>
      <c r="GXE42" s="19"/>
      <c r="GXN42" s="19"/>
      <c r="GXO42" s="19"/>
      <c r="GXP42" s="19"/>
      <c r="GXQ42" s="19"/>
      <c r="GXR42" s="21"/>
      <c r="GXS42" s="19"/>
      <c r="GYB42" s="19"/>
      <c r="GYC42" s="19"/>
      <c r="GYD42" s="19"/>
      <c r="GYE42" s="19"/>
      <c r="GYF42" s="21"/>
      <c r="GYG42" s="19"/>
      <c r="GYP42" s="19"/>
      <c r="GYQ42" s="19"/>
      <c r="GYR42" s="19"/>
      <c r="GYS42" s="19"/>
      <c r="GYT42" s="21"/>
      <c r="GYU42" s="19"/>
      <c r="GZD42" s="19"/>
      <c r="GZE42" s="19"/>
      <c r="GZF42" s="19"/>
      <c r="GZG42" s="19"/>
      <c r="GZH42" s="21"/>
      <c r="GZI42" s="19"/>
      <c r="GZR42" s="19"/>
      <c r="GZS42" s="19"/>
      <c r="GZT42" s="19"/>
      <c r="GZU42" s="19"/>
      <c r="GZV42" s="21"/>
      <c r="GZW42" s="19"/>
      <c r="HAF42" s="19"/>
      <c r="HAG42" s="19"/>
      <c r="HAH42" s="19"/>
      <c r="HAI42" s="19"/>
      <c r="HAJ42" s="21"/>
      <c r="HAK42" s="19"/>
      <c r="HAT42" s="19"/>
      <c r="HAU42" s="19"/>
      <c r="HAV42" s="19"/>
      <c r="HAW42" s="19"/>
      <c r="HAX42" s="21"/>
      <c r="HAY42" s="19"/>
      <c r="HBH42" s="19"/>
      <c r="HBI42" s="19"/>
      <c r="HBJ42" s="19"/>
      <c r="HBK42" s="19"/>
      <c r="HBL42" s="21"/>
      <c r="HBM42" s="19"/>
      <c r="HBV42" s="19"/>
      <c r="HBW42" s="19"/>
      <c r="HBX42" s="19"/>
      <c r="HBY42" s="19"/>
      <c r="HBZ42" s="21"/>
      <c r="HCA42" s="19"/>
      <c r="HCJ42" s="19"/>
      <c r="HCK42" s="19"/>
      <c r="HCL42" s="19"/>
      <c r="HCM42" s="19"/>
      <c r="HCN42" s="21"/>
      <c r="HCO42" s="19"/>
      <c r="HCX42" s="19"/>
      <c r="HCY42" s="19"/>
      <c r="HCZ42" s="19"/>
      <c r="HDA42" s="19"/>
      <c r="HDB42" s="21"/>
      <c r="HDC42" s="19"/>
      <c r="HDL42" s="19"/>
      <c r="HDM42" s="19"/>
      <c r="HDN42" s="19"/>
      <c r="HDO42" s="19"/>
      <c r="HDP42" s="21"/>
      <c r="HDQ42" s="19"/>
      <c r="HDZ42" s="19"/>
      <c r="HEA42" s="19"/>
      <c r="HEB42" s="19"/>
      <c r="HEC42" s="19"/>
      <c r="HED42" s="21"/>
      <c r="HEE42" s="19"/>
      <c r="HEN42" s="19"/>
      <c r="HEO42" s="19"/>
      <c r="HEP42" s="19"/>
      <c r="HEQ42" s="19"/>
      <c r="HER42" s="21"/>
      <c r="HES42" s="19"/>
      <c r="HFB42" s="19"/>
      <c r="HFC42" s="19"/>
      <c r="HFD42" s="19"/>
      <c r="HFE42" s="19"/>
      <c r="HFF42" s="21"/>
      <c r="HFG42" s="19"/>
      <c r="HFP42" s="19"/>
      <c r="HFQ42" s="19"/>
      <c r="HFR42" s="19"/>
      <c r="HFS42" s="19"/>
      <c r="HFT42" s="21"/>
      <c r="HFU42" s="19"/>
      <c r="HGD42" s="19"/>
      <c r="HGE42" s="19"/>
      <c r="HGF42" s="19"/>
      <c r="HGG42" s="19"/>
      <c r="HGH42" s="21"/>
      <c r="HGI42" s="19"/>
      <c r="HGR42" s="19"/>
      <c r="HGS42" s="19"/>
      <c r="HGT42" s="19"/>
      <c r="HGU42" s="19"/>
      <c r="HGV42" s="21"/>
      <c r="HGW42" s="19"/>
      <c r="HHF42" s="19"/>
      <c r="HHG42" s="19"/>
      <c r="HHH42" s="19"/>
      <c r="HHI42" s="19"/>
      <c r="HHJ42" s="21"/>
      <c r="HHK42" s="19"/>
      <c r="HHT42" s="19"/>
      <c r="HHU42" s="19"/>
      <c r="HHV42" s="19"/>
      <c r="HHW42" s="19"/>
      <c r="HHX42" s="21"/>
      <c r="HHY42" s="19"/>
      <c r="HIH42" s="19"/>
      <c r="HII42" s="19"/>
      <c r="HIJ42" s="19"/>
      <c r="HIK42" s="19"/>
      <c r="HIL42" s="21"/>
      <c r="HIM42" s="19"/>
      <c r="HIV42" s="19"/>
      <c r="HIW42" s="19"/>
      <c r="HIX42" s="19"/>
      <c r="HIY42" s="19"/>
      <c r="HIZ42" s="21"/>
      <c r="HJA42" s="19"/>
      <c r="HJJ42" s="19"/>
      <c r="HJK42" s="19"/>
      <c r="HJL42" s="19"/>
      <c r="HJM42" s="19"/>
      <c r="HJN42" s="21"/>
      <c r="HJO42" s="19"/>
      <c r="HJX42" s="19"/>
      <c r="HJY42" s="19"/>
      <c r="HJZ42" s="19"/>
      <c r="HKA42" s="19"/>
      <c r="HKB42" s="21"/>
      <c r="HKC42" s="19"/>
      <c r="HKL42" s="19"/>
      <c r="HKM42" s="19"/>
      <c r="HKN42" s="19"/>
      <c r="HKO42" s="19"/>
      <c r="HKP42" s="21"/>
      <c r="HKQ42" s="19"/>
      <c r="HKZ42" s="19"/>
      <c r="HLA42" s="19"/>
      <c r="HLB42" s="19"/>
      <c r="HLC42" s="19"/>
      <c r="HLD42" s="21"/>
      <c r="HLE42" s="19"/>
      <c r="HLN42" s="19"/>
      <c r="HLO42" s="19"/>
      <c r="HLP42" s="19"/>
      <c r="HLQ42" s="19"/>
      <c r="HLR42" s="21"/>
      <c r="HLS42" s="19"/>
      <c r="HMB42" s="19"/>
      <c r="HMC42" s="19"/>
      <c r="HMD42" s="19"/>
      <c r="HME42" s="19"/>
      <c r="HMF42" s="21"/>
      <c r="HMG42" s="19"/>
      <c r="HMP42" s="19"/>
      <c r="HMQ42" s="19"/>
      <c r="HMR42" s="19"/>
      <c r="HMS42" s="19"/>
      <c r="HMT42" s="21"/>
      <c r="HMU42" s="19"/>
      <c r="HND42" s="19"/>
      <c r="HNE42" s="19"/>
      <c r="HNF42" s="19"/>
      <c r="HNG42" s="19"/>
      <c r="HNH42" s="21"/>
      <c r="HNI42" s="19"/>
      <c r="HNR42" s="19"/>
      <c r="HNS42" s="19"/>
      <c r="HNT42" s="19"/>
      <c r="HNU42" s="19"/>
      <c r="HNV42" s="21"/>
      <c r="HNW42" s="19"/>
      <c r="HOF42" s="19"/>
      <c r="HOG42" s="19"/>
      <c r="HOH42" s="19"/>
      <c r="HOI42" s="19"/>
      <c r="HOJ42" s="21"/>
      <c r="HOK42" s="19"/>
      <c r="HOT42" s="19"/>
      <c r="HOU42" s="19"/>
      <c r="HOV42" s="19"/>
      <c r="HOW42" s="19"/>
      <c r="HOX42" s="21"/>
      <c r="HOY42" s="19"/>
      <c r="HPH42" s="19"/>
      <c r="HPI42" s="19"/>
      <c r="HPJ42" s="19"/>
      <c r="HPK42" s="19"/>
      <c r="HPL42" s="21"/>
      <c r="HPM42" s="19"/>
      <c r="HPV42" s="19"/>
      <c r="HPW42" s="19"/>
      <c r="HPX42" s="19"/>
      <c r="HPY42" s="19"/>
      <c r="HPZ42" s="21"/>
      <c r="HQA42" s="19"/>
      <c r="HQJ42" s="19"/>
      <c r="HQK42" s="19"/>
      <c r="HQL42" s="19"/>
      <c r="HQM42" s="19"/>
      <c r="HQN42" s="21"/>
      <c r="HQO42" s="19"/>
      <c r="HQX42" s="19"/>
      <c r="HQY42" s="19"/>
      <c r="HQZ42" s="19"/>
      <c r="HRA42" s="19"/>
      <c r="HRB42" s="21"/>
      <c r="HRC42" s="19"/>
      <c r="HRL42" s="19"/>
      <c r="HRM42" s="19"/>
      <c r="HRN42" s="19"/>
      <c r="HRO42" s="19"/>
      <c r="HRP42" s="21"/>
      <c r="HRQ42" s="19"/>
      <c r="HRZ42" s="19"/>
      <c r="HSA42" s="19"/>
      <c r="HSB42" s="19"/>
      <c r="HSC42" s="19"/>
      <c r="HSD42" s="21"/>
      <c r="HSE42" s="19"/>
      <c r="HSN42" s="19"/>
      <c r="HSO42" s="19"/>
      <c r="HSP42" s="19"/>
      <c r="HSQ42" s="19"/>
      <c r="HSR42" s="21"/>
      <c r="HSS42" s="19"/>
      <c r="HTB42" s="19"/>
      <c r="HTC42" s="19"/>
      <c r="HTD42" s="19"/>
      <c r="HTE42" s="19"/>
      <c r="HTF42" s="21"/>
      <c r="HTG42" s="19"/>
      <c r="HTP42" s="19"/>
      <c r="HTQ42" s="19"/>
      <c r="HTR42" s="19"/>
      <c r="HTS42" s="19"/>
      <c r="HTT42" s="21"/>
      <c r="HTU42" s="19"/>
      <c r="HUD42" s="19"/>
      <c r="HUE42" s="19"/>
      <c r="HUF42" s="19"/>
      <c r="HUG42" s="19"/>
      <c r="HUH42" s="21"/>
      <c r="HUI42" s="19"/>
      <c r="HUR42" s="19"/>
      <c r="HUS42" s="19"/>
      <c r="HUT42" s="19"/>
      <c r="HUU42" s="19"/>
      <c r="HUV42" s="21"/>
      <c r="HUW42" s="19"/>
      <c r="HVF42" s="19"/>
      <c r="HVG42" s="19"/>
      <c r="HVH42" s="19"/>
      <c r="HVI42" s="19"/>
      <c r="HVJ42" s="21"/>
      <c r="HVK42" s="19"/>
      <c r="HVT42" s="19"/>
      <c r="HVU42" s="19"/>
      <c r="HVV42" s="19"/>
      <c r="HVW42" s="19"/>
      <c r="HVX42" s="21"/>
      <c r="HVY42" s="19"/>
      <c r="HWH42" s="19"/>
      <c r="HWI42" s="19"/>
      <c r="HWJ42" s="19"/>
      <c r="HWK42" s="19"/>
      <c r="HWL42" s="21"/>
      <c r="HWM42" s="19"/>
      <c r="HWV42" s="19"/>
      <c r="HWW42" s="19"/>
      <c r="HWX42" s="19"/>
      <c r="HWY42" s="19"/>
      <c r="HWZ42" s="21"/>
      <c r="HXA42" s="19"/>
      <c r="HXJ42" s="19"/>
      <c r="HXK42" s="19"/>
      <c r="HXL42" s="19"/>
      <c r="HXM42" s="19"/>
      <c r="HXN42" s="21"/>
      <c r="HXO42" s="19"/>
      <c r="HXX42" s="19"/>
      <c r="HXY42" s="19"/>
      <c r="HXZ42" s="19"/>
      <c r="HYA42" s="19"/>
      <c r="HYB42" s="21"/>
      <c r="HYC42" s="19"/>
      <c r="HYL42" s="19"/>
      <c r="HYM42" s="19"/>
      <c r="HYN42" s="19"/>
      <c r="HYO42" s="19"/>
      <c r="HYP42" s="21"/>
      <c r="HYQ42" s="19"/>
      <c r="HYZ42" s="19"/>
      <c r="HZA42" s="19"/>
      <c r="HZB42" s="19"/>
      <c r="HZC42" s="19"/>
      <c r="HZD42" s="21"/>
      <c r="HZE42" s="19"/>
      <c r="HZN42" s="19"/>
      <c r="HZO42" s="19"/>
      <c r="HZP42" s="19"/>
      <c r="HZQ42" s="19"/>
      <c r="HZR42" s="21"/>
      <c r="HZS42" s="19"/>
      <c r="IAB42" s="19"/>
      <c r="IAC42" s="19"/>
      <c r="IAD42" s="19"/>
      <c r="IAE42" s="19"/>
      <c r="IAF42" s="21"/>
      <c r="IAG42" s="19"/>
      <c r="IAP42" s="19"/>
      <c r="IAQ42" s="19"/>
      <c r="IAR42" s="19"/>
      <c r="IAS42" s="19"/>
      <c r="IAT42" s="21"/>
      <c r="IAU42" s="19"/>
      <c r="IBD42" s="19"/>
      <c r="IBE42" s="19"/>
      <c r="IBF42" s="19"/>
      <c r="IBG42" s="19"/>
      <c r="IBH42" s="21"/>
      <c r="IBI42" s="19"/>
      <c r="IBR42" s="19"/>
      <c r="IBS42" s="19"/>
      <c r="IBT42" s="19"/>
      <c r="IBU42" s="19"/>
      <c r="IBV42" s="21"/>
      <c r="IBW42" s="19"/>
      <c r="ICF42" s="19"/>
      <c r="ICG42" s="19"/>
      <c r="ICH42" s="19"/>
      <c r="ICI42" s="19"/>
      <c r="ICJ42" s="21"/>
      <c r="ICK42" s="19"/>
      <c r="ICT42" s="19"/>
      <c r="ICU42" s="19"/>
      <c r="ICV42" s="19"/>
      <c r="ICW42" s="19"/>
      <c r="ICX42" s="21"/>
      <c r="ICY42" s="19"/>
      <c r="IDH42" s="19"/>
      <c r="IDI42" s="19"/>
      <c r="IDJ42" s="19"/>
      <c r="IDK42" s="19"/>
      <c r="IDL42" s="21"/>
      <c r="IDM42" s="19"/>
      <c r="IDV42" s="19"/>
      <c r="IDW42" s="19"/>
      <c r="IDX42" s="19"/>
      <c r="IDY42" s="19"/>
      <c r="IDZ42" s="21"/>
      <c r="IEA42" s="19"/>
      <c r="IEJ42" s="19"/>
      <c r="IEK42" s="19"/>
      <c r="IEL42" s="19"/>
      <c r="IEM42" s="19"/>
      <c r="IEN42" s="21"/>
      <c r="IEO42" s="19"/>
      <c r="IEX42" s="19"/>
      <c r="IEY42" s="19"/>
      <c r="IEZ42" s="19"/>
      <c r="IFA42" s="19"/>
      <c r="IFB42" s="21"/>
      <c r="IFC42" s="19"/>
      <c r="IFL42" s="19"/>
      <c r="IFM42" s="19"/>
      <c r="IFN42" s="19"/>
      <c r="IFO42" s="19"/>
      <c r="IFP42" s="21"/>
      <c r="IFQ42" s="19"/>
      <c r="IFZ42" s="19"/>
      <c r="IGA42" s="19"/>
      <c r="IGB42" s="19"/>
      <c r="IGC42" s="19"/>
      <c r="IGD42" s="21"/>
      <c r="IGE42" s="19"/>
      <c r="IGN42" s="19"/>
      <c r="IGO42" s="19"/>
      <c r="IGP42" s="19"/>
      <c r="IGQ42" s="19"/>
      <c r="IGR42" s="21"/>
      <c r="IGS42" s="19"/>
      <c r="IHB42" s="19"/>
      <c r="IHC42" s="19"/>
      <c r="IHD42" s="19"/>
      <c r="IHE42" s="19"/>
      <c r="IHF42" s="21"/>
      <c r="IHG42" s="19"/>
      <c r="IHP42" s="19"/>
      <c r="IHQ42" s="19"/>
      <c r="IHR42" s="19"/>
      <c r="IHS42" s="19"/>
      <c r="IHT42" s="21"/>
      <c r="IHU42" s="19"/>
      <c r="IID42" s="19"/>
      <c r="IIE42" s="19"/>
      <c r="IIF42" s="19"/>
      <c r="IIG42" s="19"/>
      <c r="IIH42" s="21"/>
      <c r="III42" s="19"/>
      <c r="IIR42" s="19"/>
      <c r="IIS42" s="19"/>
      <c r="IIT42" s="19"/>
      <c r="IIU42" s="19"/>
      <c r="IIV42" s="21"/>
      <c r="IIW42" s="19"/>
      <c r="IJF42" s="19"/>
      <c r="IJG42" s="19"/>
      <c r="IJH42" s="19"/>
      <c r="IJI42" s="19"/>
      <c r="IJJ42" s="21"/>
      <c r="IJK42" s="19"/>
      <c r="IJT42" s="19"/>
      <c r="IJU42" s="19"/>
      <c r="IJV42" s="19"/>
      <c r="IJW42" s="19"/>
      <c r="IJX42" s="21"/>
      <c r="IJY42" s="19"/>
      <c r="IKH42" s="19"/>
      <c r="IKI42" s="19"/>
      <c r="IKJ42" s="19"/>
      <c r="IKK42" s="19"/>
      <c r="IKL42" s="21"/>
      <c r="IKM42" s="19"/>
      <c r="IKV42" s="19"/>
      <c r="IKW42" s="19"/>
      <c r="IKX42" s="19"/>
      <c r="IKY42" s="19"/>
      <c r="IKZ42" s="21"/>
      <c r="ILA42" s="19"/>
      <c r="ILJ42" s="19"/>
      <c r="ILK42" s="19"/>
      <c r="ILL42" s="19"/>
      <c r="ILM42" s="19"/>
      <c r="ILN42" s="21"/>
      <c r="ILO42" s="19"/>
      <c r="ILX42" s="19"/>
      <c r="ILY42" s="19"/>
      <c r="ILZ42" s="19"/>
      <c r="IMA42" s="19"/>
      <c r="IMB42" s="21"/>
      <c r="IMC42" s="19"/>
      <c r="IML42" s="19"/>
      <c r="IMM42" s="19"/>
      <c r="IMN42" s="19"/>
      <c r="IMO42" s="19"/>
      <c r="IMP42" s="21"/>
      <c r="IMQ42" s="19"/>
      <c r="IMZ42" s="19"/>
      <c r="INA42" s="19"/>
      <c r="INB42" s="19"/>
      <c r="INC42" s="19"/>
      <c r="IND42" s="21"/>
      <c r="INE42" s="19"/>
      <c r="INN42" s="19"/>
      <c r="INO42" s="19"/>
      <c r="INP42" s="19"/>
      <c r="INQ42" s="19"/>
      <c r="INR42" s="21"/>
      <c r="INS42" s="19"/>
      <c r="IOB42" s="19"/>
      <c r="IOC42" s="19"/>
      <c r="IOD42" s="19"/>
      <c r="IOE42" s="19"/>
      <c r="IOF42" s="21"/>
      <c r="IOG42" s="19"/>
      <c r="IOP42" s="19"/>
      <c r="IOQ42" s="19"/>
      <c r="IOR42" s="19"/>
      <c r="IOS42" s="19"/>
      <c r="IOT42" s="21"/>
      <c r="IOU42" s="19"/>
      <c r="IPD42" s="19"/>
      <c r="IPE42" s="19"/>
      <c r="IPF42" s="19"/>
      <c r="IPG42" s="19"/>
      <c r="IPH42" s="21"/>
      <c r="IPI42" s="19"/>
      <c r="IPR42" s="19"/>
      <c r="IPS42" s="19"/>
      <c r="IPT42" s="19"/>
      <c r="IPU42" s="19"/>
      <c r="IPV42" s="21"/>
      <c r="IPW42" s="19"/>
      <c r="IQF42" s="19"/>
      <c r="IQG42" s="19"/>
      <c r="IQH42" s="19"/>
      <c r="IQI42" s="19"/>
      <c r="IQJ42" s="21"/>
      <c r="IQK42" s="19"/>
      <c r="IQT42" s="19"/>
      <c r="IQU42" s="19"/>
      <c r="IQV42" s="19"/>
      <c r="IQW42" s="19"/>
      <c r="IQX42" s="21"/>
      <c r="IQY42" s="19"/>
      <c r="IRH42" s="19"/>
      <c r="IRI42" s="19"/>
      <c r="IRJ42" s="19"/>
      <c r="IRK42" s="19"/>
      <c r="IRL42" s="21"/>
      <c r="IRM42" s="19"/>
      <c r="IRV42" s="19"/>
      <c r="IRW42" s="19"/>
      <c r="IRX42" s="19"/>
      <c r="IRY42" s="19"/>
      <c r="IRZ42" s="21"/>
      <c r="ISA42" s="19"/>
      <c r="ISJ42" s="19"/>
      <c r="ISK42" s="19"/>
      <c r="ISL42" s="19"/>
      <c r="ISM42" s="19"/>
      <c r="ISN42" s="21"/>
      <c r="ISO42" s="19"/>
      <c r="ISX42" s="19"/>
      <c r="ISY42" s="19"/>
      <c r="ISZ42" s="19"/>
      <c r="ITA42" s="19"/>
      <c r="ITB42" s="21"/>
      <c r="ITC42" s="19"/>
      <c r="ITL42" s="19"/>
      <c r="ITM42" s="19"/>
      <c r="ITN42" s="19"/>
      <c r="ITO42" s="19"/>
      <c r="ITP42" s="21"/>
      <c r="ITQ42" s="19"/>
      <c r="ITZ42" s="19"/>
      <c r="IUA42" s="19"/>
      <c r="IUB42" s="19"/>
      <c r="IUC42" s="19"/>
      <c r="IUD42" s="21"/>
      <c r="IUE42" s="19"/>
      <c r="IUN42" s="19"/>
      <c r="IUO42" s="19"/>
      <c r="IUP42" s="19"/>
      <c r="IUQ42" s="19"/>
      <c r="IUR42" s="21"/>
      <c r="IUS42" s="19"/>
      <c r="IVB42" s="19"/>
      <c r="IVC42" s="19"/>
      <c r="IVD42" s="19"/>
      <c r="IVE42" s="19"/>
      <c r="IVF42" s="21"/>
      <c r="IVG42" s="19"/>
      <c r="IVP42" s="19"/>
      <c r="IVQ42" s="19"/>
      <c r="IVR42" s="19"/>
      <c r="IVS42" s="19"/>
      <c r="IVT42" s="21"/>
      <c r="IVU42" s="19"/>
      <c r="IWD42" s="19"/>
      <c r="IWE42" s="19"/>
      <c r="IWF42" s="19"/>
      <c r="IWG42" s="19"/>
      <c r="IWH42" s="21"/>
      <c r="IWI42" s="19"/>
      <c r="IWR42" s="19"/>
      <c r="IWS42" s="19"/>
      <c r="IWT42" s="19"/>
      <c r="IWU42" s="19"/>
      <c r="IWV42" s="21"/>
      <c r="IWW42" s="19"/>
      <c r="IXF42" s="19"/>
      <c r="IXG42" s="19"/>
      <c r="IXH42" s="19"/>
      <c r="IXI42" s="19"/>
      <c r="IXJ42" s="21"/>
      <c r="IXK42" s="19"/>
      <c r="IXT42" s="19"/>
      <c r="IXU42" s="19"/>
      <c r="IXV42" s="19"/>
      <c r="IXW42" s="19"/>
      <c r="IXX42" s="21"/>
      <c r="IXY42" s="19"/>
      <c r="IYH42" s="19"/>
      <c r="IYI42" s="19"/>
      <c r="IYJ42" s="19"/>
      <c r="IYK42" s="19"/>
      <c r="IYL42" s="21"/>
      <c r="IYM42" s="19"/>
      <c r="IYV42" s="19"/>
      <c r="IYW42" s="19"/>
      <c r="IYX42" s="19"/>
      <c r="IYY42" s="19"/>
      <c r="IYZ42" s="21"/>
      <c r="IZA42" s="19"/>
      <c r="IZJ42" s="19"/>
      <c r="IZK42" s="19"/>
      <c r="IZL42" s="19"/>
      <c r="IZM42" s="19"/>
      <c r="IZN42" s="21"/>
      <c r="IZO42" s="19"/>
      <c r="IZX42" s="19"/>
      <c r="IZY42" s="19"/>
      <c r="IZZ42" s="19"/>
      <c r="JAA42" s="19"/>
      <c r="JAB42" s="21"/>
      <c r="JAC42" s="19"/>
      <c r="JAL42" s="19"/>
      <c r="JAM42" s="19"/>
      <c r="JAN42" s="19"/>
      <c r="JAO42" s="19"/>
      <c r="JAP42" s="21"/>
      <c r="JAQ42" s="19"/>
      <c r="JAZ42" s="19"/>
      <c r="JBA42" s="19"/>
      <c r="JBB42" s="19"/>
      <c r="JBC42" s="19"/>
      <c r="JBD42" s="21"/>
      <c r="JBE42" s="19"/>
      <c r="JBN42" s="19"/>
      <c r="JBO42" s="19"/>
      <c r="JBP42" s="19"/>
      <c r="JBQ42" s="19"/>
      <c r="JBR42" s="21"/>
      <c r="JBS42" s="19"/>
      <c r="JCB42" s="19"/>
      <c r="JCC42" s="19"/>
      <c r="JCD42" s="19"/>
      <c r="JCE42" s="19"/>
      <c r="JCF42" s="21"/>
      <c r="JCG42" s="19"/>
      <c r="JCP42" s="19"/>
      <c r="JCQ42" s="19"/>
      <c r="JCR42" s="19"/>
      <c r="JCS42" s="19"/>
      <c r="JCT42" s="21"/>
      <c r="JCU42" s="19"/>
      <c r="JDD42" s="19"/>
      <c r="JDE42" s="19"/>
      <c r="JDF42" s="19"/>
      <c r="JDG42" s="19"/>
      <c r="JDH42" s="21"/>
      <c r="JDI42" s="19"/>
      <c r="JDR42" s="19"/>
      <c r="JDS42" s="19"/>
      <c r="JDT42" s="19"/>
      <c r="JDU42" s="19"/>
      <c r="JDV42" s="21"/>
      <c r="JDW42" s="19"/>
      <c r="JEF42" s="19"/>
      <c r="JEG42" s="19"/>
      <c r="JEH42" s="19"/>
      <c r="JEI42" s="19"/>
      <c r="JEJ42" s="21"/>
      <c r="JEK42" s="19"/>
      <c r="JET42" s="19"/>
      <c r="JEU42" s="19"/>
      <c r="JEV42" s="19"/>
      <c r="JEW42" s="19"/>
      <c r="JEX42" s="21"/>
      <c r="JEY42" s="19"/>
      <c r="JFH42" s="19"/>
      <c r="JFI42" s="19"/>
      <c r="JFJ42" s="19"/>
      <c r="JFK42" s="19"/>
      <c r="JFL42" s="21"/>
      <c r="JFM42" s="19"/>
      <c r="JFV42" s="19"/>
      <c r="JFW42" s="19"/>
      <c r="JFX42" s="19"/>
      <c r="JFY42" s="19"/>
      <c r="JFZ42" s="21"/>
      <c r="JGA42" s="19"/>
      <c r="JGJ42" s="19"/>
      <c r="JGK42" s="19"/>
      <c r="JGL42" s="19"/>
      <c r="JGM42" s="19"/>
      <c r="JGN42" s="21"/>
      <c r="JGO42" s="19"/>
      <c r="JGX42" s="19"/>
      <c r="JGY42" s="19"/>
      <c r="JGZ42" s="19"/>
      <c r="JHA42" s="19"/>
      <c r="JHB42" s="21"/>
      <c r="JHC42" s="19"/>
      <c r="JHL42" s="19"/>
      <c r="JHM42" s="19"/>
      <c r="JHN42" s="19"/>
      <c r="JHO42" s="19"/>
      <c r="JHP42" s="21"/>
      <c r="JHQ42" s="19"/>
      <c r="JHZ42" s="19"/>
      <c r="JIA42" s="19"/>
      <c r="JIB42" s="19"/>
      <c r="JIC42" s="19"/>
      <c r="JID42" s="21"/>
      <c r="JIE42" s="19"/>
      <c r="JIN42" s="19"/>
      <c r="JIO42" s="19"/>
      <c r="JIP42" s="19"/>
      <c r="JIQ42" s="19"/>
      <c r="JIR42" s="21"/>
      <c r="JIS42" s="19"/>
      <c r="JJB42" s="19"/>
      <c r="JJC42" s="19"/>
      <c r="JJD42" s="19"/>
      <c r="JJE42" s="19"/>
      <c r="JJF42" s="21"/>
      <c r="JJG42" s="19"/>
      <c r="JJP42" s="19"/>
      <c r="JJQ42" s="19"/>
      <c r="JJR42" s="19"/>
      <c r="JJS42" s="19"/>
      <c r="JJT42" s="21"/>
      <c r="JJU42" s="19"/>
      <c r="JKD42" s="19"/>
      <c r="JKE42" s="19"/>
      <c r="JKF42" s="19"/>
      <c r="JKG42" s="19"/>
      <c r="JKH42" s="21"/>
      <c r="JKI42" s="19"/>
      <c r="JKR42" s="19"/>
      <c r="JKS42" s="19"/>
      <c r="JKT42" s="19"/>
      <c r="JKU42" s="19"/>
      <c r="JKV42" s="21"/>
      <c r="JKW42" s="19"/>
      <c r="JLF42" s="19"/>
      <c r="JLG42" s="19"/>
      <c r="JLH42" s="19"/>
      <c r="JLI42" s="19"/>
      <c r="JLJ42" s="21"/>
      <c r="JLK42" s="19"/>
      <c r="JLT42" s="19"/>
      <c r="JLU42" s="19"/>
      <c r="JLV42" s="19"/>
      <c r="JLW42" s="19"/>
      <c r="JLX42" s="21"/>
      <c r="JLY42" s="19"/>
      <c r="JMH42" s="19"/>
      <c r="JMI42" s="19"/>
      <c r="JMJ42" s="19"/>
      <c r="JMK42" s="19"/>
      <c r="JML42" s="21"/>
      <c r="JMM42" s="19"/>
      <c r="JMV42" s="19"/>
      <c r="JMW42" s="19"/>
      <c r="JMX42" s="19"/>
      <c r="JMY42" s="19"/>
      <c r="JMZ42" s="21"/>
      <c r="JNA42" s="19"/>
      <c r="JNJ42" s="19"/>
      <c r="JNK42" s="19"/>
      <c r="JNL42" s="19"/>
      <c r="JNM42" s="19"/>
      <c r="JNN42" s="21"/>
      <c r="JNO42" s="19"/>
      <c r="JNX42" s="19"/>
      <c r="JNY42" s="19"/>
      <c r="JNZ42" s="19"/>
      <c r="JOA42" s="19"/>
      <c r="JOB42" s="21"/>
      <c r="JOC42" s="19"/>
      <c r="JOL42" s="19"/>
      <c r="JOM42" s="19"/>
      <c r="JON42" s="19"/>
      <c r="JOO42" s="19"/>
      <c r="JOP42" s="21"/>
      <c r="JOQ42" s="19"/>
      <c r="JOZ42" s="19"/>
      <c r="JPA42" s="19"/>
      <c r="JPB42" s="19"/>
      <c r="JPC42" s="19"/>
      <c r="JPD42" s="21"/>
      <c r="JPE42" s="19"/>
      <c r="JPN42" s="19"/>
      <c r="JPO42" s="19"/>
      <c r="JPP42" s="19"/>
      <c r="JPQ42" s="19"/>
      <c r="JPR42" s="21"/>
      <c r="JPS42" s="19"/>
      <c r="JQB42" s="19"/>
      <c r="JQC42" s="19"/>
      <c r="JQD42" s="19"/>
      <c r="JQE42" s="19"/>
      <c r="JQF42" s="21"/>
      <c r="JQG42" s="19"/>
      <c r="JQP42" s="19"/>
      <c r="JQQ42" s="19"/>
      <c r="JQR42" s="19"/>
      <c r="JQS42" s="19"/>
      <c r="JQT42" s="21"/>
      <c r="JQU42" s="19"/>
      <c r="JRD42" s="19"/>
      <c r="JRE42" s="19"/>
      <c r="JRF42" s="19"/>
      <c r="JRG42" s="19"/>
      <c r="JRH42" s="21"/>
      <c r="JRI42" s="19"/>
      <c r="JRR42" s="19"/>
      <c r="JRS42" s="19"/>
      <c r="JRT42" s="19"/>
      <c r="JRU42" s="19"/>
      <c r="JRV42" s="21"/>
      <c r="JRW42" s="19"/>
      <c r="JSF42" s="19"/>
      <c r="JSG42" s="19"/>
      <c r="JSH42" s="19"/>
      <c r="JSI42" s="19"/>
      <c r="JSJ42" s="21"/>
      <c r="JSK42" s="19"/>
      <c r="JST42" s="19"/>
      <c r="JSU42" s="19"/>
      <c r="JSV42" s="19"/>
      <c r="JSW42" s="19"/>
      <c r="JSX42" s="21"/>
      <c r="JSY42" s="19"/>
      <c r="JTH42" s="19"/>
      <c r="JTI42" s="19"/>
      <c r="JTJ42" s="19"/>
      <c r="JTK42" s="19"/>
      <c r="JTL42" s="21"/>
      <c r="JTM42" s="19"/>
      <c r="JTV42" s="19"/>
      <c r="JTW42" s="19"/>
      <c r="JTX42" s="19"/>
      <c r="JTY42" s="19"/>
      <c r="JTZ42" s="21"/>
      <c r="JUA42" s="19"/>
      <c r="JUJ42" s="19"/>
      <c r="JUK42" s="19"/>
      <c r="JUL42" s="19"/>
      <c r="JUM42" s="19"/>
      <c r="JUN42" s="21"/>
      <c r="JUO42" s="19"/>
      <c r="JUX42" s="19"/>
      <c r="JUY42" s="19"/>
      <c r="JUZ42" s="19"/>
      <c r="JVA42" s="19"/>
      <c r="JVB42" s="21"/>
      <c r="JVC42" s="19"/>
      <c r="JVL42" s="19"/>
      <c r="JVM42" s="19"/>
      <c r="JVN42" s="19"/>
      <c r="JVO42" s="19"/>
      <c r="JVP42" s="21"/>
      <c r="JVQ42" s="19"/>
      <c r="JVZ42" s="19"/>
      <c r="JWA42" s="19"/>
      <c r="JWB42" s="19"/>
      <c r="JWC42" s="19"/>
      <c r="JWD42" s="21"/>
      <c r="JWE42" s="19"/>
      <c r="JWN42" s="19"/>
      <c r="JWO42" s="19"/>
      <c r="JWP42" s="19"/>
      <c r="JWQ42" s="19"/>
      <c r="JWR42" s="21"/>
      <c r="JWS42" s="19"/>
      <c r="JXB42" s="19"/>
      <c r="JXC42" s="19"/>
      <c r="JXD42" s="19"/>
      <c r="JXE42" s="19"/>
      <c r="JXF42" s="21"/>
      <c r="JXG42" s="19"/>
      <c r="JXP42" s="19"/>
      <c r="JXQ42" s="19"/>
      <c r="JXR42" s="19"/>
      <c r="JXS42" s="19"/>
      <c r="JXT42" s="21"/>
      <c r="JXU42" s="19"/>
      <c r="JYD42" s="19"/>
      <c r="JYE42" s="19"/>
      <c r="JYF42" s="19"/>
      <c r="JYG42" s="19"/>
      <c r="JYH42" s="21"/>
      <c r="JYI42" s="19"/>
      <c r="JYR42" s="19"/>
      <c r="JYS42" s="19"/>
      <c r="JYT42" s="19"/>
      <c r="JYU42" s="19"/>
      <c r="JYV42" s="21"/>
      <c r="JYW42" s="19"/>
      <c r="JZF42" s="19"/>
      <c r="JZG42" s="19"/>
      <c r="JZH42" s="19"/>
      <c r="JZI42" s="19"/>
      <c r="JZJ42" s="21"/>
      <c r="JZK42" s="19"/>
      <c r="JZT42" s="19"/>
      <c r="JZU42" s="19"/>
      <c r="JZV42" s="19"/>
      <c r="JZW42" s="19"/>
      <c r="JZX42" s="21"/>
      <c r="JZY42" s="19"/>
      <c r="KAH42" s="19"/>
      <c r="KAI42" s="19"/>
      <c r="KAJ42" s="19"/>
      <c r="KAK42" s="19"/>
      <c r="KAL42" s="21"/>
      <c r="KAM42" s="19"/>
      <c r="KAV42" s="19"/>
      <c r="KAW42" s="19"/>
      <c r="KAX42" s="19"/>
      <c r="KAY42" s="19"/>
      <c r="KAZ42" s="21"/>
      <c r="KBA42" s="19"/>
      <c r="KBJ42" s="19"/>
      <c r="KBK42" s="19"/>
      <c r="KBL42" s="19"/>
      <c r="KBM42" s="19"/>
      <c r="KBN42" s="21"/>
      <c r="KBO42" s="19"/>
      <c r="KBX42" s="19"/>
      <c r="KBY42" s="19"/>
      <c r="KBZ42" s="19"/>
      <c r="KCA42" s="19"/>
      <c r="KCB42" s="21"/>
      <c r="KCC42" s="19"/>
      <c r="KCL42" s="19"/>
      <c r="KCM42" s="19"/>
      <c r="KCN42" s="19"/>
      <c r="KCO42" s="19"/>
      <c r="KCP42" s="21"/>
      <c r="KCQ42" s="19"/>
      <c r="KCZ42" s="19"/>
      <c r="KDA42" s="19"/>
      <c r="KDB42" s="19"/>
      <c r="KDC42" s="19"/>
      <c r="KDD42" s="21"/>
      <c r="KDE42" s="19"/>
      <c r="KDN42" s="19"/>
      <c r="KDO42" s="19"/>
      <c r="KDP42" s="19"/>
      <c r="KDQ42" s="19"/>
      <c r="KDR42" s="21"/>
      <c r="KDS42" s="19"/>
      <c r="KEB42" s="19"/>
      <c r="KEC42" s="19"/>
      <c r="KED42" s="19"/>
      <c r="KEE42" s="19"/>
      <c r="KEF42" s="21"/>
      <c r="KEG42" s="19"/>
      <c r="KEP42" s="19"/>
      <c r="KEQ42" s="19"/>
      <c r="KER42" s="19"/>
      <c r="KES42" s="19"/>
      <c r="KET42" s="21"/>
      <c r="KEU42" s="19"/>
      <c r="KFD42" s="19"/>
      <c r="KFE42" s="19"/>
      <c r="KFF42" s="19"/>
      <c r="KFG42" s="19"/>
      <c r="KFH42" s="21"/>
      <c r="KFI42" s="19"/>
      <c r="KFR42" s="19"/>
      <c r="KFS42" s="19"/>
      <c r="KFT42" s="19"/>
      <c r="KFU42" s="19"/>
      <c r="KFV42" s="21"/>
      <c r="KFW42" s="19"/>
      <c r="KGF42" s="19"/>
      <c r="KGG42" s="19"/>
      <c r="KGH42" s="19"/>
      <c r="KGI42" s="19"/>
      <c r="KGJ42" s="21"/>
      <c r="KGK42" s="19"/>
      <c r="KGT42" s="19"/>
      <c r="KGU42" s="19"/>
      <c r="KGV42" s="19"/>
      <c r="KGW42" s="19"/>
      <c r="KGX42" s="21"/>
      <c r="KGY42" s="19"/>
      <c r="KHH42" s="19"/>
      <c r="KHI42" s="19"/>
      <c r="KHJ42" s="19"/>
      <c r="KHK42" s="19"/>
      <c r="KHL42" s="21"/>
      <c r="KHM42" s="19"/>
      <c r="KHV42" s="19"/>
      <c r="KHW42" s="19"/>
      <c r="KHX42" s="19"/>
      <c r="KHY42" s="19"/>
      <c r="KHZ42" s="21"/>
      <c r="KIA42" s="19"/>
      <c r="KIJ42" s="19"/>
      <c r="KIK42" s="19"/>
      <c r="KIL42" s="19"/>
      <c r="KIM42" s="19"/>
      <c r="KIN42" s="21"/>
      <c r="KIO42" s="19"/>
      <c r="KIX42" s="19"/>
      <c r="KIY42" s="19"/>
      <c r="KIZ42" s="19"/>
      <c r="KJA42" s="19"/>
      <c r="KJB42" s="21"/>
      <c r="KJC42" s="19"/>
      <c r="KJL42" s="19"/>
      <c r="KJM42" s="19"/>
      <c r="KJN42" s="19"/>
      <c r="KJO42" s="19"/>
      <c r="KJP42" s="21"/>
      <c r="KJQ42" s="19"/>
      <c r="KJZ42" s="19"/>
      <c r="KKA42" s="19"/>
      <c r="KKB42" s="19"/>
      <c r="KKC42" s="19"/>
      <c r="KKD42" s="21"/>
      <c r="KKE42" s="19"/>
      <c r="KKN42" s="19"/>
      <c r="KKO42" s="19"/>
      <c r="KKP42" s="19"/>
      <c r="KKQ42" s="19"/>
      <c r="KKR42" s="21"/>
      <c r="KKS42" s="19"/>
      <c r="KLB42" s="19"/>
      <c r="KLC42" s="19"/>
      <c r="KLD42" s="19"/>
      <c r="KLE42" s="19"/>
      <c r="KLF42" s="21"/>
      <c r="KLG42" s="19"/>
      <c r="KLP42" s="19"/>
      <c r="KLQ42" s="19"/>
      <c r="KLR42" s="19"/>
      <c r="KLS42" s="19"/>
      <c r="KLT42" s="21"/>
      <c r="KLU42" s="19"/>
      <c r="KMD42" s="19"/>
      <c r="KME42" s="19"/>
      <c r="KMF42" s="19"/>
      <c r="KMG42" s="19"/>
      <c r="KMH42" s="21"/>
      <c r="KMI42" s="19"/>
      <c r="KMR42" s="19"/>
      <c r="KMS42" s="19"/>
      <c r="KMT42" s="19"/>
      <c r="KMU42" s="19"/>
      <c r="KMV42" s="21"/>
      <c r="KMW42" s="19"/>
      <c r="KNF42" s="19"/>
      <c r="KNG42" s="19"/>
      <c r="KNH42" s="19"/>
      <c r="KNI42" s="19"/>
      <c r="KNJ42" s="21"/>
      <c r="KNK42" s="19"/>
      <c r="KNT42" s="19"/>
      <c r="KNU42" s="19"/>
      <c r="KNV42" s="19"/>
      <c r="KNW42" s="19"/>
      <c r="KNX42" s="21"/>
      <c r="KNY42" s="19"/>
      <c r="KOH42" s="19"/>
      <c r="KOI42" s="19"/>
      <c r="KOJ42" s="19"/>
      <c r="KOK42" s="19"/>
      <c r="KOL42" s="21"/>
      <c r="KOM42" s="19"/>
      <c r="KOV42" s="19"/>
      <c r="KOW42" s="19"/>
      <c r="KOX42" s="19"/>
      <c r="KOY42" s="19"/>
      <c r="KOZ42" s="21"/>
      <c r="KPA42" s="19"/>
      <c r="KPJ42" s="19"/>
      <c r="KPK42" s="19"/>
      <c r="KPL42" s="19"/>
      <c r="KPM42" s="19"/>
      <c r="KPN42" s="21"/>
      <c r="KPO42" s="19"/>
      <c r="KPX42" s="19"/>
      <c r="KPY42" s="19"/>
      <c r="KPZ42" s="19"/>
      <c r="KQA42" s="19"/>
      <c r="KQB42" s="21"/>
      <c r="KQC42" s="19"/>
      <c r="KQL42" s="19"/>
      <c r="KQM42" s="19"/>
      <c r="KQN42" s="19"/>
      <c r="KQO42" s="19"/>
      <c r="KQP42" s="21"/>
      <c r="KQQ42" s="19"/>
      <c r="KQZ42" s="19"/>
      <c r="KRA42" s="19"/>
      <c r="KRB42" s="19"/>
      <c r="KRC42" s="19"/>
      <c r="KRD42" s="21"/>
      <c r="KRE42" s="19"/>
      <c r="KRN42" s="19"/>
      <c r="KRO42" s="19"/>
      <c r="KRP42" s="19"/>
      <c r="KRQ42" s="19"/>
      <c r="KRR42" s="21"/>
      <c r="KRS42" s="19"/>
      <c r="KSB42" s="19"/>
      <c r="KSC42" s="19"/>
      <c r="KSD42" s="19"/>
      <c r="KSE42" s="19"/>
      <c r="KSF42" s="21"/>
      <c r="KSG42" s="19"/>
      <c r="KSP42" s="19"/>
      <c r="KSQ42" s="19"/>
      <c r="KSR42" s="19"/>
      <c r="KSS42" s="19"/>
      <c r="KST42" s="21"/>
      <c r="KSU42" s="19"/>
      <c r="KTD42" s="19"/>
      <c r="KTE42" s="19"/>
      <c r="KTF42" s="19"/>
      <c r="KTG42" s="19"/>
      <c r="KTH42" s="21"/>
      <c r="KTI42" s="19"/>
      <c r="KTR42" s="19"/>
      <c r="KTS42" s="19"/>
      <c r="KTT42" s="19"/>
      <c r="KTU42" s="19"/>
      <c r="KTV42" s="21"/>
      <c r="KTW42" s="19"/>
      <c r="KUF42" s="19"/>
      <c r="KUG42" s="19"/>
      <c r="KUH42" s="19"/>
      <c r="KUI42" s="19"/>
      <c r="KUJ42" s="21"/>
      <c r="KUK42" s="19"/>
      <c r="KUT42" s="19"/>
      <c r="KUU42" s="19"/>
      <c r="KUV42" s="19"/>
      <c r="KUW42" s="19"/>
      <c r="KUX42" s="21"/>
      <c r="KUY42" s="19"/>
      <c r="KVH42" s="19"/>
      <c r="KVI42" s="19"/>
      <c r="KVJ42" s="19"/>
      <c r="KVK42" s="19"/>
      <c r="KVL42" s="21"/>
      <c r="KVM42" s="19"/>
      <c r="KVV42" s="19"/>
      <c r="KVW42" s="19"/>
      <c r="KVX42" s="19"/>
      <c r="KVY42" s="19"/>
      <c r="KVZ42" s="21"/>
      <c r="KWA42" s="19"/>
      <c r="KWJ42" s="19"/>
      <c r="KWK42" s="19"/>
      <c r="KWL42" s="19"/>
      <c r="KWM42" s="19"/>
      <c r="KWN42" s="21"/>
      <c r="KWO42" s="19"/>
      <c r="KWX42" s="19"/>
      <c r="KWY42" s="19"/>
      <c r="KWZ42" s="19"/>
      <c r="KXA42" s="19"/>
      <c r="KXB42" s="21"/>
      <c r="KXC42" s="19"/>
      <c r="KXL42" s="19"/>
      <c r="KXM42" s="19"/>
      <c r="KXN42" s="19"/>
      <c r="KXO42" s="19"/>
      <c r="KXP42" s="21"/>
      <c r="KXQ42" s="19"/>
      <c r="KXZ42" s="19"/>
      <c r="KYA42" s="19"/>
      <c r="KYB42" s="19"/>
      <c r="KYC42" s="19"/>
      <c r="KYD42" s="21"/>
      <c r="KYE42" s="19"/>
      <c r="KYN42" s="19"/>
      <c r="KYO42" s="19"/>
      <c r="KYP42" s="19"/>
      <c r="KYQ42" s="19"/>
      <c r="KYR42" s="21"/>
      <c r="KYS42" s="19"/>
      <c r="KZB42" s="19"/>
      <c r="KZC42" s="19"/>
      <c r="KZD42" s="19"/>
      <c r="KZE42" s="19"/>
      <c r="KZF42" s="21"/>
      <c r="KZG42" s="19"/>
      <c r="KZP42" s="19"/>
      <c r="KZQ42" s="19"/>
      <c r="KZR42" s="19"/>
      <c r="KZS42" s="19"/>
      <c r="KZT42" s="21"/>
      <c r="KZU42" s="19"/>
      <c r="LAD42" s="19"/>
      <c r="LAE42" s="19"/>
      <c r="LAF42" s="19"/>
      <c r="LAG42" s="19"/>
      <c r="LAH42" s="21"/>
      <c r="LAI42" s="19"/>
      <c r="LAR42" s="19"/>
      <c r="LAS42" s="19"/>
      <c r="LAT42" s="19"/>
      <c r="LAU42" s="19"/>
      <c r="LAV42" s="21"/>
      <c r="LAW42" s="19"/>
      <c r="LBF42" s="19"/>
      <c r="LBG42" s="19"/>
      <c r="LBH42" s="19"/>
      <c r="LBI42" s="19"/>
      <c r="LBJ42" s="21"/>
      <c r="LBK42" s="19"/>
      <c r="LBT42" s="19"/>
      <c r="LBU42" s="19"/>
      <c r="LBV42" s="19"/>
      <c r="LBW42" s="19"/>
      <c r="LBX42" s="21"/>
      <c r="LBY42" s="19"/>
      <c r="LCH42" s="19"/>
      <c r="LCI42" s="19"/>
      <c r="LCJ42" s="19"/>
      <c r="LCK42" s="19"/>
      <c r="LCL42" s="21"/>
      <c r="LCM42" s="19"/>
      <c r="LCV42" s="19"/>
      <c r="LCW42" s="19"/>
      <c r="LCX42" s="19"/>
      <c r="LCY42" s="19"/>
      <c r="LCZ42" s="21"/>
      <c r="LDA42" s="19"/>
      <c r="LDJ42" s="19"/>
      <c r="LDK42" s="19"/>
      <c r="LDL42" s="19"/>
      <c r="LDM42" s="19"/>
      <c r="LDN42" s="21"/>
      <c r="LDO42" s="19"/>
      <c r="LDX42" s="19"/>
      <c r="LDY42" s="19"/>
      <c r="LDZ42" s="19"/>
      <c r="LEA42" s="19"/>
      <c r="LEB42" s="21"/>
      <c r="LEC42" s="19"/>
      <c r="LEL42" s="19"/>
      <c r="LEM42" s="19"/>
      <c r="LEN42" s="19"/>
      <c r="LEO42" s="19"/>
      <c r="LEP42" s="21"/>
      <c r="LEQ42" s="19"/>
      <c r="LEZ42" s="19"/>
      <c r="LFA42" s="19"/>
      <c r="LFB42" s="19"/>
      <c r="LFC42" s="19"/>
      <c r="LFD42" s="21"/>
      <c r="LFE42" s="19"/>
      <c r="LFN42" s="19"/>
      <c r="LFO42" s="19"/>
      <c r="LFP42" s="19"/>
      <c r="LFQ42" s="19"/>
      <c r="LFR42" s="21"/>
      <c r="LFS42" s="19"/>
      <c r="LGB42" s="19"/>
      <c r="LGC42" s="19"/>
      <c r="LGD42" s="19"/>
      <c r="LGE42" s="19"/>
      <c r="LGF42" s="21"/>
      <c r="LGG42" s="19"/>
      <c r="LGP42" s="19"/>
      <c r="LGQ42" s="19"/>
      <c r="LGR42" s="19"/>
      <c r="LGS42" s="19"/>
      <c r="LGT42" s="21"/>
      <c r="LGU42" s="19"/>
      <c r="LHD42" s="19"/>
      <c r="LHE42" s="19"/>
      <c r="LHF42" s="19"/>
      <c r="LHG42" s="19"/>
      <c r="LHH42" s="21"/>
      <c r="LHI42" s="19"/>
      <c r="LHR42" s="19"/>
      <c r="LHS42" s="19"/>
      <c r="LHT42" s="19"/>
      <c r="LHU42" s="19"/>
      <c r="LHV42" s="21"/>
      <c r="LHW42" s="19"/>
      <c r="LIF42" s="19"/>
      <c r="LIG42" s="19"/>
      <c r="LIH42" s="19"/>
      <c r="LII42" s="19"/>
      <c r="LIJ42" s="21"/>
      <c r="LIK42" s="19"/>
      <c r="LIT42" s="19"/>
      <c r="LIU42" s="19"/>
      <c r="LIV42" s="19"/>
      <c r="LIW42" s="19"/>
      <c r="LIX42" s="21"/>
      <c r="LIY42" s="19"/>
      <c r="LJH42" s="19"/>
      <c r="LJI42" s="19"/>
      <c r="LJJ42" s="19"/>
      <c r="LJK42" s="19"/>
      <c r="LJL42" s="21"/>
      <c r="LJM42" s="19"/>
      <c r="LJV42" s="19"/>
      <c r="LJW42" s="19"/>
      <c r="LJX42" s="19"/>
      <c r="LJY42" s="19"/>
      <c r="LJZ42" s="21"/>
      <c r="LKA42" s="19"/>
      <c r="LKJ42" s="19"/>
      <c r="LKK42" s="19"/>
      <c r="LKL42" s="19"/>
      <c r="LKM42" s="19"/>
      <c r="LKN42" s="21"/>
      <c r="LKO42" s="19"/>
      <c r="LKX42" s="19"/>
      <c r="LKY42" s="19"/>
      <c r="LKZ42" s="19"/>
      <c r="LLA42" s="19"/>
      <c r="LLB42" s="21"/>
      <c r="LLC42" s="19"/>
      <c r="LLL42" s="19"/>
      <c r="LLM42" s="19"/>
      <c r="LLN42" s="19"/>
      <c r="LLO42" s="19"/>
      <c r="LLP42" s="21"/>
      <c r="LLQ42" s="19"/>
      <c r="LLZ42" s="19"/>
      <c r="LMA42" s="19"/>
      <c r="LMB42" s="19"/>
      <c r="LMC42" s="19"/>
      <c r="LMD42" s="21"/>
      <c r="LME42" s="19"/>
      <c r="LMN42" s="19"/>
      <c r="LMO42" s="19"/>
      <c r="LMP42" s="19"/>
      <c r="LMQ42" s="19"/>
      <c r="LMR42" s="21"/>
      <c r="LMS42" s="19"/>
      <c r="LNB42" s="19"/>
      <c r="LNC42" s="19"/>
      <c r="LND42" s="19"/>
      <c r="LNE42" s="19"/>
      <c r="LNF42" s="21"/>
      <c r="LNG42" s="19"/>
      <c r="LNP42" s="19"/>
      <c r="LNQ42" s="19"/>
      <c r="LNR42" s="19"/>
      <c r="LNS42" s="19"/>
      <c r="LNT42" s="21"/>
      <c r="LNU42" s="19"/>
      <c r="LOD42" s="19"/>
      <c r="LOE42" s="19"/>
      <c r="LOF42" s="19"/>
      <c r="LOG42" s="19"/>
      <c r="LOH42" s="21"/>
      <c r="LOI42" s="19"/>
      <c r="LOR42" s="19"/>
      <c r="LOS42" s="19"/>
      <c r="LOT42" s="19"/>
      <c r="LOU42" s="19"/>
      <c r="LOV42" s="21"/>
      <c r="LOW42" s="19"/>
      <c r="LPF42" s="19"/>
      <c r="LPG42" s="19"/>
      <c r="LPH42" s="19"/>
      <c r="LPI42" s="19"/>
      <c r="LPJ42" s="21"/>
      <c r="LPK42" s="19"/>
      <c r="LPT42" s="19"/>
      <c r="LPU42" s="19"/>
      <c r="LPV42" s="19"/>
      <c r="LPW42" s="19"/>
      <c r="LPX42" s="21"/>
      <c r="LPY42" s="19"/>
      <c r="LQH42" s="19"/>
      <c r="LQI42" s="19"/>
      <c r="LQJ42" s="19"/>
      <c r="LQK42" s="19"/>
      <c r="LQL42" s="21"/>
      <c r="LQM42" s="19"/>
      <c r="LQV42" s="19"/>
      <c r="LQW42" s="19"/>
      <c r="LQX42" s="19"/>
      <c r="LQY42" s="19"/>
      <c r="LQZ42" s="21"/>
      <c r="LRA42" s="19"/>
      <c r="LRJ42" s="19"/>
      <c r="LRK42" s="19"/>
      <c r="LRL42" s="19"/>
      <c r="LRM42" s="19"/>
      <c r="LRN42" s="21"/>
      <c r="LRO42" s="19"/>
      <c r="LRX42" s="19"/>
      <c r="LRY42" s="19"/>
      <c r="LRZ42" s="19"/>
      <c r="LSA42" s="19"/>
      <c r="LSB42" s="21"/>
      <c r="LSC42" s="19"/>
      <c r="LSL42" s="19"/>
      <c r="LSM42" s="19"/>
      <c r="LSN42" s="19"/>
      <c r="LSO42" s="19"/>
      <c r="LSP42" s="21"/>
      <c r="LSQ42" s="19"/>
      <c r="LSZ42" s="19"/>
      <c r="LTA42" s="19"/>
      <c r="LTB42" s="19"/>
      <c r="LTC42" s="19"/>
      <c r="LTD42" s="21"/>
      <c r="LTE42" s="19"/>
      <c r="LTN42" s="19"/>
      <c r="LTO42" s="19"/>
      <c r="LTP42" s="19"/>
      <c r="LTQ42" s="19"/>
      <c r="LTR42" s="21"/>
      <c r="LTS42" s="19"/>
      <c r="LUB42" s="19"/>
      <c r="LUC42" s="19"/>
      <c r="LUD42" s="19"/>
      <c r="LUE42" s="19"/>
      <c r="LUF42" s="21"/>
      <c r="LUG42" s="19"/>
      <c r="LUP42" s="19"/>
      <c r="LUQ42" s="19"/>
      <c r="LUR42" s="19"/>
      <c r="LUS42" s="19"/>
      <c r="LUT42" s="21"/>
      <c r="LUU42" s="19"/>
      <c r="LVD42" s="19"/>
      <c r="LVE42" s="19"/>
      <c r="LVF42" s="19"/>
      <c r="LVG42" s="19"/>
      <c r="LVH42" s="21"/>
      <c r="LVI42" s="19"/>
      <c r="LVR42" s="19"/>
      <c r="LVS42" s="19"/>
      <c r="LVT42" s="19"/>
      <c r="LVU42" s="19"/>
      <c r="LVV42" s="21"/>
      <c r="LVW42" s="19"/>
      <c r="LWF42" s="19"/>
      <c r="LWG42" s="19"/>
      <c r="LWH42" s="19"/>
      <c r="LWI42" s="19"/>
      <c r="LWJ42" s="21"/>
      <c r="LWK42" s="19"/>
      <c r="LWT42" s="19"/>
      <c r="LWU42" s="19"/>
      <c r="LWV42" s="19"/>
      <c r="LWW42" s="19"/>
      <c r="LWX42" s="21"/>
      <c r="LWY42" s="19"/>
      <c r="LXH42" s="19"/>
      <c r="LXI42" s="19"/>
      <c r="LXJ42" s="19"/>
      <c r="LXK42" s="19"/>
      <c r="LXL42" s="21"/>
      <c r="LXM42" s="19"/>
      <c r="LXV42" s="19"/>
      <c r="LXW42" s="19"/>
      <c r="LXX42" s="19"/>
      <c r="LXY42" s="19"/>
      <c r="LXZ42" s="21"/>
      <c r="LYA42" s="19"/>
      <c r="LYJ42" s="19"/>
      <c r="LYK42" s="19"/>
      <c r="LYL42" s="19"/>
      <c r="LYM42" s="19"/>
      <c r="LYN42" s="21"/>
      <c r="LYO42" s="19"/>
      <c r="LYX42" s="19"/>
      <c r="LYY42" s="19"/>
      <c r="LYZ42" s="19"/>
      <c r="LZA42" s="19"/>
      <c r="LZB42" s="21"/>
      <c r="LZC42" s="19"/>
      <c r="LZL42" s="19"/>
      <c r="LZM42" s="19"/>
      <c r="LZN42" s="19"/>
      <c r="LZO42" s="19"/>
      <c r="LZP42" s="21"/>
      <c r="LZQ42" s="19"/>
      <c r="LZZ42" s="19"/>
      <c r="MAA42" s="19"/>
      <c r="MAB42" s="19"/>
      <c r="MAC42" s="19"/>
      <c r="MAD42" s="21"/>
      <c r="MAE42" s="19"/>
      <c r="MAN42" s="19"/>
      <c r="MAO42" s="19"/>
      <c r="MAP42" s="19"/>
      <c r="MAQ42" s="19"/>
      <c r="MAR42" s="21"/>
      <c r="MAS42" s="19"/>
      <c r="MBB42" s="19"/>
      <c r="MBC42" s="19"/>
      <c r="MBD42" s="19"/>
      <c r="MBE42" s="19"/>
      <c r="MBF42" s="21"/>
      <c r="MBG42" s="19"/>
      <c r="MBP42" s="19"/>
      <c r="MBQ42" s="19"/>
      <c r="MBR42" s="19"/>
      <c r="MBS42" s="19"/>
      <c r="MBT42" s="21"/>
      <c r="MBU42" s="19"/>
      <c r="MCD42" s="19"/>
      <c r="MCE42" s="19"/>
      <c r="MCF42" s="19"/>
      <c r="MCG42" s="19"/>
      <c r="MCH42" s="21"/>
      <c r="MCI42" s="19"/>
      <c r="MCR42" s="19"/>
      <c r="MCS42" s="19"/>
      <c r="MCT42" s="19"/>
      <c r="MCU42" s="19"/>
      <c r="MCV42" s="21"/>
      <c r="MCW42" s="19"/>
      <c r="MDF42" s="19"/>
      <c r="MDG42" s="19"/>
      <c r="MDH42" s="19"/>
      <c r="MDI42" s="19"/>
      <c r="MDJ42" s="21"/>
      <c r="MDK42" s="19"/>
      <c r="MDT42" s="19"/>
      <c r="MDU42" s="19"/>
      <c r="MDV42" s="19"/>
      <c r="MDW42" s="19"/>
      <c r="MDX42" s="21"/>
      <c r="MDY42" s="19"/>
      <c r="MEH42" s="19"/>
      <c r="MEI42" s="19"/>
      <c r="MEJ42" s="19"/>
      <c r="MEK42" s="19"/>
      <c r="MEL42" s="21"/>
      <c r="MEM42" s="19"/>
      <c r="MEV42" s="19"/>
      <c r="MEW42" s="19"/>
      <c r="MEX42" s="19"/>
      <c r="MEY42" s="19"/>
      <c r="MEZ42" s="21"/>
      <c r="MFA42" s="19"/>
      <c r="MFJ42" s="19"/>
      <c r="MFK42" s="19"/>
      <c r="MFL42" s="19"/>
      <c r="MFM42" s="19"/>
      <c r="MFN42" s="21"/>
      <c r="MFO42" s="19"/>
      <c r="MFX42" s="19"/>
      <c r="MFY42" s="19"/>
      <c r="MFZ42" s="19"/>
      <c r="MGA42" s="19"/>
      <c r="MGB42" s="21"/>
      <c r="MGC42" s="19"/>
      <c r="MGL42" s="19"/>
      <c r="MGM42" s="19"/>
      <c r="MGN42" s="19"/>
      <c r="MGO42" s="19"/>
      <c r="MGP42" s="21"/>
      <c r="MGQ42" s="19"/>
      <c r="MGZ42" s="19"/>
      <c r="MHA42" s="19"/>
      <c r="MHB42" s="19"/>
      <c r="MHC42" s="19"/>
      <c r="MHD42" s="21"/>
      <c r="MHE42" s="19"/>
      <c r="MHN42" s="19"/>
      <c r="MHO42" s="19"/>
      <c r="MHP42" s="19"/>
      <c r="MHQ42" s="19"/>
      <c r="MHR42" s="21"/>
      <c r="MHS42" s="19"/>
      <c r="MIB42" s="19"/>
      <c r="MIC42" s="19"/>
      <c r="MID42" s="19"/>
      <c r="MIE42" s="19"/>
      <c r="MIF42" s="21"/>
      <c r="MIG42" s="19"/>
      <c r="MIP42" s="19"/>
      <c r="MIQ42" s="19"/>
      <c r="MIR42" s="19"/>
      <c r="MIS42" s="19"/>
      <c r="MIT42" s="21"/>
      <c r="MIU42" s="19"/>
      <c r="MJD42" s="19"/>
      <c r="MJE42" s="19"/>
      <c r="MJF42" s="19"/>
      <c r="MJG42" s="19"/>
      <c r="MJH42" s="21"/>
      <c r="MJI42" s="19"/>
      <c r="MJR42" s="19"/>
      <c r="MJS42" s="19"/>
      <c r="MJT42" s="19"/>
      <c r="MJU42" s="19"/>
      <c r="MJV42" s="21"/>
      <c r="MJW42" s="19"/>
      <c r="MKF42" s="19"/>
      <c r="MKG42" s="19"/>
      <c r="MKH42" s="19"/>
      <c r="MKI42" s="19"/>
      <c r="MKJ42" s="21"/>
      <c r="MKK42" s="19"/>
      <c r="MKT42" s="19"/>
      <c r="MKU42" s="19"/>
      <c r="MKV42" s="19"/>
      <c r="MKW42" s="19"/>
      <c r="MKX42" s="21"/>
      <c r="MKY42" s="19"/>
      <c r="MLH42" s="19"/>
      <c r="MLI42" s="19"/>
      <c r="MLJ42" s="19"/>
      <c r="MLK42" s="19"/>
      <c r="MLL42" s="21"/>
      <c r="MLM42" s="19"/>
      <c r="MLV42" s="19"/>
      <c r="MLW42" s="19"/>
      <c r="MLX42" s="19"/>
      <c r="MLY42" s="19"/>
      <c r="MLZ42" s="21"/>
      <c r="MMA42" s="19"/>
      <c r="MMJ42" s="19"/>
      <c r="MMK42" s="19"/>
      <c r="MML42" s="19"/>
      <c r="MMM42" s="19"/>
      <c r="MMN42" s="21"/>
      <c r="MMO42" s="19"/>
      <c r="MMX42" s="19"/>
      <c r="MMY42" s="19"/>
      <c r="MMZ42" s="19"/>
      <c r="MNA42" s="19"/>
      <c r="MNB42" s="21"/>
      <c r="MNC42" s="19"/>
      <c r="MNL42" s="19"/>
      <c r="MNM42" s="19"/>
      <c r="MNN42" s="19"/>
      <c r="MNO42" s="19"/>
      <c r="MNP42" s="21"/>
      <c r="MNQ42" s="19"/>
      <c r="MNZ42" s="19"/>
      <c r="MOA42" s="19"/>
      <c r="MOB42" s="19"/>
      <c r="MOC42" s="19"/>
      <c r="MOD42" s="21"/>
      <c r="MOE42" s="19"/>
      <c r="MON42" s="19"/>
      <c r="MOO42" s="19"/>
      <c r="MOP42" s="19"/>
      <c r="MOQ42" s="19"/>
      <c r="MOR42" s="21"/>
      <c r="MOS42" s="19"/>
      <c r="MPB42" s="19"/>
      <c r="MPC42" s="19"/>
      <c r="MPD42" s="19"/>
      <c r="MPE42" s="19"/>
      <c r="MPF42" s="21"/>
      <c r="MPG42" s="19"/>
      <c r="MPP42" s="19"/>
      <c r="MPQ42" s="19"/>
      <c r="MPR42" s="19"/>
      <c r="MPS42" s="19"/>
      <c r="MPT42" s="21"/>
      <c r="MPU42" s="19"/>
      <c r="MQD42" s="19"/>
      <c r="MQE42" s="19"/>
      <c r="MQF42" s="19"/>
      <c r="MQG42" s="19"/>
      <c r="MQH42" s="21"/>
      <c r="MQI42" s="19"/>
      <c r="MQR42" s="19"/>
      <c r="MQS42" s="19"/>
      <c r="MQT42" s="19"/>
      <c r="MQU42" s="19"/>
      <c r="MQV42" s="21"/>
      <c r="MQW42" s="19"/>
      <c r="MRF42" s="19"/>
      <c r="MRG42" s="19"/>
      <c r="MRH42" s="19"/>
      <c r="MRI42" s="19"/>
      <c r="MRJ42" s="21"/>
      <c r="MRK42" s="19"/>
      <c r="MRT42" s="19"/>
      <c r="MRU42" s="19"/>
      <c r="MRV42" s="19"/>
      <c r="MRW42" s="19"/>
      <c r="MRX42" s="21"/>
      <c r="MRY42" s="19"/>
      <c r="MSH42" s="19"/>
      <c r="MSI42" s="19"/>
      <c r="MSJ42" s="19"/>
      <c r="MSK42" s="19"/>
      <c r="MSL42" s="21"/>
      <c r="MSM42" s="19"/>
      <c r="MSV42" s="19"/>
      <c r="MSW42" s="19"/>
      <c r="MSX42" s="19"/>
      <c r="MSY42" s="19"/>
      <c r="MSZ42" s="21"/>
      <c r="MTA42" s="19"/>
      <c r="MTJ42" s="19"/>
      <c r="MTK42" s="19"/>
      <c r="MTL42" s="19"/>
      <c r="MTM42" s="19"/>
      <c r="MTN42" s="21"/>
      <c r="MTO42" s="19"/>
      <c r="MTX42" s="19"/>
      <c r="MTY42" s="19"/>
      <c r="MTZ42" s="19"/>
      <c r="MUA42" s="19"/>
      <c r="MUB42" s="21"/>
      <c r="MUC42" s="19"/>
      <c r="MUL42" s="19"/>
      <c r="MUM42" s="19"/>
      <c r="MUN42" s="19"/>
      <c r="MUO42" s="19"/>
      <c r="MUP42" s="21"/>
      <c r="MUQ42" s="19"/>
      <c r="MUZ42" s="19"/>
      <c r="MVA42" s="19"/>
      <c r="MVB42" s="19"/>
      <c r="MVC42" s="19"/>
      <c r="MVD42" s="21"/>
      <c r="MVE42" s="19"/>
      <c r="MVN42" s="19"/>
      <c r="MVO42" s="19"/>
      <c r="MVP42" s="19"/>
      <c r="MVQ42" s="19"/>
      <c r="MVR42" s="21"/>
      <c r="MVS42" s="19"/>
      <c r="MWB42" s="19"/>
      <c r="MWC42" s="19"/>
      <c r="MWD42" s="19"/>
      <c r="MWE42" s="19"/>
      <c r="MWF42" s="21"/>
      <c r="MWG42" s="19"/>
      <c r="MWP42" s="19"/>
      <c r="MWQ42" s="19"/>
      <c r="MWR42" s="19"/>
      <c r="MWS42" s="19"/>
      <c r="MWT42" s="21"/>
      <c r="MWU42" s="19"/>
      <c r="MXD42" s="19"/>
      <c r="MXE42" s="19"/>
      <c r="MXF42" s="19"/>
      <c r="MXG42" s="19"/>
      <c r="MXH42" s="21"/>
      <c r="MXI42" s="19"/>
      <c r="MXR42" s="19"/>
      <c r="MXS42" s="19"/>
      <c r="MXT42" s="19"/>
      <c r="MXU42" s="19"/>
      <c r="MXV42" s="21"/>
      <c r="MXW42" s="19"/>
      <c r="MYF42" s="19"/>
      <c r="MYG42" s="19"/>
      <c r="MYH42" s="19"/>
      <c r="MYI42" s="19"/>
      <c r="MYJ42" s="21"/>
      <c r="MYK42" s="19"/>
      <c r="MYT42" s="19"/>
      <c r="MYU42" s="19"/>
      <c r="MYV42" s="19"/>
      <c r="MYW42" s="19"/>
      <c r="MYX42" s="21"/>
      <c r="MYY42" s="19"/>
      <c r="MZH42" s="19"/>
      <c r="MZI42" s="19"/>
      <c r="MZJ42" s="19"/>
      <c r="MZK42" s="19"/>
      <c r="MZL42" s="21"/>
      <c r="MZM42" s="19"/>
      <c r="MZV42" s="19"/>
      <c r="MZW42" s="19"/>
      <c r="MZX42" s="19"/>
      <c r="MZY42" s="19"/>
      <c r="MZZ42" s="21"/>
      <c r="NAA42" s="19"/>
      <c r="NAJ42" s="19"/>
      <c r="NAK42" s="19"/>
      <c r="NAL42" s="19"/>
      <c r="NAM42" s="19"/>
      <c r="NAN42" s="21"/>
      <c r="NAO42" s="19"/>
      <c r="NAX42" s="19"/>
      <c r="NAY42" s="19"/>
      <c r="NAZ42" s="19"/>
      <c r="NBA42" s="19"/>
      <c r="NBB42" s="21"/>
      <c r="NBC42" s="19"/>
      <c r="NBL42" s="19"/>
      <c r="NBM42" s="19"/>
      <c r="NBN42" s="19"/>
      <c r="NBO42" s="19"/>
      <c r="NBP42" s="21"/>
      <c r="NBQ42" s="19"/>
      <c r="NBZ42" s="19"/>
      <c r="NCA42" s="19"/>
      <c r="NCB42" s="19"/>
      <c r="NCC42" s="19"/>
      <c r="NCD42" s="21"/>
      <c r="NCE42" s="19"/>
      <c r="NCN42" s="19"/>
      <c r="NCO42" s="19"/>
      <c r="NCP42" s="19"/>
      <c r="NCQ42" s="19"/>
      <c r="NCR42" s="21"/>
      <c r="NCS42" s="19"/>
      <c r="NDB42" s="19"/>
      <c r="NDC42" s="19"/>
      <c r="NDD42" s="19"/>
      <c r="NDE42" s="19"/>
      <c r="NDF42" s="21"/>
      <c r="NDG42" s="19"/>
      <c r="NDP42" s="19"/>
      <c r="NDQ42" s="19"/>
      <c r="NDR42" s="19"/>
      <c r="NDS42" s="19"/>
      <c r="NDT42" s="21"/>
      <c r="NDU42" s="19"/>
      <c r="NED42" s="19"/>
      <c r="NEE42" s="19"/>
      <c r="NEF42" s="19"/>
      <c r="NEG42" s="19"/>
      <c r="NEH42" s="21"/>
      <c r="NEI42" s="19"/>
      <c r="NER42" s="19"/>
      <c r="NES42" s="19"/>
      <c r="NET42" s="19"/>
      <c r="NEU42" s="19"/>
      <c r="NEV42" s="21"/>
      <c r="NEW42" s="19"/>
      <c r="NFF42" s="19"/>
      <c r="NFG42" s="19"/>
      <c r="NFH42" s="19"/>
      <c r="NFI42" s="19"/>
      <c r="NFJ42" s="21"/>
      <c r="NFK42" s="19"/>
      <c r="NFT42" s="19"/>
      <c r="NFU42" s="19"/>
      <c r="NFV42" s="19"/>
      <c r="NFW42" s="19"/>
      <c r="NFX42" s="21"/>
      <c r="NFY42" s="19"/>
      <c r="NGH42" s="19"/>
      <c r="NGI42" s="19"/>
      <c r="NGJ42" s="19"/>
      <c r="NGK42" s="19"/>
      <c r="NGL42" s="21"/>
      <c r="NGM42" s="19"/>
      <c r="NGV42" s="19"/>
      <c r="NGW42" s="19"/>
      <c r="NGX42" s="19"/>
      <c r="NGY42" s="19"/>
      <c r="NGZ42" s="21"/>
      <c r="NHA42" s="19"/>
      <c r="NHJ42" s="19"/>
      <c r="NHK42" s="19"/>
      <c r="NHL42" s="19"/>
      <c r="NHM42" s="19"/>
      <c r="NHN42" s="21"/>
      <c r="NHO42" s="19"/>
      <c r="NHX42" s="19"/>
      <c r="NHY42" s="19"/>
      <c r="NHZ42" s="19"/>
      <c r="NIA42" s="19"/>
      <c r="NIB42" s="21"/>
      <c r="NIC42" s="19"/>
      <c r="NIL42" s="19"/>
      <c r="NIM42" s="19"/>
      <c r="NIN42" s="19"/>
      <c r="NIO42" s="19"/>
      <c r="NIP42" s="21"/>
      <c r="NIQ42" s="19"/>
      <c r="NIZ42" s="19"/>
      <c r="NJA42" s="19"/>
      <c r="NJB42" s="19"/>
      <c r="NJC42" s="19"/>
      <c r="NJD42" s="21"/>
      <c r="NJE42" s="19"/>
      <c r="NJN42" s="19"/>
      <c r="NJO42" s="19"/>
      <c r="NJP42" s="19"/>
      <c r="NJQ42" s="19"/>
      <c r="NJR42" s="21"/>
      <c r="NJS42" s="19"/>
      <c r="NKB42" s="19"/>
      <c r="NKC42" s="19"/>
      <c r="NKD42" s="19"/>
      <c r="NKE42" s="19"/>
      <c r="NKF42" s="21"/>
      <c r="NKG42" s="19"/>
      <c r="NKP42" s="19"/>
      <c r="NKQ42" s="19"/>
      <c r="NKR42" s="19"/>
      <c r="NKS42" s="19"/>
      <c r="NKT42" s="21"/>
      <c r="NKU42" s="19"/>
      <c r="NLD42" s="19"/>
      <c r="NLE42" s="19"/>
      <c r="NLF42" s="19"/>
      <c r="NLG42" s="19"/>
      <c r="NLH42" s="21"/>
      <c r="NLI42" s="19"/>
      <c r="NLR42" s="19"/>
      <c r="NLS42" s="19"/>
      <c r="NLT42" s="19"/>
      <c r="NLU42" s="19"/>
      <c r="NLV42" s="21"/>
      <c r="NLW42" s="19"/>
      <c r="NMF42" s="19"/>
      <c r="NMG42" s="19"/>
      <c r="NMH42" s="19"/>
      <c r="NMI42" s="19"/>
      <c r="NMJ42" s="21"/>
      <c r="NMK42" s="19"/>
      <c r="NMT42" s="19"/>
      <c r="NMU42" s="19"/>
      <c r="NMV42" s="19"/>
      <c r="NMW42" s="19"/>
      <c r="NMX42" s="21"/>
      <c r="NMY42" s="19"/>
      <c r="NNH42" s="19"/>
      <c r="NNI42" s="19"/>
      <c r="NNJ42" s="19"/>
      <c r="NNK42" s="19"/>
      <c r="NNL42" s="21"/>
      <c r="NNM42" s="19"/>
      <c r="NNV42" s="19"/>
      <c r="NNW42" s="19"/>
      <c r="NNX42" s="19"/>
      <c r="NNY42" s="19"/>
      <c r="NNZ42" s="21"/>
      <c r="NOA42" s="19"/>
      <c r="NOJ42" s="19"/>
      <c r="NOK42" s="19"/>
      <c r="NOL42" s="19"/>
      <c r="NOM42" s="19"/>
      <c r="NON42" s="21"/>
      <c r="NOO42" s="19"/>
      <c r="NOX42" s="19"/>
      <c r="NOY42" s="19"/>
      <c r="NOZ42" s="19"/>
      <c r="NPA42" s="19"/>
      <c r="NPB42" s="21"/>
      <c r="NPC42" s="19"/>
      <c r="NPL42" s="19"/>
      <c r="NPM42" s="19"/>
      <c r="NPN42" s="19"/>
      <c r="NPO42" s="19"/>
      <c r="NPP42" s="21"/>
      <c r="NPQ42" s="19"/>
      <c r="NPZ42" s="19"/>
      <c r="NQA42" s="19"/>
      <c r="NQB42" s="19"/>
      <c r="NQC42" s="19"/>
      <c r="NQD42" s="21"/>
      <c r="NQE42" s="19"/>
      <c r="NQN42" s="19"/>
      <c r="NQO42" s="19"/>
      <c r="NQP42" s="19"/>
      <c r="NQQ42" s="19"/>
      <c r="NQR42" s="21"/>
      <c r="NQS42" s="19"/>
      <c r="NRB42" s="19"/>
      <c r="NRC42" s="19"/>
      <c r="NRD42" s="19"/>
      <c r="NRE42" s="19"/>
      <c r="NRF42" s="21"/>
      <c r="NRG42" s="19"/>
      <c r="NRP42" s="19"/>
      <c r="NRQ42" s="19"/>
      <c r="NRR42" s="19"/>
      <c r="NRS42" s="19"/>
      <c r="NRT42" s="21"/>
      <c r="NRU42" s="19"/>
      <c r="NSD42" s="19"/>
      <c r="NSE42" s="19"/>
      <c r="NSF42" s="19"/>
      <c r="NSG42" s="19"/>
      <c r="NSH42" s="21"/>
      <c r="NSI42" s="19"/>
      <c r="NSR42" s="19"/>
      <c r="NSS42" s="19"/>
      <c r="NST42" s="19"/>
      <c r="NSU42" s="19"/>
      <c r="NSV42" s="21"/>
      <c r="NSW42" s="19"/>
      <c r="NTF42" s="19"/>
      <c r="NTG42" s="19"/>
      <c r="NTH42" s="19"/>
      <c r="NTI42" s="19"/>
      <c r="NTJ42" s="21"/>
      <c r="NTK42" s="19"/>
      <c r="NTT42" s="19"/>
      <c r="NTU42" s="19"/>
      <c r="NTV42" s="19"/>
      <c r="NTW42" s="19"/>
      <c r="NTX42" s="21"/>
      <c r="NTY42" s="19"/>
      <c r="NUH42" s="19"/>
      <c r="NUI42" s="19"/>
      <c r="NUJ42" s="19"/>
      <c r="NUK42" s="19"/>
      <c r="NUL42" s="21"/>
      <c r="NUM42" s="19"/>
      <c r="NUV42" s="19"/>
      <c r="NUW42" s="19"/>
      <c r="NUX42" s="19"/>
      <c r="NUY42" s="19"/>
      <c r="NUZ42" s="21"/>
      <c r="NVA42" s="19"/>
      <c r="NVJ42" s="19"/>
      <c r="NVK42" s="19"/>
      <c r="NVL42" s="19"/>
      <c r="NVM42" s="19"/>
      <c r="NVN42" s="21"/>
      <c r="NVO42" s="19"/>
      <c r="NVX42" s="19"/>
      <c r="NVY42" s="19"/>
      <c r="NVZ42" s="19"/>
      <c r="NWA42" s="19"/>
      <c r="NWB42" s="21"/>
      <c r="NWC42" s="19"/>
      <c r="NWL42" s="19"/>
      <c r="NWM42" s="19"/>
      <c r="NWN42" s="19"/>
      <c r="NWO42" s="19"/>
      <c r="NWP42" s="21"/>
      <c r="NWQ42" s="19"/>
      <c r="NWZ42" s="19"/>
      <c r="NXA42" s="19"/>
      <c r="NXB42" s="19"/>
      <c r="NXC42" s="19"/>
      <c r="NXD42" s="21"/>
      <c r="NXE42" s="19"/>
      <c r="NXN42" s="19"/>
      <c r="NXO42" s="19"/>
      <c r="NXP42" s="19"/>
      <c r="NXQ42" s="19"/>
      <c r="NXR42" s="21"/>
      <c r="NXS42" s="19"/>
      <c r="NYB42" s="19"/>
      <c r="NYC42" s="19"/>
      <c r="NYD42" s="19"/>
      <c r="NYE42" s="19"/>
      <c r="NYF42" s="21"/>
      <c r="NYG42" s="19"/>
      <c r="NYP42" s="19"/>
      <c r="NYQ42" s="19"/>
      <c r="NYR42" s="19"/>
      <c r="NYS42" s="19"/>
      <c r="NYT42" s="21"/>
      <c r="NYU42" s="19"/>
      <c r="NZD42" s="19"/>
      <c r="NZE42" s="19"/>
      <c r="NZF42" s="19"/>
      <c r="NZG42" s="19"/>
      <c r="NZH42" s="21"/>
      <c r="NZI42" s="19"/>
      <c r="NZR42" s="19"/>
      <c r="NZS42" s="19"/>
      <c r="NZT42" s="19"/>
      <c r="NZU42" s="19"/>
      <c r="NZV42" s="21"/>
      <c r="NZW42" s="19"/>
      <c r="OAF42" s="19"/>
      <c r="OAG42" s="19"/>
      <c r="OAH42" s="19"/>
      <c r="OAI42" s="19"/>
      <c r="OAJ42" s="21"/>
      <c r="OAK42" s="19"/>
      <c r="OAT42" s="19"/>
      <c r="OAU42" s="19"/>
      <c r="OAV42" s="19"/>
      <c r="OAW42" s="19"/>
      <c r="OAX42" s="21"/>
      <c r="OAY42" s="19"/>
      <c r="OBH42" s="19"/>
      <c r="OBI42" s="19"/>
      <c r="OBJ42" s="19"/>
      <c r="OBK42" s="19"/>
      <c r="OBL42" s="21"/>
      <c r="OBM42" s="19"/>
      <c r="OBV42" s="19"/>
      <c r="OBW42" s="19"/>
      <c r="OBX42" s="19"/>
      <c r="OBY42" s="19"/>
      <c r="OBZ42" s="21"/>
      <c r="OCA42" s="19"/>
      <c r="OCJ42" s="19"/>
      <c r="OCK42" s="19"/>
      <c r="OCL42" s="19"/>
      <c r="OCM42" s="19"/>
      <c r="OCN42" s="21"/>
      <c r="OCO42" s="19"/>
      <c r="OCX42" s="19"/>
      <c r="OCY42" s="19"/>
      <c r="OCZ42" s="19"/>
      <c r="ODA42" s="19"/>
      <c r="ODB42" s="21"/>
      <c r="ODC42" s="19"/>
      <c r="ODL42" s="19"/>
      <c r="ODM42" s="19"/>
      <c r="ODN42" s="19"/>
      <c r="ODO42" s="19"/>
      <c r="ODP42" s="21"/>
      <c r="ODQ42" s="19"/>
      <c r="ODZ42" s="19"/>
      <c r="OEA42" s="19"/>
      <c r="OEB42" s="19"/>
      <c r="OEC42" s="19"/>
      <c r="OED42" s="21"/>
      <c r="OEE42" s="19"/>
      <c r="OEN42" s="19"/>
      <c r="OEO42" s="19"/>
      <c r="OEP42" s="19"/>
      <c r="OEQ42" s="19"/>
      <c r="OER42" s="21"/>
      <c r="OES42" s="19"/>
      <c r="OFB42" s="19"/>
      <c r="OFC42" s="19"/>
      <c r="OFD42" s="19"/>
      <c r="OFE42" s="19"/>
      <c r="OFF42" s="21"/>
      <c r="OFG42" s="19"/>
      <c r="OFP42" s="19"/>
      <c r="OFQ42" s="19"/>
      <c r="OFR42" s="19"/>
      <c r="OFS42" s="19"/>
      <c r="OFT42" s="21"/>
      <c r="OFU42" s="19"/>
      <c r="OGD42" s="19"/>
      <c r="OGE42" s="19"/>
      <c r="OGF42" s="19"/>
      <c r="OGG42" s="19"/>
      <c r="OGH42" s="21"/>
      <c r="OGI42" s="19"/>
      <c r="OGR42" s="19"/>
      <c r="OGS42" s="19"/>
      <c r="OGT42" s="19"/>
      <c r="OGU42" s="19"/>
      <c r="OGV42" s="21"/>
      <c r="OGW42" s="19"/>
      <c r="OHF42" s="19"/>
      <c r="OHG42" s="19"/>
      <c r="OHH42" s="19"/>
      <c r="OHI42" s="19"/>
      <c r="OHJ42" s="21"/>
      <c r="OHK42" s="19"/>
      <c r="OHT42" s="19"/>
      <c r="OHU42" s="19"/>
      <c r="OHV42" s="19"/>
      <c r="OHW42" s="19"/>
      <c r="OHX42" s="21"/>
      <c r="OHY42" s="19"/>
      <c r="OIH42" s="19"/>
      <c r="OII42" s="19"/>
      <c r="OIJ42" s="19"/>
      <c r="OIK42" s="19"/>
      <c r="OIL42" s="21"/>
      <c r="OIM42" s="19"/>
      <c r="OIV42" s="19"/>
      <c r="OIW42" s="19"/>
      <c r="OIX42" s="19"/>
      <c r="OIY42" s="19"/>
      <c r="OIZ42" s="21"/>
      <c r="OJA42" s="19"/>
      <c r="OJJ42" s="19"/>
      <c r="OJK42" s="19"/>
      <c r="OJL42" s="19"/>
      <c r="OJM42" s="19"/>
      <c r="OJN42" s="21"/>
      <c r="OJO42" s="19"/>
      <c r="OJX42" s="19"/>
      <c r="OJY42" s="19"/>
      <c r="OJZ42" s="19"/>
      <c r="OKA42" s="19"/>
      <c r="OKB42" s="21"/>
      <c r="OKC42" s="19"/>
      <c r="OKL42" s="19"/>
      <c r="OKM42" s="19"/>
      <c r="OKN42" s="19"/>
      <c r="OKO42" s="19"/>
      <c r="OKP42" s="21"/>
      <c r="OKQ42" s="19"/>
      <c r="OKZ42" s="19"/>
      <c r="OLA42" s="19"/>
      <c r="OLB42" s="19"/>
      <c r="OLC42" s="19"/>
      <c r="OLD42" s="21"/>
      <c r="OLE42" s="19"/>
      <c r="OLN42" s="19"/>
      <c r="OLO42" s="19"/>
      <c r="OLP42" s="19"/>
      <c r="OLQ42" s="19"/>
      <c r="OLR42" s="21"/>
      <c r="OLS42" s="19"/>
      <c r="OMB42" s="19"/>
      <c r="OMC42" s="19"/>
      <c r="OMD42" s="19"/>
      <c r="OME42" s="19"/>
      <c r="OMF42" s="21"/>
      <c r="OMG42" s="19"/>
      <c r="OMP42" s="19"/>
      <c r="OMQ42" s="19"/>
      <c r="OMR42" s="19"/>
      <c r="OMS42" s="19"/>
      <c r="OMT42" s="21"/>
      <c r="OMU42" s="19"/>
      <c r="OND42" s="19"/>
      <c r="ONE42" s="19"/>
      <c r="ONF42" s="19"/>
      <c r="ONG42" s="19"/>
      <c r="ONH42" s="21"/>
      <c r="ONI42" s="19"/>
      <c r="ONR42" s="19"/>
      <c r="ONS42" s="19"/>
      <c r="ONT42" s="19"/>
      <c r="ONU42" s="19"/>
      <c r="ONV42" s="21"/>
      <c r="ONW42" s="19"/>
      <c r="OOF42" s="19"/>
      <c r="OOG42" s="19"/>
      <c r="OOH42" s="19"/>
      <c r="OOI42" s="19"/>
      <c r="OOJ42" s="21"/>
      <c r="OOK42" s="19"/>
      <c r="OOT42" s="19"/>
      <c r="OOU42" s="19"/>
      <c r="OOV42" s="19"/>
      <c r="OOW42" s="19"/>
      <c r="OOX42" s="21"/>
      <c r="OOY42" s="19"/>
      <c r="OPH42" s="19"/>
      <c r="OPI42" s="19"/>
      <c r="OPJ42" s="19"/>
      <c r="OPK42" s="19"/>
      <c r="OPL42" s="21"/>
      <c r="OPM42" s="19"/>
      <c r="OPV42" s="19"/>
      <c r="OPW42" s="19"/>
      <c r="OPX42" s="19"/>
      <c r="OPY42" s="19"/>
      <c r="OPZ42" s="21"/>
      <c r="OQA42" s="19"/>
      <c r="OQJ42" s="19"/>
      <c r="OQK42" s="19"/>
      <c r="OQL42" s="19"/>
      <c r="OQM42" s="19"/>
      <c r="OQN42" s="21"/>
      <c r="OQO42" s="19"/>
      <c r="OQX42" s="19"/>
      <c r="OQY42" s="19"/>
      <c r="OQZ42" s="19"/>
      <c r="ORA42" s="19"/>
      <c r="ORB42" s="21"/>
      <c r="ORC42" s="19"/>
      <c r="ORL42" s="19"/>
      <c r="ORM42" s="19"/>
      <c r="ORN42" s="19"/>
      <c r="ORO42" s="19"/>
      <c r="ORP42" s="21"/>
      <c r="ORQ42" s="19"/>
      <c r="ORZ42" s="19"/>
      <c r="OSA42" s="19"/>
      <c r="OSB42" s="19"/>
      <c r="OSC42" s="19"/>
      <c r="OSD42" s="21"/>
      <c r="OSE42" s="19"/>
      <c r="OSN42" s="19"/>
      <c r="OSO42" s="19"/>
      <c r="OSP42" s="19"/>
      <c r="OSQ42" s="19"/>
      <c r="OSR42" s="21"/>
      <c r="OSS42" s="19"/>
      <c r="OTB42" s="19"/>
      <c r="OTC42" s="19"/>
      <c r="OTD42" s="19"/>
      <c r="OTE42" s="19"/>
      <c r="OTF42" s="21"/>
      <c r="OTG42" s="19"/>
      <c r="OTP42" s="19"/>
      <c r="OTQ42" s="19"/>
      <c r="OTR42" s="19"/>
      <c r="OTS42" s="19"/>
      <c r="OTT42" s="21"/>
      <c r="OTU42" s="19"/>
      <c r="OUD42" s="19"/>
      <c r="OUE42" s="19"/>
      <c r="OUF42" s="19"/>
      <c r="OUG42" s="19"/>
      <c r="OUH42" s="21"/>
      <c r="OUI42" s="19"/>
      <c r="OUR42" s="19"/>
      <c r="OUS42" s="19"/>
      <c r="OUT42" s="19"/>
      <c r="OUU42" s="19"/>
      <c r="OUV42" s="21"/>
      <c r="OUW42" s="19"/>
      <c r="OVF42" s="19"/>
      <c r="OVG42" s="19"/>
      <c r="OVH42" s="19"/>
      <c r="OVI42" s="19"/>
      <c r="OVJ42" s="21"/>
      <c r="OVK42" s="19"/>
      <c r="OVT42" s="19"/>
      <c r="OVU42" s="19"/>
      <c r="OVV42" s="19"/>
      <c r="OVW42" s="19"/>
      <c r="OVX42" s="21"/>
      <c r="OVY42" s="19"/>
      <c r="OWH42" s="19"/>
      <c r="OWI42" s="19"/>
      <c r="OWJ42" s="19"/>
      <c r="OWK42" s="19"/>
      <c r="OWL42" s="21"/>
      <c r="OWM42" s="19"/>
      <c r="OWV42" s="19"/>
      <c r="OWW42" s="19"/>
      <c r="OWX42" s="19"/>
      <c r="OWY42" s="19"/>
      <c r="OWZ42" s="21"/>
      <c r="OXA42" s="19"/>
      <c r="OXJ42" s="19"/>
      <c r="OXK42" s="19"/>
      <c r="OXL42" s="19"/>
      <c r="OXM42" s="19"/>
      <c r="OXN42" s="21"/>
      <c r="OXO42" s="19"/>
      <c r="OXX42" s="19"/>
      <c r="OXY42" s="19"/>
      <c r="OXZ42" s="19"/>
      <c r="OYA42" s="19"/>
      <c r="OYB42" s="21"/>
      <c r="OYC42" s="19"/>
      <c r="OYL42" s="19"/>
      <c r="OYM42" s="19"/>
      <c r="OYN42" s="19"/>
      <c r="OYO42" s="19"/>
      <c r="OYP42" s="21"/>
      <c r="OYQ42" s="19"/>
      <c r="OYZ42" s="19"/>
      <c r="OZA42" s="19"/>
      <c r="OZB42" s="19"/>
      <c r="OZC42" s="19"/>
      <c r="OZD42" s="21"/>
      <c r="OZE42" s="19"/>
      <c r="OZN42" s="19"/>
      <c r="OZO42" s="19"/>
      <c r="OZP42" s="19"/>
      <c r="OZQ42" s="19"/>
      <c r="OZR42" s="21"/>
      <c r="OZS42" s="19"/>
      <c r="PAB42" s="19"/>
      <c r="PAC42" s="19"/>
      <c r="PAD42" s="19"/>
      <c r="PAE42" s="19"/>
      <c r="PAF42" s="21"/>
      <c r="PAG42" s="19"/>
      <c r="PAP42" s="19"/>
      <c r="PAQ42" s="19"/>
      <c r="PAR42" s="19"/>
      <c r="PAS42" s="19"/>
      <c r="PAT42" s="21"/>
      <c r="PAU42" s="19"/>
      <c r="PBD42" s="19"/>
      <c r="PBE42" s="19"/>
      <c r="PBF42" s="19"/>
      <c r="PBG42" s="19"/>
      <c r="PBH42" s="21"/>
      <c r="PBI42" s="19"/>
      <c r="PBR42" s="19"/>
      <c r="PBS42" s="19"/>
      <c r="PBT42" s="19"/>
      <c r="PBU42" s="19"/>
      <c r="PBV42" s="21"/>
      <c r="PBW42" s="19"/>
      <c r="PCF42" s="19"/>
      <c r="PCG42" s="19"/>
      <c r="PCH42" s="19"/>
      <c r="PCI42" s="19"/>
      <c r="PCJ42" s="21"/>
      <c r="PCK42" s="19"/>
      <c r="PCT42" s="19"/>
      <c r="PCU42" s="19"/>
      <c r="PCV42" s="19"/>
      <c r="PCW42" s="19"/>
      <c r="PCX42" s="21"/>
      <c r="PCY42" s="19"/>
      <c r="PDH42" s="19"/>
      <c r="PDI42" s="19"/>
      <c r="PDJ42" s="19"/>
      <c r="PDK42" s="19"/>
      <c r="PDL42" s="21"/>
      <c r="PDM42" s="19"/>
      <c r="PDV42" s="19"/>
      <c r="PDW42" s="19"/>
      <c r="PDX42" s="19"/>
      <c r="PDY42" s="19"/>
      <c r="PDZ42" s="21"/>
      <c r="PEA42" s="19"/>
      <c r="PEJ42" s="19"/>
      <c r="PEK42" s="19"/>
      <c r="PEL42" s="19"/>
      <c r="PEM42" s="19"/>
      <c r="PEN42" s="21"/>
      <c r="PEO42" s="19"/>
      <c r="PEX42" s="19"/>
      <c r="PEY42" s="19"/>
      <c r="PEZ42" s="19"/>
      <c r="PFA42" s="19"/>
      <c r="PFB42" s="21"/>
      <c r="PFC42" s="19"/>
      <c r="PFL42" s="19"/>
      <c r="PFM42" s="19"/>
      <c r="PFN42" s="19"/>
      <c r="PFO42" s="19"/>
      <c r="PFP42" s="21"/>
      <c r="PFQ42" s="19"/>
      <c r="PFZ42" s="19"/>
      <c r="PGA42" s="19"/>
      <c r="PGB42" s="19"/>
      <c r="PGC42" s="19"/>
      <c r="PGD42" s="21"/>
      <c r="PGE42" s="19"/>
      <c r="PGN42" s="19"/>
      <c r="PGO42" s="19"/>
      <c r="PGP42" s="19"/>
      <c r="PGQ42" s="19"/>
      <c r="PGR42" s="21"/>
      <c r="PGS42" s="19"/>
      <c r="PHB42" s="19"/>
      <c r="PHC42" s="19"/>
      <c r="PHD42" s="19"/>
      <c r="PHE42" s="19"/>
      <c r="PHF42" s="21"/>
      <c r="PHG42" s="19"/>
      <c r="PHP42" s="19"/>
      <c r="PHQ42" s="19"/>
      <c r="PHR42" s="19"/>
      <c r="PHS42" s="19"/>
      <c r="PHT42" s="21"/>
      <c r="PHU42" s="19"/>
      <c r="PID42" s="19"/>
      <c r="PIE42" s="19"/>
      <c r="PIF42" s="19"/>
      <c r="PIG42" s="19"/>
      <c r="PIH42" s="21"/>
      <c r="PII42" s="19"/>
      <c r="PIR42" s="19"/>
      <c r="PIS42" s="19"/>
      <c r="PIT42" s="19"/>
      <c r="PIU42" s="19"/>
      <c r="PIV42" s="21"/>
      <c r="PIW42" s="19"/>
      <c r="PJF42" s="19"/>
      <c r="PJG42" s="19"/>
      <c r="PJH42" s="19"/>
      <c r="PJI42" s="19"/>
      <c r="PJJ42" s="21"/>
      <c r="PJK42" s="19"/>
      <c r="PJT42" s="19"/>
      <c r="PJU42" s="19"/>
      <c r="PJV42" s="19"/>
      <c r="PJW42" s="19"/>
      <c r="PJX42" s="21"/>
      <c r="PJY42" s="19"/>
      <c r="PKH42" s="19"/>
      <c r="PKI42" s="19"/>
      <c r="PKJ42" s="19"/>
      <c r="PKK42" s="19"/>
      <c r="PKL42" s="21"/>
      <c r="PKM42" s="19"/>
      <c r="PKV42" s="19"/>
      <c r="PKW42" s="19"/>
      <c r="PKX42" s="19"/>
      <c r="PKY42" s="19"/>
      <c r="PKZ42" s="21"/>
      <c r="PLA42" s="19"/>
      <c r="PLJ42" s="19"/>
      <c r="PLK42" s="19"/>
      <c r="PLL42" s="19"/>
      <c r="PLM42" s="19"/>
      <c r="PLN42" s="21"/>
      <c r="PLO42" s="19"/>
      <c r="PLX42" s="19"/>
      <c r="PLY42" s="19"/>
      <c r="PLZ42" s="19"/>
      <c r="PMA42" s="19"/>
      <c r="PMB42" s="21"/>
      <c r="PMC42" s="19"/>
      <c r="PML42" s="19"/>
      <c r="PMM42" s="19"/>
      <c r="PMN42" s="19"/>
      <c r="PMO42" s="19"/>
      <c r="PMP42" s="21"/>
      <c r="PMQ42" s="19"/>
      <c r="PMZ42" s="19"/>
      <c r="PNA42" s="19"/>
      <c r="PNB42" s="19"/>
      <c r="PNC42" s="19"/>
      <c r="PND42" s="21"/>
      <c r="PNE42" s="19"/>
      <c r="PNN42" s="19"/>
      <c r="PNO42" s="19"/>
      <c r="PNP42" s="19"/>
      <c r="PNQ42" s="19"/>
      <c r="PNR42" s="21"/>
      <c r="PNS42" s="19"/>
      <c r="POB42" s="19"/>
      <c r="POC42" s="19"/>
      <c r="POD42" s="19"/>
      <c r="POE42" s="19"/>
      <c r="POF42" s="21"/>
      <c r="POG42" s="19"/>
      <c r="POP42" s="19"/>
      <c r="POQ42" s="19"/>
      <c r="POR42" s="19"/>
      <c r="POS42" s="19"/>
      <c r="POT42" s="21"/>
      <c r="POU42" s="19"/>
      <c r="PPD42" s="19"/>
      <c r="PPE42" s="19"/>
      <c r="PPF42" s="19"/>
      <c r="PPG42" s="19"/>
      <c r="PPH42" s="21"/>
      <c r="PPI42" s="19"/>
      <c r="PPR42" s="19"/>
      <c r="PPS42" s="19"/>
      <c r="PPT42" s="19"/>
      <c r="PPU42" s="19"/>
      <c r="PPV42" s="21"/>
      <c r="PPW42" s="19"/>
      <c r="PQF42" s="19"/>
      <c r="PQG42" s="19"/>
      <c r="PQH42" s="19"/>
      <c r="PQI42" s="19"/>
      <c r="PQJ42" s="21"/>
      <c r="PQK42" s="19"/>
      <c r="PQT42" s="19"/>
      <c r="PQU42" s="19"/>
      <c r="PQV42" s="19"/>
      <c r="PQW42" s="19"/>
      <c r="PQX42" s="21"/>
      <c r="PQY42" s="19"/>
      <c r="PRH42" s="19"/>
      <c r="PRI42" s="19"/>
      <c r="PRJ42" s="19"/>
      <c r="PRK42" s="19"/>
      <c r="PRL42" s="21"/>
      <c r="PRM42" s="19"/>
      <c r="PRV42" s="19"/>
      <c r="PRW42" s="19"/>
      <c r="PRX42" s="19"/>
      <c r="PRY42" s="19"/>
      <c r="PRZ42" s="21"/>
      <c r="PSA42" s="19"/>
      <c r="PSJ42" s="19"/>
      <c r="PSK42" s="19"/>
      <c r="PSL42" s="19"/>
      <c r="PSM42" s="19"/>
      <c r="PSN42" s="21"/>
      <c r="PSO42" s="19"/>
      <c r="PSX42" s="19"/>
      <c r="PSY42" s="19"/>
      <c r="PSZ42" s="19"/>
      <c r="PTA42" s="19"/>
      <c r="PTB42" s="21"/>
      <c r="PTC42" s="19"/>
      <c r="PTL42" s="19"/>
      <c r="PTM42" s="19"/>
      <c r="PTN42" s="19"/>
      <c r="PTO42" s="19"/>
      <c r="PTP42" s="21"/>
      <c r="PTQ42" s="19"/>
      <c r="PTZ42" s="19"/>
      <c r="PUA42" s="19"/>
      <c r="PUB42" s="19"/>
      <c r="PUC42" s="19"/>
      <c r="PUD42" s="21"/>
      <c r="PUE42" s="19"/>
      <c r="PUN42" s="19"/>
      <c r="PUO42" s="19"/>
      <c r="PUP42" s="19"/>
      <c r="PUQ42" s="19"/>
      <c r="PUR42" s="21"/>
      <c r="PUS42" s="19"/>
      <c r="PVB42" s="19"/>
      <c r="PVC42" s="19"/>
      <c r="PVD42" s="19"/>
      <c r="PVE42" s="19"/>
      <c r="PVF42" s="21"/>
      <c r="PVG42" s="19"/>
      <c r="PVP42" s="19"/>
      <c r="PVQ42" s="19"/>
      <c r="PVR42" s="19"/>
      <c r="PVS42" s="19"/>
      <c r="PVT42" s="21"/>
      <c r="PVU42" s="19"/>
      <c r="PWD42" s="19"/>
      <c r="PWE42" s="19"/>
      <c r="PWF42" s="19"/>
      <c r="PWG42" s="19"/>
      <c r="PWH42" s="21"/>
      <c r="PWI42" s="19"/>
      <c r="PWR42" s="19"/>
      <c r="PWS42" s="19"/>
      <c r="PWT42" s="19"/>
      <c r="PWU42" s="19"/>
      <c r="PWV42" s="21"/>
      <c r="PWW42" s="19"/>
      <c r="PXF42" s="19"/>
      <c r="PXG42" s="19"/>
      <c r="PXH42" s="19"/>
      <c r="PXI42" s="19"/>
      <c r="PXJ42" s="21"/>
      <c r="PXK42" s="19"/>
      <c r="PXT42" s="19"/>
      <c r="PXU42" s="19"/>
      <c r="PXV42" s="19"/>
      <c r="PXW42" s="19"/>
      <c r="PXX42" s="21"/>
      <c r="PXY42" s="19"/>
      <c r="PYH42" s="19"/>
      <c r="PYI42" s="19"/>
      <c r="PYJ42" s="19"/>
      <c r="PYK42" s="19"/>
      <c r="PYL42" s="21"/>
      <c r="PYM42" s="19"/>
      <c r="PYV42" s="19"/>
      <c r="PYW42" s="19"/>
      <c r="PYX42" s="19"/>
      <c r="PYY42" s="19"/>
      <c r="PYZ42" s="21"/>
      <c r="PZA42" s="19"/>
      <c r="PZJ42" s="19"/>
      <c r="PZK42" s="19"/>
      <c r="PZL42" s="19"/>
      <c r="PZM42" s="19"/>
      <c r="PZN42" s="21"/>
      <c r="PZO42" s="19"/>
      <c r="PZX42" s="19"/>
      <c r="PZY42" s="19"/>
      <c r="PZZ42" s="19"/>
      <c r="QAA42" s="19"/>
      <c r="QAB42" s="21"/>
      <c r="QAC42" s="19"/>
      <c r="QAL42" s="19"/>
      <c r="QAM42" s="19"/>
      <c r="QAN42" s="19"/>
      <c r="QAO42" s="19"/>
      <c r="QAP42" s="21"/>
      <c r="QAQ42" s="19"/>
      <c r="QAZ42" s="19"/>
      <c r="QBA42" s="19"/>
      <c r="QBB42" s="19"/>
      <c r="QBC42" s="19"/>
      <c r="QBD42" s="21"/>
      <c r="QBE42" s="19"/>
      <c r="QBN42" s="19"/>
      <c r="QBO42" s="19"/>
      <c r="QBP42" s="19"/>
      <c r="QBQ42" s="19"/>
      <c r="QBR42" s="21"/>
      <c r="QBS42" s="19"/>
      <c r="QCB42" s="19"/>
      <c r="QCC42" s="19"/>
      <c r="QCD42" s="19"/>
      <c r="QCE42" s="19"/>
      <c r="QCF42" s="21"/>
      <c r="QCG42" s="19"/>
      <c r="QCP42" s="19"/>
      <c r="QCQ42" s="19"/>
      <c r="QCR42" s="19"/>
      <c r="QCS42" s="19"/>
      <c r="QCT42" s="21"/>
      <c r="QCU42" s="19"/>
      <c r="QDD42" s="19"/>
      <c r="QDE42" s="19"/>
      <c r="QDF42" s="19"/>
      <c r="QDG42" s="19"/>
      <c r="QDH42" s="21"/>
      <c r="QDI42" s="19"/>
      <c r="QDR42" s="19"/>
      <c r="QDS42" s="19"/>
      <c r="QDT42" s="19"/>
      <c r="QDU42" s="19"/>
      <c r="QDV42" s="21"/>
      <c r="QDW42" s="19"/>
      <c r="QEF42" s="19"/>
      <c r="QEG42" s="19"/>
      <c r="QEH42" s="19"/>
      <c r="QEI42" s="19"/>
      <c r="QEJ42" s="21"/>
      <c r="QEK42" s="19"/>
      <c r="QET42" s="19"/>
      <c r="QEU42" s="19"/>
      <c r="QEV42" s="19"/>
      <c r="QEW42" s="19"/>
      <c r="QEX42" s="21"/>
      <c r="QEY42" s="19"/>
      <c r="QFH42" s="19"/>
      <c r="QFI42" s="19"/>
      <c r="QFJ42" s="19"/>
      <c r="QFK42" s="19"/>
      <c r="QFL42" s="21"/>
      <c r="QFM42" s="19"/>
      <c r="QFV42" s="19"/>
      <c r="QFW42" s="19"/>
      <c r="QFX42" s="19"/>
      <c r="QFY42" s="19"/>
      <c r="QFZ42" s="21"/>
      <c r="QGA42" s="19"/>
      <c r="QGJ42" s="19"/>
      <c r="QGK42" s="19"/>
      <c r="QGL42" s="19"/>
      <c r="QGM42" s="19"/>
      <c r="QGN42" s="21"/>
      <c r="QGO42" s="19"/>
      <c r="QGX42" s="19"/>
      <c r="QGY42" s="19"/>
      <c r="QGZ42" s="19"/>
      <c r="QHA42" s="19"/>
      <c r="QHB42" s="21"/>
      <c r="QHC42" s="19"/>
      <c r="QHL42" s="19"/>
      <c r="QHM42" s="19"/>
      <c r="QHN42" s="19"/>
      <c r="QHO42" s="19"/>
      <c r="QHP42" s="21"/>
      <c r="QHQ42" s="19"/>
      <c r="QHZ42" s="19"/>
      <c r="QIA42" s="19"/>
      <c r="QIB42" s="19"/>
      <c r="QIC42" s="19"/>
      <c r="QID42" s="21"/>
      <c r="QIE42" s="19"/>
      <c r="QIN42" s="19"/>
      <c r="QIO42" s="19"/>
      <c r="QIP42" s="19"/>
      <c r="QIQ42" s="19"/>
      <c r="QIR42" s="21"/>
      <c r="QIS42" s="19"/>
      <c r="QJB42" s="19"/>
      <c r="QJC42" s="19"/>
      <c r="QJD42" s="19"/>
      <c r="QJE42" s="19"/>
      <c r="QJF42" s="21"/>
      <c r="QJG42" s="19"/>
      <c r="QJP42" s="19"/>
      <c r="QJQ42" s="19"/>
      <c r="QJR42" s="19"/>
      <c r="QJS42" s="19"/>
      <c r="QJT42" s="21"/>
      <c r="QJU42" s="19"/>
      <c r="QKD42" s="19"/>
      <c r="QKE42" s="19"/>
      <c r="QKF42" s="19"/>
      <c r="QKG42" s="19"/>
      <c r="QKH42" s="21"/>
      <c r="QKI42" s="19"/>
      <c r="QKR42" s="19"/>
      <c r="QKS42" s="19"/>
      <c r="QKT42" s="19"/>
      <c r="QKU42" s="19"/>
      <c r="QKV42" s="21"/>
      <c r="QKW42" s="19"/>
      <c r="QLF42" s="19"/>
      <c r="QLG42" s="19"/>
      <c r="QLH42" s="19"/>
      <c r="QLI42" s="19"/>
      <c r="QLJ42" s="21"/>
      <c r="QLK42" s="19"/>
      <c r="QLT42" s="19"/>
      <c r="QLU42" s="19"/>
      <c r="QLV42" s="19"/>
      <c r="QLW42" s="19"/>
      <c r="QLX42" s="21"/>
      <c r="QLY42" s="19"/>
      <c r="QMH42" s="19"/>
      <c r="QMI42" s="19"/>
      <c r="QMJ42" s="19"/>
      <c r="QMK42" s="19"/>
      <c r="QML42" s="21"/>
      <c r="QMM42" s="19"/>
      <c r="QMV42" s="19"/>
      <c r="QMW42" s="19"/>
      <c r="QMX42" s="19"/>
      <c r="QMY42" s="19"/>
      <c r="QMZ42" s="21"/>
      <c r="QNA42" s="19"/>
      <c r="QNJ42" s="19"/>
      <c r="QNK42" s="19"/>
      <c r="QNL42" s="19"/>
      <c r="QNM42" s="19"/>
      <c r="QNN42" s="21"/>
      <c r="QNO42" s="19"/>
      <c r="QNX42" s="19"/>
      <c r="QNY42" s="19"/>
      <c r="QNZ42" s="19"/>
      <c r="QOA42" s="19"/>
      <c r="QOB42" s="21"/>
      <c r="QOC42" s="19"/>
      <c r="QOL42" s="19"/>
      <c r="QOM42" s="19"/>
      <c r="QON42" s="19"/>
      <c r="QOO42" s="19"/>
      <c r="QOP42" s="21"/>
      <c r="QOQ42" s="19"/>
      <c r="QOZ42" s="19"/>
      <c r="QPA42" s="19"/>
      <c r="QPB42" s="19"/>
      <c r="QPC42" s="19"/>
      <c r="QPD42" s="21"/>
      <c r="QPE42" s="19"/>
      <c r="QPN42" s="19"/>
      <c r="QPO42" s="19"/>
      <c r="QPP42" s="19"/>
      <c r="QPQ42" s="19"/>
      <c r="QPR42" s="21"/>
      <c r="QPS42" s="19"/>
      <c r="QQB42" s="19"/>
      <c r="QQC42" s="19"/>
      <c r="QQD42" s="19"/>
      <c r="QQE42" s="19"/>
      <c r="QQF42" s="21"/>
      <c r="QQG42" s="19"/>
      <c r="QQP42" s="19"/>
      <c r="QQQ42" s="19"/>
      <c r="QQR42" s="19"/>
      <c r="QQS42" s="19"/>
      <c r="QQT42" s="21"/>
      <c r="QQU42" s="19"/>
      <c r="QRD42" s="19"/>
      <c r="QRE42" s="19"/>
      <c r="QRF42" s="19"/>
      <c r="QRG42" s="19"/>
      <c r="QRH42" s="21"/>
      <c r="QRI42" s="19"/>
      <c r="QRR42" s="19"/>
      <c r="QRS42" s="19"/>
      <c r="QRT42" s="19"/>
      <c r="QRU42" s="19"/>
      <c r="QRV42" s="21"/>
      <c r="QRW42" s="19"/>
      <c r="QSF42" s="19"/>
      <c r="QSG42" s="19"/>
      <c r="QSH42" s="19"/>
      <c r="QSI42" s="19"/>
      <c r="QSJ42" s="21"/>
      <c r="QSK42" s="19"/>
      <c r="QST42" s="19"/>
      <c r="QSU42" s="19"/>
      <c r="QSV42" s="19"/>
      <c r="QSW42" s="19"/>
      <c r="QSX42" s="21"/>
      <c r="QSY42" s="19"/>
      <c r="QTH42" s="19"/>
      <c r="QTI42" s="19"/>
      <c r="QTJ42" s="19"/>
      <c r="QTK42" s="19"/>
      <c r="QTL42" s="21"/>
      <c r="QTM42" s="19"/>
      <c r="QTV42" s="19"/>
      <c r="QTW42" s="19"/>
      <c r="QTX42" s="19"/>
      <c r="QTY42" s="19"/>
      <c r="QTZ42" s="21"/>
      <c r="QUA42" s="19"/>
      <c r="QUJ42" s="19"/>
      <c r="QUK42" s="19"/>
      <c r="QUL42" s="19"/>
      <c r="QUM42" s="19"/>
      <c r="QUN42" s="21"/>
      <c r="QUO42" s="19"/>
      <c r="QUX42" s="19"/>
      <c r="QUY42" s="19"/>
      <c r="QUZ42" s="19"/>
      <c r="QVA42" s="19"/>
      <c r="QVB42" s="21"/>
      <c r="QVC42" s="19"/>
      <c r="QVL42" s="19"/>
      <c r="QVM42" s="19"/>
      <c r="QVN42" s="19"/>
      <c r="QVO42" s="19"/>
      <c r="QVP42" s="21"/>
      <c r="QVQ42" s="19"/>
      <c r="QVZ42" s="19"/>
      <c r="QWA42" s="19"/>
      <c r="QWB42" s="19"/>
      <c r="QWC42" s="19"/>
      <c r="QWD42" s="21"/>
      <c r="QWE42" s="19"/>
      <c r="QWN42" s="19"/>
      <c r="QWO42" s="19"/>
      <c r="QWP42" s="19"/>
      <c r="QWQ42" s="19"/>
      <c r="QWR42" s="21"/>
      <c r="QWS42" s="19"/>
      <c r="QXB42" s="19"/>
      <c r="QXC42" s="19"/>
      <c r="QXD42" s="19"/>
      <c r="QXE42" s="19"/>
      <c r="QXF42" s="21"/>
      <c r="QXG42" s="19"/>
      <c r="QXP42" s="19"/>
      <c r="QXQ42" s="19"/>
      <c r="QXR42" s="19"/>
      <c r="QXS42" s="19"/>
      <c r="QXT42" s="21"/>
      <c r="QXU42" s="19"/>
      <c r="QYD42" s="19"/>
      <c r="QYE42" s="19"/>
      <c r="QYF42" s="19"/>
      <c r="QYG42" s="19"/>
      <c r="QYH42" s="21"/>
      <c r="QYI42" s="19"/>
      <c r="QYR42" s="19"/>
      <c r="QYS42" s="19"/>
      <c r="QYT42" s="19"/>
      <c r="QYU42" s="19"/>
      <c r="QYV42" s="21"/>
      <c r="QYW42" s="19"/>
      <c r="QZF42" s="19"/>
      <c r="QZG42" s="19"/>
      <c r="QZH42" s="19"/>
      <c r="QZI42" s="19"/>
      <c r="QZJ42" s="21"/>
      <c r="QZK42" s="19"/>
      <c r="QZT42" s="19"/>
      <c r="QZU42" s="19"/>
      <c r="QZV42" s="19"/>
      <c r="QZW42" s="19"/>
      <c r="QZX42" s="21"/>
      <c r="QZY42" s="19"/>
      <c r="RAH42" s="19"/>
      <c r="RAI42" s="19"/>
      <c r="RAJ42" s="19"/>
      <c r="RAK42" s="19"/>
      <c r="RAL42" s="21"/>
      <c r="RAM42" s="19"/>
      <c r="RAV42" s="19"/>
      <c r="RAW42" s="19"/>
      <c r="RAX42" s="19"/>
      <c r="RAY42" s="19"/>
      <c r="RAZ42" s="21"/>
      <c r="RBA42" s="19"/>
      <c r="RBJ42" s="19"/>
      <c r="RBK42" s="19"/>
      <c r="RBL42" s="19"/>
      <c r="RBM42" s="19"/>
      <c r="RBN42" s="21"/>
      <c r="RBO42" s="19"/>
      <c r="RBX42" s="19"/>
      <c r="RBY42" s="19"/>
      <c r="RBZ42" s="19"/>
      <c r="RCA42" s="19"/>
      <c r="RCB42" s="21"/>
      <c r="RCC42" s="19"/>
      <c r="RCL42" s="19"/>
      <c r="RCM42" s="19"/>
      <c r="RCN42" s="19"/>
      <c r="RCO42" s="19"/>
      <c r="RCP42" s="21"/>
      <c r="RCQ42" s="19"/>
      <c r="RCZ42" s="19"/>
      <c r="RDA42" s="19"/>
      <c r="RDB42" s="19"/>
      <c r="RDC42" s="19"/>
      <c r="RDD42" s="21"/>
      <c r="RDE42" s="19"/>
      <c r="RDN42" s="19"/>
      <c r="RDO42" s="19"/>
      <c r="RDP42" s="19"/>
      <c r="RDQ42" s="19"/>
      <c r="RDR42" s="21"/>
      <c r="RDS42" s="19"/>
      <c r="REB42" s="19"/>
      <c r="REC42" s="19"/>
      <c r="RED42" s="19"/>
      <c r="REE42" s="19"/>
      <c r="REF42" s="21"/>
      <c r="REG42" s="19"/>
      <c r="REP42" s="19"/>
      <c r="REQ42" s="19"/>
      <c r="RER42" s="19"/>
      <c r="RES42" s="19"/>
      <c r="RET42" s="21"/>
      <c r="REU42" s="19"/>
      <c r="RFD42" s="19"/>
      <c r="RFE42" s="19"/>
      <c r="RFF42" s="19"/>
      <c r="RFG42" s="19"/>
      <c r="RFH42" s="21"/>
      <c r="RFI42" s="19"/>
      <c r="RFR42" s="19"/>
      <c r="RFS42" s="19"/>
      <c r="RFT42" s="19"/>
      <c r="RFU42" s="19"/>
      <c r="RFV42" s="21"/>
      <c r="RFW42" s="19"/>
      <c r="RGF42" s="19"/>
      <c r="RGG42" s="19"/>
      <c r="RGH42" s="19"/>
      <c r="RGI42" s="19"/>
      <c r="RGJ42" s="21"/>
      <c r="RGK42" s="19"/>
      <c r="RGT42" s="19"/>
      <c r="RGU42" s="19"/>
      <c r="RGV42" s="19"/>
      <c r="RGW42" s="19"/>
      <c r="RGX42" s="21"/>
      <c r="RGY42" s="19"/>
      <c r="RHH42" s="19"/>
      <c r="RHI42" s="19"/>
      <c r="RHJ42" s="19"/>
      <c r="RHK42" s="19"/>
      <c r="RHL42" s="21"/>
      <c r="RHM42" s="19"/>
      <c r="RHV42" s="19"/>
      <c r="RHW42" s="19"/>
      <c r="RHX42" s="19"/>
      <c r="RHY42" s="19"/>
      <c r="RHZ42" s="21"/>
      <c r="RIA42" s="19"/>
      <c r="RIJ42" s="19"/>
      <c r="RIK42" s="19"/>
      <c r="RIL42" s="19"/>
      <c r="RIM42" s="19"/>
      <c r="RIN42" s="21"/>
      <c r="RIO42" s="19"/>
      <c r="RIX42" s="19"/>
      <c r="RIY42" s="19"/>
      <c r="RIZ42" s="19"/>
      <c r="RJA42" s="19"/>
      <c r="RJB42" s="21"/>
      <c r="RJC42" s="19"/>
      <c r="RJL42" s="19"/>
      <c r="RJM42" s="19"/>
      <c r="RJN42" s="19"/>
      <c r="RJO42" s="19"/>
      <c r="RJP42" s="21"/>
      <c r="RJQ42" s="19"/>
      <c r="RJZ42" s="19"/>
      <c r="RKA42" s="19"/>
      <c r="RKB42" s="19"/>
      <c r="RKC42" s="19"/>
      <c r="RKD42" s="21"/>
      <c r="RKE42" s="19"/>
      <c r="RKN42" s="19"/>
      <c r="RKO42" s="19"/>
      <c r="RKP42" s="19"/>
      <c r="RKQ42" s="19"/>
      <c r="RKR42" s="21"/>
      <c r="RKS42" s="19"/>
      <c r="RLB42" s="19"/>
      <c r="RLC42" s="19"/>
      <c r="RLD42" s="19"/>
      <c r="RLE42" s="19"/>
      <c r="RLF42" s="21"/>
      <c r="RLG42" s="19"/>
      <c r="RLP42" s="19"/>
      <c r="RLQ42" s="19"/>
      <c r="RLR42" s="19"/>
      <c r="RLS42" s="19"/>
      <c r="RLT42" s="21"/>
      <c r="RLU42" s="19"/>
      <c r="RMD42" s="19"/>
      <c r="RME42" s="19"/>
      <c r="RMF42" s="19"/>
      <c r="RMG42" s="19"/>
      <c r="RMH42" s="21"/>
      <c r="RMI42" s="19"/>
      <c r="RMR42" s="19"/>
      <c r="RMS42" s="19"/>
      <c r="RMT42" s="19"/>
      <c r="RMU42" s="19"/>
      <c r="RMV42" s="21"/>
      <c r="RMW42" s="19"/>
      <c r="RNF42" s="19"/>
      <c r="RNG42" s="19"/>
      <c r="RNH42" s="19"/>
      <c r="RNI42" s="19"/>
      <c r="RNJ42" s="21"/>
      <c r="RNK42" s="19"/>
      <c r="RNT42" s="19"/>
      <c r="RNU42" s="19"/>
      <c r="RNV42" s="19"/>
      <c r="RNW42" s="19"/>
      <c r="RNX42" s="21"/>
      <c r="RNY42" s="19"/>
      <c r="ROH42" s="19"/>
      <c r="ROI42" s="19"/>
      <c r="ROJ42" s="19"/>
      <c r="ROK42" s="19"/>
      <c r="ROL42" s="21"/>
      <c r="ROM42" s="19"/>
      <c r="ROV42" s="19"/>
      <c r="ROW42" s="19"/>
      <c r="ROX42" s="19"/>
      <c r="ROY42" s="19"/>
      <c r="ROZ42" s="21"/>
      <c r="RPA42" s="19"/>
      <c r="RPJ42" s="19"/>
      <c r="RPK42" s="19"/>
      <c r="RPL42" s="19"/>
      <c r="RPM42" s="19"/>
      <c r="RPN42" s="21"/>
      <c r="RPO42" s="19"/>
      <c r="RPX42" s="19"/>
      <c r="RPY42" s="19"/>
      <c r="RPZ42" s="19"/>
      <c r="RQA42" s="19"/>
      <c r="RQB42" s="21"/>
      <c r="RQC42" s="19"/>
      <c r="RQL42" s="19"/>
      <c r="RQM42" s="19"/>
      <c r="RQN42" s="19"/>
      <c r="RQO42" s="19"/>
      <c r="RQP42" s="21"/>
      <c r="RQQ42" s="19"/>
      <c r="RQZ42" s="19"/>
      <c r="RRA42" s="19"/>
      <c r="RRB42" s="19"/>
      <c r="RRC42" s="19"/>
      <c r="RRD42" s="21"/>
      <c r="RRE42" s="19"/>
      <c r="RRN42" s="19"/>
      <c r="RRO42" s="19"/>
      <c r="RRP42" s="19"/>
      <c r="RRQ42" s="19"/>
      <c r="RRR42" s="21"/>
      <c r="RRS42" s="19"/>
      <c r="RSB42" s="19"/>
      <c r="RSC42" s="19"/>
      <c r="RSD42" s="19"/>
      <c r="RSE42" s="19"/>
      <c r="RSF42" s="21"/>
      <c r="RSG42" s="19"/>
      <c r="RSP42" s="19"/>
      <c r="RSQ42" s="19"/>
      <c r="RSR42" s="19"/>
      <c r="RSS42" s="19"/>
      <c r="RST42" s="21"/>
      <c r="RSU42" s="19"/>
      <c r="RTD42" s="19"/>
      <c r="RTE42" s="19"/>
      <c r="RTF42" s="19"/>
      <c r="RTG42" s="19"/>
      <c r="RTH42" s="21"/>
      <c r="RTI42" s="19"/>
      <c r="RTR42" s="19"/>
      <c r="RTS42" s="19"/>
      <c r="RTT42" s="19"/>
      <c r="RTU42" s="19"/>
      <c r="RTV42" s="21"/>
      <c r="RTW42" s="19"/>
      <c r="RUF42" s="19"/>
      <c r="RUG42" s="19"/>
      <c r="RUH42" s="19"/>
      <c r="RUI42" s="19"/>
      <c r="RUJ42" s="21"/>
      <c r="RUK42" s="19"/>
      <c r="RUT42" s="19"/>
      <c r="RUU42" s="19"/>
      <c r="RUV42" s="19"/>
      <c r="RUW42" s="19"/>
      <c r="RUX42" s="21"/>
      <c r="RUY42" s="19"/>
      <c r="RVH42" s="19"/>
      <c r="RVI42" s="19"/>
      <c r="RVJ42" s="19"/>
      <c r="RVK42" s="19"/>
      <c r="RVL42" s="21"/>
      <c r="RVM42" s="19"/>
      <c r="RVV42" s="19"/>
      <c r="RVW42" s="19"/>
      <c r="RVX42" s="19"/>
      <c r="RVY42" s="19"/>
      <c r="RVZ42" s="21"/>
      <c r="RWA42" s="19"/>
      <c r="RWJ42" s="19"/>
      <c r="RWK42" s="19"/>
      <c r="RWL42" s="19"/>
      <c r="RWM42" s="19"/>
      <c r="RWN42" s="21"/>
      <c r="RWO42" s="19"/>
      <c r="RWX42" s="19"/>
      <c r="RWY42" s="19"/>
      <c r="RWZ42" s="19"/>
      <c r="RXA42" s="19"/>
      <c r="RXB42" s="21"/>
      <c r="RXC42" s="19"/>
      <c r="RXL42" s="19"/>
      <c r="RXM42" s="19"/>
      <c r="RXN42" s="19"/>
      <c r="RXO42" s="19"/>
      <c r="RXP42" s="21"/>
      <c r="RXQ42" s="19"/>
      <c r="RXZ42" s="19"/>
      <c r="RYA42" s="19"/>
      <c r="RYB42" s="19"/>
      <c r="RYC42" s="19"/>
      <c r="RYD42" s="21"/>
      <c r="RYE42" s="19"/>
      <c r="RYN42" s="19"/>
      <c r="RYO42" s="19"/>
      <c r="RYP42" s="19"/>
      <c r="RYQ42" s="19"/>
      <c r="RYR42" s="21"/>
      <c r="RYS42" s="19"/>
      <c r="RZB42" s="19"/>
      <c r="RZC42" s="19"/>
      <c r="RZD42" s="19"/>
      <c r="RZE42" s="19"/>
      <c r="RZF42" s="21"/>
      <c r="RZG42" s="19"/>
      <c r="RZP42" s="19"/>
      <c r="RZQ42" s="19"/>
      <c r="RZR42" s="19"/>
      <c r="RZS42" s="19"/>
      <c r="RZT42" s="21"/>
      <c r="RZU42" s="19"/>
      <c r="SAD42" s="19"/>
      <c r="SAE42" s="19"/>
      <c r="SAF42" s="19"/>
      <c r="SAG42" s="19"/>
      <c r="SAH42" s="21"/>
      <c r="SAI42" s="19"/>
      <c r="SAR42" s="19"/>
      <c r="SAS42" s="19"/>
      <c r="SAT42" s="19"/>
      <c r="SAU42" s="19"/>
      <c r="SAV42" s="21"/>
      <c r="SAW42" s="19"/>
      <c r="SBF42" s="19"/>
      <c r="SBG42" s="19"/>
      <c r="SBH42" s="19"/>
      <c r="SBI42" s="19"/>
      <c r="SBJ42" s="21"/>
      <c r="SBK42" s="19"/>
      <c r="SBT42" s="19"/>
      <c r="SBU42" s="19"/>
      <c r="SBV42" s="19"/>
      <c r="SBW42" s="19"/>
      <c r="SBX42" s="21"/>
      <c r="SBY42" s="19"/>
      <c r="SCH42" s="19"/>
      <c r="SCI42" s="19"/>
      <c r="SCJ42" s="19"/>
      <c r="SCK42" s="19"/>
      <c r="SCL42" s="21"/>
      <c r="SCM42" s="19"/>
      <c r="SCV42" s="19"/>
      <c r="SCW42" s="19"/>
      <c r="SCX42" s="19"/>
      <c r="SCY42" s="19"/>
      <c r="SCZ42" s="21"/>
      <c r="SDA42" s="19"/>
      <c r="SDJ42" s="19"/>
      <c r="SDK42" s="19"/>
      <c r="SDL42" s="19"/>
      <c r="SDM42" s="19"/>
      <c r="SDN42" s="21"/>
      <c r="SDO42" s="19"/>
      <c r="SDX42" s="19"/>
      <c r="SDY42" s="19"/>
      <c r="SDZ42" s="19"/>
      <c r="SEA42" s="19"/>
      <c r="SEB42" s="21"/>
      <c r="SEC42" s="19"/>
      <c r="SEL42" s="19"/>
      <c r="SEM42" s="19"/>
      <c r="SEN42" s="19"/>
      <c r="SEO42" s="19"/>
      <c r="SEP42" s="21"/>
      <c r="SEQ42" s="19"/>
      <c r="SEZ42" s="19"/>
      <c r="SFA42" s="19"/>
      <c r="SFB42" s="19"/>
      <c r="SFC42" s="19"/>
      <c r="SFD42" s="21"/>
      <c r="SFE42" s="19"/>
      <c r="SFN42" s="19"/>
      <c r="SFO42" s="19"/>
      <c r="SFP42" s="19"/>
      <c r="SFQ42" s="19"/>
      <c r="SFR42" s="21"/>
      <c r="SFS42" s="19"/>
      <c r="SGB42" s="19"/>
      <c r="SGC42" s="19"/>
      <c r="SGD42" s="19"/>
      <c r="SGE42" s="19"/>
      <c r="SGF42" s="21"/>
      <c r="SGG42" s="19"/>
      <c r="SGP42" s="19"/>
      <c r="SGQ42" s="19"/>
      <c r="SGR42" s="19"/>
      <c r="SGS42" s="19"/>
      <c r="SGT42" s="21"/>
      <c r="SGU42" s="19"/>
      <c r="SHD42" s="19"/>
      <c r="SHE42" s="19"/>
      <c r="SHF42" s="19"/>
      <c r="SHG42" s="19"/>
      <c r="SHH42" s="21"/>
      <c r="SHI42" s="19"/>
      <c r="SHR42" s="19"/>
      <c r="SHS42" s="19"/>
      <c r="SHT42" s="19"/>
      <c r="SHU42" s="19"/>
      <c r="SHV42" s="21"/>
      <c r="SHW42" s="19"/>
      <c r="SIF42" s="19"/>
      <c r="SIG42" s="19"/>
      <c r="SIH42" s="19"/>
      <c r="SII42" s="19"/>
      <c r="SIJ42" s="21"/>
      <c r="SIK42" s="19"/>
      <c r="SIT42" s="19"/>
      <c r="SIU42" s="19"/>
      <c r="SIV42" s="19"/>
      <c r="SIW42" s="19"/>
      <c r="SIX42" s="21"/>
      <c r="SIY42" s="19"/>
      <c r="SJH42" s="19"/>
      <c r="SJI42" s="19"/>
      <c r="SJJ42" s="19"/>
      <c r="SJK42" s="19"/>
      <c r="SJL42" s="21"/>
      <c r="SJM42" s="19"/>
      <c r="SJV42" s="19"/>
      <c r="SJW42" s="19"/>
      <c r="SJX42" s="19"/>
      <c r="SJY42" s="19"/>
      <c r="SJZ42" s="21"/>
      <c r="SKA42" s="19"/>
      <c r="SKJ42" s="19"/>
      <c r="SKK42" s="19"/>
      <c r="SKL42" s="19"/>
      <c r="SKM42" s="19"/>
      <c r="SKN42" s="21"/>
      <c r="SKO42" s="19"/>
      <c r="SKX42" s="19"/>
      <c r="SKY42" s="19"/>
      <c r="SKZ42" s="19"/>
      <c r="SLA42" s="19"/>
      <c r="SLB42" s="21"/>
      <c r="SLC42" s="19"/>
      <c r="SLL42" s="19"/>
      <c r="SLM42" s="19"/>
      <c r="SLN42" s="19"/>
      <c r="SLO42" s="19"/>
      <c r="SLP42" s="21"/>
      <c r="SLQ42" s="19"/>
      <c r="SLZ42" s="19"/>
      <c r="SMA42" s="19"/>
      <c r="SMB42" s="19"/>
      <c r="SMC42" s="19"/>
      <c r="SMD42" s="21"/>
      <c r="SME42" s="19"/>
      <c r="SMN42" s="19"/>
      <c r="SMO42" s="19"/>
      <c r="SMP42" s="19"/>
      <c r="SMQ42" s="19"/>
      <c r="SMR42" s="21"/>
      <c r="SMS42" s="19"/>
      <c r="SNB42" s="19"/>
      <c r="SNC42" s="19"/>
      <c r="SND42" s="19"/>
      <c r="SNE42" s="19"/>
      <c r="SNF42" s="21"/>
      <c r="SNG42" s="19"/>
      <c r="SNP42" s="19"/>
      <c r="SNQ42" s="19"/>
      <c r="SNR42" s="19"/>
      <c r="SNS42" s="19"/>
      <c r="SNT42" s="21"/>
      <c r="SNU42" s="19"/>
      <c r="SOD42" s="19"/>
      <c r="SOE42" s="19"/>
      <c r="SOF42" s="19"/>
      <c r="SOG42" s="19"/>
      <c r="SOH42" s="21"/>
      <c r="SOI42" s="19"/>
      <c r="SOR42" s="19"/>
      <c r="SOS42" s="19"/>
      <c r="SOT42" s="19"/>
      <c r="SOU42" s="19"/>
      <c r="SOV42" s="21"/>
      <c r="SOW42" s="19"/>
      <c r="SPF42" s="19"/>
      <c r="SPG42" s="19"/>
      <c r="SPH42" s="19"/>
      <c r="SPI42" s="19"/>
      <c r="SPJ42" s="21"/>
      <c r="SPK42" s="19"/>
      <c r="SPT42" s="19"/>
      <c r="SPU42" s="19"/>
      <c r="SPV42" s="19"/>
      <c r="SPW42" s="19"/>
      <c r="SPX42" s="21"/>
      <c r="SPY42" s="19"/>
      <c r="SQH42" s="19"/>
      <c r="SQI42" s="19"/>
      <c r="SQJ42" s="19"/>
      <c r="SQK42" s="19"/>
      <c r="SQL42" s="21"/>
      <c r="SQM42" s="19"/>
      <c r="SQV42" s="19"/>
      <c r="SQW42" s="19"/>
      <c r="SQX42" s="19"/>
      <c r="SQY42" s="19"/>
      <c r="SQZ42" s="21"/>
      <c r="SRA42" s="19"/>
      <c r="SRJ42" s="19"/>
      <c r="SRK42" s="19"/>
      <c r="SRL42" s="19"/>
      <c r="SRM42" s="19"/>
      <c r="SRN42" s="21"/>
      <c r="SRO42" s="19"/>
      <c r="SRX42" s="19"/>
      <c r="SRY42" s="19"/>
      <c r="SRZ42" s="19"/>
      <c r="SSA42" s="19"/>
      <c r="SSB42" s="21"/>
      <c r="SSC42" s="19"/>
      <c r="SSL42" s="19"/>
      <c r="SSM42" s="19"/>
      <c r="SSN42" s="19"/>
      <c r="SSO42" s="19"/>
      <c r="SSP42" s="21"/>
      <c r="SSQ42" s="19"/>
      <c r="SSZ42" s="19"/>
      <c r="STA42" s="19"/>
      <c r="STB42" s="19"/>
      <c r="STC42" s="19"/>
      <c r="STD42" s="21"/>
      <c r="STE42" s="19"/>
      <c r="STN42" s="19"/>
      <c r="STO42" s="19"/>
      <c r="STP42" s="19"/>
      <c r="STQ42" s="19"/>
      <c r="STR42" s="21"/>
      <c r="STS42" s="19"/>
      <c r="SUB42" s="19"/>
      <c r="SUC42" s="19"/>
      <c r="SUD42" s="19"/>
      <c r="SUE42" s="19"/>
      <c r="SUF42" s="21"/>
      <c r="SUG42" s="19"/>
      <c r="SUP42" s="19"/>
      <c r="SUQ42" s="19"/>
      <c r="SUR42" s="19"/>
      <c r="SUS42" s="19"/>
      <c r="SUT42" s="21"/>
      <c r="SUU42" s="19"/>
      <c r="SVD42" s="19"/>
      <c r="SVE42" s="19"/>
      <c r="SVF42" s="19"/>
      <c r="SVG42" s="19"/>
      <c r="SVH42" s="21"/>
      <c r="SVI42" s="19"/>
      <c r="SVR42" s="19"/>
      <c r="SVS42" s="19"/>
      <c r="SVT42" s="19"/>
      <c r="SVU42" s="19"/>
      <c r="SVV42" s="21"/>
      <c r="SVW42" s="19"/>
      <c r="SWF42" s="19"/>
      <c r="SWG42" s="19"/>
      <c r="SWH42" s="19"/>
      <c r="SWI42" s="19"/>
      <c r="SWJ42" s="21"/>
      <c r="SWK42" s="19"/>
      <c r="SWT42" s="19"/>
      <c r="SWU42" s="19"/>
      <c r="SWV42" s="19"/>
      <c r="SWW42" s="19"/>
      <c r="SWX42" s="21"/>
      <c r="SWY42" s="19"/>
      <c r="SXH42" s="19"/>
      <c r="SXI42" s="19"/>
      <c r="SXJ42" s="19"/>
      <c r="SXK42" s="19"/>
      <c r="SXL42" s="21"/>
      <c r="SXM42" s="19"/>
      <c r="SXV42" s="19"/>
      <c r="SXW42" s="19"/>
      <c r="SXX42" s="19"/>
      <c r="SXY42" s="19"/>
      <c r="SXZ42" s="21"/>
      <c r="SYA42" s="19"/>
      <c r="SYJ42" s="19"/>
      <c r="SYK42" s="19"/>
      <c r="SYL42" s="19"/>
      <c r="SYM42" s="19"/>
      <c r="SYN42" s="21"/>
      <c r="SYO42" s="19"/>
      <c r="SYX42" s="19"/>
      <c r="SYY42" s="19"/>
      <c r="SYZ42" s="19"/>
      <c r="SZA42" s="19"/>
      <c r="SZB42" s="21"/>
      <c r="SZC42" s="19"/>
      <c r="SZL42" s="19"/>
      <c r="SZM42" s="19"/>
      <c r="SZN42" s="19"/>
      <c r="SZO42" s="19"/>
      <c r="SZP42" s="21"/>
      <c r="SZQ42" s="19"/>
      <c r="SZZ42" s="19"/>
      <c r="TAA42" s="19"/>
      <c r="TAB42" s="19"/>
      <c r="TAC42" s="19"/>
      <c r="TAD42" s="21"/>
      <c r="TAE42" s="19"/>
      <c r="TAN42" s="19"/>
      <c r="TAO42" s="19"/>
      <c r="TAP42" s="19"/>
      <c r="TAQ42" s="19"/>
      <c r="TAR42" s="21"/>
      <c r="TAS42" s="19"/>
      <c r="TBB42" s="19"/>
      <c r="TBC42" s="19"/>
      <c r="TBD42" s="19"/>
      <c r="TBE42" s="19"/>
      <c r="TBF42" s="21"/>
      <c r="TBG42" s="19"/>
      <c r="TBP42" s="19"/>
      <c r="TBQ42" s="19"/>
      <c r="TBR42" s="19"/>
      <c r="TBS42" s="19"/>
      <c r="TBT42" s="21"/>
      <c r="TBU42" s="19"/>
      <c r="TCD42" s="19"/>
      <c r="TCE42" s="19"/>
      <c r="TCF42" s="19"/>
      <c r="TCG42" s="19"/>
      <c r="TCH42" s="21"/>
      <c r="TCI42" s="19"/>
      <c r="TCR42" s="19"/>
      <c r="TCS42" s="19"/>
      <c r="TCT42" s="19"/>
      <c r="TCU42" s="19"/>
      <c r="TCV42" s="21"/>
      <c r="TCW42" s="19"/>
      <c r="TDF42" s="19"/>
      <c r="TDG42" s="19"/>
      <c r="TDH42" s="19"/>
      <c r="TDI42" s="19"/>
      <c r="TDJ42" s="21"/>
      <c r="TDK42" s="19"/>
      <c r="TDT42" s="19"/>
      <c r="TDU42" s="19"/>
      <c r="TDV42" s="19"/>
      <c r="TDW42" s="19"/>
      <c r="TDX42" s="21"/>
      <c r="TDY42" s="19"/>
      <c r="TEH42" s="19"/>
      <c r="TEI42" s="19"/>
      <c r="TEJ42" s="19"/>
      <c r="TEK42" s="19"/>
      <c r="TEL42" s="21"/>
      <c r="TEM42" s="19"/>
      <c r="TEV42" s="19"/>
      <c r="TEW42" s="19"/>
      <c r="TEX42" s="19"/>
      <c r="TEY42" s="19"/>
      <c r="TEZ42" s="21"/>
      <c r="TFA42" s="19"/>
      <c r="TFJ42" s="19"/>
      <c r="TFK42" s="19"/>
      <c r="TFL42" s="19"/>
      <c r="TFM42" s="19"/>
      <c r="TFN42" s="21"/>
      <c r="TFO42" s="19"/>
      <c r="TFX42" s="19"/>
      <c r="TFY42" s="19"/>
      <c r="TFZ42" s="19"/>
      <c r="TGA42" s="19"/>
      <c r="TGB42" s="21"/>
      <c r="TGC42" s="19"/>
      <c r="TGL42" s="19"/>
      <c r="TGM42" s="19"/>
      <c r="TGN42" s="19"/>
      <c r="TGO42" s="19"/>
      <c r="TGP42" s="21"/>
      <c r="TGQ42" s="19"/>
      <c r="TGZ42" s="19"/>
      <c r="THA42" s="19"/>
      <c r="THB42" s="19"/>
      <c r="THC42" s="19"/>
      <c r="THD42" s="21"/>
      <c r="THE42" s="19"/>
      <c r="THN42" s="19"/>
      <c r="THO42" s="19"/>
      <c r="THP42" s="19"/>
      <c r="THQ42" s="19"/>
      <c r="THR42" s="21"/>
      <c r="THS42" s="19"/>
      <c r="TIB42" s="19"/>
      <c r="TIC42" s="19"/>
      <c r="TID42" s="19"/>
      <c r="TIE42" s="19"/>
      <c r="TIF42" s="21"/>
      <c r="TIG42" s="19"/>
      <c r="TIP42" s="19"/>
      <c r="TIQ42" s="19"/>
      <c r="TIR42" s="19"/>
      <c r="TIS42" s="19"/>
      <c r="TIT42" s="21"/>
      <c r="TIU42" s="19"/>
      <c r="TJD42" s="19"/>
      <c r="TJE42" s="19"/>
      <c r="TJF42" s="19"/>
      <c r="TJG42" s="19"/>
      <c r="TJH42" s="21"/>
      <c r="TJI42" s="19"/>
      <c r="TJR42" s="19"/>
      <c r="TJS42" s="19"/>
      <c r="TJT42" s="19"/>
      <c r="TJU42" s="19"/>
      <c r="TJV42" s="21"/>
      <c r="TJW42" s="19"/>
      <c r="TKF42" s="19"/>
      <c r="TKG42" s="19"/>
      <c r="TKH42" s="19"/>
      <c r="TKI42" s="19"/>
      <c r="TKJ42" s="21"/>
      <c r="TKK42" s="19"/>
      <c r="TKT42" s="19"/>
      <c r="TKU42" s="19"/>
      <c r="TKV42" s="19"/>
      <c r="TKW42" s="19"/>
      <c r="TKX42" s="21"/>
      <c r="TKY42" s="19"/>
      <c r="TLH42" s="19"/>
      <c r="TLI42" s="19"/>
      <c r="TLJ42" s="19"/>
      <c r="TLK42" s="19"/>
      <c r="TLL42" s="21"/>
      <c r="TLM42" s="19"/>
      <c r="TLV42" s="19"/>
      <c r="TLW42" s="19"/>
      <c r="TLX42" s="19"/>
      <c r="TLY42" s="19"/>
      <c r="TLZ42" s="21"/>
      <c r="TMA42" s="19"/>
      <c r="TMJ42" s="19"/>
      <c r="TMK42" s="19"/>
      <c r="TML42" s="19"/>
      <c r="TMM42" s="19"/>
      <c r="TMN42" s="21"/>
      <c r="TMO42" s="19"/>
      <c r="TMX42" s="19"/>
      <c r="TMY42" s="19"/>
      <c r="TMZ42" s="19"/>
      <c r="TNA42" s="19"/>
      <c r="TNB42" s="21"/>
      <c r="TNC42" s="19"/>
      <c r="TNL42" s="19"/>
      <c r="TNM42" s="19"/>
      <c r="TNN42" s="19"/>
      <c r="TNO42" s="19"/>
      <c r="TNP42" s="21"/>
      <c r="TNQ42" s="19"/>
      <c r="TNZ42" s="19"/>
      <c r="TOA42" s="19"/>
      <c r="TOB42" s="19"/>
      <c r="TOC42" s="19"/>
      <c r="TOD42" s="21"/>
      <c r="TOE42" s="19"/>
      <c r="TON42" s="19"/>
      <c r="TOO42" s="19"/>
      <c r="TOP42" s="19"/>
      <c r="TOQ42" s="19"/>
      <c r="TOR42" s="21"/>
      <c r="TOS42" s="19"/>
      <c r="TPB42" s="19"/>
      <c r="TPC42" s="19"/>
      <c r="TPD42" s="19"/>
      <c r="TPE42" s="19"/>
      <c r="TPF42" s="21"/>
      <c r="TPG42" s="19"/>
      <c r="TPP42" s="19"/>
      <c r="TPQ42" s="19"/>
      <c r="TPR42" s="19"/>
      <c r="TPS42" s="19"/>
      <c r="TPT42" s="21"/>
      <c r="TPU42" s="19"/>
      <c r="TQD42" s="19"/>
      <c r="TQE42" s="19"/>
      <c r="TQF42" s="19"/>
      <c r="TQG42" s="19"/>
      <c r="TQH42" s="21"/>
      <c r="TQI42" s="19"/>
      <c r="TQR42" s="19"/>
      <c r="TQS42" s="19"/>
      <c r="TQT42" s="19"/>
      <c r="TQU42" s="19"/>
      <c r="TQV42" s="21"/>
      <c r="TQW42" s="19"/>
      <c r="TRF42" s="19"/>
      <c r="TRG42" s="19"/>
      <c r="TRH42" s="19"/>
      <c r="TRI42" s="19"/>
      <c r="TRJ42" s="21"/>
      <c r="TRK42" s="19"/>
      <c r="TRT42" s="19"/>
      <c r="TRU42" s="19"/>
      <c r="TRV42" s="19"/>
      <c r="TRW42" s="19"/>
      <c r="TRX42" s="21"/>
      <c r="TRY42" s="19"/>
      <c r="TSH42" s="19"/>
      <c r="TSI42" s="19"/>
      <c r="TSJ42" s="19"/>
      <c r="TSK42" s="19"/>
      <c r="TSL42" s="21"/>
      <c r="TSM42" s="19"/>
      <c r="TSV42" s="19"/>
      <c r="TSW42" s="19"/>
      <c r="TSX42" s="19"/>
      <c r="TSY42" s="19"/>
      <c r="TSZ42" s="21"/>
      <c r="TTA42" s="19"/>
      <c r="TTJ42" s="19"/>
      <c r="TTK42" s="19"/>
      <c r="TTL42" s="19"/>
      <c r="TTM42" s="19"/>
      <c r="TTN42" s="21"/>
      <c r="TTO42" s="19"/>
      <c r="TTX42" s="19"/>
      <c r="TTY42" s="19"/>
      <c r="TTZ42" s="19"/>
      <c r="TUA42" s="19"/>
      <c r="TUB42" s="21"/>
      <c r="TUC42" s="19"/>
      <c r="TUL42" s="19"/>
      <c r="TUM42" s="19"/>
      <c r="TUN42" s="19"/>
      <c r="TUO42" s="19"/>
      <c r="TUP42" s="21"/>
      <c r="TUQ42" s="19"/>
      <c r="TUZ42" s="19"/>
      <c r="TVA42" s="19"/>
      <c r="TVB42" s="19"/>
      <c r="TVC42" s="19"/>
      <c r="TVD42" s="21"/>
      <c r="TVE42" s="19"/>
      <c r="TVN42" s="19"/>
      <c r="TVO42" s="19"/>
      <c r="TVP42" s="19"/>
      <c r="TVQ42" s="19"/>
      <c r="TVR42" s="21"/>
      <c r="TVS42" s="19"/>
      <c r="TWB42" s="19"/>
      <c r="TWC42" s="19"/>
      <c r="TWD42" s="19"/>
      <c r="TWE42" s="19"/>
      <c r="TWF42" s="21"/>
      <c r="TWG42" s="19"/>
      <c r="TWP42" s="19"/>
      <c r="TWQ42" s="19"/>
      <c r="TWR42" s="19"/>
      <c r="TWS42" s="19"/>
      <c r="TWT42" s="21"/>
      <c r="TWU42" s="19"/>
      <c r="TXD42" s="19"/>
      <c r="TXE42" s="19"/>
      <c r="TXF42" s="19"/>
      <c r="TXG42" s="19"/>
      <c r="TXH42" s="21"/>
      <c r="TXI42" s="19"/>
      <c r="TXR42" s="19"/>
      <c r="TXS42" s="19"/>
      <c r="TXT42" s="19"/>
      <c r="TXU42" s="19"/>
      <c r="TXV42" s="21"/>
      <c r="TXW42" s="19"/>
      <c r="TYF42" s="19"/>
      <c r="TYG42" s="19"/>
      <c r="TYH42" s="19"/>
      <c r="TYI42" s="19"/>
      <c r="TYJ42" s="21"/>
      <c r="TYK42" s="19"/>
      <c r="TYT42" s="19"/>
      <c r="TYU42" s="19"/>
      <c r="TYV42" s="19"/>
      <c r="TYW42" s="19"/>
      <c r="TYX42" s="21"/>
      <c r="TYY42" s="19"/>
      <c r="TZH42" s="19"/>
      <c r="TZI42" s="19"/>
      <c r="TZJ42" s="19"/>
      <c r="TZK42" s="19"/>
      <c r="TZL42" s="21"/>
      <c r="TZM42" s="19"/>
      <c r="TZV42" s="19"/>
      <c r="TZW42" s="19"/>
      <c r="TZX42" s="19"/>
      <c r="TZY42" s="19"/>
      <c r="TZZ42" s="21"/>
      <c r="UAA42" s="19"/>
      <c r="UAJ42" s="19"/>
      <c r="UAK42" s="19"/>
      <c r="UAL42" s="19"/>
      <c r="UAM42" s="19"/>
      <c r="UAN42" s="21"/>
      <c r="UAO42" s="19"/>
      <c r="UAX42" s="19"/>
      <c r="UAY42" s="19"/>
      <c r="UAZ42" s="19"/>
      <c r="UBA42" s="19"/>
      <c r="UBB42" s="21"/>
      <c r="UBC42" s="19"/>
      <c r="UBL42" s="19"/>
      <c r="UBM42" s="19"/>
      <c r="UBN42" s="19"/>
      <c r="UBO42" s="19"/>
      <c r="UBP42" s="21"/>
      <c r="UBQ42" s="19"/>
      <c r="UBZ42" s="19"/>
      <c r="UCA42" s="19"/>
      <c r="UCB42" s="19"/>
      <c r="UCC42" s="19"/>
      <c r="UCD42" s="21"/>
      <c r="UCE42" s="19"/>
      <c r="UCN42" s="19"/>
      <c r="UCO42" s="19"/>
      <c r="UCP42" s="19"/>
      <c r="UCQ42" s="19"/>
      <c r="UCR42" s="21"/>
      <c r="UCS42" s="19"/>
      <c r="UDB42" s="19"/>
      <c r="UDC42" s="19"/>
      <c r="UDD42" s="19"/>
      <c r="UDE42" s="19"/>
      <c r="UDF42" s="21"/>
      <c r="UDG42" s="19"/>
      <c r="UDP42" s="19"/>
      <c r="UDQ42" s="19"/>
      <c r="UDR42" s="19"/>
      <c r="UDS42" s="19"/>
      <c r="UDT42" s="21"/>
      <c r="UDU42" s="19"/>
      <c r="UED42" s="19"/>
      <c r="UEE42" s="19"/>
      <c r="UEF42" s="19"/>
      <c r="UEG42" s="19"/>
      <c r="UEH42" s="21"/>
      <c r="UEI42" s="19"/>
      <c r="UER42" s="19"/>
      <c r="UES42" s="19"/>
      <c r="UET42" s="19"/>
      <c r="UEU42" s="19"/>
      <c r="UEV42" s="21"/>
      <c r="UEW42" s="19"/>
      <c r="UFF42" s="19"/>
      <c r="UFG42" s="19"/>
      <c r="UFH42" s="19"/>
      <c r="UFI42" s="19"/>
      <c r="UFJ42" s="21"/>
      <c r="UFK42" s="19"/>
      <c r="UFT42" s="19"/>
      <c r="UFU42" s="19"/>
      <c r="UFV42" s="19"/>
      <c r="UFW42" s="19"/>
      <c r="UFX42" s="21"/>
      <c r="UFY42" s="19"/>
      <c r="UGH42" s="19"/>
      <c r="UGI42" s="19"/>
      <c r="UGJ42" s="19"/>
      <c r="UGK42" s="19"/>
      <c r="UGL42" s="21"/>
      <c r="UGM42" s="19"/>
      <c r="UGV42" s="19"/>
      <c r="UGW42" s="19"/>
      <c r="UGX42" s="19"/>
      <c r="UGY42" s="19"/>
      <c r="UGZ42" s="21"/>
      <c r="UHA42" s="19"/>
      <c r="UHJ42" s="19"/>
      <c r="UHK42" s="19"/>
      <c r="UHL42" s="19"/>
      <c r="UHM42" s="19"/>
      <c r="UHN42" s="21"/>
      <c r="UHO42" s="19"/>
      <c r="UHX42" s="19"/>
      <c r="UHY42" s="19"/>
      <c r="UHZ42" s="19"/>
      <c r="UIA42" s="19"/>
      <c r="UIB42" s="21"/>
      <c r="UIC42" s="19"/>
      <c r="UIL42" s="19"/>
      <c r="UIM42" s="19"/>
      <c r="UIN42" s="19"/>
      <c r="UIO42" s="19"/>
      <c r="UIP42" s="21"/>
      <c r="UIQ42" s="19"/>
      <c r="UIZ42" s="19"/>
      <c r="UJA42" s="19"/>
      <c r="UJB42" s="19"/>
      <c r="UJC42" s="19"/>
      <c r="UJD42" s="21"/>
      <c r="UJE42" s="19"/>
      <c r="UJN42" s="19"/>
      <c r="UJO42" s="19"/>
      <c r="UJP42" s="19"/>
      <c r="UJQ42" s="19"/>
      <c r="UJR42" s="21"/>
      <c r="UJS42" s="19"/>
      <c r="UKB42" s="19"/>
      <c r="UKC42" s="19"/>
      <c r="UKD42" s="19"/>
      <c r="UKE42" s="19"/>
      <c r="UKF42" s="21"/>
      <c r="UKG42" s="19"/>
      <c r="UKP42" s="19"/>
      <c r="UKQ42" s="19"/>
      <c r="UKR42" s="19"/>
      <c r="UKS42" s="19"/>
      <c r="UKT42" s="21"/>
      <c r="UKU42" s="19"/>
      <c r="ULD42" s="19"/>
      <c r="ULE42" s="19"/>
      <c r="ULF42" s="19"/>
      <c r="ULG42" s="19"/>
      <c r="ULH42" s="21"/>
      <c r="ULI42" s="19"/>
      <c r="ULR42" s="19"/>
      <c r="ULS42" s="19"/>
      <c r="ULT42" s="19"/>
      <c r="ULU42" s="19"/>
      <c r="ULV42" s="21"/>
      <c r="ULW42" s="19"/>
      <c r="UMF42" s="19"/>
      <c r="UMG42" s="19"/>
      <c r="UMH42" s="19"/>
      <c r="UMI42" s="19"/>
      <c r="UMJ42" s="21"/>
      <c r="UMK42" s="19"/>
      <c r="UMT42" s="19"/>
      <c r="UMU42" s="19"/>
      <c r="UMV42" s="19"/>
      <c r="UMW42" s="19"/>
      <c r="UMX42" s="21"/>
      <c r="UMY42" s="19"/>
      <c r="UNH42" s="19"/>
      <c r="UNI42" s="19"/>
      <c r="UNJ42" s="19"/>
      <c r="UNK42" s="19"/>
      <c r="UNL42" s="21"/>
      <c r="UNM42" s="19"/>
      <c r="UNV42" s="19"/>
      <c r="UNW42" s="19"/>
      <c r="UNX42" s="19"/>
      <c r="UNY42" s="19"/>
      <c r="UNZ42" s="21"/>
      <c r="UOA42" s="19"/>
      <c r="UOJ42" s="19"/>
      <c r="UOK42" s="19"/>
      <c r="UOL42" s="19"/>
      <c r="UOM42" s="19"/>
      <c r="UON42" s="21"/>
      <c r="UOO42" s="19"/>
      <c r="UOX42" s="19"/>
      <c r="UOY42" s="19"/>
      <c r="UOZ42" s="19"/>
      <c r="UPA42" s="19"/>
      <c r="UPB42" s="21"/>
      <c r="UPC42" s="19"/>
      <c r="UPL42" s="19"/>
      <c r="UPM42" s="19"/>
      <c r="UPN42" s="19"/>
      <c r="UPO42" s="19"/>
      <c r="UPP42" s="21"/>
      <c r="UPQ42" s="19"/>
      <c r="UPZ42" s="19"/>
      <c r="UQA42" s="19"/>
      <c r="UQB42" s="19"/>
      <c r="UQC42" s="19"/>
      <c r="UQD42" s="21"/>
      <c r="UQE42" s="19"/>
      <c r="UQN42" s="19"/>
      <c r="UQO42" s="19"/>
      <c r="UQP42" s="19"/>
      <c r="UQQ42" s="19"/>
      <c r="UQR42" s="21"/>
      <c r="UQS42" s="19"/>
      <c r="URB42" s="19"/>
      <c r="URC42" s="19"/>
      <c r="URD42" s="19"/>
      <c r="URE42" s="19"/>
      <c r="URF42" s="21"/>
      <c r="URG42" s="19"/>
      <c r="URP42" s="19"/>
      <c r="URQ42" s="19"/>
      <c r="URR42" s="19"/>
      <c r="URS42" s="19"/>
      <c r="URT42" s="21"/>
      <c r="URU42" s="19"/>
      <c r="USD42" s="19"/>
      <c r="USE42" s="19"/>
      <c r="USF42" s="19"/>
      <c r="USG42" s="19"/>
      <c r="USH42" s="21"/>
      <c r="USI42" s="19"/>
      <c r="USR42" s="19"/>
      <c r="USS42" s="19"/>
      <c r="UST42" s="19"/>
      <c r="USU42" s="19"/>
      <c r="USV42" s="21"/>
      <c r="USW42" s="19"/>
      <c r="UTF42" s="19"/>
      <c r="UTG42" s="19"/>
      <c r="UTH42" s="19"/>
      <c r="UTI42" s="19"/>
      <c r="UTJ42" s="21"/>
      <c r="UTK42" s="19"/>
      <c r="UTT42" s="19"/>
      <c r="UTU42" s="19"/>
      <c r="UTV42" s="19"/>
      <c r="UTW42" s="19"/>
      <c r="UTX42" s="21"/>
      <c r="UTY42" s="19"/>
      <c r="UUH42" s="19"/>
      <c r="UUI42" s="19"/>
      <c r="UUJ42" s="19"/>
      <c r="UUK42" s="19"/>
      <c r="UUL42" s="21"/>
      <c r="UUM42" s="19"/>
      <c r="UUV42" s="19"/>
      <c r="UUW42" s="19"/>
      <c r="UUX42" s="19"/>
      <c r="UUY42" s="19"/>
      <c r="UUZ42" s="21"/>
      <c r="UVA42" s="19"/>
      <c r="UVJ42" s="19"/>
      <c r="UVK42" s="19"/>
      <c r="UVL42" s="19"/>
      <c r="UVM42" s="19"/>
      <c r="UVN42" s="21"/>
      <c r="UVO42" s="19"/>
      <c r="UVX42" s="19"/>
      <c r="UVY42" s="19"/>
      <c r="UVZ42" s="19"/>
      <c r="UWA42" s="19"/>
      <c r="UWB42" s="21"/>
      <c r="UWC42" s="19"/>
      <c r="UWL42" s="19"/>
      <c r="UWM42" s="19"/>
      <c r="UWN42" s="19"/>
      <c r="UWO42" s="19"/>
      <c r="UWP42" s="21"/>
      <c r="UWQ42" s="19"/>
      <c r="UWZ42" s="19"/>
      <c r="UXA42" s="19"/>
      <c r="UXB42" s="19"/>
      <c r="UXC42" s="19"/>
      <c r="UXD42" s="21"/>
      <c r="UXE42" s="19"/>
      <c r="UXN42" s="19"/>
      <c r="UXO42" s="19"/>
      <c r="UXP42" s="19"/>
      <c r="UXQ42" s="19"/>
      <c r="UXR42" s="21"/>
      <c r="UXS42" s="19"/>
      <c r="UYB42" s="19"/>
      <c r="UYC42" s="19"/>
      <c r="UYD42" s="19"/>
      <c r="UYE42" s="19"/>
      <c r="UYF42" s="21"/>
      <c r="UYG42" s="19"/>
      <c r="UYP42" s="19"/>
      <c r="UYQ42" s="19"/>
      <c r="UYR42" s="19"/>
      <c r="UYS42" s="19"/>
      <c r="UYT42" s="21"/>
      <c r="UYU42" s="19"/>
      <c r="UZD42" s="19"/>
      <c r="UZE42" s="19"/>
      <c r="UZF42" s="19"/>
      <c r="UZG42" s="19"/>
      <c r="UZH42" s="21"/>
      <c r="UZI42" s="19"/>
      <c r="UZR42" s="19"/>
      <c r="UZS42" s="19"/>
      <c r="UZT42" s="19"/>
      <c r="UZU42" s="19"/>
      <c r="UZV42" s="21"/>
      <c r="UZW42" s="19"/>
      <c r="VAF42" s="19"/>
      <c r="VAG42" s="19"/>
      <c r="VAH42" s="19"/>
      <c r="VAI42" s="19"/>
      <c r="VAJ42" s="21"/>
      <c r="VAK42" s="19"/>
      <c r="VAT42" s="19"/>
      <c r="VAU42" s="19"/>
      <c r="VAV42" s="19"/>
      <c r="VAW42" s="19"/>
      <c r="VAX42" s="21"/>
      <c r="VAY42" s="19"/>
      <c r="VBH42" s="19"/>
      <c r="VBI42" s="19"/>
      <c r="VBJ42" s="19"/>
      <c r="VBK42" s="19"/>
      <c r="VBL42" s="21"/>
      <c r="VBM42" s="19"/>
      <c r="VBV42" s="19"/>
      <c r="VBW42" s="19"/>
      <c r="VBX42" s="19"/>
      <c r="VBY42" s="19"/>
      <c r="VBZ42" s="21"/>
      <c r="VCA42" s="19"/>
      <c r="VCJ42" s="19"/>
      <c r="VCK42" s="19"/>
      <c r="VCL42" s="19"/>
      <c r="VCM42" s="19"/>
      <c r="VCN42" s="21"/>
      <c r="VCO42" s="19"/>
      <c r="VCX42" s="19"/>
      <c r="VCY42" s="19"/>
      <c r="VCZ42" s="19"/>
      <c r="VDA42" s="19"/>
      <c r="VDB42" s="21"/>
      <c r="VDC42" s="19"/>
      <c r="VDL42" s="19"/>
      <c r="VDM42" s="19"/>
      <c r="VDN42" s="19"/>
      <c r="VDO42" s="19"/>
      <c r="VDP42" s="21"/>
      <c r="VDQ42" s="19"/>
      <c r="VDZ42" s="19"/>
      <c r="VEA42" s="19"/>
      <c r="VEB42" s="19"/>
      <c r="VEC42" s="19"/>
      <c r="VED42" s="21"/>
      <c r="VEE42" s="19"/>
      <c r="VEN42" s="19"/>
      <c r="VEO42" s="19"/>
      <c r="VEP42" s="19"/>
      <c r="VEQ42" s="19"/>
      <c r="VER42" s="21"/>
      <c r="VES42" s="19"/>
      <c r="VFB42" s="19"/>
      <c r="VFC42" s="19"/>
      <c r="VFD42" s="19"/>
      <c r="VFE42" s="19"/>
      <c r="VFF42" s="21"/>
      <c r="VFG42" s="19"/>
      <c r="VFP42" s="19"/>
      <c r="VFQ42" s="19"/>
      <c r="VFR42" s="19"/>
      <c r="VFS42" s="19"/>
      <c r="VFT42" s="21"/>
      <c r="VFU42" s="19"/>
      <c r="VGD42" s="19"/>
      <c r="VGE42" s="19"/>
      <c r="VGF42" s="19"/>
      <c r="VGG42" s="19"/>
      <c r="VGH42" s="21"/>
      <c r="VGI42" s="19"/>
      <c r="VGR42" s="19"/>
      <c r="VGS42" s="19"/>
      <c r="VGT42" s="19"/>
      <c r="VGU42" s="19"/>
      <c r="VGV42" s="21"/>
      <c r="VGW42" s="19"/>
      <c r="VHF42" s="19"/>
      <c r="VHG42" s="19"/>
      <c r="VHH42" s="19"/>
      <c r="VHI42" s="19"/>
      <c r="VHJ42" s="21"/>
      <c r="VHK42" s="19"/>
      <c r="VHT42" s="19"/>
      <c r="VHU42" s="19"/>
      <c r="VHV42" s="19"/>
      <c r="VHW42" s="19"/>
      <c r="VHX42" s="21"/>
      <c r="VHY42" s="19"/>
      <c r="VIH42" s="19"/>
      <c r="VII42" s="19"/>
      <c r="VIJ42" s="19"/>
      <c r="VIK42" s="19"/>
      <c r="VIL42" s="21"/>
      <c r="VIM42" s="19"/>
      <c r="VIV42" s="19"/>
      <c r="VIW42" s="19"/>
      <c r="VIX42" s="19"/>
      <c r="VIY42" s="19"/>
      <c r="VIZ42" s="21"/>
      <c r="VJA42" s="19"/>
      <c r="VJJ42" s="19"/>
      <c r="VJK42" s="19"/>
      <c r="VJL42" s="19"/>
      <c r="VJM42" s="19"/>
      <c r="VJN42" s="21"/>
      <c r="VJO42" s="19"/>
      <c r="VJX42" s="19"/>
      <c r="VJY42" s="19"/>
      <c r="VJZ42" s="19"/>
      <c r="VKA42" s="19"/>
      <c r="VKB42" s="21"/>
      <c r="VKC42" s="19"/>
      <c r="VKL42" s="19"/>
      <c r="VKM42" s="19"/>
      <c r="VKN42" s="19"/>
      <c r="VKO42" s="19"/>
      <c r="VKP42" s="21"/>
      <c r="VKQ42" s="19"/>
      <c r="VKZ42" s="19"/>
      <c r="VLA42" s="19"/>
      <c r="VLB42" s="19"/>
      <c r="VLC42" s="19"/>
      <c r="VLD42" s="21"/>
      <c r="VLE42" s="19"/>
      <c r="VLN42" s="19"/>
      <c r="VLO42" s="19"/>
      <c r="VLP42" s="19"/>
      <c r="VLQ42" s="19"/>
      <c r="VLR42" s="21"/>
      <c r="VLS42" s="19"/>
      <c r="VMB42" s="19"/>
      <c r="VMC42" s="19"/>
      <c r="VMD42" s="19"/>
      <c r="VME42" s="19"/>
      <c r="VMF42" s="21"/>
      <c r="VMG42" s="19"/>
      <c r="VMP42" s="19"/>
      <c r="VMQ42" s="19"/>
      <c r="VMR42" s="19"/>
      <c r="VMS42" s="19"/>
      <c r="VMT42" s="21"/>
      <c r="VMU42" s="19"/>
      <c r="VND42" s="19"/>
      <c r="VNE42" s="19"/>
      <c r="VNF42" s="19"/>
      <c r="VNG42" s="19"/>
      <c r="VNH42" s="21"/>
      <c r="VNI42" s="19"/>
      <c r="VNR42" s="19"/>
      <c r="VNS42" s="19"/>
      <c r="VNT42" s="19"/>
      <c r="VNU42" s="19"/>
      <c r="VNV42" s="21"/>
      <c r="VNW42" s="19"/>
      <c r="VOF42" s="19"/>
      <c r="VOG42" s="19"/>
      <c r="VOH42" s="19"/>
      <c r="VOI42" s="19"/>
      <c r="VOJ42" s="21"/>
      <c r="VOK42" s="19"/>
      <c r="VOT42" s="19"/>
      <c r="VOU42" s="19"/>
      <c r="VOV42" s="19"/>
      <c r="VOW42" s="19"/>
      <c r="VOX42" s="21"/>
      <c r="VOY42" s="19"/>
      <c r="VPH42" s="19"/>
      <c r="VPI42" s="19"/>
      <c r="VPJ42" s="19"/>
      <c r="VPK42" s="19"/>
      <c r="VPL42" s="21"/>
      <c r="VPM42" s="19"/>
      <c r="VPV42" s="19"/>
      <c r="VPW42" s="19"/>
      <c r="VPX42" s="19"/>
      <c r="VPY42" s="19"/>
      <c r="VPZ42" s="21"/>
      <c r="VQA42" s="19"/>
      <c r="VQJ42" s="19"/>
      <c r="VQK42" s="19"/>
      <c r="VQL42" s="19"/>
      <c r="VQM42" s="19"/>
      <c r="VQN42" s="21"/>
      <c r="VQO42" s="19"/>
      <c r="VQX42" s="19"/>
      <c r="VQY42" s="19"/>
      <c r="VQZ42" s="19"/>
      <c r="VRA42" s="19"/>
      <c r="VRB42" s="21"/>
      <c r="VRC42" s="19"/>
      <c r="VRL42" s="19"/>
      <c r="VRM42" s="19"/>
      <c r="VRN42" s="19"/>
      <c r="VRO42" s="19"/>
      <c r="VRP42" s="21"/>
      <c r="VRQ42" s="19"/>
      <c r="VRZ42" s="19"/>
      <c r="VSA42" s="19"/>
      <c r="VSB42" s="19"/>
      <c r="VSC42" s="19"/>
      <c r="VSD42" s="21"/>
      <c r="VSE42" s="19"/>
      <c r="VSN42" s="19"/>
      <c r="VSO42" s="19"/>
      <c r="VSP42" s="19"/>
      <c r="VSQ42" s="19"/>
      <c r="VSR42" s="21"/>
      <c r="VSS42" s="19"/>
      <c r="VTB42" s="19"/>
      <c r="VTC42" s="19"/>
      <c r="VTD42" s="19"/>
      <c r="VTE42" s="19"/>
      <c r="VTF42" s="21"/>
      <c r="VTG42" s="19"/>
      <c r="VTP42" s="19"/>
      <c r="VTQ42" s="19"/>
      <c r="VTR42" s="19"/>
      <c r="VTS42" s="19"/>
      <c r="VTT42" s="21"/>
      <c r="VTU42" s="19"/>
      <c r="VUD42" s="19"/>
      <c r="VUE42" s="19"/>
      <c r="VUF42" s="19"/>
      <c r="VUG42" s="19"/>
      <c r="VUH42" s="21"/>
      <c r="VUI42" s="19"/>
      <c r="VUR42" s="19"/>
      <c r="VUS42" s="19"/>
      <c r="VUT42" s="19"/>
      <c r="VUU42" s="19"/>
      <c r="VUV42" s="21"/>
      <c r="VUW42" s="19"/>
      <c r="VVF42" s="19"/>
      <c r="VVG42" s="19"/>
      <c r="VVH42" s="19"/>
      <c r="VVI42" s="19"/>
      <c r="VVJ42" s="21"/>
      <c r="VVK42" s="19"/>
      <c r="VVT42" s="19"/>
      <c r="VVU42" s="19"/>
      <c r="VVV42" s="19"/>
      <c r="VVW42" s="19"/>
      <c r="VVX42" s="21"/>
      <c r="VVY42" s="19"/>
      <c r="VWH42" s="19"/>
      <c r="VWI42" s="19"/>
      <c r="VWJ42" s="19"/>
      <c r="VWK42" s="19"/>
      <c r="VWL42" s="21"/>
      <c r="VWM42" s="19"/>
      <c r="VWV42" s="19"/>
      <c r="VWW42" s="19"/>
      <c r="VWX42" s="19"/>
      <c r="VWY42" s="19"/>
      <c r="VWZ42" s="21"/>
      <c r="VXA42" s="19"/>
      <c r="VXJ42" s="19"/>
      <c r="VXK42" s="19"/>
      <c r="VXL42" s="19"/>
      <c r="VXM42" s="19"/>
      <c r="VXN42" s="21"/>
      <c r="VXO42" s="19"/>
      <c r="VXX42" s="19"/>
      <c r="VXY42" s="19"/>
      <c r="VXZ42" s="19"/>
      <c r="VYA42" s="19"/>
      <c r="VYB42" s="21"/>
      <c r="VYC42" s="19"/>
      <c r="VYL42" s="19"/>
      <c r="VYM42" s="19"/>
      <c r="VYN42" s="19"/>
      <c r="VYO42" s="19"/>
      <c r="VYP42" s="21"/>
      <c r="VYQ42" s="19"/>
      <c r="VYZ42" s="19"/>
      <c r="VZA42" s="19"/>
      <c r="VZB42" s="19"/>
      <c r="VZC42" s="19"/>
      <c r="VZD42" s="21"/>
      <c r="VZE42" s="19"/>
      <c r="VZN42" s="19"/>
      <c r="VZO42" s="19"/>
      <c r="VZP42" s="19"/>
      <c r="VZQ42" s="19"/>
      <c r="VZR42" s="21"/>
      <c r="VZS42" s="19"/>
      <c r="WAB42" s="19"/>
      <c r="WAC42" s="19"/>
      <c r="WAD42" s="19"/>
      <c r="WAE42" s="19"/>
      <c r="WAF42" s="21"/>
      <c r="WAG42" s="19"/>
      <c r="WAP42" s="19"/>
      <c r="WAQ42" s="19"/>
      <c r="WAR42" s="19"/>
      <c r="WAS42" s="19"/>
      <c r="WAT42" s="21"/>
      <c r="WAU42" s="19"/>
      <c r="WBD42" s="19"/>
      <c r="WBE42" s="19"/>
      <c r="WBF42" s="19"/>
      <c r="WBG42" s="19"/>
      <c r="WBH42" s="21"/>
      <c r="WBI42" s="19"/>
      <c r="WBR42" s="19"/>
      <c r="WBS42" s="19"/>
      <c r="WBT42" s="19"/>
      <c r="WBU42" s="19"/>
      <c r="WBV42" s="21"/>
      <c r="WBW42" s="19"/>
      <c r="WCF42" s="19"/>
      <c r="WCG42" s="19"/>
      <c r="WCH42" s="19"/>
      <c r="WCI42" s="19"/>
      <c r="WCJ42" s="21"/>
      <c r="WCK42" s="19"/>
      <c r="WCT42" s="19"/>
      <c r="WCU42" s="19"/>
      <c r="WCV42" s="19"/>
      <c r="WCW42" s="19"/>
      <c r="WCX42" s="21"/>
      <c r="WCY42" s="19"/>
      <c r="WDH42" s="19"/>
      <c r="WDI42" s="19"/>
      <c r="WDJ42" s="19"/>
      <c r="WDK42" s="19"/>
      <c r="WDL42" s="21"/>
      <c r="WDM42" s="19"/>
      <c r="WDV42" s="19"/>
      <c r="WDW42" s="19"/>
      <c r="WDX42" s="19"/>
      <c r="WDY42" s="19"/>
      <c r="WDZ42" s="21"/>
      <c r="WEA42" s="19"/>
      <c r="WEJ42" s="19"/>
      <c r="WEK42" s="19"/>
      <c r="WEL42" s="19"/>
      <c r="WEM42" s="19"/>
      <c r="WEN42" s="21"/>
      <c r="WEO42" s="19"/>
      <c r="WEX42" s="19"/>
      <c r="WEY42" s="19"/>
      <c r="WEZ42" s="19"/>
      <c r="WFA42" s="19"/>
      <c r="WFB42" s="21"/>
      <c r="WFC42" s="19"/>
      <c r="WFL42" s="19"/>
      <c r="WFM42" s="19"/>
      <c r="WFN42" s="19"/>
      <c r="WFO42" s="19"/>
      <c r="WFP42" s="21"/>
      <c r="WFQ42" s="19"/>
      <c r="WFZ42" s="19"/>
      <c r="WGA42" s="19"/>
      <c r="WGB42" s="19"/>
      <c r="WGC42" s="19"/>
      <c r="WGD42" s="21"/>
      <c r="WGE42" s="19"/>
      <c r="WGN42" s="19"/>
      <c r="WGO42" s="19"/>
      <c r="WGP42" s="19"/>
      <c r="WGQ42" s="19"/>
      <c r="WGR42" s="21"/>
      <c r="WGS42" s="19"/>
      <c r="WHB42" s="19"/>
      <c r="WHC42" s="19"/>
      <c r="WHD42" s="19"/>
      <c r="WHE42" s="19"/>
      <c r="WHF42" s="21"/>
      <c r="WHG42" s="19"/>
      <c r="WHP42" s="19"/>
      <c r="WHQ42" s="19"/>
      <c r="WHR42" s="19"/>
      <c r="WHS42" s="19"/>
      <c r="WHT42" s="21"/>
      <c r="WHU42" s="19"/>
      <c r="WID42" s="19"/>
      <c r="WIE42" s="19"/>
      <c r="WIF42" s="19"/>
      <c r="WIG42" s="19"/>
      <c r="WIH42" s="21"/>
      <c r="WII42" s="19"/>
      <c r="WIR42" s="19"/>
      <c r="WIS42" s="19"/>
      <c r="WIT42" s="19"/>
      <c r="WIU42" s="19"/>
      <c r="WIV42" s="21"/>
      <c r="WIW42" s="19"/>
      <c r="WJF42" s="19"/>
      <c r="WJG42" s="19"/>
      <c r="WJH42" s="19"/>
      <c r="WJI42" s="19"/>
      <c r="WJJ42" s="21"/>
      <c r="WJK42" s="19"/>
      <c r="WJT42" s="19"/>
      <c r="WJU42" s="19"/>
      <c r="WJV42" s="19"/>
      <c r="WJW42" s="19"/>
      <c r="WJX42" s="21"/>
      <c r="WJY42" s="19"/>
      <c r="WKH42" s="19"/>
      <c r="WKI42" s="19"/>
      <c r="WKJ42" s="19"/>
      <c r="WKK42" s="19"/>
      <c r="WKL42" s="21"/>
      <c r="WKM42" s="19"/>
      <c r="WKV42" s="19"/>
      <c r="WKW42" s="19"/>
      <c r="WKX42" s="19"/>
      <c r="WKY42" s="19"/>
      <c r="WKZ42" s="21"/>
      <c r="WLA42" s="19"/>
      <c r="WLJ42" s="19"/>
      <c r="WLK42" s="19"/>
      <c r="WLL42" s="19"/>
      <c r="WLM42" s="19"/>
      <c r="WLN42" s="21"/>
      <c r="WLO42" s="19"/>
      <c r="WLX42" s="19"/>
      <c r="WLY42" s="19"/>
      <c r="WLZ42" s="19"/>
      <c r="WMA42" s="19"/>
      <c r="WMB42" s="21"/>
      <c r="WMC42" s="19"/>
      <c r="WML42" s="19"/>
      <c r="WMM42" s="19"/>
      <c r="WMN42" s="19"/>
      <c r="WMO42" s="19"/>
      <c r="WMP42" s="21"/>
      <c r="WMQ42" s="19"/>
      <c r="WMZ42" s="19"/>
      <c r="WNA42" s="19"/>
      <c r="WNB42" s="19"/>
      <c r="WNC42" s="19"/>
      <c r="WND42" s="21"/>
      <c r="WNE42" s="19"/>
      <c r="WNN42" s="19"/>
      <c r="WNO42" s="19"/>
      <c r="WNP42" s="19"/>
      <c r="WNQ42" s="19"/>
      <c r="WNR42" s="21"/>
      <c r="WNS42" s="19"/>
      <c r="WOB42" s="19"/>
      <c r="WOC42" s="19"/>
      <c r="WOD42" s="19"/>
      <c r="WOE42" s="19"/>
      <c r="WOF42" s="21"/>
      <c r="WOG42" s="19"/>
      <c r="WOP42" s="19"/>
      <c r="WOQ42" s="19"/>
      <c r="WOR42" s="19"/>
      <c r="WOS42" s="19"/>
      <c r="WOT42" s="21"/>
      <c r="WOU42" s="19"/>
      <c r="WPD42" s="19"/>
      <c r="WPE42" s="19"/>
      <c r="WPF42" s="19"/>
      <c r="WPG42" s="19"/>
      <c r="WPH42" s="21"/>
      <c r="WPI42" s="19"/>
      <c r="WPR42" s="19"/>
      <c r="WPS42" s="19"/>
      <c r="WPT42" s="19"/>
      <c r="WPU42" s="19"/>
      <c r="WPV42" s="21"/>
      <c r="WPW42" s="19"/>
      <c r="WQF42" s="19"/>
      <c r="WQG42" s="19"/>
      <c r="WQH42" s="19"/>
      <c r="WQI42" s="19"/>
      <c r="WQJ42" s="21"/>
      <c r="WQK42" s="19"/>
      <c r="WQT42" s="19"/>
      <c r="WQU42" s="19"/>
      <c r="WQV42" s="19"/>
      <c r="WQW42" s="19"/>
      <c r="WQX42" s="21"/>
      <c r="WQY42" s="19"/>
      <c r="WRH42" s="19"/>
      <c r="WRI42" s="19"/>
      <c r="WRJ42" s="19"/>
      <c r="WRK42" s="19"/>
      <c r="WRL42" s="21"/>
      <c r="WRM42" s="19"/>
      <c r="WRV42" s="19"/>
      <c r="WRW42" s="19"/>
      <c r="WRX42" s="19"/>
      <c r="WRY42" s="19"/>
      <c r="WRZ42" s="21"/>
      <c r="WSA42" s="19"/>
      <c r="WSJ42" s="19"/>
      <c r="WSK42" s="19"/>
      <c r="WSL42" s="19"/>
      <c r="WSM42" s="19"/>
      <c r="WSN42" s="21"/>
      <c r="WSO42" s="19"/>
      <c r="WSX42" s="19"/>
      <c r="WSY42" s="19"/>
      <c r="WSZ42" s="19"/>
      <c r="WTA42" s="19"/>
      <c r="WTB42" s="21"/>
      <c r="WTC42" s="19"/>
      <c r="WTL42" s="19"/>
      <c r="WTM42" s="19"/>
      <c r="WTN42" s="19"/>
      <c r="WTO42" s="19"/>
      <c r="WTP42" s="21"/>
      <c r="WTQ42" s="19"/>
      <c r="WTZ42" s="19"/>
      <c r="WUA42" s="19"/>
      <c r="WUB42" s="19"/>
      <c r="WUC42" s="19"/>
      <c r="WUD42" s="21"/>
      <c r="WUE42" s="19"/>
      <c r="WUN42" s="19"/>
      <c r="WUO42" s="19"/>
      <c r="WUP42" s="19"/>
      <c r="WUQ42" s="19"/>
      <c r="WUR42" s="21"/>
      <c r="WUS42" s="19"/>
      <c r="WVB42" s="19"/>
      <c r="WVC42" s="19"/>
      <c r="WVD42" s="19"/>
      <c r="WVE42" s="19"/>
      <c r="WVF42" s="21"/>
      <c r="WVG42" s="19"/>
      <c r="WVP42" s="19"/>
      <c r="WVQ42" s="19"/>
      <c r="WVR42" s="19"/>
      <c r="WVS42" s="19"/>
      <c r="WVT42" s="21"/>
      <c r="WVU42" s="19"/>
      <c r="WWD42" s="19"/>
      <c r="WWE42" s="19"/>
      <c r="WWF42" s="19"/>
      <c r="WWG42" s="19"/>
      <c r="WWH42" s="21"/>
      <c r="WWI42" s="19"/>
      <c r="WWR42" s="19"/>
      <c r="WWS42" s="19"/>
      <c r="WWT42" s="19"/>
      <c r="WWU42" s="19"/>
      <c r="WWV42" s="21"/>
      <c r="WWW42" s="19"/>
      <c r="WXF42" s="19"/>
      <c r="WXG42" s="19"/>
      <c r="WXH42" s="19"/>
      <c r="WXI42" s="19"/>
      <c r="WXJ42" s="21"/>
      <c r="WXK42" s="19"/>
      <c r="WXT42" s="19"/>
      <c r="WXU42" s="19"/>
      <c r="WXV42" s="19"/>
      <c r="WXW42" s="19"/>
      <c r="WXX42" s="21"/>
      <c r="WXY42" s="19"/>
      <c r="WYH42" s="19"/>
      <c r="WYI42" s="19"/>
      <c r="WYJ42" s="19"/>
      <c r="WYK42" s="19"/>
      <c r="WYL42" s="21"/>
      <c r="WYM42" s="19"/>
      <c r="WYV42" s="19"/>
      <c r="WYW42" s="19"/>
      <c r="WYX42" s="19"/>
      <c r="WYY42" s="19"/>
      <c r="WYZ42" s="21"/>
      <c r="WZA42" s="19"/>
      <c r="WZJ42" s="19"/>
      <c r="WZK42" s="19"/>
      <c r="WZL42" s="19"/>
      <c r="WZM42" s="19"/>
      <c r="WZN42" s="21"/>
      <c r="WZO42" s="19"/>
      <c r="WZX42" s="19"/>
      <c r="WZY42" s="19"/>
      <c r="WZZ42" s="19"/>
      <c r="XAA42" s="19"/>
      <c r="XAB42" s="21"/>
      <c r="XAC42" s="19"/>
      <c r="XAL42" s="19"/>
      <c r="XAM42" s="19"/>
      <c r="XAN42" s="19"/>
      <c r="XAO42" s="19"/>
      <c r="XAP42" s="21"/>
      <c r="XAQ42" s="19"/>
      <c r="XAZ42" s="19"/>
      <c r="XBA42" s="19"/>
      <c r="XBB42" s="19"/>
      <c r="XBC42" s="19"/>
      <c r="XBD42" s="21"/>
      <c r="XBE42" s="19"/>
      <c r="XBN42" s="19"/>
      <c r="XBO42" s="19"/>
      <c r="XBP42" s="19"/>
      <c r="XBQ42" s="19"/>
      <c r="XBR42" s="21"/>
      <c r="XBS42" s="19"/>
      <c r="XCB42" s="19"/>
      <c r="XCC42" s="19"/>
      <c r="XCD42" s="19"/>
      <c r="XCE42" s="19"/>
      <c r="XCF42" s="21"/>
      <c r="XCG42" s="19"/>
      <c r="XCP42" s="19"/>
      <c r="XCQ42" s="19"/>
      <c r="XCR42" s="19"/>
      <c r="XCS42" s="19"/>
      <c r="XCT42" s="21"/>
      <c r="XCU42" s="19"/>
      <c r="XDD42" s="19"/>
      <c r="XDE42" s="19"/>
      <c r="XDF42" s="19"/>
      <c r="XDG42" s="19"/>
      <c r="XDH42" s="21"/>
      <c r="XDI42" s="19"/>
      <c r="XDR42" s="19"/>
      <c r="XDS42" s="19"/>
      <c r="XDT42" s="19"/>
      <c r="XDU42" s="19"/>
      <c r="XDV42" s="21"/>
      <c r="XDW42" s="19"/>
      <c r="XEF42" s="19"/>
      <c r="XEG42" s="19"/>
      <c r="XEH42" s="19"/>
      <c r="XEI42" s="19"/>
      <c r="XEJ42" s="21"/>
      <c r="XEK42" s="19"/>
    </row>
    <row r="43" spans="1:1021 1030:2043 2052:3065 3074:7167 7176:8189 8198:9211 9220:10233 10242:14335 14344:15357 15366:16365" s="20" customFormat="1">
      <c r="A43" s="19">
        <v>3</v>
      </c>
      <c r="B43" s="21">
        <v>10</v>
      </c>
      <c r="C43" s="19" t="s">
        <v>132</v>
      </c>
      <c r="D43" s="20">
        <v>4</v>
      </c>
      <c r="E43" s="20">
        <v>3</v>
      </c>
      <c r="F43" s="20">
        <v>1</v>
      </c>
      <c r="G43" s="20">
        <v>1</v>
      </c>
      <c r="H43" s="20">
        <v>1</v>
      </c>
      <c r="I43" s="20">
        <v>10</v>
      </c>
      <c r="J43" s="20">
        <v>12</v>
      </c>
      <c r="K43" s="20">
        <v>-2</v>
      </c>
      <c r="L43" s="27"/>
      <c r="M43" s="19"/>
      <c r="V43" s="19"/>
      <c r="W43" s="19"/>
      <c r="X43" s="19"/>
      <c r="Y43" s="19"/>
      <c r="Z43" s="21"/>
      <c r="AA43" s="19"/>
      <c r="AJ43" s="19"/>
      <c r="AK43" s="19"/>
      <c r="AL43" s="19"/>
      <c r="AM43" s="19"/>
      <c r="AN43" s="21"/>
      <c r="AO43" s="19"/>
      <c r="AX43" s="19"/>
      <c r="AY43" s="19"/>
      <c r="AZ43" s="19"/>
      <c r="BA43" s="19"/>
      <c r="BB43" s="21"/>
      <c r="BC43" s="19"/>
      <c r="BL43" s="19"/>
      <c r="BM43" s="19"/>
      <c r="BN43" s="19"/>
      <c r="BO43" s="19"/>
      <c r="BP43" s="21"/>
      <c r="BQ43" s="19"/>
      <c r="BZ43" s="19"/>
      <c r="CA43" s="19"/>
      <c r="CB43" s="19"/>
      <c r="CC43" s="19"/>
      <c r="CD43" s="21"/>
      <c r="CE43" s="19"/>
      <c r="CN43" s="19"/>
      <c r="CO43" s="19"/>
      <c r="CP43" s="19"/>
      <c r="CQ43" s="19"/>
      <c r="CR43" s="21"/>
      <c r="CS43" s="19"/>
      <c r="DB43" s="19"/>
      <c r="DC43" s="19"/>
      <c r="DD43" s="19"/>
      <c r="DE43" s="19"/>
      <c r="DF43" s="21"/>
      <c r="DG43" s="19"/>
      <c r="DP43" s="19"/>
      <c r="DQ43" s="19"/>
      <c r="DR43" s="19"/>
      <c r="DS43" s="19"/>
      <c r="DT43" s="21"/>
      <c r="DU43" s="19"/>
      <c r="ED43" s="19"/>
      <c r="EE43" s="19"/>
      <c r="EF43" s="19"/>
      <c r="EG43" s="19"/>
      <c r="EH43" s="21"/>
      <c r="EI43" s="19"/>
      <c r="ER43" s="19"/>
      <c r="ES43" s="19"/>
      <c r="ET43" s="19"/>
      <c r="EU43" s="19"/>
      <c r="EV43" s="21"/>
      <c r="EW43" s="19"/>
      <c r="FF43" s="19"/>
      <c r="FG43" s="19"/>
      <c r="FH43" s="19"/>
      <c r="FI43" s="19"/>
      <c r="FJ43" s="21"/>
      <c r="FK43" s="19"/>
      <c r="FT43" s="19"/>
      <c r="FU43" s="19"/>
      <c r="FV43" s="19"/>
      <c r="FW43" s="19"/>
      <c r="FX43" s="21"/>
      <c r="FY43" s="19"/>
      <c r="GH43" s="19"/>
      <c r="GI43" s="19"/>
      <c r="GJ43" s="19"/>
      <c r="GK43" s="19"/>
      <c r="GL43" s="21"/>
      <c r="GM43" s="19"/>
      <c r="GV43" s="19"/>
      <c r="GW43" s="19"/>
      <c r="GX43" s="19"/>
      <c r="GY43" s="19"/>
      <c r="GZ43" s="21"/>
      <c r="HA43" s="19"/>
      <c r="HJ43" s="19"/>
      <c r="HK43" s="19"/>
      <c r="HL43" s="19"/>
      <c r="HM43" s="19"/>
      <c r="HN43" s="21"/>
      <c r="HO43" s="19"/>
      <c r="HX43" s="19"/>
      <c r="HY43" s="19"/>
      <c r="HZ43" s="19"/>
      <c r="IA43" s="19"/>
      <c r="IB43" s="21"/>
      <c r="IC43" s="19"/>
      <c r="IL43" s="19"/>
      <c r="IM43" s="19"/>
      <c r="IN43" s="19"/>
      <c r="IO43" s="19"/>
      <c r="IP43" s="21"/>
      <c r="IQ43" s="19"/>
      <c r="IZ43" s="19"/>
      <c r="JA43" s="19"/>
      <c r="JB43" s="19"/>
      <c r="JC43" s="19"/>
      <c r="JD43" s="21"/>
      <c r="JE43" s="19"/>
      <c r="JN43" s="19"/>
      <c r="JO43" s="19"/>
      <c r="JP43" s="19"/>
      <c r="JQ43" s="19"/>
      <c r="JR43" s="21"/>
      <c r="JS43" s="19"/>
      <c r="KB43" s="19"/>
      <c r="KC43" s="19"/>
      <c r="KD43" s="19"/>
      <c r="KE43" s="19"/>
      <c r="KF43" s="21"/>
      <c r="KG43" s="19"/>
      <c r="KP43" s="19"/>
      <c r="KQ43" s="19"/>
      <c r="KR43" s="19"/>
      <c r="KS43" s="19"/>
      <c r="KT43" s="21"/>
      <c r="KU43" s="19"/>
      <c r="LD43" s="19"/>
      <c r="LE43" s="19"/>
      <c r="LF43" s="19"/>
      <c r="LG43" s="19"/>
      <c r="LH43" s="21"/>
      <c r="LI43" s="19"/>
      <c r="LR43" s="19"/>
      <c r="LS43" s="19"/>
      <c r="LT43" s="19"/>
      <c r="LU43" s="19"/>
      <c r="LV43" s="21"/>
      <c r="LW43" s="19"/>
      <c r="MF43" s="19"/>
      <c r="MG43" s="19"/>
      <c r="MH43" s="19"/>
      <c r="MI43" s="19"/>
      <c r="MJ43" s="21"/>
      <c r="MK43" s="19"/>
      <c r="MT43" s="19"/>
      <c r="MU43" s="19"/>
      <c r="MV43" s="19"/>
      <c r="MW43" s="19"/>
      <c r="MX43" s="21"/>
      <c r="MY43" s="19"/>
      <c r="NH43" s="19"/>
      <c r="NI43" s="19"/>
      <c r="NJ43" s="19"/>
      <c r="NK43" s="19"/>
      <c r="NL43" s="21"/>
      <c r="NM43" s="19"/>
      <c r="NV43" s="19"/>
      <c r="NW43" s="19"/>
      <c r="NX43" s="19"/>
      <c r="NY43" s="19"/>
      <c r="NZ43" s="21"/>
      <c r="OA43" s="19"/>
      <c r="OJ43" s="19"/>
      <c r="OK43" s="19"/>
      <c r="OL43" s="19"/>
      <c r="OM43" s="19"/>
      <c r="ON43" s="21"/>
      <c r="OO43" s="19"/>
      <c r="OX43" s="19"/>
      <c r="OY43" s="19"/>
      <c r="OZ43" s="19"/>
      <c r="PA43" s="19"/>
      <c r="PB43" s="21"/>
      <c r="PC43" s="19"/>
      <c r="PL43" s="19"/>
      <c r="PM43" s="19"/>
      <c r="PN43" s="19"/>
      <c r="PO43" s="19"/>
      <c r="PP43" s="21"/>
      <c r="PQ43" s="19"/>
      <c r="PZ43" s="19"/>
      <c r="QA43" s="19"/>
      <c r="QB43" s="19"/>
      <c r="QC43" s="19"/>
      <c r="QD43" s="21"/>
      <c r="QE43" s="19"/>
      <c r="QN43" s="19"/>
      <c r="QO43" s="19"/>
      <c r="QP43" s="19"/>
      <c r="QQ43" s="19"/>
      <c r="QR43" s="21"/>
      <c r="QS43" s="19"/>
      <c r="RB43" s="19"/>
      <c r="RC43" s="19"/>
      <c r="RD43" s="19"/>
      <c r="RE43" s="19"/>
      <c r="RF43" s="21"/>
      <c r="RG43" s="19"/>
      <c r="RP43" s="19"/>
      <c r="RQ43" s="19"/>
      <c r="RR43" s="19"/>
      <c r="RS43" s="19"/>
      <c r="RT43" s="21"/>
      <c r="RU43" s="19"/>
      <c r="SD43" s="19"/>
      <c r="SE43" s="19"/>
      <c r="SF43" s="19"/>
      <c r="SG43" s="19"/>
      <c r="SH43" s="21"/>
      <c r="SI43" s="19"/>
      <c r="SR43" s="19"/>
      <c r="SS43" s="19"/>
      <c r="ST43" s="19"/>
      <c r="SU43" s="19"/>
      <c r="SV43" s="21"/>
      <c r="SW43" s="19"/>
      <c r="TF43" s="19"/>
      <c r="TG43" s="19"/>
      <c r="TH43" s="19"/>
      <c r="TI43" s="19"/>
      <c r="TJ43" s="21"/>
      <c r="TK43" s="19"/>
      <c r="TT43" s="19"/>
      <c r="TU43" s="19"/>
      <c r="TV43" s="19"/>
      <c r="TW43" s="19"/>
      <c r="TX43" s="21"/>
      <c r="TY43" s="19"/>
      <c r="UH43" s="19"/>
      <c r="UI43" s="19"/>
      <c r="UJ43" s="19"/>
      <c r="UK43" s="19"/>
      <c r="UL43" s="21"/>
      <c r="UM43" s="19"/>
      <c r="UV43" s="19"/>
      <c r="UW43" s="19"/>
      <c r="UX43" s="19"/>
      <c r="UY43" s="19"/>
      <c r="UZ43" s="21"/>
      <c r="VA43" s="19"/>
      <c r="VJ43" s="19"/>
      <c r="VK43" s="19"/>
      <c r="VL43" s="19"/>
      <c r="VM43" s="19"/>
      <c r="VN43" s="21"/>
      <c r="VO43" s="19"/>
      <c r="VX43" s="19"/>
      <c r="VY43" s="19"/>
      <c r="VZ43" s="19"/>
      <c r="WA43" s="19"/>
      <c r="WB43" s="21"/>
      <c r="WC43" s="19"/>
      <c r="WL43" s="19"/>
      <c r="WM43" s="19"/>
      <c r="WN43" s="19"/>
      <c r="WO43" s="19"/>
      <c r="WP43" s="21"/>
      <c r="WQ43" s="19"/>
      <c r="WZ43" s="19"/>
      <c r="XA43" s="19"/>
      <c r="XB43" s="19"/>
      <c r="XC43" s="19"/>
      <c r="XD43" s="21"/>
      <c r="XE43" s="19"/>
      <c r="XN43" s="19"/>
      <c r="XO43" s="19"/>
      <c r="XP43" s="19"/>
      <c r="XQ43" s="19"/>
      <c r="XR43" s="21"/>
      <c r="XS43" s="19"/>
      <c r="YB43" s="19"/>
      <c r="YC43" s="19"/>
      <c r="YD43" s="19"/>
      <c r="YE43" s="19"/>
      <c r="YF43" s="21"/>
      <c r="YG43" s="19"/>
      <c r="YP43" s="19"/>
      <c r="YQ43" s="19"/>
      <c r="YR43" s="19"/>
      <c r="YS43" s="19"/>
      <c r="YT43" s="21"/>
      <c r="YU43" s="19"/>
      <c r="ZD43" s="19"/>
      <c r="ZE43" s="19"/>
      <c r="ZF43" s="19"/>
      <c r="ZG43" s="19"/>
      <c r="ZH43" s="21"/>
      <c r="ZI43" s="19"/>
      <c r="ZR43" s="19"/>
      <c r="ZS43" s="19"/>
      <c r="ZT43" s="19"/>
      <c r="ZU43" s="19"/>
      <c r="ZV43" s="21"/>
      <c r="ZW43" s="19"/>
      <c r="AAF43" s="19"/>
      <c r="AAG43" s="19"/>
      <c r="AAH43" s="19"/>
      <c r="AAI43" s="19"/>
      <c r="AAJ43" s="21"/>
      <c r="AAK43" s="19"/>
      <c r="AAT43" s="19"/>
      <c r="AAU43" s="19"/>
      <c r="AAV43" s="19"/>
      <c r="AAW43" s="19"/>
      <c r="AAX43" s="21"/>
      <c r="AAY43" s="19"/>
      <c r="ABH43" s="19"/>
      <c r="ABI43" s="19"/>
      <c r="ABJ43" s="19"/>
      <c r="ABK43" s="19"/>
      <c r="ABL43" s="21"/>
      <c r="ABM43" s="19"/>
      <c r="ABV43" s="19"/>
      <c r="ABW43" s="19"/>
      <c r="ABX43" s="19"/>
      <c r="ABY43" s="19"/>
      <c r="ABZ43" s="21"/>
      <c r="ACA43" s="19"/>
      <c r="ACJ43" s="19"/>
      <c r="ACK43" s="19"/>
      <c r="ACL43" s="19"/>
      <c r="ACM43" s="19"/>
      <c r="ACN43" s="21"/>
      <c r="ACO43" s="19"/>
      <c r="ACX43" s="19"/>
      <c r="ACY43" s="19"/>
      <c r="ACZ43" s="19"/>
      <c r="ADA43" s="19"/>
      <c r="ADB43" s="21"/>
      <c r="ADC43" s="19"/>
      <c r="ADL43" s="19"/>
      <c r="ADM43" s="19"/>
      <c r="ADN43" s="19"/>
      <c r="ADO43" s="19"/>
      <c r="ADP43" s="21"/>
      <c r="ADQ43" s="19"/>
      <c r="ADZ43" s="19"/>
      <c r="AEA43" s="19"/>
      <c r="AEB43" s="19"/>
      <c r="AEC43" s="19"/>
      <c r="AED43" s="21"/>
      <c r="AEE43" s="19"/>
      <c r="AEN43" s="19"/>
      <c r="AEO43" s="19"/>
      <c r="AEP43" s="19"/>
      <c r="AEQ43" s="19"/>
      <c r="AER43" s="21"/>
      <c r="AES43" s="19"/>
      <c r="AFB43" s="19"/>
      <c r="AFC43" s="19"/>
      <c r="AFD43" s="19"/>
      <c r="AFE43" s="19"/>
      <c r="AFF43" s="21"/>
      <c r="AFG43" s="19"/>
      <c r="AFP43" s="19"/>
      <c r="AFQ43" s="19"/>
      <c r="AFR43" s="19"/>
      <c r="AFS43" s="19"/>
      <c r="AFT43" s="21"/>
      <c r="AFU43" s="19"/>
      <c r="AGD43" s="19"/>
      <c r="AGE43" s="19"/>
      <c r="AGF43" s="19"/>
      <c r="AGG43" s="19"/>
      <c r="AGH43" s="21"/>
      <c r="AGI43" s="19"/>
      <c r="AGR43" s="19"/>
      <c r="AGS43" s="19"/>
      <c r="AGT43" s="19"/>
      <c r="AGU43" s="19"/>
      <c r="AGV43" s="21"/>
      <c r="AGW43" s="19"/>
      <c r="AHF43" s="19"/>
      <c r="AHG43" s="19"/>
      <c r="AHH43" s="19"/>
      <c r="AHI43" s="19"/>
      <c r="AHJ43" s="21"/>
      <c r="AHK43" s="19"/>
      <c r="AHT43" s="19"/>
      <c r="AHU43" s="19"/>
      <c r="AHV43" s="19"/>
      <c r="AHW43" s="19"/>
      <c r="AHX43" s="21"/>
      <c r="AHY43" s="19"/>
      <c r="AIH43" s="19"/>
      <c r="AII43" s="19"/>
      <c r="AIJ43" s="19"/>
      <c r="AIK43" s="19"/>
      <c r="AIL43" s="21"/>
      <c r="AIM43" s="19"/>
      <c r="AIV43" s="19"/>
      <c r="AIW43" s="19"/>
      <c r="AIX43" s="19"/>
      <c r="AIY43" s="19"/>
      <c r="AIZ43" s="21"/>
      <c r="AJA43" s="19"/>
      <c r="AJJ43" s="19"/>
      <c r="AJK43" s="19"/>
      <c r="AJL43" s="19"/>
      <c r="AJM43" s="19"/>
      <c r="AJN43" s="21"/>
      <c r="AJO43" s="19"/>
      <c r="AJX43" s="19"/>
      <c r="AJY43" s="19"/>
      <c r="AJZ43" s="19"/>
      <c r="AKA43" s="19"/>
      <c r="AKB43" s="21"/>
      <c r="AKC43" s="19"/>
      <c r="AKL43" s="19"/>
      <c r="AKM43" s="19"/>
      <c r="AKN43" s="19"/>
      <c r="AKO43" s="19"/>
      <c r="AKP43" s="21"/>
      <c r="AKQ43" s="19"/>
      <c r="AKZ43" s="19"/>
      <c r="ALA43" s="19"/>
      <c r="ALB43" s="19"/>
      <c r="ALC43" s="19"/>
      <c r="ALD43" s="21"/>
      <c r="ALE43" s="19"/>
      <c r="ALN43" s="19"/>
      <c r="ALO43" s="19"/>
      <c r="ALP43" s="19"/>
      <c r="ALQ43" s="19"/>
      <c r="ALR43" s="21"/>
      <c r="ALS43" s="19"/>
      <c r="AMB43" s="19"/>
      <c r="AMC43" s="19"/>
      <c r="AMD43" s="19"/>
      <c r="AME43" s="19"/>
      <c r="AMF43" s="21"/>
      <c r="AMG43" s="19"/>
      <c r="AMP43" s="19"/>
      <c r="AMQ43" s="19"/>
      <c r="AMR43" s="19"/>
      <c r="AMS43" s="19"/>
      <c r="AMT43" s="21"/>
      <c r="AMU43" s="19"/>
      <c r="AND43" s="19"/>
      <c r="ANE43" s="19"/>
      <c r="ANF43" s="19"/>
      <c r="ANG43" s="19"/>
      <c r="ANH43" s="21"/>
      <c r="ANI43" s="19"/>
      <c r="ANR43" s="19"/>
      <c r="ANS43" s="19"/>
      <c r="ANT43" s="19"/>
      <c r="ANU43" s="19"/>
      <c r="ANV43" s="21"/>
      <c r="ANW43" s="19"/>
      <c r="AOF43" s="19"/>
      <c r="AOG43" s="19"/>
      <c r="AOH43" s="19"/>
      <c r="AOI43" s="19"/>
      <c r="AOJ43" s="21"/>
      <c r="AOK43" s="19"/>
      <c r="AOT43" s="19"/>
      <c r="AOU43" s="19"/>
      <c r="AOV43" s="19"/>
      <c r="AOW43" s="19"/>
      <c r="AOX43" s="21"/>
      <c r="AOY43" s="19"/>
      <c r="APH43" s="19"/>
      <c r="API43" s="19"/>
      <c r="APJ43" s="19"/>
      <c r="APK43" s="19"/>
      <c r="APL43" s="21"/>
      <c r="APM43" s="19"/>
      <c r="APV43" s="19"/>
      <c r="APW43" s="19"/>
      <c r="APX43" s="19"/>
      <c r="APY43" s="19"/>
      <c r="APZ43" s="21"/>
      <c r="AQA43" s="19"/>
      <c r="AQJ43" s="19"/>
      <c r="AQK43" s="19"/>
      <c r="AQL43" s="19"/>
      <c r="AQM43" s="19"/>
      <c r="AQN43" s="21"/>
      <c r="AQO43" s="19"/>
      <c r="AQX43" s="19"/>
      <c r="AQY43" s="19"/>
      <c r="AQZ43" s="19"/>
      <c r="ARA43" s="19"/>
      <c r="ARB43" s="21"/>
      <c r="ARC43" s="19"/>
      <c r="ARL43" s="19"/>
      <c r="ARM43" s="19"/>
      <c r="ARN43" s="19"/>
      <c r="ARO43" s="19"/>
      <c r="ARP43" s="21"/>
      <c r="ARQ43" s="19"/>
      <c r="ARZ43" s="19"/>
      <c r="ASA43" s="19"/>
      <c r="ASB43" s="19"/>
      <c r="ASC43" s="19"/>
      <c r="ASD43" s="21"/>
      <c r="ASE43" s="19"/>
      <c r="ASN43" s="19"/>
      <c r="ASO43" s="19"/>
      <c r="ASP43" s="19"/>
      <c r="ASQ43" s="19"/>
      <c r="ASR43" s="21"/>
      <c r="ASS43" s="19"/>
      <c r="ATB43" s="19"/>
      <c r="ATC43" s="19"/>
      <c r="ATD43" s="19"/>
      <c r="ATE43" s="19"/>
      <c r="ATF43" s="21"/>
      <c r="ATG43" s="19"/>
      <c r="ATP43" s="19"/>
      <c r="ATQ43" s="19"/>
      <c r="ATR43" s="19"/>
      <c r="ATS43" s="19"/>
      <c r="ATT43" s="21"/>
      <c r="ATU43" s="19"/>
      <c r="AUD43" s="19"/>
      <c r="AUE43" s="19"/>
      <c r="AUF43" s="19"/>
      <c r="AUG43" s="19"/>
      <c r="AUH43" s="21"/>
      <c r="AUI43" s="19"/>
      <c r="AUR43" s="19"/>
      <c r="AUS43" s="19"/>
      <c r="AUT43" s="19"/>
      <c r="AUU43" s="19"/>
      <c r="AUV43" s="21"/>
      <c r="AUW43" s="19"/>
      <c r="AVF43" s="19"/>
      <c r="AVG43" s="19"/>
      <c r="AVH43" s="19"/>
      <c r="AVI43" s="19"/>
      <c r="AVJ43" s="21"/>
      <c r="AVK43" s="19"/>
      <c r="AVT43" s="19"/>
      <c r="AVU43" s="19"/>
      <c r="AVV43" s="19"/>
      <c r="AVW43" s="19"/>
      <c r="AVX43" s="21"/>
      <c r="AVY43" s="19"/>
      <c r="AWH43" s="19"/>
      <c r="AWI43" s="19"/>
      <c r="AWJ43" s="19"/>
      <c r="AWK43" s="19"/>
      <c r="AWL43" s="21"/>
      <c r="AWM43" s="19"/>
      <c r="AWV43" s="19"/>
      <c r="AWW43" s="19"/>
      <c r="AWX43" s="19"/>
      <c r="AWY43" s="19"/>
      <c r="AWZ43" s="21"/>
      <c r="AXA43" s="19"/>
      <c r="AXJ43" s="19"/>
      <c r="AXK43" s="19"/>
      <c r="AXL43" s="19"/>
      <c r="AXM43" s="19"/>
      <c r="AXN43" s="21"/>
      <c r="AXO43" s="19"/>
      <c r="AXX43" s="19"/>
      <c r="AXY43" s="19"/>
      <c r="AXZ43" s="19"/>
      <c r="AYA43" s="19"/>
      <c r="AYB43" s="21"/>
      <c r="AYC43" s="19"/>
      <c r="AYL43" s="19"/>
      <c r="AYM43" s="19"/>
      <c r="AYN43" s="19"/>
      <c r="AYO43" s="19"/>
      <c r="AYP43" s="21"/>
      <c r="AYQ43" s="19"/>
      <c r="AYZ43" s="19"/>
      <c r="AZA43" s="19"/>
      <c r="AZB43" s="19"/>
      <c r="AZC43" s="19"/>
      <c r="AZD43" s="21"/>
      <c r="AZE43" s="19"/>
      <c r="AZN43" s="19"/>
      <c r="AZO43" s="19"/>
      <c r="AZP43" s="19"/>
      <c r="AZQ43" s="19"/>
      <c r="AZR43" s="21"/>
      <c r="AZS43" s="19"/>
      <c r="BAB43" s="19"/>
      <c r="BAC43" s="19"/>
      <c r="BAD43" s="19"/>
      <c r="BAE43" s="19"/>
      <c r="BAF43" s="21"/>
      <c r="BAG43" s="19"/>
      <c r="BAP43" s="19"/>
      <c r="BAQ43" s="19"/>
      <c r="BAR43" s="19"/>
      <c r="BAS43" s="19"/>
      <c r="BAT43" s="21"/>
      <c r="BAU43" s="19"/>
      <c r="BBD43" s="19"/>
      <c r="BBE43" s="19"/>
      <c r="BBF43" s="19"/>
      <c r="BBG43" s="19"/>
      <c r="BBH43" s="21"/>
      <c r="BBI43" s="19"/>
      <c r="BBR43" s="19"/>
      <c r="BBS43" s="19"/>
      <c r="BBT43" s="19"/>
      <c r="BBU43" s="19"/>
      <c r="BBV43" s="21"/>
      <c r="BBW43" s="19"/>
      <c r="BCF43" s="19"/>
      <c r="BCG43" s="19"/>
      <c r="BCH43" s="19"/>
      <c r="BCI43" s="19"/>
      <c r="BCJ43" s="21"/>
      <c r="BCK43" s="19"/>
      <c r="BCT43" s="19"/>
      <c r="BCU43" s="19"/>
      <c r="BCV43" s="19"/>
      <c r="BCW43" s="19"/>
      <c r="BCX43" s="21"/>
      <c r="BCY43" s="19"/>
      <c r="BDH43" s="19"/>
      <c r="BDI43" s="19"/>
      <c r="BDJ43" s="19"/>
      <c r="BDK43" s="19"/>
      <c r="BDL43" s="21"/>
      <c r="BDM43" s="19"/>
      <c r="BDV43" s="19"/>
      <c r="BDW43" s="19"/>
      <c r="BDX43" s="19"/>
      <c r="BDY43" s="19"/>
      <c r="BDZ43" s="21"/>
      <c r="BEA43" s="19"/>
      <c r="BEJ43" s="19"/>
      <c r="BEK43" s="19"/>
      <c r="BEL43" s="19"/>
      <c r="BEM43" s="19"/>
      <c r="BEN43" s="21"/>
      <c r="BEO43" s="19"/>
      <c r="BEX43" s="19"/>
      <c r="BEY43" s="19"/>
      <c r="BEZ43" s="19"/>
      <c r="BFA43" s="19"/>
      <c r="BFB43" s="21"/>
      <c r="BFC43" s="19"/>
      <c r="BFL43" s="19"/>
      <c r="BFM43" s="19"/>
      <c r="BFN43" s="19"/>
      <c r="BFO43" s="19"/>
      <c r="BFP43" s="21"/>
      <c r="BFQ43" s="19"/>
      <c r="BFZ43" s="19"/>
      <c r="BGA43" s="19"/>
      <c r="BGB43" s="19"/>
      <c r="BGC43" s="19"/>
      <c r="BGD43" s="21"/>
      <c r="BGE43" s="19"/>
      <c r="BGN43" s="19"/>
      <c r="BGO43" s="19"/>
      <c r="BGP43" s="19"/>
      <c r="BGQ43" s="19"/>
      <c r="BGR43" s="21"/>
      <c r="BGS43" s="19"/>
      <c r="BHB43" s="19"/>
      <c r="BHC43" s="19"/>
      <c r="BHD43" s="19"/>
      <c r="BHE43" s="19"/>
      <c r="BHF43" s="21"/>
      <c r="BHG43" s="19"/>
      <c r="BHP43" s="19"/>
      <c r="BHQ43" s="19"/>
      <c r="BHR43" s="19"/>
      <c r="BHS43" s="19"/>
      <c r="BHT43" s="21"/>
      <c r="BHU43" s="19"/>
      <c r="BID43" s="19"/>
      <c r="BIE43" s="19"/>
      <c r="BIF43" s="19"/>
      <c r="BIG43" s="19"/>
      <c r="BIH43" s="21"/>
      <c r="BII43" s="19"/>
      <c r="BIR43" s="19"/>
      <c r="BIS43" s="19"/>
      <c r="BIT43" s="19"/>
      <c r="BIU43" s="19"/>
      <c r="BIV43" s="21"/>
      <c r="BIW43" s="19"/>
      <c r="BJF43" s="19"/>
      <c r="BJG43" s="19"/>
      <c r="BJH43" s="19"/>
      <c r="BJI43" s="19"/>
      <c r="BJJ43" s="21"/>
      <c r="BJK43" s="19"/>
      <c r="BJT43" s="19"/>
      <c r="BJU43" s="19"/>
      <c r="BJV43" s="19"/>
      <c r="BJW43" s="19"/>
      <c r="BJX43" s="21"/>
      <c r="BJY43" s="19"/>
      <c r="BKH43" s="19"/>
      <c r="BKI43" s="19"/>
      <c r="BKJ43" s="19"/>
      <c r="BKK43" s="19"/>
      <c r="BKL43" s="21"/>
      <c r="BKM43" s="19"/>
      <c r="BKV43" s="19"/>
      <c r="BKW43" s="19"/>
      <c r="BKX43" s="19"/>
      <c r="BKY43" s="19"/>
      <c r="BKZ43" s="21"/>
      <c r="BLA43" s="19"/>
      <c r="BLJ43" s="19"/>
      <c r="BLK43" s="19"/>
      <c r="BLL43" s="19"/>
      <c r="BLM43" s="19"/>
      <c r="BLN43" s="21"/>
      <c r="BLO43" s="19"/>
      <c r="BLX43" s="19"/>
      <c r="BLY43" s="19"/>
      <c r="BLZ43" s="19"/>
      <c r="BMA43" s="19"/>
      <c r="BMB43" s="21"/>
      <c r="BMC43" s="19"/>
      <c r="BML43" s="19"/>
      <c r="BMM43" s="19"/>
      <c r="BMN43" s="19"/>
      <c r="BMO43" s="19"/>
      <c r="BMP43" s="21"/>
      <c r="BMQ43" s="19"/>
      <c r="BMZ43" s="19"/>
      <c r="BNA43" s="19"/>
      <c r="BNB43" s="19"/>
      <c r="BNC43" s="19"/>
      <c r="BND43" s="21"/>
      <c r="BNE43" s="19"/>
      <c r="BNN43" s="19"/>
      <c r="BNO43" s="19"/>
      <c r="BNP43" s="19"/>
      <c r="BNQ43" s="19"/>
      <c r="BNR43" s="21"/>
      <c r="BNS43" s="19"/>
      <c r="BOB43" s="19"/>
      <c r="BOC43" s="19"/>
      <c r="BOD43" s="19"/>
      <c r="BOE43" s="19"/>
      <c r="BOF43" s="21"/>
      <c r="BOG43" s="19"/>
      <c r="BOP43" s="19"/>
      <c r="BOQ43" s="19"/>
      <c r="BOR43" s="19"/>
      <c r="BOS43" s="19"/>
      <c r="BOT43" s="21"/>
      <c r="BOU43" s="19"/>
      <c r="BPD43" s="19"/>
      <c r="BPE43" s="19"/>
      <c r="BPF43" s="19"/>
      <c r="BPG43" s="19"/>
      <c r="BPH43" s="21"/>
      <c r="BPI43" s="19"/>
      <c r="BPR43" s="19"/>
      <c r="BPS43" s="19"/>
      <c r="BPT43" s="19"/>
      <c r="BPU43" s="19"/>
      <c r="BPV43" s="21"/>
      <c r="BPW43" s="19"/>
      <c r="BQF43" s="19"/>
      <c r="BQG43" s="19"/>
      <c r="BQH43" s="19"/>
      <c r="BQI43" s="19"/>
      <c r="BQJ43" s="21"/>
      <c r="BQK43" s="19"/>
      <c r="BQT43" s="19"/>
      <c r="BQU43" s="19"/>
      <c r="BQV43" s="19"/>
      <c r="BQW43" s="19"/>
      <c r="BQX43" s="21"/>
      <c r="BQY43" s="19"/>
      <c r="BRH43" s="19"/>
      <c r="BRI43" s="19"/>
      <c r="BRJ43" s="19"/>
      <c r="BRK43" s="19"/>
      <c r="BRL43" s="21"/>
      <c r="BRM43" s="19"/>
      <c r="BRV43" s="19"/>
      <c r="BRW43" s="19"/>
      <c r="BRX43" s="19"/>
      <c r="BRY43" s="19"/>
      <c r="BRZ43" s="21"/>
      <c r="BSA43" s="19"/>
      <c r="BSJ43" s="19"/>
      <c r="BSK43" s="19"/>
      <c r="BSL43" s="19"/>
      <c r="BSM43" s="19"/>
      <c r="BSN43" s="21"/>
      <c r="BSO43" s="19"/>
      <c r="BSX43" s="19"/>
      <c r="BSY43" s="19"/>
      <c r="BSZ43" s="19"/>
      <c r="BTA43" s="19"/>
      <c r="BTB43" s="21"/>
      <c r="BTC43" s="19"/>
      <c r="BTL43" s="19"/>
      <c r="BTM43" s="19"/>
      <c r="BTN43" s="19"/>
      <c r="BTO43" s="19"/>
      <c r="BTP43" s="21"/>
      <c r="BTQ43" s="19"/>
      <c r="BTZ43" s="19"/>
      <c r="BUA43" s="19"/>
      <c r="BUB43" s="19"/>
      <c r="BUC43" s="19"/>
      <c r="BUD43" s="21"/>
      <c r="BUE43" s="19"/>
      <c r="BUN43" s="19"/>
      <c r="BUO43" s="19"/>
      <c r="BUP43" s="19"/>
      <c r="BUQ43" s="19"/>
      <c r="BUR43" s="21"/>
      <c r="BUS43" s="19"/>
      <c r="BVB43" s="19"/>
      <c r="BVC43" s="19"/>
      <c r="BVD43" s="19"/>
      <c r="BVE43" s="19"/>
      <c r="BVF43" s="21"/>
      <c r="BVG43" s="19"/>
      <c r="BVP43" s="19"/>
      <c r="BVQ43" s="19"/>
      <c r="BVR43" s="19"/>
      <c r="BVS43" s="19"/>
      <c r="BVT43" s="21"/>
      <c r="BVU43" s="19"/>
      <c r="BWD43" s="19"/>
      <c r="BWE43" s="19"/>
      <c r="BWF43" s="19"/>
      <c r="BWG43" s="19"/>
      <c r="BWH43" s="21"/>
      <c r="BWI43" s="19"/>
      <c r="BWR43" s="19"/>
      <c r="BWS43" s="19"/>
      <c r="BWT43" s="19"/>
      <c r="BWU43" s="19"/>
      <c r="BWV43" s="21"/>
      <c r="BWW43" s="19"/>
      <c r="BXF43" s="19"/>
      <c r="BXG43" s="19"/>
      <c r="BXH43" s="19"/>
      <c r="BXI43" s="19"/>
      <c r="BXJ43" s="21"/>
      <c r="BXK43" s="19"/>
      <c r="BXT43" s="19"/>
      <c r="BXU43" s="19"/>
      <c r="BXV43" s="19"/>
      <c r="BXW43" s="19"/>
      <c r="BXX43" s="21"/>
      <c r="BXY43" s="19"/>
      <c r="BYH43" s="19"/>
      <c r="BYI43" s="19"/>
      <c r="BYJ43" s="19"/>
      <c r="BYK43" s="19"/>
      <c r="BYL43" s="21"/>
      <c r="BYM43" s="19"/>
      <c r="BYV43" s="19"/>
      <c r="BYW43" s="19"/>
      <c r="BYX43" s="19"/>
      <c r="BYY43" s="19"/>
      <c r="BYZ43" s="21"/>
      <c r="BZA43" s="19"/>
      <c r="BZJ43" s="19"/>
      <c r="BZK43" s="19"/>
      <c r="BZL43" s="19"/>
      <c r="BZM43" s="19"/>
      <c r="BZN43" s="21"/>
      <c r="BZO43" s="19"/>
      <c r="BZX43" s="19"/>
      <c r="BZY43" s="19"/>
      <c r="BZZ43" s="19"/>
      <c r="CAA43" s="19"/>
      <c r="CAB43" s="21"/>
      <c r="CAC43" s="19"/>
      <c r="CAL43" s="19"/>
      <c r="CAM43" s="19"/>
      <c r="CAN43" s="19"/>
      <c r="CAO43" s="19"/>
      <c r="CAP43" s="21"/>
      <c r="CAQ43" s="19"/>
      <c r="CAZ43" s="19"/>
      <c r="CBA43" s="19"/>
      <c r="CBB43" s="19"/>
      <c r="CBC43" s="19"/>
      <c r="CBD43" s="21"/>
      <c r="CBE43" s="19"/>
      <c r="CBN43" s="19"/>
      <c r="CBO43" s="19"/>
      <c r="CBP43" s="19"/>
      <c r="CBQ43" s="19"/>
      <c r="CBR43" s="21"/>
      <c r="CBS43" s="19"/>
      <c r="CCB43" s="19"/>
      <c r="CCC43" s="19"/>
      <c r="CCD43" s="19"/>
      <c r="CCE43" s="19"/>
      <c r="CCF43" s="21"/>
      <c r="CCG43" s="19"/>
      <c r="CCP43" s="19"/>
      <c r="CCQ43" s="19"/>
      <c r="CCR43" s="19"/>
      <c r="CCS43" s="19"/>
      <c r="CCT43" s="21"/>
      <c r="CCU43" s="19"/>
      <c r="CDD43" s="19"/>
      <c r="CDE43" s="19"/>
      <c r="CDF43" s="19"/>
      <c r="CDG43" s="19"/>
      <c r="CDH43" s="21"/>
      <c r="CDI43" s="19"/>
      <c r="CDR43" s="19"/>
      <c r="CDS43" s="19"/>
      <c r="CDT43" s="19"/>
      <c r="CDU43" s="19"/>
      <c r="CDV43" s="21"/>
      <c r="CDW43" s="19"/>
      <c r="CEF43" s="19"/>
      <c r="CEG43" s="19"/>
      <c r="CEH43" s="19"/>
      <c r="CEI43" s="19"/>
      <c r="CEJ43" s="21"/>
      <c r="CEK43" s="19"/>
      <c r="CET43" s="19"/>
      <c r="CEU43" s="19"/>
      <c r="CEV43" s="19"/>
      <c r="CEW43" s="19"/>
      <c r="CEX43" s="21"/>
      <c r="CEY43" s="19"/>
      <c r="CFH43" s="19"/>
      <c r="CFI43" s="19"/>
      <c r="CFJ43" s="19"/>
      <c r="CFK43" s="19"/>
      <c r="CFL43" s="21"/>
      <c r="CFM43" s="19"/>
      <c r="CFV43" s="19"/>
      <c r="CFW43" s="19"/>
      <c r="CFX43" s="19"/>
      <c r="CFY43" s="19"/>
      <c r="CFZ43" s="21"/>
      <c r="CGA43" s="19"/>
      <c r="CGJ43" s="19"/>
      <c r="CGK43" s="19"/>
      <c r="CGL43" s="19"/>
      <c r="CGM43" s="19"/>
      <c r="CGN43" s="21"/>
      <c r="CGO43" s="19"/>
      <c r="CGX43" s="19"/>
      <c r="CGY43" s="19"/>
      <c r="CGZ43" s="19"/>
      <c r="CHA43" s="19"/>
      <c r="CHB43" s="21"/>
      <c r="CHC43" s="19"/>
      <c r="CHL43" s="19"/>
      <c r="CHM43" s="19"/>
      <c r="CHN43" s="19"/>
      <c r="CHO43" s="19"/>
      <c r="CHP43" s="21"/>
      <c r="CHQ43" s="19"/>
      <c r="CHZ43" s="19"/>
      <c r="CIA43" s="19"/>
      <c r="CIB43" s="19"/>
      <c r="CIC43" s="19"/>
      <c r="CID43" s="21"/>
      <c r="CIE43" s="19"/>
      <c r="CIN43" s="19"/>
      <c r="CIO43" s="19"/>
      <c r="CIP43" s="19"/>
      <c r="CIQ43" s="19"/>
      <c r="CIR43" s="21"/>
      <c r="CIS43" s="19"/>
      <c r="CJB43" s="19"/>
      <c r="CJC43" s="19"/>
      <c r="CJD43" s="19"/>
      <c r="CJE43" s="19"/>
      <c r="CJF43" s="21"/>
      <c r="CJG43" s="19"/>
      <c r="CJP43" s="19"/>
      <c r="CJQ43" s="19"/>
      <c r="CJR43" s="19"/>
      <c r="CJS43" s="19"/>
      <c r="CJT43" s="21"/>
      <c r="CJU43" s="19"/>
      <c r="CKD43" s="19"/>
      <c r="CKE43" s="19"/>
      <c r="CKF43" s="19"/>
      <c r="CKG43" s="19"/>
      <c r="CKH43" s="21"/>
      <c r="CKI43" s="19"/>
      <c r="CKR43" s="19"/>
      <c r="CKS43" s="19"/>
      <c r="CKT43" s="19"/>
      <c r="CKU43" s="19"/>
      <c r="CKV43" s="21"/>
      <c r="CKW43" s="19"/>
      <c r="CLF43" s="19"/>
      <c r="CLG43" s="19"/>
      <c r="CLH43" s="19"/>
      <c r="CLI43" s="19"/>
      <c r="CLJ43" s="21"/>
      <c r="CLK43" s="19"/>
      <c r="CLT43" s="19"/>
      <c r="CLU43" s="19"/>
      <c r="CLV43" s="19"/>
      <c r="CLW43" s="19"/>
      <c r="CLX43" s="21"/>
      <c r="CLY43" s="19"/>
      <c r="CMH43" s="19"/>
      <c r="CMI43" s="19"/>
      <c r="CMJ43" s="19"/>
      <c r="CMK43" s="19"/>
      <c r="CML43" s="21"/>
      <c r="CMM43" s="19"/>
      <c r="CMV43" s="19"/>
      <c r="CMW43" s="19"/>
      <c r="CMX43" s="19"/>
      <c r="CMY43" s="19"/>
      <c r="CMZ43" s="21"/>
      <c r="CNA43" s="19"/>
      <c r="CNJ43" s="19"/>
      <c r="CNK43" s="19"/>
      <c r="CNL43" s="19"/>
      <c r="CNM43" s="19"/>
      <c r="CNN43" s="21"/>
      <c r="CNO43" s="19"/>
      <c r="CNX43" s="19"/>
      <c r="CNY43" s="19"/>
      <c r="CNZ43" s="19"/>
      <c r="COA43" s="19"/>
      <c r="COB43" s="21"/>
      <c r="COC43" s="19"/>
      <c r="COL43" s="19"/>
      <c r="COM43" s="19"/>
      <c r="CON43" s="19"/>
      <c r="COO43" s="19"/>
      <c r="COP43" s="21"/>
      <c r="COQ43" s="19"/>
      <c r="COZ43" s="19"/>
      <c r="CPA43" s="19"/>
      <c r="CPB43" s="19"/>
      <c r="CPC43" s="19"/>
      <c r="CPD43" s="21"/>
      <c r="CPE43" s="19"/>
      <c r="CPN43" s="19"/>
      <c r="CPO43" s="19"/>
      <c r="CPP43" s="19"/>
      <c r="CPQ43" s="19"/>
      <c r="CPR43" s="21"/>
      <c r="CPS43" s="19"/>
      <c r="CQB43" s="19"/>
      <c r="CQC43" s="19"/>
      <c r="CQD43" s="19"/>
      <c r="CQE43" s="19"/>
      <c r="CQF43" s="21"/>
      <c r="CQG43" s="19"/>
      <c r="CQP43" s="19"/>
      <c r="CQQ43" s="19"/>
      <c r="CQR43" s="19"/>
      <c r="CQS43" s="19"/>
      <c r="CQT43" s="21"/>
      <c r="CQU43" s="19"/>
      <c r="CRD43" s="19"/>
      <c r="CRE43" s="19"/>
      <c r="CRF43" s="19"/>
      <c r="CRG43" s="19"/>
      <c r="CRH43" s="21"/>
      <c r="CRI43" s="19"/>
      <c r="CRR43" s="19"/>
      <c r="CRS43" s="19"/>
      <c r="CRT43" s="19"/>
      <c r="CRU43" s="19"/>
      <c r="CRV43" s="21"/>
      <c r="CRW43" s="19"/>
      <c r="CSF43" s="19"/>
      <c r="CSG43" s="19"/>
      <c r="CSH43" s="19"/>
      <c r="CSI43" s="19"/>
      <c r="CSJ43" s="21"/>
      <c r="CSK43" s="19"/>
      <c r="CST43" s="19"/>
      <c r="CSU43" s="19"/>
      <c r="CSV43" s="19"/>
      <c r="CSW43" s="19"/>
      <c r="CSX43" s="21"/>
      <c r="CSY43" s="19"/>
      <c r="CTH43" s="19"/>
      <c r="CTI43" s="19"/>
      <c r="CTJ43" s="19"/>
      <c r="CTK43" s="19"/>
      <c r="CTL43" s="21"/>
      <c r="CTM43" s="19"/>
      <c r="CTV43" s="19"/>
      <c r="CTW43" s="19"/>
      <c r="CTX43" s="19"/>
      <c r="CTY43" s="19"/>
      <c r="CTZ43" s="21"/>
      <c r="CUA43" s="19"/>
      <c r="CUJ43" s="19"/>
      <c r="CUK43" s="19"/>
      <c r="CUL43" s="19"/>
      <c r="CUM43" s="19"/>
      <c r="CUN43" s="21"/>
      <c r="CUO43" s="19"/>
      <c r="CUX43" s="19"/>
      <c r="CUY43" s="19"/>
      <c r="CUZ43" s="19"/>
      <c r="CVA43" s="19"/>
      <c r="CVB43" s="21"/>
      <c r="CVC43" s="19"/>
      <c r="CVL43" s="19"/>
      <c r="CVM43" s="19"/>
      <c r="CVN43" s="19"/>
      <c r="CVO43" s="19"/>
      <c r="CVP43" s="21"/>
      <c r="CVQ43" s="19"/>
      <c r="CVZ43" s="19"/>
      <c r="CWA43" s="19"/>
      <c r="CWB43" s="19"/>
      <c r="CWC43" s="19"/>
      <c r="CWD43" s="21"/>
      <c r="CWE43" s="19"/>
      <c r="CWN43" s="19"/>
      <c r="CWO43" s="19"/>
      <c r="CWP43" s="19"/>
      <c r="CWQ43" s="19"/>
      <c r="CWR43" s="21"/>
      <c r="CWS43" s="19"/>
      <c r="CXB43" s="19"/>
      <c r="CXC43" s="19"/>
      <c r="CXD43" s="19"/>
      <c r="CXE43" s="19"/>
      <c r="CXF43" s="21"/>
      <c r="CXG43" s="19"/>
      <c r="CXP43" s="19"/>
      <c r="CXQ43" s="19"/>
      <c r="CXR43" s="19"/>
      <c r="CXS43" s="19"/>
      <c r="CXT43" s="21"/>
      <c r="CXU43" s="19"/>
      <c r="CYD43" s="19"/>
      <c r="CYE43" s="19"/>
      <c r="CYF43" s="19"/>
      <c r="CYG43" s="19"/>
      <c r="CYH43" s="21"/>
      <c r="CYI43" s="19"/>
      <c r="CYR43" s="19"/>
      <c r="CYS43" s="19"/>
      <c r="CYT43" s="19"/>
      <c r="CYU43" s="19"/>
      <c r="CYV43" s="21"/>
      <c r="CYW43" s="19"/>
      <c r="CZF43" s="19"/>
      <c r="CZG43" s="19"/>
      <c r="CZH43" s="19"/>
      <c r="CZI43" s="19"/>
      <c r="CZJ43" s="21"/>
      <c r="CZK43" s="19"/>
      <c r="CZT43" s="19"/>
      <c r="CZU43" s="19"/>
      <c r="CZV43" s="19"/>
      <c r="CZW43" s="19"/>
      <c r="CZX43" s="21"/>
      <c r="CZY43" s="19"/>
      <c r="DAH43" s="19"/>
      <c r="DAI43" s="19"/>
      <c r="DAJ43" s="19"/>
      <c r="DAK43" s="19"/>
      <c r="DAL43" s="21"/>
      <c r="DAM43" s="19"/>
      <c r="DAV43" s="19"/>
      <c r="DAW43" s="19"/>
      <c r="DAX43" s="19"/>
      <c r="DAY43" s="19"/>
      <c r="DAZ43" s="21"/>
      <c r="DBA43" s="19"/>
      <c r="DBJ43" s="19"/>
      <c r="DBK43" s="19"/>
      <c r="DBL43" s="19"/>
      <c r="DBM43" s="19"/>
      <c r="DBN43" s="21"/>
      <c r="DBO43" s="19"/>
      <c r="DBX43" s="19"/>
      <c r="DBY43" s="19"/>
      <c r="DBZ43" s="19"/>
      <c r="DCA43" s="19"/>
      <c r="DCB43" s="21"/>
      <c r="DCC43" s="19"/>
      <c r="DCL43" s="19"/>
      <c r="DCM43" s="19"/>
      <c r="DCN43" s="19"/>
      <c r="DCO43" s="19"/>
      <c r="DCP43" s="21"/>
      <c r="DCQ43" s="19"/>
      <c r="DCZ43" s="19"/>
      <c r="DDA43" s="19"/>
      <c r="DDB43" s="19"/>
      <c r="DDC43" s="19"/>
      <c r="DDD43" s="21"/>
      <c r="DDE43" s="19"/>
      <c r="DDN43" s="19"/>
      <c r="DDO43" s="19"/>
      <c r="DDP43" s="19"/>
      <c r="DDQ43" s="19"/>
      <c r="DDR43" s="21"/>
      <c r="DDS43" s="19"/>
      <c r="DEB43" s="19"/>
      <c r="DEC43" s="19"/>
      <c r="DED43" s="19"/>
      <c r="DEE43" s="19"/>
      <c r="DEF43" s="21"/>
      <c r="DEG43" s="19"/>
      <c r="DEP43" s="19"/>
      <c r="DEQ43" s="19"/>
      <c r="DER43" s="19"/>
      <c r="DES43" s="19"/>
      <c r="DET43" s="21"/>
      <c r="DEU43" s="19"/>
      <c r="DFD43" s="19"/>
      <c r="DFE43" s="19"/>
      <c r="DFF43" s="19"/>
      <c r="DFG43" s="19"/>
      <c r="DFH43" s="21"/>
      <c r="DFI43" s="19"/>
      <c r="DFR43" s="19"/>
      <c r="DFS43" s="19"/>
      <c r="DFT43" s="19"/>
      <c r="DFU43" s="19"/>
      <c r="DFV43" s="21"/>
      <c r="DFW43" s="19"/>
      <c r="DGF43" s="19"/>
      <c r="DGG43" s="19"/>
      <c r="DGH43" s="19"/>
      <c r="DGI43" s="19"/>
      <c r="DGJ43" s="21"/>
      <c r="DGK43" s="19"/>
      <c r="DGT43" s="19"/>
      <c r="DGU43" s="19"/>
      <c r="DGV43" s="19"/>
      <c r="DGW43" s="19"/>
      <c r="DGX43" s="21"/>
      <c r="DGY43" s="19"/>
      <c r="DHH43" s="19"/>
      <c r="DHI43" s="19"/>
      <c r="DHJ43" s="19"/>
      <c r="DHK43" s="19"/>
      <c r="DHL43" s="21"/>
      <c r="DHM43" s="19"/>
      <c r="DHV43" s="19"/>
      <c r="DHW43" s="19"/>
      <c r="DHX43" s="19"/>
      <c r="DHY43" s="19"/>
      <c r="DHZ43" s="21"/>
      <c r="DIA43" s="19"/>
      <c r="DIJ43" s="19"/>
      <c r="DIK43" s="19"/>
      <c r="DIL43" s="19"/>
      <c r="DIM43" s="19"/>
      <c r="DIN43" s="21"/>
      <c r="DIO43" s="19"/>
      <c r="DIX43" s="19"/>
      <c r="DIY43" s="19"/>
      <c r="DIZ43" s="19"/>
      <c r="DJA43" s="19"/>
      <c r="DJB43" s="21"/>
      <c r="DJC43" s="19"/>
      <c r="DJL43" s="19"/>
      <c r="DJM43" s="19"/>
      <c r="DJN43" s="19"/>
      <c r="DJO43" s="19"/>
      <c r="DJP43" s="21"/>
      <c r="DJQ43" s="19"/>
      <c r="DJZ43" s="19"/>
      <c r="DKA43" s="19"/>
      <c r="DKB43" s="19"/>
      <c r="DKC43" s="19"/>
      <c r="DKD43" s="21"/>
      <c r="DKE43" s="19"/>
      <c r="DKN43" s="19"/>
      <c r="DKO43" s="19"/>
      <c r="DKP43" s="19"/>
      <c r="DKQ43" s="19"/>
      <c r="DKR43" s="21"/>
      <c r="DKS43" s="19"/>
      <c r="DLB43" s="19"/>
      <c r="DLC43" s="19"/>
      <c r="DLD43" s="19"/>
      <c r="DLE43" s="19"/>
      <c r="DLF43" s="21"/>
      <c r="DLG43" s="19"/>
      <c r="DLP43" s="19"/>
      <c r="DLQ43" s="19"/>
      <c r="DLR43" s="19"/>
      <c r="DLS43" s="19"/>
      <c r="DLT43" s="21"/>
      <c r="DLU43" s="19"/>
      <c r="DMD43" s="19"/>
      <c r="DME43" s="19"/>
      <c r="DMF43" s="19"/>
      <c r="DMG43" s="19"/>
      <c r="DMH43" s="21"/>
      <c r="DMI43" s="19"/>
      <c r="DMR43" s="19"/>
      <c r="DMS43" s="19"/>
      <c r="DMT43" s="19"/>
      <c r="DMU43" s="19"/>
      <c r="DMV43" s="21"/>
      <c r="DMW43" s="19"/>
      <c r="DNF43" s="19"/>
      <c r="DNG43" s="19"/>
      <c r="DNH43" s="19"/>
      <c r="DNI43" s="19"/>
      <c r="DNJ43" s="21"/>
      <c r="DNK43" s="19"/>
      <c r="DNT43" s="19"/>
      <c r="DNU43" s="19"/>
      <c r="DNV43" s="19"/>
      <c r="DNW43" s="19"/>
      <c r="DNX43" s="21"/>
      <c r="DNY43" s="19"/>
      <c r="DOH43" s="19"/>
      <c r="DOI43" s="19"/>
      <c r="DOJ43" s="19"/>
      <c r="DOK43" s="19"/>
      <c r="DOL43" s="21"/>
      <c r="DOM43" s="19"/>
      <c r="DOV43" s="19"/>
      <c r="DOW43" s="19"/>
      <c r="DOX43" s="19"/>
      <c r="DOY43" s="19"/>
      <c r="DOZ43" s="21"/>
      <c r="DPA43" s="19"/>
      <c r="DPJ43" s="19"/>
      <c r="DPK43" s="19"/>
      <c r="DPL43" s="19"/>
      <c r="DPM43" s="19"/>
      <c r="DPN43" s="21"/>
      <c r="DPO43" s="19"/>
      <c r="DPX43" s="19"/>
      <c r="DPY43" s="19"/>
      <c r="DPZ43" s="19"/>
      <c r="DQA43" s="19"/>
      <c r="DQB43" s="21"/>
      <c r="DQC43" s="19"/>
      <c r="DQL43" s="19"/>
      <c r="DQM43" s="19"/>
      <c r="DQN43" s="19"/>
      <c r="DQO43" s="19"/>
      <c r="DQP43" s="21"/>
      <c r="DQQ43" s="19"/>
      <c r="DQZ43" s="19"/>
      <c r="DRA43" s="19"/>
      <c r="DRB43" s="19"/>
      <c r="DRC43" s="19"/>
      <c r="DRD43" s="21"/>
      <c r="DRE43" s="19"/>
      <c r="DRN43" s="19"/>
      <c r="DRO43" s="19"/>
      <c r="DRP43" s="19"/>
      <c r="DRQ43" s="19"/>
      <c r="DRR43" s="21"/>
      <c r="DRS43" s="19"/>
      <c r="DSB43" s="19"/>
      <c r="DSC43" s="19"/>
      <c r="DSD43" s="19"/>
      <c r="DSE43" s="19"/>
      <c r="DSF43" s="21"/>
      <c r="DSG43" s="19"/>
      <c r="DSP43" s="19"/>
      <c r="DSQ43" s="19"/>
      <c r="DSR43" s="19"/>
      <c r="DSS43" s="19"/>
      <c r="DST43" s="21"/>
      <c r="DSU43" s="19"/>
      <c r="DTD43" s="19"/>
      <c r="DTE43" s="19"/>
      <c r="DTF43" s="19"/>
      <c r="DTG43" s="19"/>
      <c r="DTH43" s="21"/>
      <c r="DTI43" s="19"/>
      <c r="DTR43" s="19"/>
      <c r="DTS43" s="19"/>
      <c r="DTT43" s="19"/>
      <c r="DTU43" s="19"/>
      <c r="DTV43" s="21"/>
      <c r="DTW43" s="19"/>
      <c r="DUF43" s="19"/>
      <c r="DUG43" s="19"/>
      <c r="DUH43" s="19"/>
      <c r="DUI43" s="19"/>
      <c r="DUJ43" s="21"/>
      <c r="DUK43" s="19"/>
      <c r="DUT43" s="19"/>
      <c r="DUU43" s="19"/>
      <c r="DUV43" s="19"/>
      <c r="DUW43" s="19"/>
      <c r="DUX43" s="21"/>
      <c r="DUY43" s="19"/>
      <c r="DVH43" s="19"/>
      <c r="DVI43" s="19"/>
      <c r="DVJ43" s="19"/>
      <c r="DVK43" s="19"/>
      <c r="DVL43" s="21"/>
      <c r="DVM43" s="19"/>
      <c r="DVV43" s="19"/>
      <c r="DVW43" s="19"/>
      <c r="DVX43" s="19"/>
      <c r="DVY43" s="19"/>
      <c r="DVZ43" s="21"/>
      <c r="DWA43" s="19"/>
      <c r="DWJ43" s="19"/>
      <c r="DWK43" s="19"/>
      <c r="DWL43" s="19"/>
      <c r="DWM43" s="19"/>
      <c r="DWN43" s="21"/>
      <c r="DWO43" s="19"/>
      <c r="DWX43" s="19"/>
      <c r="DWY43" s="19"/>
      <c r="DWZ43" s="19"/>
      <c r="DXA43" s="19"/>
      <c r="DXB43" s="21"/>
      <c r="DXC43" s="19"/>
      <c r="DXL43" s="19"/>
      <c r="DXM43" s="19"/>
      <c r="DXN43" s="19"/>
      <c r="DXO43" s="19"/>
      <c r="DXP43" s="21"/>
      <c r="DXQ43" s="19"/>
      <c r="DXZ43" s="19"/>
      <c r="DYA43" s="19"/>
      <c r="DYB43" s="19"/>
      <c r="DYC43" s="19"/>
      <c r="DYD43" s="21"/>
      <c r="DYE43" s="19"/>
      <c r="DYN43" s="19"/>
      <c r="DYO43" s="19"/>
      <c r="DYP43" s="19"/>
      <c r="DYQ43" s="19"/>
      <c r="DYR43" s="21"/>
      <c r="DYS43" s="19"/>
      <c r="DZB43" s="19"/>
      <c r="DZC43" s="19"/>
      <c r="DZD43" s="19"/>
      <c r="DZE43" s="19"/>
      <c r="DZF43" s="21"/>
      <c r="DZG43" s="19"/>
      <c r="DZP43" s="19"/>
      <c r="DZQ43" s="19"/>
      <c r="DZR43" s="19"/>
      <c r="DZS43" s="19"/>
      <c r="DZT43" s="21"/>
      <c r="DZU43" s="19"/>
      <c r="EAD43" s="19"/>
      <c r="EAE43" s="19"/>
      <c r="EAF43" s="19"/>
      <c r="EAG43" s="19"/>
      <c r="EAH43" s="21"/>
      <c r="EAI43" s="19"/>
      <c r="EAR43" s="19"/>
      <c r="EAS43" s="19"/>
      <c r="EAT43" s="19"/>
      <c r="EAU43" s="19"/>
      <c r="EAV43" s="21"/>
      <c r="EAW43" s="19"/>
      <c r="EBF43" s="19"/>
      <c r="EBG43" s="19"/>
      <c r="EBH43" s="19"/>
      <c r="EBI43" s="19"/>
      <c r="EBJ43" s="21"/>
      <c r="EBK43" s="19"/>
      <c r="EBT43" s="19"/>
      <c r="EBU43" s="19"/>
      <c r="EBV43" s="19"/>
      <c r="EBW43" s="19"/>
      <c r="EBX43" s="21"/>
      <c r="EBY43" s="19"/>
      <c r="ECH43" s="19"/>
      <c r="ECI43" s="19"/>
      <c r="ECJ43" s="19"/>
      <c r="ECK43" s="19"/>
      <c r="ECL43" s="21"/>
      <c r="ECM43" s="19"/>
      <c r="ECV43" s="19"/>
      <c r="ECW43" s="19"/>
      <c r="ECX43" s="19"/>
      <c r="ECY43" s="19"/>
      <c r="ECZ43" s="21"/>
      <c r="EDA43" s="19"/>
      <c r="EDJ43" s="19"/>
      <c r="EDK43" s="19"/>
      <c r="EDL43" s="19"/>
      <c r="EDM43" s="19"/>
      <c r="EDN43" s="21"/>
      <c r="EDO43" s="19"/>
      <c r="EDX43" s="19"/>
      <c r="EDY43" s="19"/>
      <c r="EDZ43" s="19"/>
      <c r="EEA43" s="19"/>
      <c r="EEB43" s="21"/>
      <c r="EEC43" s="19"/>
      <c r="EEL43" s="19"/>
      <c r="EEM43" s="19"/>
      <c r="EEN43" s="19"/>
      <c r="EEO43" s="19"/>
      <c r="EEP43" s="21"/>
      <c r="EEQ43" s="19"/>
      <c r="EEZ43" s="19"/>
      <c r="EFA43" s="19"/>
      <c r="EFB43" s="19"/>
      <c r="EFC43" s="19"/>
      <c r="EFD43" s="21"/>
      <c r="EFE43" s="19"/>
      <c r="EFN43" s="19"/>
      <c r="EFO43" s="19"/>
      <c r="EFP43" s="19"/>
      <c r="EFQ43" s="19"/>
      <c r="EFR43" s="21"/>
      <c r="EFS43" s="19"/>
      <c r="EGB43" s="19"/>
      <c r="EGC43" s="19"/>
      <c r="EGD43" s="19"/>
      <c r="EGE43" s="19"/>
      <c r="EGF43" s="21"/>
      <c r="EGG43" s="19"/>
      <c r="EGP43" s="19"/>
      <c r="EGQ43" s="19"/>
      <c r="EGR43" s="19"/>
      <c r="EGS43" s="19"/>
      <c r="EGT43" s="21"/>
      <c r="EGU43" s="19"/>
      <c r="EHD43" s="19"/>
      <c r="EHE43" s="19"/>
      <c r="EHF43" s="19"/>
      <c r="EHG43" s="19"/>
      <c r="EHH43" s="21"/>
      <c r="EHI43" s="19"/>
      <c r="EHR43" s="19"/>
      <c r="EHS43" s="19"/>
      <c r="EHT43" s="19"/>
      <c r="EHU43" s="19"/>
      <c r="EHV43" s="21"/>
      <c r="EHW43" s="19"/>
      <c r="EIF43" s="19"/>
      <c r="EIG43" s="19"/>
      <c r="EIH43" s="19"/>
      <c r="EII43" s="19"/>
      <c r="EIJ43" s="21"/>
      <c r="EIK43" s="19"/>
      <c r="EIT43" s="19"/>
      <c r="EIU43" s="19"/>
      <c r="EIV43" s="19"/>
      <c r="EIW43" s="19"/>
      <c r="EIX43" s="21"/>
      <c r="EIY43" s="19"/>
      <c r="EJH43" s="19"/>
      <c r="EJI43" s="19"/>
      <c r="EJJ43" s="19"/>
      <c r="EJK43" s="19"/>
      <c r="EJL43" s="21"/>
      <c r="EJM43" s="19"/>
      <c r="EJV43" s="19"/>
      <c r="EJW43" s="19"/>
      <c r="EJX43" s="19"/>
      <c r="EJY43" s="19"/>
      <c r="EJZ43" s="21"/>
      <c r="EKA43" s="19"/>
      <c r="EKJ43" s="19"/>
      <c r="EKK43" s="19"/>
      <c r="EKL43" s="19"/>
      <c r="EKM43" s="19"/>
      <c r="EKN43" s="21"/>
      <c r="EKO43" s="19"/>
      <c r="EKX43" s="19"/>
      <c r="EKY43" s="19"/>
      <c r="EKZ43" s="19"/>
      <c r="ELA43" s="19"/>
      <c r="ELB43" s="21"/>
      <c r="ELC43" s="19"/>
      <c r="ELL43" s="19"/>
      <c r="ELM43" s="19"/>
      <c r="ELN43" s="19"/>
      <c r="ELO43" s="19"/>
      <c r="ELP43" s="21"/>
      <c r="ELQ43" s="19"/>
      <c r="ELZ43" s="19"/>
      <c r="EMA43" s="19"/>
      <c r="EMB43" s="19"/>
      <c r="EMC43" s="19"/>
      <c r="EMD43" s="21"/>
      <c r="EME43" s="19"/>
      <c r="EMN43" s="19"/>
      <c r="EMO43" s="19"/>
      <c r="EMP43" s="19"/>
      <c r="EMQ43" s="19"/>
      <c r="EMR43" s="21"/>
      <c r="EMS43" s="19"/>
      <c r="ENB43" s="19"/>
      <c r="ENC43" s="19"/>
      <c r="END43" s="19"/>
      <c r="ENE43" s="19"/>
      <c r="ENF43" s="21"/>
      <c r="ENG43" s="19"/>
      <c r="ENP43" s="19"/>
      <c r="ENQ43" s="19"/>
      <c r="ENR43" s="19"/>
      <c r="ENS43" s="19"/>
      <c r="ENT43" s="21"/>
      <c r="ENU43" s="19"/>
      <c r="EOD43" s="19"/>
      <c r="EOE43" s="19"/>
      <c r="EOF43" s="19"/>
      <c r="EOG43" s="19"/>
      <c r="EOH43" s="21"/>
      <c r="EOI43" s="19"/>
      <c r="EOR43" s="19"/>
      <c r="EOS43" s="19"/>
      <c r="EOT43" s="19"/>
      <c r="EOU43" s="19"/>
      <c r="EOV43" s="21"/>
      <c r="EOW43" s="19"/>
      <c r="EPF43" s="19"/>
      <c r="EPG43" s="19"/>
      <c r="EPH43" s="19"/>
      <c r="EPI43" s="19"/>
      <c r="EPJ43" s="21"/>
      <c r="EPK43" s="19"/>
      <c r="EPT43" s="19"/>
      <c r="EPU43" s="19"/>
      <c r="EPV43" s="19"/>
      <c r="EPW43" s="19"/>
      <c r="EPX43" s="21"/>
      <c r="EPY43" s="19"/>
      <c r="EQH43" s="19"/>
      <c r="EQI43" s="19"/>
      <c r="EQJ43" s="19"/>
      <c r="EQK43" s="19"/>
      <c r="EQL43" s="21"/>
      <c r="EQM43" s="19"/>
      <c r="EQV43" s="19"/>
      <c r="EQW43" s="19"/>
      <c r="EQX43" s="19"/>
      <c r="EQY43" s="19"/>
      <c r="EQZ43" s="21"/>
      <c r="ERA43" s="19"/>
      <c r="ERJ43" s="19"/>
      <c r="ERK43" s="19"/>
      <c r="ERL43" s="19"/>
      <c r="ERM43" s="19"/>
      <c r="ERN43" s="21"/>
      <c r="ERO43" s="19"/>
      <c r="ERX43" s="19"/>
      <c r="ERY43" s="19"/>
      <c r="ERZ43" s="19"/>
      <c r="ESA43" s="19"/>
      <c r="ESB43" s="21"/>
      <c r="ESC43" s="19"/>
      <c r="ESL43" s="19"/>
      <c r="ESM43" s="19"/>
      <c r="ESN43" s="19"/>
      <c r="ESO43" s="19"/>
      <c r="ESP43" s="21"/>
      <c r="ESQ43" s="19"/>
      <c r="ESZ43" s="19"/>
      <c r="ETA43" s="19"/>
      <c r="ETB43" s="19"/>
      <c r="ETC43" s="19"/>
      <c r="ETD43" s="21"/>
      <c r="ETE43" s="19"/>
      <c r="ETN43" s="19"/>
      <c r="ETO43" s="19"/>
      <c r="ETP43" s="19"/>
      <c r="ETQ43" s="19"/>
      <c r="ETR43" s="21"/>
      <c r="ETS43" s="19"/>
      <c r="EUB43" s="19"/>
      <c r="EUC43" s="19"/>
      <c r="EUD43" s="19"/>
      <c r="EUE43" s="19"/>
      <c r="EUF43" s="21"/>
      <c r="EUG43" s="19"/>
      <c r="EUP43" s="19"/>
      <c r="EUQ43" s="19"/>
      <c r="EUR43" s="19"/>
      <c r="EUS43" s="19"/>
      <c r="EUT43" s="21"/>
      <c r="EUU43" s="19"/>
      <c r="EVD43" s="19"/>
      <c r="EVE43" s="19"/>
      <c r="EVF43" s="19"/>
      <c r="EVG43" s="19"/>
      <c r="EVH43" s="21"/>
      <c r="EVI43" s="19"/>
      <c r="EVR43" s="19"/>
      <c r="EVS43" s="19"/>
      <c r="EVT43" s="19"/>
      <c r="EVU43" s="19"/>
      <c r="EVV43" s="21"/>
      <c r="EVW43" s="19"/>
      <c r="EWF43" s="19"/>
      <c r="EWG43" s="19"/>
      <c r="EWH43" s="19"/>
      <c r="EWI43" s="19"/>
      <c r="EWJ43" s="21"/>
      <c r="EWK43" s="19"/>
      <c r="EWT43" s="19"/>
      <c r="EWU43" s="19"/>
      <c r="EWV43" s="19"/>
      <c r="EWW43" s="19"/>
      <c r="EWX43" s="21"/>
      <c r="EWY43" s="19"/>
      <c r="EXH43" s="19"/>
      <c r="EXI43" s="19"/>
      <c r="EXJ43" s="19"/>
      <c r="EXK43" s="19"/>
      <c r="EXL43" s="21"/>
      <c r="EXM43" s="19"/>
      <c r="EXV43" s="19"/>
      <c r="EXW43" s="19"/>
      <c r="EXX43" s="19"/>
      <c r="EXY43" s="19"/>
      <c r="EXZ43" s="21"/>
      <c r="EYA43" s="19"/>
      <c r="EYJ43" s="19"/>
      <c r="EYK43" s="19"/>
      <c r="EYL43" s="19"/>
      <c r="EYM43" s="19"/>
      <c r="EYN43" s="21"/>
      <c r="EYO43" s="19"/>
      <c r="EYX43" s="19"/>
      <c r="EYY43" s="19"/>
      <c r="EYZ43" s="19"/>
      <c r="EZA43" s="19"/>
      <c r="EZB43" s="21"/>
      <c r="EZC43" s="19"/>
      <c r="EZL43" s="19"/>
      <c r="EZM43" s="19"/>
      <c r="EZN43" s="19"/>
      <c r="EZO43" s="19"/>
      <c r="EZP43" s="21"/>
      <c r="EZQ43" s="19"/>
      <c r="EZZ43" s="19"/>
      <c r="FAA43" s="19"/>
      <c r="FAB43" s="19"/>
      <c r="FAC43" s="19"/>
      <c r="FAD43" s="21"/>
      <c r="FAE43" s="19"/>
      <c r="FAN43" s="19"/>
      <c r="FAO43" s="19"/>
      <c r="FAP43" s="19"/>
      <c r="FAQ43" s="19"/>
      <c r="FAR43" s="21"/>
      <c r="FAS43" s="19"/>
      <c r="FBB43" s="19"/>
      <c r="FBC43" s="19"/>
      <c r="FBD43" s="19"/>
      <c r="FBE43" s="19"/>
      <c r="FBF43" s="21"/>
      <c r="FBG43" s="19"/>
      <c r="FBP43" s="19"/>
      <c r="FBQ43" s="19"/>
      <c r="FBR43" s="19"/>
      <c r="FBS43" s="19"/>
      <c r="FBT43" s="21"/>
      <c r="FBU43" s="19"/>
      <c r="FCD43" s="19"/>
      <c r="FCE43" s="19"/>
      <c r="FCF43" s="19"/>
      <c r="FCG43" s="19"/>
      <c r="FCH43" s="21"/>
      <c r="FCI43" s="19"/>
      <c r="FCR43" s="19"/>
      <c r="FCS43" s="19"/>
      <c r="FCT43" s="19"/>
      <c r="FCU43" s="19"/>
      <c r="FCV43" s="21"/>
      <c r="FCW43" s="19"/>
      <c r="FDF43" s="19"/>
      <c r="FDG43" s="19"/>
      <c r="FDH43" s="19"/>
      <c r="FDI43" s="19"/>
      <c r="FDJ43" s="21"/>
      <c r="FDK43" s="19"/>
      <c r="FDT43" s="19"/>
      <c r="FDU43" s="19"/>
      <c r="FDV43" s="19"/>
      <c r="FDW43" s="19"/>
      <c r="FDX43" s="21"/>
      <c r="FDY43" s="19"/>
      <c r="FEH43" s="19"/>
      <c r="FEI43" s="19"/>
      <c r="FEJ43" s="19"/>
      <c r="FEK43" s="19"/>
      <c r="FEL43" s="21"/>
      <c r="FEM43" s="19"/>
      <c r="FEV43" s="19"/>
      <c r="FEW43" s="19"/>
      <c r="FEX43" s="19"/>
      <c r="FEY43" s="19"/>
      <c r="FEZ43" s="21"/>
      <c r="FFA43" s="19"/>
      <c r="FFJ43" s="19"/>
      <c r="FFK43" s="19"/>
      <c r="FFL43" s="19"/>
      <c r="FFM43" s="19"/>
      <c r="FFN43" s="21"/>
      <c r="FFO43" s="19"/>
      <c r="FFX43" s="19"/>
      <c r="FFY43" s="19"/>
      <c r="FFZ43" s="19"/>
      <c r="FGA43" s="19"/>
      <c r="FGB43" s="21"/>
      <c r="FGC43" s="19"/>
      <c r="FGL43" s="19"/>
      <c r="FGM43" s="19"/>
      <c r="FGN43" s="19"/>
      <c r="FGO43" s="19"/>
      <c r="FGP43" s="21"/>
      <c r="FGQ43" s="19"/>
      <c r="FGZ43" s="19"/>
      <c r="FHA43" s="19"/>
      <c r="FHB43" s="19"/>
      <c r="FHC43" s="19"/>
      <c r="FHD43" s="21"/>
      <c r="FHE43" s="19"/>
      <c r="FHN43" s="19"/>
      <c r="FHO43" s="19"/>
      <c r="FHP43" s="19"/>
      <c r="FHQ43" s="19"/>
      <c r="FHR43" s="21"/>
      <c r="FHS43" s="19"/>
      <c r="FIB43" s="19"/>
      <c r="FIC43" s="19"/>
      <c r="FID43" s="19"/>
      <c r="FIE43" s="19"/>
      <c r="FIF43" s="21"/>
      <c r="FIG43" s="19"/>
      <c r="FIP43" s="19"/>
      <c r="FIQ43" s="19"/>
      <c r="FIR43" s="19"/>
      <c r="FIS43" s="19"/>
      <c r="FIT43" s="21"/>
      <c r="FIU43" s="19"/>
      <c r="FJD43" s="19"/>
      <c r="FJE43" s="19"/>
      <c r="FJF43" s="19"/>
      <c r="FJG43" s="19"/>
      <c r="FJH43" s="21"/>
      <c r="FJI43" s="19"/>
      <c r="FJR43" s="19"/>
      <c r="FJS43" s="19"/>
      <c r="FJT43" s="19"/>
      <c r="FJU43" s="19"/>
      <c r="FJV43" s="21"/>
      <c r="FJW43" s="19"/>
      <c r="FKF43" s="19"/>
      <c r="FKG43" s="19"/>
      <c r="FKH43" s="19"/>
      <c r="FKI43" s="19"/>
      <c r="FKJ43" s="21"/>
      <c r="FKK43" s="19"/>
      <c r="FKT43" s="19"/>
      <c r="FKU43" s="19"/>
      <c r="FKV43" s="19"/>
      <c r="FKW43" s="19"/>
      <c r="FKX43" s="21"/>
      <c r="FKY43" s="19"/>
      <c r="FLH43" s="19"/>
      <c r="FLI43" s="19"/>
      <c r="FLJ43" s="19"/>
      <c r="FLK43" s="19"/>
      <c r="FLL43" s="21"/>
      <c r="FLM43" s="19"/>
      <c r="FLV43" s="19"/>
      <c r="FLW43" s="19"/>
      <c r="FLX43" s="19"/>
      <c r="FLY43" s="19"/>
      <c r="FLZ43" s="21"/>
      <c r="FMA43" s="19"/>
      <c r="FMJ43" s="19"/>
      <c r="FMK43" s="19"/>
      <c r="FML43" s="19"/>
      <c r="FMM43" s="19"/>
      <c r="FMN43" s="21"/>
      <c r="FMO43" s="19"/>
      <c r="FMX43" s="19"/>
      <c r="FMY43" s="19"/>
      <c r="FMZ43" s="19"/>
      <c r="FNA43" s="19"/>
      <c r="FNB43" s="21"/>
      <c r="FNC43" s="19"/>
      <c r="FNL43" s="19"/>
      <c r="FNM43" s="19"/>
      <c r="FNN43" s="19"/>
      <c r="FNO43" s="19"/>
      <c r="FNP43" s="21"/>
      <c r="FNQ43" s="19"/>
      <c r="FNZ43" s="19"/>
      <c r="FOA43" s="19"/>
      <c r="FOB43" s="19"/>
      <c r="FOC43" s="19"/>
      <c r="FOD43" s="21"/>
      <c r="FOE43" s="19"/>
      <c r="FON43" s="19"/>
      <c r="FOO43" s="19"/>
      <c r="FOP43" s="19"/>
      <c r="FOQ43" s="19"/>
      <c r="FOR43" s="21"/>
      <c r="FOS43" s="19"/>
      <c r="FPB43" s="19"/>
      <c r="FPC43" s="19"/>
      <c r="FPD43" s="19"/>
      <c r="FPE43" s="19"/>
      <c r="FPF43" s="21"/>
      <c r="FPG43" s="19"/>
      <c r="FPP43" s="19"/>
      <c r="FPQ43" s="19"/>
      <c r="FPR43" s="19"/>
      <c r="FPS43" s="19"/>
      <c r="FPT43" s="21"/>
      <c r="FPU43" s="19"/>
      <c r="FQD43" s="19"/>
      <c r="FQE43" s="19"/>
      <c r="FQF43" s="19"/>
      <c r="FQG43" s="19"/>
      <c r="FQH43" s="21"/>
      <c r="FQI43" s="19"/>
      <c r="FQR43" s="19"/>
      <c r="FQS43" s="19"/>
      <c r="FQT43" s="19"/>
      <c r="FQU43" s="19"/>
      <c r="FQV43" s="21"/>
      <c r="FQW43" s="19"/>
      <c r="FRF43" s="19"/>
      <c r="FRG43" s="19"/>
      <c r="FRH43" s="19"/>
      <c r="FRI43" s="19"/>
      <c r="FRJ43" s="21"/>
      <c r="FRK43" s="19"/>
      <c r="FRT43" s="19"/>
      <c r="FRU43" s="19"/>
      <c r="FRV43" s="19"/>
      <c r="FRW43" s="19"/>
      <c r="FRX43" s="21"/>
      <c r="FRY43" s="19"/>
      <c r="FSH43" s="19"/>
      <c r="FSI43" s="19"/>
      <c r="FSJ43" s="19"/>
      <c r="FSK43" s="19"/>
      <c r="FSL43" s="21"/>
      <c r="FSM43" s="19"/>
      <c r="FSV43" s="19"/>
      <c r="FSW43" s="19"/>
      <c r="FSX43" s="19"/>
      <c r="FSY43" s="19"/>
      <c r="FSZ43" s="21"/>
      <c r="FTA43" s="19"/>
      <c r="FTJ43" s="19"/>
      <c r="FTK43" s="19"/>
      <c r="FTL43" s="19"/>
      <c r="FTM43" s="19"/>
      <c r="FTN43" s="21"/>
      <c r="FTO43" s="19"/>
      <c r="FTX43" s="19"/>
      <c r="FTY43" s="19"/>
      <c r="FTZ43" s="19"/>
      <c r="FUA43" s="19"/>
      <c r="FUB43" s="21"/>
      <c r="FUC43" s="19"/>
      <c r="FUL43" s="19"/>
      <c r="FUM43" s="19"/>
      <c r="FUN43" s="19"/>
      <c r="FUO43" s="19"/>
      <c r="FUP43" s="21"/>
      <c r="FUQ43" s="19"/>
      <c r="FUZ43" s="19"/>
      <c r="FVA43" s="19"/>
      <c r="FVB43" s="19"/>
      <c r="FVC43" s="19"/>
      <c r="FVD43" s="21"/>
      <c r="FVE43" s="19"/>
      <c r="FVN43" s="19"/>
      <c r="FVO43" s="19"/>
      <c r="FVP43" s="19"/>
      <c r="FVQ43" s="19"/>
      <c r="FVR43" s="21"/>
      <c r="FVS43" s="19"/>
      <c r="FWB43" s="19"/>
      <c r="FWC43" s="19"/>
      <c r="FWD43" s="19"/>
      <c r="FWE43" s="19"/>
      <c r="FWF43" s="21"/>
      <c r="FWG43" s="19"/>
      <c r="FWP43" s="19"/>
      <c r="FWQ43" s="19"/>
      <c r="FWR43" s="19"/>
      <c r="FWS43" s="19"/>
      <c r="FWT43" s="21"/>
      <c r="FWU43" s="19"/>
      <c r="FXD43" s="19"/>
      <c r="FXE43" s="19"/>
      <c r="FXF43" s="19"/>
      <c r="FXG43" s="19"/>
      <c r="FXH43" s="21"/>
      <c r="FXI43" s="19"/>
      <c r="FXR43" s="19"/>
      <c r="FXS43" s="19"/>
      <c r="FXT43" s="19"/>
      <c r="FXU43" s="19"/>
      <c r="FXV43" s="21"/>
      <c r="FXW43" s="19"/>
      <c r="FYF43" s="19"/>
      <c r="FYG43" s="19"/>
      <c r="FYH43" s="19"/>
      <c r="FYI43" s="19"/>
      <c r="FYJ43" s="21"/>
      <c r="FYK43" s="19"/>
      <c r="FYT43" s="19"/>
      <c r="FYU43" s="19"/>
      <c r="FYV43" s="19"/>
      <c r="FYW43" s="19"/>
      <c r="FYX43" s="21"/>
      <c r="FYY43" s="19"/>
      <c r="FZH43" s="19"/>
      <c r="FZI43" s="19"/>
      <c r="FZJ43" s="19"/>
      <c r="FZK43" s="19"/>
      <c r="FZL43" s="21"/>
      <c r="FZM43" s="19"/>
      <c r="FZV43" s="19"/>
      <c r="FZW43" s="19"/>
      <c r="FZX43" s="19"/>
      <c r="FZY43" s="19"/>
      <c r="FZZ43" s="21"/>
      <c r="GAA43" s="19"/>
      <c r="GAJ43" s="19"/>
      <c r="GAK43" s="19"/>
      <c r="GAL43" s="19"/>
      <c r="GAM43" s="19"/>
      <c r="GAN43" s="21"/>
      <c r="GAO43" s="19"/>
      <c r="GAX43" s="19"/>
      <c r="GAY43" s="19"/>
      <c r="GAZ43" s="19"/>
      <c r="GBA43" s="19"/>
      <c r="GBB43" s="21"/>
      <c r="GBC43" s="19"/>
      <c r="GBL43" s="19"/>
      <c r="GBM43" s="19"/>
      <c r="GBN43" s="19"/>
      <c r="GBO43" s="19"/>
      <c r="GBP43" s="21"/>
      <c r="GBQ43" s="19"/>
      <c r="GBZ43" s="19"/>
      <c r="GCA43" s="19"/>
      <c r="GCB43" s="19"/>
      <c r="GCC43" s="19"/>
      <c r="GCD43" s="21"/>
      <c r="GCE43" s="19"/>
      <c r="GCN43" s="19"/>
      <c r="GCO43" s="19"/>
      <c r="GCP43" s="19"/>
      <c r="GCQ43" s="19"/>
      <c r="GCR43" s="21"/>
      <c r="GCS43" s="19"/>
      <c r="GDB43" s="19"/>
      <c r="GDC43" s="19"/>
      <c r="GDD43" s="19"/>
      <c r="GDE43" s="19"/>
      <c r="GDF43" s="21"/>
      <c r="GDG43" s="19"/>
      <c r="GDP43" s="19"/>
      <c r="GDQ43" s="19"/>
      <c r="GDR43" s="19"/>
      <c r="GDS43" s="19"/>
      <c r="GDT43" s="21"/>
      <c r="GDU43" s="19"/>
      <c r="GED43" s="19"/>
      <c r="GEE43" s="19"/>
      <c r="GEF43" s="19"/>
      <c r="GEG43" s="19"/>
      <c r="GEH43" s="21"/>
      <c r="GEI43" s="19"/>
      <c r="GER43" s="19"/>
      <c r="GES43" s="19"/>
      <c r="GET43" s="19"/>
      <c r="GEU43" s="19"/>
      <c r="GEV43" s="21"/>
      <c r="GEW43" s="19"/>
      <c r="GFF43" s="19"/>
      <c r="GFG43" s="19"/>
      <c r="GFH43" s="19"/>
      <c r="GFI43" s="19"/>
      <c r="GFJ43" s="21"/>
      <c r="GFK43" s="19"/>
      <c r="GFT43" s="19"/>
      <c r="GFU43" s="19"/>
      <c r="GFV43" s="19"/>
      <c r="GFW43" s="19"/>
      <c r="GFX43" s="21"/>
      <c r="GFY43" s="19"/>
      <c r="GGH43" s="19"/>
      <c r="GGI43" s="19"/>
      <c r="GGJ43" s="19"/>
      <c r="GGK43" s="19"/>
      <c r="GGL43" s="21"/>
      <c r="GGM43" s="19"/>
      <c r="GGV43" s="19"/>
      <c r="GGW43" s="19"/>
      <c r="GGX43" s="19"/>
      <c r="GGY43" s="19"/>
      <c r="GGZ43" s="21"/>
      <c r="GHA43" s="19"/>
      <c r="GHJ43" s="19"/>
      <c r="GHK43" s="19"/>
      <c r="GHL43" s="19"/>
      <c r="GHM43" s="19"/>
      <c r="GHN43" s="21"/>
      <c r="GHO43" s="19"/>
      <c r="GHX43" s="19"/>
      <c r="GHY43" s="19"/>
      <c r="GHZ43" s="19"/>
      <c r="GIA43" s="19"/>
      <c r="GIB43" s="21"/>
      <c r="GIC43" s="19"/>
      <c r="GIL43" s="19"/>
      <c r="GIM43" s="19"/>
      <c r="GIN43" s="19"/>
      <c r="GIO43" s="19"/>
      <c r="GIP43" s="21"/>
      <c r="GIQ43" s="19"/>
      <c r="GIZ43" s="19"/>
      <c r="GJA43" s="19"/>
      <c r="GJB43" s="19"/>
      <c r="GJC43" s="19"/>
      <c r="GJD43" s="21"/>
      <c r="GJE43" s="19"/>
      <c r="GJN43" s="19"/>
      <c r="GJO43" s="19"/>
      <c r="GJP43" s="19"/>
      <c r="GJQ43" s="19"/>
      <c r="GJR43" s="21"/>
      <c r="GJS43" s="19"/>
      <c r="GKB43" s="19"/>
      <c r="GKC43" s="19"/>
      <c r="GKD43" s="19"/>
      <c r="GKE43" s="19"/>
      <c r="GKF43" s="21"/>
      <c r="GKG43" s="19"/>
      <c r="GKP43" s="19"/>
      <c r="GKQ43" s="19"/>
      <c r="GKR43" s="19"/>
      <c r="GKS43" s="19"/>
      <c r="GKT43" s="21"/>
      <c r="GKU43" s="19"/>
      <c r="GLD43" s="19"/>
      <c r="GLE43" s="19"/>
      <c r="GLF43" s="19"/>
      <c r="GLG43" s="19"/>
      <c r="GLH43" s="21"/>
      <c r="GLI43" s="19"/>
      <c r="GLR43" s="19"/>
      <c r="GLS43" s="19"/>
      <c r="GLT43" s="19"/>
      <c r="GLU43" s="19"/>
      <c r="GLV43" s="21"/>
      <c r="GLW43" s="19"/>
      <c r="GMF43" s="19"/>
      <c r="GMG43" s="19"/>
      <c r="GMH43" s="19"/>
      <c r="GMI43" s="19"/>
      <c r="GMJ43" s="21"/>
      <c r="GMK43" s="19"/>
      <c r="GMT43" s="19"/>
      <c r="GMU43" s="19"/>
      <c r="GMV43" s="19"/>
      <c r="GMW43" s="19"/>
      <c r="GMX43" s="21"/>
      <c r="GMY43" s="19"/>
      <c r="GNH43" s="19"/>
      <c r="GNI43" s="19"/>
      <c r="GNJ43" s="19"/>
      <c r="GNK43" s="19"/>
      <c r="GNL43" s="21"/>
      <c r="GNM43" s="19"/>
      <c r="GNV43" s="19"/>
      <c r="GNW43" s="19"/>
      <c r="GNX43" s="19"/>
      <c r="GNY43" s="19"/>
      <c r="GNZ43" s="21"/>
      <c r="GOA43" s="19"/>
      <c r="GOJ43" s="19"/>
      <c r="GOK43" s="19"/>
      <c r="GOL43" s="19"/>
      <c r="GOM43" s="19"/>
      <c r="GON43" s="21"/>
      <c r="GOO43" s="19"/>
      <c r="GOX43" s="19"/>
      <c r="GOY43" s="19"/>
      <c r="GOZ43" s="19"/>
      <c r="GPA43" s="19"/>
      <c r="GPB43" s="21"/>
      <c r="GPC43" s="19"/>
      <c r="GPL43" s="19"/>
      <c r="GPM43" s="19"/>
      <c r="GPN43" s="19"/>
      <c r="GPO43" s="19"/>
      <c r="GPP43" s="21"/>
      <c r="GPQ43" s="19"/>
      <c r="GPZ43" s="19"/>
      <c r="GQA43" s="19"/>
      <c r="GQB43" s="19"/>
      <c r="GQC43" s="19"/>
      <c r="GQD43" s="21"/>
      <c r="GQE43" s="19"/>
      <c r="GQN43" s="19"/>
      <c r="GQO43" s="19"/>
      <c r="GQP43" s="19"/>
      <c r="GQQ43" s="19"/>
      <c r="GQR43" s="21"/>
      <c r="GQS43" s="19"/>
      <c r="GRB43" s="19"/>
      <c r="GRC43" s="19"/>
      <c r="GRD43" s="19"/>
      <c r="GRE43" s="19"/>
      <c r="GRF43" s="21"/>
      <c r="GRG43" s="19"/>
      <c r="GRP43" s="19"/>
      <c r="GRQ43" s="19"/>
      <c r="GRR43" s="19"/>
      <c r="GRS43" s="19"/>
      <c r="GRT43" s="21"/>
      <c r="GRU43" s="19"/>
      <c r="GSD43" s="19"/>
      <c r="GSE43" s="19"/>
      <c r="GSF43" s="19"/>
      <c r="GSG43" s="19"/>
      <c r="GSH43" s="21"/>
      <c r="GSI43" s="19"/>
      <c r="GSR43" s="19"/>
      <c r="GSS43" s="19"/>
      <c r="GST43" s="19"/>
      <c r="GSU43" s="19"/>
      <c r="GSV43" s="21"/>
      <c r="GSW43" s="19"/>
      <c r="GTF43" s="19"/>
      <c r="GTG43" s="19"/>
      <c r="GTH43" s="19"/>
      <c r="GTI43" s="19"/>
      <c r="GTJ43" s="21"/>
      <c r="GTK43" s="19"/>
      <c r="GTT43" s="19"/>
      <c r="GTU43" s="19"/>
      <c r="GTV43" s="19"/>
      <c r="GTW43" s="19"/>
      <c r="GTX43" s="21"/>
      <c r="GTY43" s="19"/>
      <c r="GUH43" s="19"/>
      <c r="GUI43" s="19"/>
      <c r="GUJ43" s="19"/>
      <c r="GUK43" s="19"/>
      <c r="GUL43" s="21"/>
      <c r="GUM43" s="19"/>
      <c r="GUV43" s="19"/>
      <c r="GUW43" s="19"/>
      <c r="GUX43" s="19"/>
      <c r="GUY43" s="19"/>
      <c r="GUZ43" s="21"/>
      <c r="GVA43" s="19"/>
      <c r="GVJ43" s="19"/>
      <c r="GVK43" s="19"/>
      <c r="GVL43" s="19"/>
      <c r="GVM43" s="19"/>
      <c r="GVN43" s="21"/>
      <c r="GVO43" s="19"/>
      <c r="GVX43" s="19"/>
      <c r="GVY43" s="19"/>
      <c r="GVZ43" s="19"/>
      <c r="GWA43" s="19"/>
      <c r="GWB43" s="21"/>
      <c r="GWC43" s="19"/>
      <c r="GWL43" s="19"/>
      <c r="GWM43" s="19"/>
      <c r="GWN43" s="19"/>
      <c r="GWO43" s="19"/>
      <c r="GWP43" s="21"/>
      <c r="GWQ43" s="19"/>
      <c r="GWZ43" s="19"/>
      <c r="GXA43" s="19"/>
      <c r="GXB43" s="19"/>
      <c r="GXC43" s="19"/>
      <c r="GXD43" s="21"/>
      <c r="GXE43" s="19"/>
      <c r="GXN43" s="19"/>
      <c r="GXO43" s="19"/>
      <c r="GXP43" s="19"/>
      <c r="GXQ43" s="19"/>
      <c r="GXR43" s="21"/>
      <c r="GXS43" s="19"/>
      <c r="GYB43" s="19"/>
      <c r="GYC43" s="19"/>
      <c r="GYD43" s="19"/>
      <c r="GYE43" s="19"/>
      <c r="GYF43" s="21"/>
      <c r="GYG43" s="19"/>
      <c r="GYP43" s="19"/>
      <c r="GYQ43" s="19"/>
      <c r="GYR43" s="19"/>
      <c r="GYS43" s="19"/>
      <c r="GYT43" s="21"/>
      <c r="GYU43" s="19"/>
      <c r="GZD43" s="19"/>
      <c r="GZE43" s="19"/>
      <c r="GZF43" s="19"/>
      <c r="GZG43" s="19"/>
      <c r="GZH43" s="21"/>
      <c r="GZI43" s="19"/>
      <c r="GZR43" s="19"/>
      <c r="GZS43" s="19"/>
      <c r="GZT43" s="19"/>
      <c r="GZU43" s="19"/>
      <c r="GZV43" s="21"/>
      <c r="GZW43" s="19"/>
      <c r="HAF43" s="19"/>
      <c r="HAG43" s="19"/>
      <c r="HAH43" s="19"/>
      <c r="HAI43" s="19"/>
      <c r="HAJ43" s="21"/>
      <c r="HAK43" s="19"/>
      <c r="HAT43" s="19"/>
      <c r="HAU43" s="19"/>
      <c r="HAV43" s="19"/>
      <c r="HAW43" s="19"/>
      <c r="HAX43" s="21"/>
      <c r="HAY43" s="19"/>
      <c r="HBH43" s="19"/>
      <c r="HBI43" s="19"/>
      <c r="HBJ43" s="19"/>
      <c r="HBK43" s="19"/>
      <c r="HBL43" s="21"/>
      <c r="HBM43" s="19"/>
      <c r="HBV43" s="19"/>
      <c r="HBW43" s="19"/>
      <c r="HBX43" s="19"/>
      <c r="HBY43" s="19"/>
      <c r="HBZ43" s="21"/>
      <c r="HCA43" s="19"/>
      <c r="HCJ43" s="19"/>
      <c r="HCK43" s="19"/>
      <c r="HCL43" s="19"/>
      <c r="HCM43" s="19"/>
      <c r="HCN43" s="21"/>
      <c r="HCO43" s="19"/>
      <c r="HCX43" s="19"/>
      <c r="HCY43" s="19"/>
      <c r="HCZ43" s="19"/>
      <c r="HDA43" s="19"/>
      <c r="HDB43" s="21"/>
      <c r="HDC43" s="19"/>
      <c r="HDL43" s="19"/>
      <c r="HDM43" s="19"/>
      <c r="HDN43" s="19"/>
      <c r="HDO43" s="19"/>
      <c r="HDP43" s="21"/>
      <c r="HDQ43" s="19"/>
      <c r="HDZ43" s="19"/>
      <c r="HEA43" s="19"/>
      <c r="HEB43" s="19"/>
      <c r="HEC43" s="19"/>
      <c r="HED43" s="21"/>
      <c r="HEE43" s="19"/>
      <c r="HEN43" s="19"/>
      <c r="HEO43" s="19"/>
      <c r="HEP43" s="19"/>
      <c r="HEQ43" s="19"/>
      <c r="HER43" s="21"/>
      <c r="HES43" s="19"/>
      <c r="HFB43" s="19"/>
      <c r="HFC43" s="19"/>
      <c r="HFD43" s="19"/>
      <c r="HFE43" s="19"/>
      <c r="HFF43" s="21"/>
      <c r="HFG43" s="19"/>
      <c r="HFP43" s="19"/>
      <c r="HFQ43" s="19"/>
      <c r="HFR43" s="19"/>
      <c r="HFS43" s="19"/>
      <c r="HFT43" s="21"/>
      <c r="HFU43" s="19"/>
      <c r="HGD43" s="19"/>
      <c r="HGE43" s="19"/>
      <c r="HGF43" s="19"/>
      <c r="HGG43" s="19"/>
      <c r="HGH43" s="21"/>
      <c r="HGI43" s="19"/>
      <c r="HGR43" s="19"/>
      <c r="HGS43" s="19"/>
      <c r="HGT43" s="19"/>
      <c r="HGU43" s="19"/>
      <c r="HGV43" s="21"/>
      <c r="HGW43" s="19"/>
      <c r="HHF43" s="19"/>
      <c r="HHG43" s="19"/>
      <c r="HHH43" s="19"/>
      <c r="HHI43" s="19"/>
      <c r="HHJ43" s="21"/>
      <c r="HHK43" s="19"/>
      <c r="HHT43" s="19"/>
      <c r="HHU43" s="19"/>
      <c r="HHV43" s="19"/>
      <c r="HHW43" s="19"/>
      <c r="HHX43" s="21"/>
      <c r="HHY43" s="19"/>
      <c r="HIH43" s="19"/>
      <c r="HII43" s="19"/>
      <c r="HIJ43" s="19"/>
      <c r="HIK43" s="19"/>
      <c r="HIL43" s="21"/>
      <c r="HIM43" s="19"/>
      <c r="HIV43" s="19"/>
      <c r="HIW43" s="19"/>
      <c r="HIX43" s="19"/>
      <c r="HIY43" s="19"/>
      <c r="HIZ43" s="21"/>
      <c r="HJA43" s="19"/>
      <c r="HJJ43" s="19"/>
      <c r="HJK43" s="19"/>
      <c r="HJL43" s="19"/>
      <c r="HJM43" s="19"/>
      <c r="HJN43" s="21"/>
      <c r="HJO43" s="19"/>
      <c r="HJX43" s="19"/>
      <c r="HJY43" s="19"/>
      <c r="HJZ43" s="19"/>
      <c r="HKA43" s="19"/>
      <c r="HKB43" s="21"/>
      <c r="HKC43" s="19"/>
      <c r="HKL43" s="19"/>
      <c r="HKM43" s="19"/>
      <c r="HKN43" s="19"/>
      <c r="HKO43" s="19"/>
      <c r="HKP43" s="21"/>
      <c r="HKQ43" s="19"/>
      <c r="HKZ43" s="19"/>
      <c r="HLA43" s="19"/>
      <c r="HLB43" s="19"/>
      <c r="HLC43" s="19"/>
      <c r="HLD43" s="21"/>
      <c r="HLE43" s="19"/>
      <c r="HLN43" s="19"/>
      <c r="HLO43" s="19"/>
      <c r="HLP43" s="19"/>
      <c r="HLQ43" s="19"/>
      <c r="HLR43" s="21"/>
      <c r="HLS43" s="19"/>
      <c r="HMB43" s="19"/>
      <c r="HMC43" s="19"/>
      <c r="HMD43" s="19"/>
      <c r="HME43" s="19"/>
      <c r="HMF43" s="21"/>
      <c r="HMG43" s="19"/>
      <c r="HMP43" s="19"/>
      <c r="HMQ43" s="19"/>
      <c r="HMR43" s="19"/>
      <c r="HMS43" s="19"/>
      <c r="HMT43" s="21"/>
      <c r="HMU43" s="19"/>
      <c r="HND43" s="19"/>
      <c r="HNE43" s="19"/>
      <c r="HNF43" s="19"/>
      <c r="HNG43" s="19"/>
      <c r="HNH43" s="21"/>
      <c r="HNI43" s="19"/>
      <c r="HNR43" s="19"/>
      <c r="HNS43" s="19"/>
      <c r="HNT43" s="19"/>
      <c r="HNU43" s="19"/>
      <c r="HNV43" s="21"/>
      <c r="HNW43" s="19"/>
      <c r="HOF43" s="19"/>
      <c r="HOG43" s="19"/>
      <c r="HOH43" s="19"/>
      <c r="HOI43" s="19"/>
      <c r="HOJ43" s="21"/>
      <c r="HOK43" s="19"/>
      <c r="HOT43" s="19"/>
      <c r="HOU43" s="19"/>
      <c r="HOV43" s="19"/>
      <c r="HOW43" s="19"/>
      <c r="HOX43" s="21"/>
      <c r="HOY43" s="19"/>
      <c r="HPH43" s="19"/>
      <c r="HPI43" s="19"/>
      <c r="HPJ43" s="19"/>
      <c r="HPK43" s="19"/>
      <c r="HPL43" s="21"/>
      <c r="HPM43" s="19"/>
      <c r="HPV43" s="19"/>
      <c r="HPW43" s="19"/>
      <c r="HPX43" s="19"/>
      <c r="HPY43" s="19"/>
      <c r="HPZ43" s="21"/>
      <c r="HQA43" s="19"/>
      <c r="HQJ43" s="19"/>
      <c r="HQK43" s="19"/>
      <c r="HQL43" s="19"/>
      <c r="HQM43" s="19"/>
      <c r="HQN43" s="21"/>
      <c r="HQO43" s="19"/>
      <c r="HQX43" s="19"/>
      <c r="HQY43" s="19"/>
      <c r="HQZ43" s="19"/>
      <c r="HRA43" s="19"/>
      <c r="HRB43" s="21"/>
      <c r="HRC43" s="19"/>
      <c r="HRL43" s="19"/>
      <c r="HRM43" s="19"/>
      <c r="HRN43" s="19"/>
      <c r="HRO43" s="19"/>
      <c r="HRP43" s="21"/>
      <c r="HRQ43" s="19"/>
      <c r="HRZ43" s="19"/>
      <c r="HSA43" s="19"/>
      <c r="HSB43" s="19"/>
      <c r="HSC43" s="19"/>
      <c r="HSD43" s="21"/>
      <c r="HSE43" s="19"/>
      <c r="HSN43" s="19"/>
      <c r="HSO43" s="19"/>
      <c r="HSP43" s="19"/>
      <c r="HSQ43" s="19"/>
      <c r="HSR43" s="21"/>
      <c r="HSS43" s="19"/>
      <c r="HTB43" s="19"/>
      <c r="HTC43" s="19"/>
      <c r="HTD43" s="19"/>
      <c r="HTE43" s="19"/>
      <c r="HTF43" s="21"/>
      <c r="HTG43" s="19"/>
      <c r="HTP43" s="19"/>
      <c r="HTQ43" s="19"/>
      <c r="HTR43" s="19"/>
      <c r="HTS43" s="19"/>
      <c r="HTT43" s="21"/>
      <c r="HTU43" s="19"/>
      <c r="HUD43" s="19"/>
      <c r="HUE43" s="19"/>
      <c r="HUF43" s="19"/>
      <c r="HUG43" s="19"/>
      <c r="HUH43" s="21"/>
      <c r="HUI43" s="19"/>
      <c r="HUR43" s="19"/>
      <c r="HUS43" s="19"/>
      <c r="HUT43" s="19"/>
      <c r="HUU43" s="19"/>
      <c r="HUV43" s="21"/>
      <c r="HUW43" s="19"/>
      <c r="HVF43" s="19"/>
      <c r="HVG43" s="19"/>
      <c r="HVH43" s="19"/>
      <c r="HVI43" s="19"/>
      <c r="HVJ43" s="21"/>
      <c r="HVK43" s="19"/>
      <c r="HVT43" s="19"/>
      <c r="HVU43" s="19"/>
      <c r="HVV43" s="19"/>
      <c r="HVW43" s="19"/>
      <c r="HVX43" s="21"/>
      <c r="HVY43" s="19"/>
      <c r="HWH43" s="19"/>
      <c r="HWI43" s="19"/>
      <c r="HWJ43" s="19"/>
      <c r="HWK43" s="19"/>
      <c r="HWL43" s="21"/>
      <c r="HWM43" s="19"/>
      <c r="HWV43" s="19"/>
      <c r="HWW43" s="19"/>
      <c r="HWX43" s="19"/>
      <c r="HWY43" s="19"/>
      <c r="HWZ43" s="21"/>
      <c r="HXA43" s="19"/>
      <c r="HXJ43" s="19"/>
      <c r="HXK43" s="19"/>
      <c r="HXL43" s="19"/>
      <c r="HXM43" s="19"/>
      <c r="HXN43" s="21"/>
      <c r="HXO43" s="19"/>
      <c r="HXX43" s="19"/>
      <c r="HXY43" s="19"/>
      <c r="HXZ43" s="19"/>
      <c r="HYA43" s="19"/>
      <c r="HYB43" s="21"/>
      <c r="HYC43" s="19"/>
      <c r="HYL43" s="19"/>
      <c r="HYM43" s="19"/>
      <c r="HYN43" s="19"/>
      <c r="HYO43" s="19"/>
      <c r="HYP43" s="21"/>
      <c r="HYQ43" s="19"/>
      <c r="HYZ43" s="19"/>
      <c r="HZA43" s="19"/>
      <c r="HZB43" s="19"/>
      <c r="HZC43" s="19"/>
      <c r="HZD43" s="21"/>
      <c r="HZE43" s="19"/>
      <c r="HZN43" s="19"/>
      <c r="HZO43" s="19"/>
      <c r="HZP43" s="19"/>
      <c r="HZQ43" s="19"/>
      <c r="HZR43" s="21"/>
      <c r="HZS43" s="19"/>
      <c r="IAB43" s="19"/>
      <c r="IAC43" s="19"/>
      <c r="IAD43" s="19"/>
      <c r="IAE43" s="19"/>
      <c r="IAF43" s="21"/>
      <c r="IAG43" s="19"/>
      <c r="IAP43" s="19"/>
      <c r="IAQ43" s="19"/>
      <c r="IAR43" s="19"/>
      <c r="IAS43" s="19"/>
      <c r="IAT43" s="21"/>
      <c r="IAU43" s="19"/>
      <c r="IBD43" s="19"/>
      <c r="IBE43" s="19"/>
      <c r="IBF43" s="19"/>
      <c r="IBG43" s="19"/>
      <c r="IBH43" s="21"/>
      <c r="IBI43" s="19"/>
      <c r="IBR43" s="19"/>
      <c r="IBS43" s="19"/>
      <c r="IBT43" s="19"/>
      <c r="IBU43" s="19"/>
      <c r="IBV43" s="21"/>
      <c r="IBW43" s="19"/>
      <c r="ICF43" s="19"/>
      <c r="ICG43" s="19"/>
      <c r="ICH43" s="19"/>
      <c r="ICI43" s="19"/>
      <c r="ICJ43" s="21"/>
      <c r="ICK43" s="19"/>
      <c r="ICT43" s="19"/>
      <c r="ICU43" s="19"/>
      <c r="ICV43" s="19"/>
      <c r="ICW43" s="19"/>
      <c r="ICX43" s="21"/>
      <c r="ICY43" s="19"/>
      <c r="IDH43" s="19"/>
      <c r="IDI43" s="19"/>
      <c r="IDJ43" s="19"/>
      <c r="IDK43" s="19"/>
      <c r="IDL43" s="21"/>
      <c r="IDM43" s="19"/>
      <c r="IDV43" s="19"/>
      <c r="IDW43" s="19"/>
      <c r="IDX43" s="19"/>
      <c r="IDY43" s="19"/>
      <c r="IDZ43" s="21"/>
      <c r="IEA43" s="19"/>
      <c r="IEJ43" s="19"/>
      <c r="IEK43" s="19"/>
      <c r="IEL43" s="19"/>
      <c r="IEM43" s="19"/>
      <c r="IEN43" s="21"/>
      <c r="IEO43" s="19"/>
      <c r="IEX43" s="19"/>
      <c r="IEY43" s="19"/>
      <c r="IEZ43" s="19"/>
      <c r="IFA43" s="19"/>
      <c r="IFB43" s="21"/>
      <c r="IFC43" s="19"/>
      <c r="IFL43" s="19"/>
      <c r="IFM43" s="19"/>
      <c r="IFN43" s="19"/>
      <c r="IFO43" s="19"/>
      <c r="IFP43" s="21"/>
      <c r="IFQ43" s="19"/>
      <c r="IFZ43" s="19"/>
      <c r="IGA43" s="19"/>
      <c r="IGB43" s="19"/>
      <c r="IGC43" s="19"/>
      <c r="IGD43" s="21"/>
      <c r="IGE43" s="19"/>
      <c r="IGN43" s="19"/>
      <c r="IGO43" s="19"/>
      <c r="IGP43" s="19"/>
      <c r="IGQ43" s="19"/>
      <c r="IGR43" s="21"/>
      <c r="IGS43" s="19"/>
      <c r="IHB43" s="19"/>
      <c r="IHC43" s="19"/>
      <c r="IHD43" s="19"/>
      <c r="IHE43" s="19"/>
      <c r="IHF43" s="21"/>
      <c r="IHG43" s="19"/>
      <c r="IHP43" s="19"/>
      <c r="IHQ43" s="19"/>
      <c r="IHR43" s="19"/>
      <c r="IHS43" s="19"/>
      <c r="IHT43" s="21"/>
      <c r="IHU43" s="19"/>
      <c r="IID43" s="19"/>
      <c r="IIE43" s="19"/>
      <c r="IIF43" s="19"/>
      <c r="IIG43" s="19"/>
      <c r="IIH43" s="21"/>
      <c r="III43" s="19"/>
      <c r="IIR43" s="19"/>
      <c r="IIS43" s="19"/>
      <c r="IIT43" s="19"/>
      <c r="IIU43" s="19"/>
      <c r="IIV43" s="21"/>
      <c r="IIW43" s="19"/>
      <c r="IJF43" s="19"/>
      <c r="IJG43" s="19"/>
      <c r="IJH43" s="19"/>
      <c r="IJI43" s="19"/>
      <c r="IJJ43" s="21"/>
      <c r="IJK43" s="19"/>
      <c r="IJT43" s="19"/>
      <c r="IJU43" s="19"/>
      <c r="IJV43" s="19"/>
      <c r="IJW43" s="19"/>
      <c r="IJX43" s="21"/>
      <c r="IJY43" s="19"/>
      <c r="IKH43" s="19"/>
      <c r="IKI43" s="19"/>
      <c r="IKJ43" s="19"/>
      <c r="IKK43" s="19"/>
      <c r="IKL43" s="21"/>
      <c r="IKM43" s="19"/>
      <c r="IKV43" s="19"/>
      <c r="IKW43" s="19"/>
      <c r="IKX43" s="19"/>
      <c r="IKY43" s="19"/>
      <c r="IKZ43" s="21"/>
      <c r="ILA43" s="19"/>
      <c r="ILJ43" s="19"/>
      <c r="ILK43" s="19"/>
      <c r="ILL43" s="19"/>
      <c r="ILM43" s="19"/>
      <c r="ILN43" s="21"/>
      <c r="ILO43" s="19"/>
      <c r="ILX43" s="19"/>
      <c r="ILY43" s="19"/>
      <c r="ILZ43" s="19"/>
      <c r="IMA43" s="19"/>
      <c r="IMB43" s="21"/>
      <c r="IMC43" s="19"/>
      <c r="IML43" s="19"/>
      <c r="IMM43" s="19"/>
      <c r="IMN43" s="19"/>
      <c r="IMO43" s="19"/>
      <c r="IMP43" s="21"/>
      <c r="IMQ43" s="19"/>
      <c r="IMZ43" s="19"/>
      <c r="INA43" s="19"/>
      <c r="INB43" s="19"/>
      <c r="INC43" s="19"/>
      <c r="IND43" s="21"/>
      <c r="INE43" s="19"/>
      <c r="INN43" s="19"/>
      <c r="INO43" s="19"/>
      <c r="INP43" s="19"/>
      <c r="INQ43" s="19"/>
      <c r="INR43" s="21"/>
      <c r="INS43" s="19"/>
      <c r="IOB43" s="19"/>
      <c r="IOC43" s="19"/>
      <c r="IOD43" s="19"/>
      <c r="IOE43" s="19"/>
      <c r="IOF43" s="21"/>
      <c r="IOG43" s="19"/>
      <c r="IOP43" s="19"/>
      <c r="IOQ43" s="19"/>
      <c r="IOR43" s="19"/>
      <c r="IOS43" s="19"/>
      <c r="IOT43" s="21"/>
      <c r="IOU43" s="19"/>
      <c r="IPD43" s="19"/>
      <c r="IPE43" s="19"/>
      <c r="IPF43" s="19"/>
      <c r="IPG43" s="19"/>
      <c r="IPH43" s="21"/>
      <c r="IPI43" s="19"/>
      <c r="IPR43" s="19"/>
      <c r="IPS43" s="19"/>
      <c r="IPT43" s="19"/>
      <c r="IPU43" s="19"/>
      <c r="IPV43" s="21"/>
      <c r="IPW43" s="19"/>
      <c r="IQF43" s="19"/>
      <c r="IQG43" s="19"/>
      <c r="IQH43" s="19"/>
      <c r="IQI43" s="19"/>
      <c r="IQJ43" s="21"/>
      <c r="IQK43" s="19"/>
      <c r="IQT43" s="19"/>
      <c r="IQU43" s="19"/>
      <c r="IQV43" s="19"/>
      <c r="IQW43" s="19"/>
      <c r="IQX43" s="21"/>
      <c r="IQY43" s="19"/>
      <c r="IRH43" s="19"/>
      <c r="IRI43" s="19"/>
      <c r="IRJ43" s="19"/>
      <c r="IRK43" s="19"/>
      <c r="IRL43" s="21"/>
      <c r="IRM43" s="19"/>
      <c r="IRV43" s="19"/>
      <c r="IRW43" s="19"/>
      <c r="IRX43" s="19"/>
      <c r="IRY43" s="19"/>
      <c r="IRZ43" s="21"/>
      <c r="ISA43" s="19"/>
      <c r="ISJ43" s="19"/>
      <c r="ISK43" s="19"/>
      <c r="ISL43" s="19"/>
      <c r="ISM43" s="19"/>
      <c r="ISN43" s="21"/>
      <c r="ISO43" s="19"/>
      <c r="ISX43" s="19"/>
      <c r="ISY43" s="19"/>
      <c r="ISZ43" s="19"/>
      <c r="ITA43" s="19"/>
      <c r="ITB43" s="21"/>
      <c r="ITC43" s="19"/>
      <c r="ITL43" s="19"/>
      <c r="ITM43" s="19"/>
      <c r="ITN43" s="19"/>
      <c r="ITO43" s="19"/>
      <c r="ITP43" s="21"/>
      <c r="ITQ43" s="19"/>
      <c r="ITZ43" s="19"/>
      <c r="IUA43" s="19"/>
      <c r="IUB43" s="19"/>
      <c r="IUC43" s="19"/>
      <c r="IUD43" s="21"/>
      <c r="IUE43" s="19"/>
      <c r="IUN43" s="19"/>
      <c r="IUO43" s="19"/>
      <c r="IUP43" s="19"/>
      <c r="IUQ43" s="19"/>
      <c r="IUR43" s="21"/>
      <c r="IUS43" s="19"/>
      <c r="IVB43" s="19"/>
      <c r="IVC43" s="19"/>
      <c r="IVD43" s="19"/>
      <c r="IVE43" s="19"/>
      <c r="IVF43" s="21"/>
      <c r="IVG43" s="19"/>
      <c r="IVP43" s="19"/>
      <c r="IVQ43" s="19"/>
      <c r="IVR43" s="19"/>
      <c r="IVS43" s="19"/>
      <c r="IVT43" s="21"/>
      <c r="IVU43" s="19"/>
      <c r="IWD43" s="19"/>
      <c r="IWE43" s="19"/>
      <c r="IWF43" s="19"/>
      <c r="IWG43" s="19"/>
      <c r="IWH43" s="21"/>
      <c r="IWI43" s="19"/>
      <c r="IWR43" s="19"/>
      <c r="IWS43" s="19"/>
      <c r="IWT43" s="19"/>
      <c r="IWU43" s="19"/>
      <c r="IWV43" s="21"/>
      <c r="IWW43" s="19"/>
      <c r="IXF43" s="19"/>
      <c r="IXG43" s="19"/>
      <c r="IXH43" s="19"/>
      <c r="IXI43" s="19"/>
      <c r="IXJ43" s="21"/>
      <c r="IXK43" s="19"/>
      <c r="IXT43" s="19"/>
      <c r="IXU43" s="19"/>
      <c r="IXV43" s="19"/>
      <c r="IXW43" s="19"/>
      <c r="IXX43" s="21"/>
      <c r="IXY43" s="19"/>
      <c r="IYH43" s="19"/>
      <c r="IYI43" s="19"/>
      <c r="IYJ43" s="19"/>
      <c r="IYK43" s="19"/>
      <c r="IYL43" s="21"/>
      <c r="IYM43" s="19"/>
      <c r="IYV43" s="19"/>
      <c r="IYW43" s="19"/>
      <c r="IYX43" s="19"/>
      <c r="IYY43" s="19"/>
      <c r="IYZ43" s="21"/>
      <c r="IZA43" s="19"/>
      <c r="IZJ43" s="19"/>
      <c r="IZK43" s="19"/>
      <c r="IZL43" s="19"/>
      <c r="IZM43" s="19"/>
      <c r="IZN43" s="21"/>
      <c r="IZO43" s="19"/>
      <c r="IZX43" s="19"/>
      <c r="IZY43" s="19"/>
      <c r="IZZ43" s="19"/>
      <c r="JAA43" s="19"/>
      <c r="JAB43" s="21"/>
      <c r="JAC43" s="19"/>
      <c r="JAL43" s="19"/>
      <c r="JAM43" s="19"/>
      <c r="JAN43" s="19"/>
      <c r="JAO43" s="19"/>
      <c r="JAP43" s="21"/>
      <c r="JAQ43" s="19"/>
      <c r="JAZ43" s="19"/>
      <c r="JBA43" s="19"/>
      <c r="JBB43" s="19"/>
      <c r="JBC43" s="19"/>
      <c r="JBD43" s="21"/>
      <c r="JBE43" s="19"/>
      <c r="JBN43" s="19"/>
      <c r="JBO43" s="19"/>
      <c r="JBP43" s="19"/>
      <c r="JBQ43" s="19"/>
      <c r="JBR43" s="21"/>
      <c r="JBS43" s="19"/>
      <c r="JCB43" s="19"/>
      <c r="JCC43" s="19"/>
      <c r="JCD43" s="19"/>
      <c r="JCE43" s="19"/>
      <c r="JCF43" s="21"/>
      <c r="JCG43" s="19"/>
      <c r="JCP43" s="19"/>
      <c r="JCQ43" s="19"/>
      <c r="JCR43" s="19"/>
      <c r="JCS43" s="19"/>
      <c r="JCT43" s="21"/>
      <c r="JCU43" s="19"/>
      <c r="JDD43" s="19"/>
      <c r="JDE43" s="19"/>
      <c r="JDF43" s="19"/>
      <c r="JDG43" s="19"/>
      <c r="JDH43" s="21"/>
      <c r="JDI43" s="19"/>
      <c r="JDR43" s="19"/>
      <c r="JDS43" s="19"/>
      <c r="JDT43" s="19"/>
      <c r="JDU43" s="19"/>
      <c r="JDV43" s="21"/>
      <c r="JDW43" s="19"/>
      <c r="JEF43" s="19"/>
      <c r="JEG43" s="19"/>
      <c r="JEH43" s="19"/>
      <c r="JEI43" s="19"/>
      <c r="JEJ43" s="21"/>
      <c r="JEK43" s="19"/>
      <c r="JET43" s="19"/>
      <c r="JEU43" s="19"/>
      <c r="JEV43" s="19"/>
      <c r="JEW43" s="19"/>
      <c r="JEX43" s="21"/>
      <c r="JEY43" s="19"/>
      <c r="JFH43" s="19"/>
      <c r="JFI43" s="19"/>
      <c r="JFJ43" s="19"/>
      <c r="JFK43" s="19"/>
      <c r="JFL43" s="21"/>
      <c r="JFM43" s="19"/>
      <c r="JFV43" s="19"/>
      <c r="JFW43" s="19"/>
      <c r="JFX43" s="19"/>
      <c r="JFY43" s="19"/>
      <c r="JFZ43" s="21"/>
      <c r="JGA43" s="19"/>
      <c r="JGJ43" s="19"/>
      <c r="JGK43" s="19"/>
      <c r="JGL43" s="19"/>
      <c r="JGM43" s="19"/>
      <c r="JGN43" s="21"/>
      <c r="JGO43" s="19"/>
      <c r="JGX43" s="19"/>
      <c r="JGY43" s="19"/>
      <c r="JGZ43" s="19"/>
      <c r="JHA43" s="19"/>
      <c r="JHB43" s="21"/>
      <c r="JHC43" s="19"/>
      <c r="JHL43" s="19"/>
      <c r="JHM43" s="19"/>
      <c r="JHN43" s="19"/>
      <c r="JHO43" s="19"/>
      <c r="JHP43" s="21"/>
      <c r="JHQ43" s="19"/>
      <c r="JHZ43" s="19"/>
      <c r="JIA43" s="19"/>
      <c r="JIB43" s="19"/>
      <c r="JIC43" s="19"/>
      <c r="JID43" s="21"/>
      <c r="JIE43" s="19"/>
      <c r="JIN43" s="19"/>
      <c r="JIO43" s="19"/>
      <c r="JIP43" s="19"/>
      <c r="JIQ43" s="19"/>
      <c r="JIR43" s="21"/>
      <c r="JIS43" s="19"/>
      <c r="JJB43" s="19"/>
      <c r="JJC43" s="19"/>
      <c r="JJD43" s="19"/>
      <c r="JJE43" s="19"/>
      <c r="JJF43" s="21"/>
      <c r="JJG43" s="19"/>
      <c r="JJP43" s="19"/>
      <c r="JJQ43" s="19"/>
      <c r="JJR43" s="19"/>
      <c r="JJS43" s="19"/>
      <c r="JJT43" s="21"/>
      <c r="JJU43" s="19"/>
      <c r="JKD43" s="19"/>
      <c r="JKE43" s="19"/>
      <c r="JKF43" s="19"/>
      <c r="JKG43" s="19"/>
      <c r="JKH43" s="21"/>
      <c r="JKI43" s="19"/>
      <c r="JKR43" s="19"/>
      <c r="JKS43" s="19"/>
      <c r="JKT43" s="19"/>
      <c r="JKU43" s="19"/>
      <c r="JKV43" s="21"/>
      <c r="JKW43" s="19"/>
      <c r="JLF43" s="19"/>
      <c r="JLG43" s="19"/>
      <c r="JLH43" s="19"/>
      <c r="JLI43" s="19"/>
      <c r="JLJ43" s="21"/>
      <c r="JLK43" s="19"/>
      <c r="JLT43" s="19"/>
      <c r="JLU43" s="19"/>
      <c r="JLV43" s="19"/>
      <c r="JLW43" s="19"/>
      <c r="JLX43" s="21"/>
      <c r="JLY43" s="19"/>
      <c r="JMH43" s="19"/>
      <c r="JMI43" s="19"/>
      <c r="JMJ43" s="19"/>
      <c r="JMK43" s="19"/>
      <c r="JML43" s="21"/>
      <c r="JMM43" s="19"/>
      <c r="JMV43" s="19"/>
      <c r="JMW43" s="19"/>
      <c r="JMX43" s="19"/>
      <c r="JMY43" s="19"/>
      <c r="JMZ43" s="21"/>
      <c r="JNA43" s="19"/>
      <c r="JNJ43" s="19"/>
      <c r="JNK43" s="19"/>
      <c r="JNL43" s="19"/>
      <c r="JNM43" s="19"/>
      <c r="JNN43" s="21"/>
      <c r="JNO43" s="19"/>
      <c r="JNX43" s="19"/>
      <c r="JNY43" s="19"/>
      <c r="JNZ43" s="19"/>
      <c r="JOA43" s="19"/>
      <c r="JOB43" s="21"/>
      <c r="JOC43" s="19"/>
      <c r="JOL43" s="19"/>
      <c r="JOM43" s="19"/>
      <c r="JON43" s="19"/>
      <c r="JOO43" s="19"/>
      <c r="JOP43" s="21"/>
      <c r="JOQ43" s="19"/>
      <c r="JOZ43" s="19"/>
      <c r="JPA43" s="19"/>
      <c r="JPB43" s="19"/>
      <c r="JPC43" s="19"/>
      <c r="JPD43" s="21"/>
      <c r="JPE43" s="19"/>
      <c r="JPN43" s="19"/>
      <c r="JPO43" s="19"/>
      <c r="JPP43" s="19"/>
      <c r="JPQ43" s="19"/>
      <c r="JPR43" s="21"/>
      <c r="JPS43" s="19"/>
      <c r="JQB43" s="19"/>
      <c r="JQC43" s="19"/>
      <c r="JQD43" s="19"/>
      <c r="JQE43" s="19"/>
      <c r="JQF43" s="21"/>
      <c r="JQG43" s="19"/>
      <c r="JQP43" s="19"/>
      <c r="JQQ43" s="19"/>
      <c r="JQR43" s="19"/>
      <c r="JQS43" s="19"/>
      <c r="JQT43" s="21"/>
      <c r="JQU43" s="19"/>
      <c r="JRD43" s="19"/>
      <c r="JRE43" s="19"/>
      <c r="JRF43" s="19"/>
      <c r="JRG43" s="19"/>
      <c r="JRH43" s="21"/>
      <c r="JRI43" s="19"/>
      <c r="JRR43" s="19"/>
      <c r="JRS43" s="19"/>
      <c r="JRT43" s="19"/>
      <c r="JRU43" s="19"/>
      <c r="JRV43" s="21"/>
      <c r="JRW43" s="19"/>
      <c r="JSF43" s="19"/>
      <c r="JSG43" s="19"/>
      <c r="JSH43" s="19"/>
      <c r="JSI43" s="19"/>
      <c r="JSJ43" s="21"/>
      <c r="JSK43" s="19"/>
      <c r="JST43" s="19"/>
      <c r="JSU43" s="19"/>
      <c r="JSV43" s="19"/>
      <c r="JSW43" s="19"/>
      <c r="JSX43" s="21"/>
      <c r="JSY43" s="19"/>
      <c r="JTH43" s="19"/>
      <c r="JTI43" s="19"/>
      <c r="JTJ43" s="19"/>
      <c r="JTK43" s="19"/>
      <c r="JTL43" s="21"/>
      <c r="JTM43" s="19"/>
      <c r="JTV43" s="19"/>
      <c r="JTW43" s="19"/>
      <c r="JTX43" s="19"/>
      <c r="JTY43" s="19"/>
      <c r="JTZ43" s="21"/>
      <c r="JUA43" s="19"/>
      <c r="JUJ43" s="19"/>
      <c r="JUK43" s="19"/>
      <c r="JUL43" s="19"/>
      <c r="JUM43" s="19"/>
      <c r="JUN43" s="21"/>
      <c r="JUO43" s="19"/>
      <c r="JUX43" s="19"/>
      <c r="JUY43" s="19"/>
      <c r="JUZ43" s="19"/>
      <c r="JVA43" s="19"/>
      <c r="JVB43" s="21"/>
      <c r="JVC43" s="19"/>
      <c r="JVL43" s="19"/>
      <c r="JVM43" s="19"/>
      <c r="JVN43" s="19"/>
      <c r="JVO43" s="19"/>
      <c r="JVP43" s="21"/>
      <c r="JVQ43" s="19"/>
      <c r="JVZ43" s="19"/>
      <c r="JWA43" s="19"/>
      <c r="JWB43" s="19"/>
      <c r="JWC43" s="19"/>
      <c r="JWD43" s="21"/>
      <c r="JWE43" s="19"/>
      <c r="JWN43" s="19"/>
      <c r="JWO43" s="19"/>
      <c r="JWP43" s="19"/>
      <c r="JWQ43" s="19"/>
      <c r="JWR43" s="21"/>
      <c r="JWS43" s="19"/>
      <c r="JXB43" s="19"/>
      <c r="JXC43" s="19"/>
      <c r="JXD43" s="19"/>
      <c r="JXE43" s="19"/>
      <c r="JXF43" s="21"/>
      <c r="JXG43" s="19"/>
      <c r="JXP43" s="19"/>
      <c r="JXQ43" s="19"/>
      <c r="JXR43" s="19"/>
      <c r="JXS43" s="19"/>
      <c r="JXT43" s="21"/>
      <c r="JXU43" s="19"/>
      <c r="JYD43" s="19"/>
      <c r="JYE43" s="19"/>
      <c r="JYF43" s="19"/>
      <c r="JYG43" s="19"/>
      <c r="JYH43" s="21"/>
      <c r="JYI43" s="19"/>
      <c r="JYR43" s="19"/>
      <c r="JYS43" s="19"/>
      <c r="JYT43" s="19"/>
      <c r="JYU43" s="19"/>
      <c r="JYV43" s="21"/>
      <c r="JYW43" s="19"/>
      <c r="JZF43" s="19"/>
      <c r="JZG43" s="19"/>
      <c r="JZH43" s="19"/>
      <c r="JZI43" s="19"/>
      <c r="JZJ43" s="21"/>
      <c r="JZK43" s="19"/>
      <c r="JZT43" s="19"/>
      <c r="JZU43" s="19"/>
      <c r="JZV43" s="19"/>
      <c r="JZW43" s="19"/>
      <c r="JZX43" s="21"/>
      <c r="JZY43" s="19"/>
      <c r="KAH43" s="19"/>
      <c r="KAI43" s="19"/>
      <c r="KAJ43" s="19"/>
      <c r="KAK43" s="19"/>
      <c r="KAL43" s="21"/>
      <c r="KAM43" s="19"/>
      <c r="KAV43" s="19"/>
      <c r="KAW43" s="19"/>
      <c r="KAX43" s="19"/>
      <c r="KAY43" s="19"/>
      <c r="KAZ43" s="21"/>
      <c r="KBA43" s="19"/>
      <c r="KBJ43" s="19"/>
      <c r="KBK43" s="19"/>
      <c r="KBL43" s="19"/>
      <c r="KBM43" s="19"/>
      <c r="KBN43" s="21"/>
      <c r="KBO43" s="19"/>
      <c r="KBX43" s="19"/>
      <c r="KBY43" s="19"/>
      <c r="KBZ43" s="19"/>
      <c r="KCA43" s="19"/>
      <c r="KCB43" s="21"/>
      <c r="KCC43" s="19"/>
      <c r="KCL43" s="19"/>
      <c r="KCM43" s="19"/>
      <c r="KCN43" s="19"/>
      <c r="KCO43" s="19"/>
      <c r="KCP43" s="21"/>
      <c r="KCQ43" s="19"/>
      <c r="KCZ43" s="19"/>
      <c r="KDA43" s="19"/>
      <c r="KDB43" s="19"/>
      <c r="KDC43" s="19"/>
      <c r="KDD43" s="21"/>
      <c r="KDE43" s="19"/>
      <c r="KDN43" s="19"/>
      <c r="KDO43" s="19"/>
      <c r="KDP43" s="19"/>
      <c r="KDQ43" s="19"/>
      <c r="KDR43" s="21"/>
      <c r="KDS43" s="19"/>
      <c r="KEB43" s="19"/>
      <c r="KEC43" s="19"/>
      <c r="KED43" s="19"/>
      <c r="KEE43" s="19"/>
      <c r="KEF43" s="21"/>
      <c r="KEG43" s="19"/>
      <c r="KEP43" s="19"/>
      <c r="KEQ43" s="19"/>
      <c r="KER43" s="19"/>
      <c r="KES43" s="19"/>
      <c r="KET43" s="21"/>
      <c r="KEU43" s="19"/>
      <c r="KFD43" s="19"/>
      <c r="KFE43" s="19"/>
      <c r="KFF43" s="19"/>
      <c r="KFG43" s="19"/>
      <c r="KFH43" s="21"/>
      <c r="KFI43" s="19"/>
      <c r="KFR43" s="19"/>
      <c r="KFS43" s="19"/>
      <c r="KFT43" s="19"/>
      <c r="KFU43" s="19"/>
      <c r="KFV43" s="21"/>
      <c r="KFW43" s="19"/>
      <c r="KGF43" s="19"/>
      <c r="KGG43" s="19"/>
      <c r="KGH43" s="19"/>
      <c r="KGI43" s="19"/>
      <c r="KGJ43" s="21"/>
      <c r="KGK43" s="19"/>
      <c r="KGT43" s="19"/>
      <c r="KGU43" s="19"/>
      <c r="KGV43" s="19"/>
      <c r="KGW43" s="19"/>
      <c r="KGX43" s="21"/>
      <c r="KGY43" s="19"/>
      <c r="KHH43" s="19"/>
      <c r="KHI43" s="19"/>
      <c r="KHJ43" s="19"/>
      <c r="KHK43" s="19"/>
      <c r="KHL43" s="21"/>
      <c r="KHM43" s="19"/>
      <c r="KHV43" s="19"/>
      <c r="KHW43" s="19"/>
      <c r="KHX43" s="19"/>
      <c r="KHY43" s="19"/>
      <c r="KHZ43" s="21"/>
      <c r="KIA43" s="19"/>
      <c r="KIJ43" s="19"/>
      <c r="KIK43" s="19"/>
      <c r="KIL43" s="19"/>
      <c r="KIM43" s="19"/>
      <c r="KIN43" s="21"/>
      <c r="KIO43" s="19"/>
      <c r="KIX43" s="19"/>
      <c r="KIY43" s="19"/>
      <c r="KIZ43" s="19"/>
      <c r="KJA43" s="19"/>
      <c r="KJB43" s="21"/>
      <c r="KJC43" s="19"/>
      <c r="KJL43" s="19"/>
      <c r="KJM43" s="19"/>
      <c r="KJN43" s="19"/>
      <c r="KJO43" s="19"/>
      <c r="KJP43" s="21"/>
      <c r="KJQ43" s="19"/>
      <c r="KJZ43" s="19"/>
      <c r="KKA43" s="19"/>
      <c r="KKB43" s="19"/>
      <c r="KKC43" s="19"/>
      <c r="KKD43" s="21"/>
      <c r="KKE43" s="19"/>
      <c r="KKN43" s="19"/>
      <c r="KKO43" s="19"/>
      <c r="KKP43" s="19"/>
      <c r="KKQ43" s="19"/>
      <c r="KKR43" s="21"/>
      <c r="KKS43" s="19"/>
      <c r="KLB43" s="19"/>
      <c r="KLC43" s="19"/>
      <c r="KLD43" s="19"/>
      <c r="KLE43" s="19"/>
      <c r="KLF43" s="21"/>
      <c r="KLG43" s="19"/>
      <c r="KLP43" s="19"/>
      <c r="KLQ43" s="19"/>
      <c r="KLR43" s="19"/>
      <c r="KLS43" s="19"/>
      <c r="KLT43" s="21"/>
      <c r="KLU43" s="19"/>
      <c r="KMD43" s="19"/>
      <c r="KME43" s="19"/>
      <c r="KMF43" s="19"/>
      <c r="KMG43" s="19"/>
      <c r="KMH43" s="21"/>
      <c r="KMI43" s="19"/>
      <c r="KMR43" s="19"/>
      <c r="KMS43" s="19"/>
      <c r="KMT43" s="19"/>
      <c r="KMU43" s="19"/>
      <c r="KMV43" s="21"/>
      <c r="KMW43" s="19"/>
      <c r="KNF43" s="19"/>
      <c r="KNG43" s="19"/>
      <c r="KNH43" s="19"/>
      <c r="KNI43" s="19"/>
      <c r="KNJ43" s="21"/>
      <c r="KNK43" s="19"/>
      <c r="KNT43" s="19"/>
      <c r="KNU43" s="19"/>
      <c r="KNV43" s="19"/>
      <c r="KNW43" s="19"/>
      <c r="KNX43" s="21"/>
      <c r="KNY43" s="19"/>
      <c r="KOH43" s="19"/>
      <c r="KOI43" s="19"/>
      <c r="KOJ43" s="19"/>
      <c r="KOK43" s="19"/>
      <c r="KOL43" s="21"/>
      <c r="KOM43" s="19"/>
      <c r="KOV43" s="19"/>
      <c r="KOW43" s="19"/>
      <c r="KOX43" s="19"/>
      <c r="KOY43" s="19"/>
      <c r="KOZ43" s="21"/>
      <c r="KPA43" s="19"/>
      <c r="KPJ43" s="19"/>
      <c r="KPK43" s="19"/>
      <c r="KPL43" s="19"/>
      <c r="KPM43" s="19"/>
      <c r="KPN43" s="21"/>
      <c r="KPO43" s="19"/>
      <c r="KPX43" s="19"/>
      <c r="KPY43" s="19"/>
      <c r="KPZ43" s="19"/>
      <c r="KQA43" s="19"/>
      <c r="KQB43" s="21"/>
      <c r="KQC43" s="19"/>
      <c r="KQL43" s="19"/>
      <c r="KQM43" s="19"/>
      <c r="KQN43" s="19"/>
      <c r="KQO43" s="19"/>
      <c r="KQP43" s="21"/>
      <c r="KQQ43" s="19"/>
      <c r="KQZ43" s="19"/>
      <c r="KRA43" s="19"/>
      <c r="KRB43" s="19"/>
      <c r="KRC43" s="19"/>
      <c r="KRD43" s="21"/>
      <c r="KRE43" s="19"/>
      <c r="KRN43" s="19"/>
      <c r="KRO43" s="19"/>
      <c r="KRP43" s="19"/>
      <c r="KRQ43" s="19"/>
      <c r="KRR43" s="21"/>
      <c r="KRS43" s="19"/>
      <c r="KSB43" s="19"/>
      <c r="KSC43" s="19"/>
      <c r="KSD43" s="19"/>
      <c r="KSE43" s="19"/>
      <c r="KSF43" s="21"/>
      <c r="KSG43" s="19"/>
      <c r="KSP43" s="19"/>
      <c r="KSQ43" s="19"/>
      <c r="KSR43" s="19"/>
      <c r="KSS43" s="19"/>
      <c r="KST43" s="21"/>
      <c r="KSU43" s="19"/>
      <c r="KTD43" s="19"/>
      <c r="KTE43" s="19"/>
      <c r="KTF43" s="19"/>
      <c r="KTG43" s="19"/>
      <c r="KTH43" s="21"/>
      <c r="KTI43" s="19"/>
      <c r="KTR43" s="19"/>
      <c r="KTS43" s="19"/>
      <c r="KTT43" s="19"/>
      <c r="KTU43" s="19"/>
      <c r="KTV43" s="21"/>
      <c r="KTW43" s="19"/>
      <c r="KUF43" s="19"/>
      <c r="KUG43" s="19"/>
      <c r="KUH43" s="19"/>
      <c r="KUI43" s="19"/>
      <c r="KUJ43" s="21"/>
      <c r="KUK43" s="19"/>
      <c r="KUT43" s="19"/>
      <c r="KUU43" s="19"/>
      <c r="KUV43" s="19"/>
      <c r="KUW43" s="19"/>
      <c r="KUX43" s="21"/>
      <c r="KUY43" s="19"/>
      <c r="KVH43" s="19"/>
      <c r="KVI43" s="19"/>
      <c r="KVJ43" s="19"/>
      <c r="KVK43" s="19"/>
      <c r="KVL43" s="21"/>
      <c r="KVM43" s="19"/>
      <c r="KVV43" s="19"/>
      <c r="KVW43" s="19"/>
      <c r="KVX43" s="19"/>
      <c r="KVY43" s="19"/>
      <c r="KVZ43" s="21"/>
      <c r="KWA43" s="19"/>
      <c r="KWJ43" s="19"/>
      <c r="KWK43" s="19"/>
      <c r="KWL43" s="19"/>
      <c r="KWM43" s="19"/>
      <c r="KWN43" s="21"/>
      <c r="KWO43" s="19"/>
      <c r="KWX43" s="19"/>
      <c r="KWY43" s="19"/>
      <c r="KWZ43" s="19"/>
      <c r="KXA43" s="19"/>
      <c r="KXB43" s="21"/>
      <c r="KXC43" s="19"/>
      <c r="KXL43" s="19"/>
      <c r="KXM43" s="19"/>
      <c r="KXN43" s="19"/>
      <c r="KXO43" s="19"/>
      <c r="KXP43" s="21"/>
      <c r="KXQ43" s="19"/>
      <c r="KXZ43" s="19"/>
      <c r="KYA43" s="19"/>
      <c r="KYB43" s="19"/>
      <c r="KYC43" s="19"/>
      <c r="KYD43" s="21"/>
      <c r="KYE43" s="19"/>
      <c r="KYN43" s="19"/>
      <c r="KYO43" s="19"/>
      <c r="KYP43" s="19"/>
      <c r="KYQ43" s="19"/>
      <c r="KYR43" s="21"/>
      <c r="KYS43" s="19"/>
      <c r="KZB43" s="19"/>
      <c r="KZC43" s="19"/>
      <c r="KZD43" s="19"/>
      <c r="KZE43" s="19"/>
      <c r="KZF43" s="21"/>
      <c r="KZG43" s="19"/>
      <c r="KZP43" s="19"/>
      <c r="KZQ43" s="19"/>
      <c r="KZR43" s="19"/>
      <c r="KZS43" s="19"/>
      <c r="KZT43" s="21"/>
      <c r="KZU43" s="19"/>
      <c r="LAD43" s="19"/>
      <c r="LAE43" s="19"/>
      <c r="LAF43" s="19"/>
      <c r="LAG43" s="19"/>
      <c r="LAH43" s="21"/>
      <c r="LAI43" s="19"/>
      <c r="LAR43" s="19"/>
      <c r="LAS43" s="19"/>
      <c r="LAT43" s="19"/>
      <c r="LAU43" s="19"/>
      <c r="LAV43" s="21"/>
      <c r="LAW43" s="19"/>
      <c r="LBF43" s="19"/>
      <c r="LBG43" s="19"/>
      <c r="LBH43" s="19"/>
      <c r="LBI43" s="19"/>
      <c r="LBJ43" s="21"/>
      <c r="LBK43" s="19"/>
      <c r="LBT43" s="19"/>
      <c r="LBU43" s="19"/>
      <c r="LBV43" s="19"/>
      <c r="LBW43" s="19"/>
      <c r="LBX43" s="21"/>
      <c r="LBY43" s="19"/>
      <c r="LCH43" s="19"/>
      <c r="LCI43" s="19"/>
      <c r="LCJ43" s="19"/>
      <c r="LCK43" s="19"/>
      <c r="LCL43" s="21"/>
      <c r="LCM43" s="19"/>
      <c r="LCV43" s="19"/>
      <c r="LCW43" s="19"/>
      <c r="LCX43" s="19"/>
      <c r="LCY43" s="19"/>
      <c r="LCZ43" s="21"/>
      <c r="LDA43" s="19"/>
      <c r="LDJ43" s="19"/>
      <c r="LDK43" s="19"/>
      <c r="LDL43" s="19"/>
      <c r="LDM43" s="19"/>
      <c r="LDN43" s="21"/>
      <c r="LDO43" s="19"/>
      <c r="LDX43" s="19"/>
      <c r="LDY43" s="19"/>
      <c r="LDZ43" s="19"/>
      <c r="LEA43" s="19"/>
      <c r="LEB43" s="21"/>
      <c r="LEC43" s="19"/>
      <c r="LEL43" s="19"/>
      <c r="LEM43" s="19"/>
      <c r="LEN43" s="19"/>
      <c r="LEO43" s="19"/>
      <c r="LEP43" s="21"/>
      <c r="LEQ43" s="19"/>
      <c r="LEZ43" s="19"/>
      <c r="LFA43" s="19"/>
      <c r="LFB43" s="19"/>
      <c r="LFC43" s="19"/>
      <c r="LFD43" s="21"/>
      <c r="LFE43" s="19"/>
      <c r="LFN43" s="19"/>
      <c r="LFO43" s="19"/>
      <c r="LFP43" s="19"/>
      <c r="LFQ43" s="19"/>
      <c r="LFR43" s="21"/>
      <c r="LFS43" s="19"/>
      <c r="LGB43" s="19"/>
      <c r="LGC43" s="19"/>
      <c r="LGD43" s="19"/>
      <c r="LGE43" s="19"/>
      <c r="LGF43" s="21"/>
      <c r="LGG43" s="19"/>
      <c r="LGP43" s="19"/>
      <c r="LGQ43" s="19"/>
      <c r="LGR43" s="19"/>
      <c r="LGS43" s="19"/>
      <c r="LGT43" s="21"/>
      <c r="LGU43" s="19"/>
      <c r="LHD43" s="19"/>
      <c r="LHE43" s="19"/>
      <c r="LHF43" s="19"/>
      <c r="LHG43" s="19"/>
      <c r="LHH43" s="21"/>
      <c r="LHI43" s="19"/>
      <c r="LHR43" s="19"/>
      <c r="LHS43" s="19"/>
      <c r="LHT43" s="19"/>
      <c r="LHU43" s="19"/>
      <c r="LHV43" s="21"/>
      <c r="LHW43" s="19"/>
      <c r="LIF43" s="19"/>
      <c r="LIG43" s="19"/>
      <c r="LIH43" s="19"/>
      <c r="LII43" s="19"/>
      <c r="LIJ43" s="21"/>
      <c r="LIK43" s="19"/>
      <c r="LIT43" s="19"/>
      <c r="LIU43" s="19"/>
      <c r="LIV43" s="19"/>
      <c r="LIW43" s="19"/>
      <c r="LIX43" s="21"/>
      <c r="LIY43" s="19"/>
      <c r="LJH43" s="19"/>
      <c r="LJI43" s="19"/>
      <c r="LJJ43" s="19"/>
      <c r="LJK43" s="19"/>
      <c r="LJL43" s="21"/>
      <c r="LJM43" s="19"/>
      <c r="LJV43" s="19"/>
      <c r="LJW43" s="19"/>
      <c r="LJX43" s="19"/>
      <c r="LJY43" s="19"/>
      <c r="LJZ43" s="21"/>
      <c r="LKA43" s="19"/>
      <c r="LKJ43" s="19"/>
      <c r="LKK43" s="19"/>
      <c r="LKL43" s="19"/>
      <c r="LKM43" s="19"/>
      <c r="LKN43" s="21"/>
      <c r="LKO43" s="19"/>
      <c r="LKX43" s="19"/>
      <c r="LKY43" s="19"/>
      <c r="LKZ43" s="19"/>
      <c r="LLA43" s="19"/>
      <c r="LLB43" s="21"/>
      <c r="LLC43" s="19"/>
      <c r="LLL43" s="19"/>
      <c r="LLM43" s="19"/>
      <c r="LLN43" s="19"/>
      <c r="LLO43" s="19"/>
      <c r="LLP43" s="21"/>
      <c r="LLQ43" s="19"/>
      <c r="LLZ43" s="19"/>
      <c r="LMA43" s="19"/>
      <c r="LMB43" s="19"/>
      <c r="LMC43" s="19"/>
      <c r="LMD43" s="21"/>
      <c r="LME43" s="19"/>
      <c r="LMN43" s="19"/>
      <c r="LMO43" s="19"/>
      <c r="LMP43" s="19"/>
      <c r="LMQ43" s="19"/>
      <c r="LMR43" s="21"/>
      <c r="LMS43" s="19"/>
      <c r="LNB43" s="19"/>
      <c r="LNC43" s="19"/>
      <c r="LND43" s="19"/>
      <c r="LNE43" s="19"/>
      <c r="LNF43" s="21"/>
      <c r="LNG43" s="19"/>
      <c r="LNP43" s="19"/>
      <c r="LNQ43" s="19"/>
      <c r="LNR43" s="19"/>
      <c r="LNS43" s="19"/>
      <c r="LNT43" s="21"/>
      <c r="LNU43" s="19"/>
      <c r="LOD43" s="19"/>
      <c r="LOE43" s="19"/>
      <c r="LOF43" s="19"/>
      <c r="LOG43" s="19"/>
      <c r="LOH43" s="21"/>
      <c r="LOI43" s="19"/>
      <c r="LOR43" s="19"/>
      <c r="LOS43" s="19"/>
      <c r="LOT43" s="19"/>
      <c r="LOU43" s="19"/>
      <c r="LOV43" s="21"/>
      <c r="LOW43" s="19"/>
      <c r="LPF43" s="19"/>
      <c r="LPG43" s="19"/>
      <c r="LPH43" s="19"/>
      <c r="LPI43" s="19"/>
      <c r="LPJ43" s="21"/>
      <c r="LPK43" s="19"/>
      <c r="LPT43" s="19"/>
      <c r="LPU43" s="19"/>
      <c r="LPV43" s="19"/>
      <c r="LPW43" s="19"/>
      <c r="LPX43" s="21"/>
      <c r="LPY43" s="19"/>
      <c r="LQH43" s="19"/>
      <c r="LQI43" s="19"/>
      <c r="LQJ43" s="19"/>
      <c r="LQK43" s="19"/>
      <c r="LQL43" s="21"/>
      <c r="LQM43" s="19"/>
      <c r="LQV43" s="19"/>
      <c r="LQW43" s="19"/>
      <c r="LQX43" s="19"/>
      <c r="LQY43" s="19"/>
      <c r="LQZ43" s="21"/>
      <c r="LRA43" s="19"/>
      <c r="LRJ43" s="19"/>
      <c r="LRK43" s="19"/>
      <c r="LRL43" s="19"/>
      <c r="LRM43" s="19"/>
      <c r="LRN43" s="21"/>
      <c r="LRO43" s="19"/>
      <c r="LRX43" s="19"/>
      <c r="LRY43" s="19"/>
      <c r="LRZ43" s="19"/>
      <c r="LSA43" s="19"/>
      <c r="LSB43" s="21"/>
      <c r="LSC43" s="19"/>
      <c r="LSL43" s="19"/>
      <c r="LSM43" s="19"/>
      <c r="LSN43" s="19"/>
      <c r="LSO43" s="19"/>
      <c r="LSP43" s="21"/>
      <c r="LSQ43" s="19"/>
      <c r="LSZ43" s="19"/>
      <c r="LTA43" s="19"/>
      <c r="LTB43" s="19"/>
      <c r="LTC43" s="19"/>
      <c r="LTD43" s="21"/>
      <c r="LTE43" s="19"/>
      <c r="LTN43" s="19"/>
      <c r="LTO43" s="19"/>
      <c r="LTP43" s="19"/>
      <c r="LTQ43" s="19"/>
      <c r="LTR43" s="21"/>
      <c r="LTS43" s="19"/>
      <c r="LUB43" s="19"/>
      <c r="LUC43" s="19"/>
      <c r="LUD43" s="19"/>
      <c r="LUE43" s="19"/>
      <c r="LUF43" s="21"/>
      <c r="LUG43" s="19"/>
      <c r="LUP43" s="19"/>
      <c r="LUQ43" s="19"/>
      <c r="LUR43" s="19"/>
      <c r="LUS43" s="19"/>
      <c r="LUT43" s="21"/>
      <c r="LUU43" s="19"/>
      <c r="LVD43" s="19"/>
      <c r="LVE43" s="19"/>
      <c r="LVF43" s="19"/>
      <c r="LVG43" s="19"/>
      <c r="LVH43" s="21"/>
      <c r="LVI43" s="19"/>
      <c r="LVR43" s="19"/>
      <c r="LVS43" s="19"/>
      <c r="LVT43" s="19"/>
      <c r="LVU43" s="19"/>
      <c r="LVV43" s="21"/>
      <c r="LVW43" s="19"/>
      <c r="LWF43" s="19"/>
      <c r="LWG43" s="19"/>
      <c r="LWH43" s="19"/>
      <c r="LWI43" s="19"/>
      <c r="LWJ43" s="21"/>
      <c r="LWK43" s="19"/>
      <c r="LWT43" s="19"/>
      <c r="LWU43" s="19"/>
      <c r="LWV43" s="19"/>
      <c r="LWW43" s="19"/>
      <c r="LWX43" s="21"/>
      <c r="LWY43" s="19"/>
      <c r="LXH43" s="19"/>
      <c r="LXI43" s="19"/>
      <c r="LXJ43" s="19"/>
      <c r="LXK43" s="19"/>
      <c r="LXL43" s="21"/>
      <c r="LXM43" s="19"/>
      <c r="LXV43" s="19"/>
      <c r="LXW43" s="19"/>
      <c r="LXX43" s="19"/>
      <c r="LXY43" s="19"/>
      <c r="LXZ43" s="21"/>
      <c r="LYA43" s="19"/>
      <c r="LYJ43" s="19"/>
      <c r="LYK43" s="19"/>
      <c r="LYL43" s="19"/>
      <c r="LYM43" s="19"/>
      <c r="LYN43" s="21"/>
      <c r="LYO43" s="19"/>
      <c r="LYX43" s="19"/>
      <c r="LYY43" s="19"/>
      <c r="LYZ43" s="19"/>
      <c r="LZA43" s="19"/>
      <c r="LZB43" s="21"/>
      <c r="LZC43" s="19"/>
      <c r="LZL43" s="19"/>
      <c r="LZM43" s="19"/>
      <c r="LZN43" s="19"/>
      <c r="LZO43" s="19"/>
      <c r="LZP43" s="21"/>
      <c r="LZQ43" s="19"/>
      <c r="LZZ43" s="19"/>
      <c r="MAA43" s="19"/>
      <c r="MAB43" s="19"/>
      <c r="MAC43" s="19"/>
      <c r="MAD43" s="21"/>
      <c r="MAE43" s="19"/>
      <c r="MAN43" s="19"/>
      <c r="MAO43" s="19"/>
      <c r="MAP43" s="19"/>
      <c r="MAQ43" s="19"/>
      <c r="MAR43" s="21"/>
      <c r="MAS43" s="19"/>
      <c r="MBB43" s="19"/>
      <c r="MBC43" s="19"/>
      <c r="MBD43" s="19"/>
      <c r="MBE43" s="19"/>
      <c r="MBF43" s="21"/>
      <c r="MBG43" s="19"/>
      <c r="MBP43" s="19"/>
      <c r="MBQ43" s="19"/>
      <c r="MBR43" s="19"/>
      <c r="MBS43" s="19"/>
      <c r="MBT43" s="21"/>
      <c r="MBU43" s="19"/>
      <c r="MCD43" s="19"/>
      <c r="MCE43" s="19"/>
      <c r="MCF43" s="19"/>
      <c r="MCG43" s="19"/>
      <c r="MCH43" s="21"/>
      <c r="MCI43" s="19"/>
      <c r="MCR43" s="19"/>
      <c r="MCS43" s="19"/>
      <c r="MCT43" s="19"/>
      <c r="MCU43" s="19"/>
      <c r="MCV43" s="21"/>
      <c r="MCW43" s="19"/>
      <c r="MDF43" s="19"/>
      <c r="MDG43" s="19"/>
      <c r="MDH43" s="19"/>
      <c r="MDI43" s="19"/>
      <c r="MDJ43" s="21"/>
      <c r="MDK43" s="19"/>
      <c r="MDT43" s="19"/>
      <c r="MDU43" s="19"/>
      <c r="MDV43" s="19"/>
      <c r="MDW43" s="19"/>
      <c r="MDX43" s="21"/>
      <c r="MDY43" s="19"/>
      <c r="MEH43" s="19"/>
      <c r="MEI43" s="19"/>
      <c r="MEJ43" s="19"/>
      <c r="MEK43" s="19"/>
      <c r="MEL43" s="21"/>
      <c r="MEM43" s="19"/>
      <c r="MEV43" s="19"/>
      <c r="MEW43" s="19"/>
      <c r="MEX43" s="19"/>
      <c r="MEY43" s="19"/>
      <c r="MEZ43" s="21"/>
      <c r="MFA43" s="19"/>
      <c r="MFJ43" s="19"/>
      <c r="MFK43" s="19"/>
      <c r="MFL43" s="19"/>
      <c r="MFM43" s="19"/>
      <c r="MFN43" s="21"/>
      <c r="MFO43" s="19"/>
      <c r="MFX43" s="19"/>
      <c r="MFY43" s="19"/>
      <c r="MFZ43" s="19"/>
      <c r="MGA43" s="19"/>
      <c r="MGB43" s="21"/>
      <c r="MGC43" s="19"/>
      <c r="MGL43" s="19"/>
      <c r="MGM43" s="19"/>
      <c r="MGN43" s="19"/>
      <c r="MGO43" s="19"/>
      <c r="MGP43" s="21"/>
      <c r="MGQ43" s="19"/>
      <c r="MGZ43" s="19"/>
      <c r="MHA43" s="19"/>
      <c r="MHB43" s="19"/>
      <c r="MHC43" s="19"/>
      <c r="MHD43" s="21"/>
      <c r="MHE43" s="19"/>
      <c r="MHN43" s="19"/>
      <c r="MHO43" s="19"/>
      <c r="MHP43" s="19"/>
      <c r="MHQ43" s="19"/>
      <c r="MHR43" s="21"/>
      <c r="MHS43" s="19"/>
      <c r="MIB43" s="19"/>
      <c r="MIC43" s="19"/>
      <c r="MID43" s="19"/>
      <c r="MIE43" s="19"/>
      <c r="MIF43" s="21"/>
      <c r="MIG43" s="19"/>
      <c r="MIP43" s="19"/>
      <c r="MIQ43" s="19"/>
      <c r="MIR43" s="19"/>
      <c r="MIS43" s="19"/>
      <c r="MIT43" s="21"/>
      <c r="MIU43" s="19"/>
      <c r="MJD43" s="19"/>
      <c r="MJE43" s="19"/>
      <c r="MJF43" s="19"/>
      <c r="MJG43" s="19"/>
      <c r="MJH43" s="21"/>
      <c r="MJI43" s="19"/>
      <c r="MJR43" s="19"/>
      <c r="MJS43" s="19"/>
      <c r="MJT43" s="19"/>
      <c r="MJU43" s="19"/>
      <c r="MJV43" s="21"/>
      <c r="MJW43" s="19"/>
      <c r="MKF43" s="19"/>
      <c r="MKG43" s="19"/>
      <c r="MKH43" s="19"/>
      <c r="MKI43" s="19"/>
      <c r="MKJ43" s="21"/>
      <c r="MKK43" s="19"/>
      <c r="MKT43" s="19"/>
      <c r="MKU43" s="19"/>
      <c r="MKV43" s="19"/>
      <c r="MKW43" s="19"/>
      <c r="MKX43" s="21"/>
      <c r="MKY43" s="19"/>
      <c r="MLH43" s="19"/>
      <c r="MLI43" s="19"/>
      <c r="MLJ43" s="19"/>
      <c r="MLK43" s="19"/>
      <c r="MLL43" s="21"/>
      <c r="MLM43" s="19"/>
      <c r="MLV43" s="19"/>
      <c r="MLW43" s="19"/>
      <c r="MLX43" s="19"/>
      <c r="MLY43" s="19"/>
      <c r="MLZ43" s="21"/>
      <c r="MMA43" s="19"/>
      <c r="MMJ43" s="19"/>
      <c r="MMK43" s="19"/>
      <c r="MML43" s="19"/>
      <c r="MMM43" s="19"/>
      <c r="MMN43" s="21"/>
      <c r="MMO43" s="19"/>
      <c r="MMX43" s="19"/>
      <c r="MMY43" s="19"/>
      <c r="MMZ43" s="19"/>
      <c r="MNA43" s="19"/>
      <c r="MNB43" s="21"/>
      <c r="MNC43" s="19"/>
      <c r="MNL43" s="19"/>
      <c r="MNM43" s="19"/>
      <c r="MNN43" s="19"/>
      <c r="MNO43" s="19"/>
      <c r="MNP43" s="21"/>
      <c r="MNQ43" s="19"/>
      <c r="MNZ43" s="19"/>
      <c r="MOA43" s="19"/>
      <c r="MOB43" s="19"/>
      <c r="MOC43" s="19"/>
      <c r="MOD43" s="21"/>
      <c r="MOE43" s="19"/>
      <c r="MON43" s="19"/>
      <c r="MOO43" s="19"/>
      <c r="MOP43" s="19"/>
      <c r="MOQ43" s="19"/>
      <c r="MOR43" s="21"/>
      <c r="MOS43" s="19"/>
      <c r="MPB43" s="19"/>
      <c r="MPC43" s="19"/>
      <c r="MPD43" s="19"/>
      <c r="MPE43" s="19"/>
      <c r="MPF43" s="21"/>
      <c r="MPG43" s="19"/>
      <c r="MPP43" s="19"/>
      <c r="MPQ43" s="19"/>
      <c r="MPR43" s="19"/>
      <c r="MPS43" s="19"/>
      <c r="MPT43" s="21"/>
      <c r="MPU43" s="19"/>
      <c r="MQD43" s="19"/>
      <c r="MQE43" s="19"/>
      <c r="MQF43" s="19"/>
      <c r="MQG43" s="19"/>
      <c r="MQH43" s="21"/>
      <c r="MQI43" s="19"/>
      <c r="MQR43" s="19"/>
      <c r="MQS43" s="19"/>
      <c r="MQT43" s="19"/>
      <c r="MQU43" s="19"/>
      <c r="MQV43" s="21"/>
      <c r="MQW43" s="19"/>
      <c r="MRF43" s="19"/>
      <c r="MRG43" s="19"/>
      <c r="MRH43" s="19"/>
      <c r="MRI43" s="19"/>
      <c r="MRJ43" s="21"/>
      <c r="MRK43" s="19"/>
      <c r="MRT43" s="19"/>
      <c r="MRU43" s="19"/>
      <c r="MRV43" s="19"/>
      <c r="MRW43" s="19"/>
      <c r="MRX43" s="21"/>
      <c r="MRY43" s="19"/>
      <c r="MSH43" s="19"/>
      <c r="MSI43" s="19"/>
      <c r="MSJ43" s="19"/>
      <c r="MSK43" s="19"/>
      <c r="MSL43" s="21"/>
      <c r="MSM43" s="19"/>
      <c r="MSV43" s="19"/>
      <c r="MSW43" s="19"/>
      <c r="MSX43" s="19"/>
      <c r="MSY43" s="19"/>
      <c r="MSZ43" s="21"/>
      <c r="MTA43" s="19"/>
      <c r="MTJ43" s="19"/>
      <c r="MTK43" s="19"/>
      <c r="MTL43" s="19"/>
      <c r="MTM43" s="19"/>
      <c r="MTN43" s="21"/>
      <c r="MTO43" s="19"/>
      <c r="MTX43" s="19"/>
      <c r="MTY43" s="19"/>
      <c r="MTZ43" s="19"/>
      <c r="MUA43" s="19"/>
      <c r="MUB43" s="21"/>
      <c r="MUC43" s="19"/>
      <c r="MUL43" s="19"/>
      <c r="MUM43" s="19"/>
      <c r="MUN43" s="19"/>
      <c r="MUO43" s="19"/>
      <c r="MUP43" s="21"/>
      <c r="MUQ43" s="19"/>
      <c r="MUZ43" s="19"/>
      <c r="MVA43" s="19"/>
      <c r="MVB43" s="19"/>
      <c r="MVC43" s="19"/>
      <c r="MVD43" s="21"/>
      <c r="MVE43" s="19"/>
      <c r="MVN43" s="19"/>
      <c r="MVO43" s="19"/>
      <c r="MVP43" s="19"/>
      <c r="MVQ43" s="19"/>
      <c r="MVR43" s="21"/>
      <c r="MVS43" s="19"/>
      <c r="MWB43" s="19"/>
      <c r="MWC43" s="19"/>
      <c r="MWD43" s="19"/>
      <c r="MWE43" s="19"/>
      <c r="MWF43" s="21"/>
      <c r="MWG43" s="19"/>
      <c r="MWP43" s="19"/>
      <c r="MWQ43" s="19"/>
      <c r="MWR43" s="19"/>
      <c r="MWS43" s="19"/>
      <c r="MWT43" s="21"/>
      <c r="MWU43" s="19"/>
      <c r="MXD43" s="19"/>
      <c r="MXE43" s="19"/>
      <c r="MXF43" s="19"/>
      <c r="MXG43" s="19"/>
      <c r="MXH43" s="21"/>
      <c r="MXI43" s="19"/>
      <c r="MXR43" s="19"/>
      <c r="MXS43" s="19"/>
      <c r="MXT43" s="19"/>
      <c r="MXU43" s="19"/>
      <c r="MXV43" s="21"/>
      <c r="MXW43" s="19"/>
      <c r="MYF43" s="19"/>
      <c r="MYG43" s="19"/>
      <c r="MYH43" s="19"/>
      <c r="MYI43" s="19"/>
      <c r="MYJ43" s="21"/>
      <c r="MYK43" s="19"/>
      <c r="MYT43" s="19"/>
      <c r="MYU43" s="19"/>
      <c r="MYV43" s="19"/>
      <c r="MYW43" s="19"/>
      <c r="MYX43" s="21"/>
      <c r="MYY43" s="19"/>
      <c r="MZH43" s="19"/>
      <c r="MZI43" s="19"/>
      <c r="MZJ43" s="19"/>
      <c r="MZK43" s="19"/>
      <c r="MZL43" s="21"/>
      <c r="MZM43" s="19"/>
      <c r="MZV43" s="19"/>
      <c r="MZW43" s="19"/>
      <c r="MZX43" s="19"/>
      <c r="MZY43" s="19"/>
      <c r="MZZ43" s="21"/>
      <c r="NAA43" s="19"/>
      <c r="NAJ43" s="19"/>
      <c r="NAK43" s="19"/>
      <c r="NAL43" s="19"/>
      <c r="NAM43" s="19"/>
      <c r="NAN43" s="21"/>
      <c r="NAO43" s="19"/>
      <c r="NAX43" s="19"/>
      <c r="NAY43" s="19"/>
      <c r="NAZ43" s="19"/>
      <c r="NBA43" s="19"/>
      <c r="NBB43" s="21"/>
      <c r="NBC43" s="19"/>
      <c r="NBL43" s="19"/>
      <c r="NBM43" s="19"/>
      <c r="NBN43" s="19"/>
      <c r="NBO43" s="19"/>
      <c r="NBP43" s="21"/>
      <c r="NBQ43" s="19"/>
      <c r="NBZ43" s="19"/>
      <c r="NCA43" s="19"/>
      <c r="NCB43" s="19"/>
      <c r="NCC43" s="19"/>
      <c r="NCD43" s="21"/>
      <c r="NCE43" s="19"/>
      <c r="NCN43" s="19"/>
      <c r="NCO43" s="19"/>
      <c r="NCP43" s="19"/>
      <c r="NCQ43" s="19"/>
      <c r="NCR43" s="21"/>
      <c r="NCS43" s="19"/>
      <c r="NDB43" s="19"/>
      <c r="NDC43" s="19"/>
      <c r="NDD43" s="19"/>
      <c r="NDE43" s="19"/>
      <c r="NDF43" s="21"/>
      <c r="NDG43" s="19"/>
      <c r="NDP43" s="19"/>
      <c r="NDQ43" s="19"/>
      <c r="NDR43" s="19"/>
      <c r="NDS43" s="19"/>
      <c r="NDT43" s="21"/>
      <c r="NDU43" s="19"/>
      <c r="NED43" s="19"/>
      <c r="NEE43" s="19"/>
      <c r="NEF43" s="19"/>
      <c r="NEG43" s="19"/>
      <c r="NEH43" s="21"/>
      <c r="NEI43" s="19"/>
      <c r="NER43" s="19"/>
      <c r="NES43" s="19"/>
      <c r="NET43" s="19"/>
      <c r="NEU43" s="19"/>
      <c r="NEV43" s="21"/>
      <c r="NEW43" s="19"/>
      <c r="NFF43" s="19"/>
      <c r="NFG43" s="19"/>
      <c r="NFH43" s="19"/>
      <c r="NFI43" s="19"/>
      <c r="NFJ43" s="21"/>
      <c r="NFK43" s="19"/>
      <c r="NFT43" s="19"/>
      <c r="NFU43" s="19"/>
      <c r="NFV43" s="19"/>
      <c r="NFW43" s="19"/>
      <c r="NFX43" s="21"/>
      <c r="NFY43" s="19"/>
      <c r="NGH43" s="19"/>
      <c r="NGI43" s="19"/>
      <c r="NGJ43" s="19"/>
      <c r="NGK43" s="19"/>
      <c r="NGL43" s="21"/>
      <c r="NGM43" s="19"/>
      <c r="NGV43" s="19"/>
      <c r="NGW43" s="19"/>
      <c r="NGX43" s="19"/>
      <c r="NGY43" s="19"/>
      <c r="NGZ43" s="21"/>
      <c r="NHA43" s="19"/>
      <c r="NHJ43" s="19"/>
      <c r="NHK43" s="19"/>
      <c r="NHL43" s="19"/>
      <c r="NHM43" s="19"/>
      <c r="NHN43" s="21"/>
      <c r="NHO43" s="19"/>
      <c r="NHX43" s="19"/>
      <c r="NHY43" s="19"/>
      <c r="NHZ43" s="19"/>
      <c r="NIA43" s="19"/>
      <c r="NIB43" s="21"/>
      <c r="NIC43" s="19"/>
      <c r="NIL43" s="19"/>
      <c r="NIM43" s="19"/>
      <c r="NIN43" s="19"/>
      <c r="NIO43" s="19"/>
      <c r="NIP43" s="21"/>
      <c r="NIQ43" s="19"/>
      <c r="NIZ43" s="19"/>
      <c r="NJA43" s="19"/>
      <c r="NJB43" s="19"/>
      <c r="NJC43" s="19"/>
      <c r="NJD43" s="21"/>
      <c r="NJE43" s="19"/>
      <c r="NJN43" s="19"/>
      <c r="NJO43" s="19"/>
      <c r="NJP43" s="19"/>
      <c r="NJQ43" s="19"/>
      <c r="NJR43" s="21"/>
      <c r="NJS43" s="19"/>
      <c r="NKB43" s="19"/>
      <c r="NKC43" s="19"/>
      <c r="NKD43" s="19"/>
      <c r="NKE43" s="19"/>
      <c r="NKF43" s="21"/>
      <c r="NKG43" s="19"/>
      <c r="NKP43" s="19"/>
      <c r="NKQ43" s="19"/>
      <c r="NKR43" s="19"/>
      <c r="NKS43" s="19"/>
      <c r="NKT43" s="21"/>
      <c r="NKU43" s="19"/>
      <c r="NLD43" s="19"/>
      <c r="NLE43" s="19"/>
      <c r="NLF43" s="19"/>
      <c r="NLG43" s="19"/>
      <c r="NLH43" s="21"/>
      <c r="NLI43" s="19"/>
      <c r="NLR43" s="19"/>
      <c r="NLS43" s="19"/>
      <c r="NLT43" s="19"/>
      <c r="NLU43" s="19"/>
      <c r="NLV43" s="21"/>
      <c r="NLW43" s="19"/>
      <c r="NMF43" s="19"/>
      <c r="NMG43" s="19"/>
      <c r="NMH43" s="19"/>
      <c r="NMI43" s="19"/>
      <c r="NMJ43" s="21"/>
      <c r="NMK43" s="19"/>
      <c r="NMT43" s="19"/>
      <c r="NMU43" s="19"/>
      <c r="NMV43" s="19"/>
      <c r="NMW43" s="19"/>
      <c r="NMX43" s="21"/>
      <c r="NMY43" s="19"/>
      <c r="NNH43" s="19"/>
      <c r="NNI43" s="19"/>
      <c r="NNJ43" s="19"/>
      <c r="NNK43" s="19"/>
      <c r="NNL43" s="21"/>
      <c r="NNM43" s="19"/>
      <c r="NNV43" s="19"/>
      <c r="NNW43" s="19"/>
      <c r="NNX43" s="19"/>
      <c r="NNY43" s="19"/>
      <c r="NNZ43" s="21"/>
      <c r="NOA43" s="19"/>
      <c r="NOJ43" s="19"/>
      <c r="NOK43" s="19"/>
      <c r="NOL43" s="19"/>
      <c r="NOM43" s="19"/>
      <c r="NON43" s="21"/>
      <c r="NOO43" s="19"/>
      <c r="NOX43" s="19"/>
      <c r="NOY43" s="19"/>
      <c r="NOZ43" s="19"/>
      <c r="NPA43" s="19"/>
      <c r="NPB43" s="21"/>
      <c r="NPC43" s="19"/>
      <c r="NPL43" s="19"/>
      <c r="NPM43" s="19"/>
      <c r="NPN43" s="19"/>
      <c r="NPO43" s="19"/>
      <c r="NPP43" s="21"/>
      <c r="NPQ43" s="19"/>
      <c r="NPZ43" s="19"/>
      <c r="NQA43" s="19"/>
      <c r="NQB43" s="19"/>
      <c r="NQC43" s="19"/>
      <c r="NQD43" s="21"/>
      <c r="NQE43" s="19"/>
      <c r="NQN43" s="19"/>
      <c r="NQO43" s="19"/>
      <c r="NQP43" s="19"/>
      <c r="NQQ43" s="19"/>
      <c r="NQR43" s="21"/>
      <c r="NQS43" s="19"/>
      <c r="NRB43" s="19"/>
      <c r="NRC43" s="19"/>
      <c r="NRD43" s="19"/>
      <c r="NRE43" s="19"/>
      <c r="NRF43" s="21"/>
      <c r="NRG43" s="19"/>
      <c r="NRP43" s="19"/>
      <c r="NRQ43" s="19"/>
      <c r="NRR43" s="19"/>
      <c r="NRS43" s="19"/>
      <c r="NRT43" s="21"/>
      <c r="NRU43" s="19"/>
      <c r="NSD43" s="19"/>
      <c r="NSE43" s="19"/>
      <c r="NSF43" s="19"/>
      <c r="NSG43" s="19"/>
      <c r="NSH43" s="21"/>
      <c r="NSI43" s="19"/>
      <c r="NSR43" s="19"/>
      <c r="NSS43" s="19"/>
      <c r="NST43" s="19"/>
      <c r="NSU43" s="19"/>
      <c r="NSV43" s="21"/>
      <c r="NSW43" s="19"/>
      <c r="NTF43" s="19"/>
      <c r="NTG43" s="19"/>
      <c r="NTH43" s="19"/>
      <c r="NTI43" s="19"/>
      <c r="NTJ43" s="21"/>
      <c r="NTK43" s="19"/>
      <c r="NTT43" s="19"/>
      <c r="NTU43" s="19"/>
      <c r="NTV43" s="19"/>
      <c r="NTW43" s="19"/>
      <c r="NTX43" s="21"/>
      <c r="NTY43" s="19"/>
      <c r="NUH43" s="19"/>
      <c r="NUI43" s="19"/>
      <c r="NUJ43" s="19"/>
      <c r="NUK43" s="19"/>
      <c r="NUL43" s="21"/>
      <c r="NUM43" s="19"/>
      <c r="NUV43" s="19"/>
      <c r="NUW43" s="19"/>
      <c r="NUX43" s="19"/>
      <c r="NUY43" s="19"/>
      <c r="NUZ43" s="21"/>
      <c r="NVA43" s="19"/>
      <c r="NVJ43" s="19"/>
      <c r="NVK43" s="19"/>
      <c r="NVL43" s="19"/>
      <c r="NVM43" s="19"/>
      <c r="NVN43" s="21"/>
      <c r="NVO43" s="19"/>
      <c r="NVX43" s="19"/>
      <c r="NVY43" s="19"/>
      <c r="NVZ43" s="19"/>
      <c r="NWA43" s="19"/>
      <c r="NWB43" s="21"/>
      <c r="NWC43" s="19"/>
      <c r="NWL43" s="19"/>
      <c r="NWM43" s="19"/>
      <c r="NWN43" s="19"/>
      <c r="NWO43" s="19"/>
      <c r="NWP43" s="21"/>
      <c r="NWQ43" s="19"/>
      <c r="NWZ43" s="19"/>
      <c r="NXA43" s="19"/>
      <c r="NXB43" s="19"/>
      <c r="NXC43" s="19"/>
      <c r="NXD43" s="21"/>
      <c r="NXE43" s="19"/>
      <c r="NXN43" s="19"/>
      <c r="NXO43" s="19"/>
      <c r="NXP43" s="19"/>
      <c r="NXQ43" s="19"/>
      <c r="NXR43" s="21"/>
      <c r="NXS43" s="19"/>
      <c r="NYB43" s="19"/>
      <c r="NYC43" s="19"/>
      <c r="NYD43" s="19"/>
      <c r="NYE43" s="19"/>
      <c r="NYF43" s="21"/>
      <c r="NYG43" s="19"/>
      <c r="NYP43" s="19"/>
      <c r="NYQ43" s="19"/>
      <c r="NYR43" s="19"/>
      <c r="NYS43" s="19"/>
      <c r="NYT43" s="21"/>
      <c r="NYU43" s="19"/>
      <c r="NZD43" s="19"/>
      <c r="NZE43" s="19"/>
      <c r="NZF43" s="19"/>
      <c r="NZG43" s="19"/>
      <c r="NZH43" s="21"/>
      <c r="NZI43" s="19"/>
      <c r="NZR43" s="19"/>
      <c r="NZS43" s="19"/>
      <c r="NZT43" s="19"/>
      <c r="NZU43" s="19"/>
      <c r="NZV43" s="21"/>
      <c r="NZW43" s="19"/>
      <c r="OAF43" s="19"/>
      <c r="OAG43" s="19"/>
      <c r="OAH43" s="19"/>
      <c r="OAI43" s="19"/>
      <c r="OAJ43" s="21"/>
      <c r="OAK43" s="19"/>
      <c r="OAT43" s="19"/>
      <c r="OAU43" s="19"/>
      <c r="OAV43" s="19"/>
      <c r="OAW43" s="19"/>
      <c r="OAX43" s="21"/>
      <c r="OAY43" s="19"/>
      <c r="OBH43" s="19"/>
      <c r="OBI43" s="19"/>
      <c r="OBJ43" s="19"/>
      <c r="OBK43" s="19"/>
      <c r="OBL43" s="21"/>
      <c r="OBM43" s="19"/>
      <c r="OBV43" s="19"/>
      <c r="OBW43" s="19"/>
      <c r="OBX43" s="19"/>
      <c r="OBY43" s="19"/>
      <c r="OBZ43" s="21"/>
      <c r="OCA43" s="19"/>
      <c r="OCJ43" s="19"/>
      <c r="OCK43" s="19"/>
      <c r="OCL43" s="19"/>
      <c r="OCM43" s="19"/>
      <c r="OCN43" s="21"/>
      <c r="OCO43" s="19"/>
      <c r="OCX43" s="19"/>
      <c r="OCY43" s="19"/>
      <c r="OCZ43" s="19"/>
      <c r="ODA43" s="19"/>
      <c r="ODB43" s="21"/>
      <c r="ODC43" s="19"/>
      <c r="ODL43" s="19"/>
      <c r="ODM43" s="19"/>
      <c r="ODN43" s="19"/>
      <c r="ODO43" s="19"/>
      <c r="ODP43" s="21"/>
      <c r="ODQ43" s="19"/>
      <c r="ODZ43" s="19"/>
      <c r="OEA43" s="19"/>
      <c r="OEB43" s="19"/>
      <c r="OEC43" s="19"/>
      <c r="OED43" s="21"/>
      <c r="OEE43" s="19"/>
      <c r="OEN43" s="19"/>
      <c r="OEO43" s="19"/>
      <c r="OEP43" s="19"/>
      <c r="OEQ43" s="19"/>
      <c r="OER43" s="21"/>
      <c r="OES43" s="19"/>
      <c r="OFB43" s="19"/>
      <c r="OFC43" s="19"/>
      <c r="OFD43" s="19"/>
      <c r="OFE43" s="19"/>
      <c r="OFF43" s="21"/>
      <c r="OFG43" s="19"/>
      <c r="OFP43" s="19"/>
      <c r="OFQ43" s="19"/>
      <c r="OFR43" s="19"/>
      <c r="OFS43" s="19"/>
      <c r="OFT43" s="21"/>
      <c r="OFU43" s="19"/>
      <c r="OGD43" s="19"/>
      <c r="OGE43" s="19"/>
      <c r="OGF43" s="19"/>
      <c r="OGG43" s="19"/>
      <c r="OGH43" s="21"/>
      <c r="OGI43" s="19"/>
      <c r="OGR43" s="19"/>
      <c r="OGS43" s="19"/>
      <c r="OGT43" s="19"/>
      <c r="OGU43" s="19"/>
      <c r="OGV43" s="21"/>
      <c r="OGW43" s="19"/>
      <c r="OHF43" s="19"/>
      <c r="OHG43" s="19"/>
      <c r="OHH43" s="19"/>
      <c r="OHI43" s="19"/>
      <c r="OHJ43" s="21"/>
      <c r="OHK43" s="19"/>
      <c r="OHT43" s="19"/>
      <c r="OHU43" s="19"/>
      <c r="OHV43" s="19"/>
      <c r="OHW43" s="19"/>
      <c r="OHX43" s="21"/>
      <c r="OHY43" s="19"/>
      <c r="OIH43" s="19"/>
      <c r="OII43" s="19"/>
      <c r="OIJ43" s="19"/>
      <c r="OIK43" s="19"/>
      <c r="OIL43" s="21"/>
      <c r="OIM43" s="19"/>
      <c r="OIV43" s="19"/>
      <c r="OIW43" s="19"/>
      <c r="OIX43" s="19"/>
      <c r="OIY43" s="19"/>
      <c r="OIZ43" s="21"/>
      <c r="OJA43" s="19"/>
      <c r="OJJ43" s="19"/>
      <c r="OJK43" s="19"/>
      <c r="OJL43" s="19"/>
      <c r="OJM43" s="19"/>
      <c r="OJN43" s="21"/>
      <c r="OJO43" s="19"/>
      <c r="OJX43" s="19"/>
      <c r="OJY43" s="19"/>
      <c r="OJZ43" s="19"/>
      <c r="OKA43" s="19"/>
      <c r="OKB43" s="21"/>
      <c r="OKC43" s="19"/>
      <c r="OKL43" s="19"/>
      <c r="OKM43" s="19"/>
      <c r="OKN43" s="19"/>
      <c r="OKO43" s="19"/>
      <c r="OKP43" s="21"/>
      <c r="OKQ43" s="19"/>
      <c r="OKZ43" s="19"/>
      <c r="OLA43" s="19"/>
      <c r="OLB43" s="19"/>
      <c r="OLC43" s="19"/>
      <c r="OLD43" s="21"/>
      <c r="OLE43" s="19"/>
      <c r="OLN43" s="19"/>
      <c r="OLO43" s="19"/>
      <c r="OLP43" s="19"/>
      <c r="OLQ43" s="19"/>
      <c r="OLR43" s="21"/>
      <c r="OLS43" s="19"/>
      <c r="OMB43" s="19"/>
      <c r="OMC43" s="19"/>
      <c r="OMD43" s="19"/>
      <c r="OME43" s="19"/>
      <c r="OMF43" s="21"/>
      <c r="OMG43" s="19"/>
      <c r="OMP43" s="19"/>
      <c r="OMQ43" s="19"/>
      <c r="OMR43" s="19"/>
      <c r="OMS43" s="19"/>
      <c r="OMT43" s="21"/>
      <c r="OMU43" s="19"/>
      <c r="OND43" s="19"/>
      <c r="ONE43" s="19"/>
      <c r="ONF43" s="19"/>
      <c r="ONG43" s="19"/>
      <c r="ONH43" s="21"/>
      <c r="ONI43" s="19"/>
      <c r="ONR43" s="19"/>
      <c r="ONS43" s="19"/>
      <c r="ONT43" s="19"/>
      <c r="ONU43" s="19"/>
      <c r="ONV43" s="21"/>
      <c r="ONW43" s="19"/>
      <c r="OOF43" s="19"/>
      <c r="OOG43" s="19"/>
      <c r="OOH43" s="19"/>
      <c r="OOI43" s="19"/>
      <c r="OOJ43" s="21"/>
      <c r="OOK43" s="19"/>
      <c r="OOT43" s="19"/>
      <c r="OOU43" s="19"/>
      <c r="OOV43" s="19"/>
      <c r="OOW43" s="19"/>
      <c r="OOX43" s="21"/>
      <c r="OOY43" s="19"/>
      <c r="OPH43" s="19"/>
      <c r="OPI43" s="19"/>
      <c r="OPJ43" s="19"/>
      <c r="OPK43" s="19"/>
      <c r="OPL43" s="21"/>
      <c r="OPM43" s="19"/>
      <c r="OPV43" s="19"/>
      <c r="OPW43" s="19"/>
      <c r="OPX43" s="19"/>
      <c r="OPY43" s="19"/>
      <c r="OPZ43" s="21"/>
      <c r="OQA43" s="19"/>
      <c r="OQJ43" s="19"/>
      <c r="OQK43" s="19"/>
      <c r="OQL43" s="19"/>
      <c r="OQM43" s="19"/>
      <c r="OQN43" s="21"/>
      <c r="OQO43" s="19"/>
      <c r="OQX43" s="19"/>
      <c r="OQY43" s="19"/>
      <c r="OQZ43" s="19"/>
      <c r="ORA43" s="19"/>
      <c r="ORB43" s="21"/>
      <c r="ORC43" s="19"/>
      <c r="ORL43" s="19"/>
      <c r="ORM43" s="19"/>
      <c r="ORN43" s="19"/>
      <c r="ORO43" s="19"/>
      <c r="ORP43" s="21"/>
      <c r="ORQ43" s="19"/>
      <c r="ORZ43" s="19"/>
      <c r="OSA43" s="19"/>
      <c r="OSB43" s="19"/>
      <c r="OSC43" s="19"/>
      <c r="OSD43" s="21"/>
      <c r="OSE43" s="19"/>
      <c r="OSN43" s="19"/>
      <c r="OSO43" s="19"/>
      <c r="OSP43" s="19"/>
      <c r="OSQ43" s="19"/>
      <c r="OSR43" s="21"/>
      <c r="OSS43" s="19"/>
      <c r="OTB43" s="19"/>
      <c r="OTC43" s="19"/>
      <c r="OTD43" s="19"/>
      <c r="OTE43" s="19"/>
      <c r="OTF43" s="21"/>
      <c r="OTG43" s="19"/>
      <c r="OTP43" s="19"/>
      <c r="OTQ43" s="19"/>
      <c r="OTR43" s="19"/>
      <c r="OTS43" s="19"/>
      <c r="OTT43" s="21"/>
      <c r="OTU43" s="19"/>
      <c r="OUD43" s="19"/>
      <c r="OUE43" s="19"/>
      <c r="OUF43" s="19"/>
      <c r="OUG43" s="19"/>
      <c r="OUH43" s="21"/>
      <c r="OUI43" s="19"/>
      <c r="OUR43" s="19"/>
      <c r="OUS43" s="19"/>
      <c r="OUT43" s="19"/>
      <c r="OUU43" s="19"/>
      <c r="OUV43" s="21"/>
      <c r="OUW43" s="19"/>
      <c r="OVF43" s="19"/>
      <c r="OVG43" s="19"/>
      <c r="OVH43" s="19"/>
      <c r="OVI43" s="19"/>
      <c r="OVJ43" s="21"/>
      <c r="OVK43" s="19"/>
      <c r="OVT43" s="19"/>
      <c r="OVU43" s="19"/>
      <c r="OVV43" s="19"/>
      <c r="OVW43" s="19"/>
      <c r="OVX43" s="21"/>
      <c r="OVY43" s="19"/>
      <c r="OWH43" s="19"/>
      <c r="OWI43" s="19"/>
      <c r="OWJ43" s="19"/>
      <c r="OWK43" s="19"/>
      <c r="OWL43" s="21"/>
      <c r="OWM43" s="19"/>
      <c r="OWV43" s="19"/>
      <c r="OWW43" s="19"/>
      <c r="OWX43" s="19"/>
      <c r="OWY43" s="19"/>
      <c r="OWZ43" s="21"/>
      <c r="OXA43" s="19"/>
      <c r="OXJ43" s="19"/>
      <c r="OXK43" s="19"/>
      <c r="OXL43" s="19"/>
      <c r="OXM43" s="19"/>
      <c r="OXN43" s="21"/>
      <c r="OXO43" s="19"/>
      <c r="OXX43" s="19"/>
      <c r="OXY43" s="19"/>
      <c r="OXZ43" s="19"/>
      <c r="OYA43" s="19"/>
      <c r="OYB43" s="21"/>
      <c r="OYC43" s="19"/>
      <c r="OYL43" s="19"/>
      <c r="OYM43" s="19"/>
      <c r="OYN43" s="19"/>
      <c r="OYO43" s="19"/>
      <c r="OYP43" s="21"/>
      <c r="OYQ43" s="19"/>
      <c r="OYZ43" s="19"/>
      <c r="OZA43" s="19"/>
      <c r="OZB43" s="19"/>
      <c r="OZC43" s="19"/>
      <c r="OZD43" s="21"/>
      <c r="OZE43" s="19"/>
      <c r="OZN43" s="19"/>
      <c r="OZO43" s="19"/>
      <c r="OZP43" s="19"/>
      <c r="OZQ43" s="19"/>
      <c r="OZR43" s="21"/>
      <c r="OZS43" s="19"/>
      <c r="PAB43" s="19"/>
      <c r="PAC43" s="19"/>
      <c r="PAD43" s="19"/>
      <c r="PAE43" s="19"/>
      <c r="PAF43" s="21"/>
      <c r="PAG43" s="19"/>
      <c r="PAP43" s="19"/>
      <c r="PAQ43" s="19"/>
      <c r="PAR43" s="19"/>
      <c r="PAS43" s="19"/>
      <c r="PAT43" s="21"/>
      <c r="PAU43" s="19"/>
      <c r="PBD43" s="19"/>
      <c r="PBE43" s="19"/>
      <c r="PBF43" s="19"/>
      <c r="PBG43" s="19"/>
      <c r="PBH43" s="21"/>
      <c r="PBI43" s="19"/>
      <c r="PBR43" s="19"/>
      <c r="PBS43" s="19"/>
      <c r="PBT43" s="19"/>
      <c r="PBU43" s="19"/>
      <c r="PBV43" s="21"/>
      <c r="PBW43" s="19"/>
      <c r="PCF43" s="19"/>
      <c r="PCG43" s="19"/>
      <c r="PCH43" s="19"/>
      <c r="PCI43" s="19"/>
      <c r="PCJ43" s="21"/>
      <c r="PCK43" s="19"/>
      <c r="PCT43" s="19"/>
      <c r="PCU43" s="19"/>
      <c r="PCV43" s="19"/>
      <c r="PCW43" s="19"/>
      <c r="PCX43" s="21"/>
      <c r="PCY43" s="19"/>
      <c r="PDH43" s="19"/>
      <c r="PDI43" s="19"/>
      <c r="PDJ43" s="19"/>
      <c r="PDK43" s="19"/>
      <c r="PDL43" s="21"/>
      <c r="PDM43" s="19"/>
      <c r="PDV43" s="19"/>
      <c r="PDW43" s="19"/>
      <c r="PDX43" s="19"/>
      <c r="PDY43" s="19"/>
      <c r="PDZ43" s="21"/>
      <c r="PEA43" s="19"/>
      <c r="PEJ43" s="19"/>
      <c r="PEK43" s="19"/>
      <c r="PEL43" s="19"/>
      <c r="PEM43" s="19"/>
      <c r="PEN43" s="21"/>
      <c r="PEO43" s="19"/>
      <c r="PEX43" s="19"/>
      <c r="PEY43" s="19"/>
      <c r="PEZ43" s="19"/>
      <c r="PFA43" s="19"/>
      <c r="PFB43" s="21"/>
      <c r="PFC43" s="19"/>
      <c r="PFL43" s="19"/>
      <c r="PFM43" s="19"/>
      <c r="PFN43" s="19"/>
      <c r="PFO43" s="19"/>
      <c r="PFP43" s="21"/>
      <c r="PFQ43" s="19"/>
      <c r="PFZ43" s="19"/>
      <c r="PGA43" s="19"/>
      <c r="PGB43" s="19"/>
      <c r="PGC43" s="19"/>
      <c r="PGD43" s="21"/>
      <c r="PGE43" s="19"/>
      <c r="PGN43" s="19"/>
      <c r="PGO43" s="19"/>
      <c r="PGP43" s="19"/>
      <c r="PGQ43" s="19"/>
      <c r="PGR43" s="21"/>
      <c r="PGS43" s="19"/>
      <c r="PHB43" s="19"/>
      <c r="PHC43" s="19"/>
      <c r="PHD43" s="19"/>
      <c r="PHE43" s="19"/>
      <c r="PHF43" s="21"/>
      <c r="PHG43" s="19"/>
      <c r="PHP43" s="19"/>
      <c r="PHQ43" s="19"/>
      <c r="PHR43" s="19"/>
      <c r="PHS43" s="19"/>
      <c r="PHT43" s="21"/>
      <c r="PHU43" s="19"/>
      <c r="PID43" s="19"/>
      <c r="PIE43" s="19"/>
      <c r="PIF43" s="19"/>
      <c r="PIG43" s="19"/>
      <c r="PIH43" s="21"/>
      <c r="PII43" s="19"/>
      <c r="PIR43" s="19"/>
      <c r="PIS43" s="19"/>
      <c r="PIT43" s="19"/>
      <c r="PIU43" s="19"/>
      <c r="PIV43" s="21"/>
      <c r="PIW43" s="19"/>
      <c r="PJF43" s="19"/>
      <c r="PJG43" s="19"/>
      <c r="PJH43" s="19"/>
      <c r="PJI43" s="19"/>
      <c r="PJJ43" s="21"/>
      <c r="PJK43" s="19"/>
      <c r="PJT43" s="19"/>
      <c r="PJU43" s="19"/>
      <c r="PJV43" s="19"/>
      <c r="PJW43" s="19"/>
      <c r="PJX43" s="21"/>
      <c r="PJY43" s="19"/>
      <c r="PKH43" s="19"/>
      <c r="PKI43" s="19"/>
      <c r="PKJ43" s="19"/>
      <c r="PKK43" s="19"/>
      <c r="PKL43" s="21"/>
      <c r="PKM43" s="19"/>
      <c r="PKV43" s="19"/>
      <c r="PKW43" s="19"/>
      <c r="PKX43" s="19"/>
      <c r="PKY43" s="19"/>
      <c r="PKZ43" s="21"/>
      <c r="PLA43" s="19"/>
      <c r="PLJ43" s="19"/>
      <c r="PLK43" s="19"/>
      <c r="PLL43" s="19"/>
      <c r="PLM43" s="19"/>
      <c r="PLN43" s="21"/>
      <c r="PLO43" s="19"/>
      <c r="PLX43" s="19"/>
      <c r="PLY43" s="19"/>
      <c r="PLZ43" s="19"/>
      <c r="PMA43" s="19"/>
      <c r="PMB43" s="21"/>
      <c r="PMC43" s="19"/>
      <c r="PML43" s="19"/>
      <c r="PMM43" s="19"/>
      <c r="PMN43" s="19"/>
      <c r="PMO43" s="19"/>
      <c r="PMP43" s="21"/>
      <c r="PMQ43" s="19"/>
      <c r="PMZ43" s="19"/>
      <c r="PNA43" s="19"/>
      <c r="PNB43" s="19"/>
      <c r="PNC43" s="19"/>
      <c r="PND43" s="21"/>
      <c r="PNE43" s="19"/>
      <c r="PNN43" s="19"/>
      <c r="PNO43" s="19"/>
      <c r="PNP43" s="19"/>
      <c r="PNQ43" s="19"/>
      <c r="PNR43" s="21"/>
      <c r="PNS43" s="19"/>
      <c r="POB43" s="19"/>
      <c r="POC43" s="19"/>
      <c r="POD43" s="19"/>
      <c r="POE43" s="19"/>
      <c r="POF43" s="21"/>
      <c r="POG43" s="19"/>
      <c r="POP43" s="19"/>
      <c r="POQ43" s="19"/>
      <c r="POR43" s="19"/>
      <c r="POS43" s="19"/>
      <c r="POT43" s="21"/>
      <c r="POU43" s="19"/>
      <c r="PPD43" s="19"/>
      <c r="PPE43" s="19"/>
      <c r="PPF43" s="19"/>
      <c r="PPG43" s="19"/>
      <c r="PPH43" s="21"/>
      <c r="PPI43" s="19"/>
      <c r="PPR43" s="19"/>
      <c r="PPS43" s="19"/>
      <c r="PPT43" s="19"/>
      <c r="PPU43" s="19"/>
      <c r="PPV43" s="21"/>
      <c r="PPW43" s="19"/>
      <c r="PQF43" s="19"/>
      <c r="PQG43" s="19"/>
      <c r="PQH43" s="19"/>
      <c r="PQI43" s="19"/>
      <c r="PQJ43" s="21"/>
      <c r="PQK43" s="19"/>
      <c r="PQT43" s="19"/>
      <c r="PQU43" s="19"/>
      <c r="PQV43" s="19"/>
      <c r="PQW43" s="19"/>
      <c r="PQX43" s="21"/>
      <c r="PQY43" s="19"/>
      <c r="PRH43" s="19"/>
      <c r="PRI43" s="19"/>
      <c r="PRJ43" s="19"/>
      <c r="PRK43" s="19"/>
      <c r="PRL43" s="21"/>
      <c r="PRM43" s="19"/>
      <c r="PRV43" s="19"/>
      <c r="PRW43" s="19"/>
      <c r="PRX43" s="19"/>
      <c r="PRY43" s="19"/>
      <c r="PRZ43" s="21"/>
      <c r="PSA43" s="19"/>
      <c r="PSJ43" s="19"/>
      <c r="PSK43" s="19"/>
      <c r="PSL43" s="19"/>
      <c r="PSM43" s="19"/>
      <c r="PSN43" s="21"/>
      <c r="PSO43" s="19"/>
      <c r="PSX43" s="19"/>
      <c r="PSY43" s="19"/>
      <c r="PSZ43" s="19"/>
      <c r="PTA43" s="19"/>
      <c r="PTB43" s="21"/>
      <c r="PTC43" s="19"/>
      <c r="PTL43" s="19"/>
      <c r="PTM43" s="19"/>
      <c r="PTN43" s="19"/>
      <c r="PTO43" s="19"/>
      <c r="PTP43" s="21"/>
      <c r="PTQ43" s="19"/>
      <c r="PTZ43" s="19"/>
      <c r="PUA43" s="19"/>
      <c r="PUB43" s="19"/>
      <c r="PUC43" s="19"/>
      <c r="PUD43" s="21"/>
      <c r="PUE43" s="19"/>
      <c r="PUN43" s="19"/>
      <c r="PUO43" s="19"/>
      <c r="PUP43" s="19"/>
      <c r="PUQ43" s="19"/>
      <c r="PUR43" s="21"/>
      <c r="PUS43" s="19"/>
      <c r="PVB43" s="19"/>
      <c r="PVC43" s="19"/>
      <c r="PVD43" s="19"/>
      <c r="PVE43" s="19"/>
      <c r="PVF43" s="21"/>
      <c r="PVG43" s="19"/>
      <c r="PVP43" s="19"/>
      <c r="PVQ43" s="19"/>
      <c r="PVR43" s="19"/>
      <c r="PVS43" s="19"/>
      <c r="PVT43" s="21"/>
      <c r="PVU43" s="19"/>
      <c r="PWD43" s="19"/>
      <c r="PWE43" s="19"/>
      <c r="PWF43" s="19"/>
      <c r="PWG43" s="19"/>
      <c r="PWH43" s="21"/>
      <c r="PWI43" s="19"/>
      <c r="PWR43" s="19"/>
      <c r="PWS43" s="19"/>
      <c r="PWT43" s="19"/>
      <c r="PWU43" s="19"/>
      <c r="PWV43" s="21"/>
      <c r="PWW43" s="19"/>
      <c r="PXF43" s="19"/>
      <c r="PXG43" s="19"/>
      <c r="PXH43" s="19"/>
      <c r="PXI43" s="19"/>
      <c r="PXJ43" s="21"/>
      <c r="PXK43" s="19"/>
      <c r="PXT43" s="19"/>
      <c r="PXU43" s="19"/>
      <c r="PXV43" s="19"/>
      <c r="PXW43" s="19"/>
      <c r="PXX43" s="21"/>
      <c r="PXY43" s="19"/>
      <c r="PYH43" s="19"/>
      <c r="PYI43" s="19"/>
      <c r="PYJ43" s="19"/>
      <c r="PYK43" s="19"/>
      <c r="PYL43" s="21"/>
      <c r="PYM43" s="19"/>
      <c r="PYV43" s="19"/>
      <c r="PYW43" s="19"/>
      <c r="PYX43" s="19"/>
      <c r="PYY43" s="19"/>
      <c r="PYZ43" s="21"/>
      <c r="PZA43" s="19"/>
      <c r="PZJ43" s="19"/>
      <c r="PZK43" s="19"/>
      <c r="PZL43" s="19"/>
      <c r="PZM43" s="19"/>
      <c r="PZN43" s="21"/>
      <c r="PZO43" s="19"/>
      <c r="PZX43" s="19"/>
      <c r="PZY43" s="19"/>
      <c r="PZZ43" s="19"/>
      <c r="QAA43" s="19"/>
      <c r="QAB43" s="21"/>
      <c r="QAC43" s="19"/>
      <c r="QAL43" s="19"/>
      <c r="QAM43" s="19"/>
      <c r="QAN43" s="19"/>
      <c r="QAO43" s="19"/>
      <c r="QAP43" s="21"/>
      <c r="QAQ43" s="19"/>
      <c r="QAZ43" s="19"/>
      <c r="QBA43" s="19"/>
      <c r="QBB43" s="19"/>
      <c r="QBC43" s="19"/>
      <c r="QBD43" s="21"/>
      <c r="QBE43" s="19"/>
      <c r="QBN43" s="19"/>
      <c r="QBO43" s="19"/>
      <c r="QBP43" s="19"/>
      <c r="QBQ43" s="19"/>
      <c r="QBR43" s="21"/>
      <c r="QBS43" s="19"/>
      <c r="QCB43" s="19"/>
      <c r="QCC43" s="19"/>
      <c r="QCD43" s="19"/>
      <c r="QCE43" s="19"/>
      <c r="QCF43" s="21"/>
      <c r="QCG43" s="19"/>
      <c r="QCP43" s="19"/>
      <c r="QCQ43" s="19"/>
      <c r="QCR43" s="19"/>
      <c r="QCS43" s="19"/>
      <c r="QCT43" s="21"/>
      <c r="QCU43" s="19"/>
      <c r="QDD43" s="19"/>
      <c r="QDE43" s="19"/>
      <c r="QDF43" s="19"/>
      <c r="QDG43" s="19"/>
      <c r="QDH43" s="21"/>
      <c r="QDI43" s="19"/>
      <c r="QDR43" s="19"/>
      <c r="QDS43" s="19"/>
      <c r="QDT43" s="19"/>
      <c r="QDU43" s="19"/>
      <c r="QDV43" s="21"/>
      <c r="QDW43" s="19"/>
      <c r="QEF43" s="19"/>
      <c r="QEG43" s="19"/>
      <c r="QEH43" s="19"/>
      <c r="QEI43" s="19"/>
      <c r="QEJ43" s="21"/>
      <c r="QEK43" s="19"/>
      <c r="QET43" s="19"/>
      <c r="QEU43" s="19"/>
      <c r="QEV43" s="19"/>
      <c r="QEW43" s="19"/>
      <c r="QEX43" s="21"/>
      <c r="QEY43" s="19"/>
      <c r="QFH43" s="19"/>
      <c r="QFI43" s="19"/>
      <c r="QFJ43" s="19"/>
      <c r="QFK43" s="19"/>
      <c r="QFL43" s="21"/>
      <c r="QFM43" s="19"/>
      <c r="QFV43" s="19"/>
      <c r="QFW43" s="19"/>
      <c r="QFX43" s="19"/>
      <c r="QFY43" s="19"/>
      <c r="QFZ43" s="21"/>
      <c r="QGA43" s="19"/>
      <c r="QGJ43" s="19"/>
      <c r="QGK43" s="19"/>
      <c r="QGL43" s="19"/>
      <c r="QGM43" s="19"/>
      <c r="QGN43" s="21"/>
      <c r="QGO43" s="19"/>
      <c r="QGX43" s="19"/>
      <c r="QGY43" s="19"/>
      <c r="QGZ43" s="19"/>
      <c r="QHA43" s="19"/>
      <c r="QHB43" s="21"/>
      <c r="QHC43" s="19"/>
      <c r="QHL43" s="19"/>
      <c r="QHM43" s="19"/>
      <c r="QHN43" s="19"/>
      <c r="QHO43" s="19"/>
      <c r="QHP43" s="21"/>
      <c r="QHQ43" s="19"/>
      <c r="QHZ43" s="19"/>
      <c r="QIA43" s="19"/>
      <c r="QIB43" s="19"/>
      <c r="QIC43" s="19"/>
      <c r="QID43" s="21"/>
      <c r="QIE43" s="19"/>
      <c r="QIN43" s="19"/>
      <c r="QIO43" s="19"/>
      <c r="QIP43" s="19"/>
      <c r="QIQ43" s="19"/>
      <c r="QIR43" s="21"/>
      <c r="QIS43" s="19"/>
      <c r="QJB43" s="19"/>
      <c r="QJC43" s="19"/>
      <c r="QJD43" s="19"/>
      <c r="QJE43" s="19"/>
      <c r="QJF43" s="21"/>
      <c r="QJG43" s="19"/>
      <c r="QJP43" s="19"/>
      <c r="QJQ43" s="19"/>
      <c r="QJR43" s="19"/>
      <c r="QJS43" s="19"/>
      <c r="QJT43" s="21"/>
      <c r="QJU43" s="19"/>
      <c r="QKD43" s="19"/>
      <c r="QKE43" s="19"/>
      <c r="QKF43" s="19"/>
      <c r="QKG43" s="19"/>
      <c r="QKH43" s="21"/>
      <c r="QKI43" s="19"/>
      <c r="QKR43" s="19"/>
      <c r="QKS43" s="19"/>
      <c r="QKT43" s="19"/>
      <c r="QKU43" s="19"/>
      <c r="QKV43" s="21"/>
      <c r="QKW43" s="19"/>
      <c r="QLF43" s="19"/>
      <c r="QLG43" s="19"/>
      <c r="QLH43" s="19"/>
      <c r="QLI43" s="19"/>
      <c r="QLJ43" s="21"/>
      <c r="QLK43" s="19"/>
      <c r="QLT43" s="19"/>
      <c r="QLU43" s="19"/>
      <c r="QLV43" s="19"/>
      <c r="QLW43" s="19"/>
      <c r="QLX43" s="21"/>
      <c r="QLY43" s="19"/>
      <c r="QMH43" s="19"/>
      <c r="QMI43" s="19"/>
      <c r="QMJ43" s="19"/>
      <c r="QMK43" s="19"/>
      <c r="QML43" s="21"/>
      <c r="QMM43" s="19"/>
      <c r="QMV43" s="19"/>
      <c r="QMW43" s="19"/>
      <c r="QMX43" s="19"/>
      <c r="QMY43" s="19"/>
      <c r="QMZ43" s="21"/>
      <c r="QNA43" s="19"/>
      <c r="QNJ43" s="19"/>
      <c r="QNK43" s="19"/>
      <c r="QNL43" s="19"/>
      <c r="QNM43" s="19"/>
      <c r="QNN43" s="21"/>
      <c r="QNO43" s="19"/>
      <c r="QNX43" s="19"/>
      <c r="QNY43" s="19"/>
      <c r="QNZ43" s="19"/>
      <c r="QOA43" s="19"/>
      <c r="QOB43" s="21"/>
      <c r="QOC43" s="19"/>
      <c r="QOL43" s="19"/>
      <c r="QOM43" s="19"/>
      <c r="QON43" s="19"/>
      <c r="QOO43" s="19"/>
      <c r="QOP43" s="21"/>
      <c r="QOQ43" s="19"/>
      <c r="QOZ43" s="19"/>
      <c r="QPA43" s="19"/>
      <c r="QPB43" s="19"/>
      <c r="QPC43" s="19"/>
      <c r="QPD43" s="21"/>
      <c r="QPE43" s="19"/>
      <c r="QPN43" s="19"/>
      <c r="QPO43" s="19"/>
      <c r="QPP43" s="19"/>
      <c r="QPQ43" s="19"/>
      <c r="QPR43" s="21"/>
      <c r="QPS43" s="19"/>
      <c r="QQB43" s="19"/>
      <c r="QQC43" s="19"/>
      <c r="QQD43" s="19"/>
      <c r="QQE43" s="19"/>
      <c r="QQF43" s="21"/>
      <c r="QQG43" s="19"/>
      <c r="QQP43" s="19"/>
      <c r="QQQ43" s="19"/>
      <c r="QQR43" s="19"/>
      <c r="QQS43" s="19"/>
      <c r="QQT43" s="21"/>
      <c r="QQU43" s="19"/>
      <c r="QRD43" s="19"/>
      <c r="QRE43" s="19"/>
      <c r="QRF43" s="19"/>
      <c r="QRG43" s="19"/>
      <c r="QRH43" s="21"/>
      <c r="QRI43" s="19"/>
      <c r="QRR43" s="19"/>
      <c r="QRS43" s="19"/>
      <c r="QRT43" s="19"/>
      <c r="QRU43" s="19"/>
      <c r="QRV43" s="21"/>
      <c r="QRW43" s="19"/>
      <c r="QSF43" s="19"/>
      <c r="QSG43" s="19"/>
      <c r="QSH43" s="19"/>
      <c r="QSI43" s="19"/>
      <c r="QSJ43" s="21"/>
      <c r="QSK43" s="19"/>
      <c r="QST43" s="19"/>
      <c r="QSU43" s="19"/>
      <c r="QSV43" s="19"/>
      <c r="QSW43" s="19"/>
      <c r="QSX43" s="21"/>
      <c r="QSY43" s="19"/>
      <c r="QTH43" s="19"/>
      <c r="QTI43" s="19"/>
      <c r="QTJ43" s="19"/>
      <c r="QTK43" s="19"/>
      <c r="QTL43" s="21"/>
      <c r="QTM43" s="19"/>
      <c r="QTV43" s="19"/>
      <c r="QTW43" s="19"/>
      <c r="QTX43" s="19"/>
      <c r="QTY43" s="19"/>
      <c r="QTZ43" s="21"/>
      <c r="QUA43" s="19"/>
      <c r="QUJ43" s="19"/>
      <c r="QUK43" s="19"/>
      <c r="QUL43" s="19"/>
      <c r="QUM43" s="19"/>
      <c r="QUN43" s="21"/>
      <c r="QUO43" s="19"/>
      <c r="QUX43" s="19"/>
      <c r="QUY43" s="19"/>
      <c r="QUZ43" s="19"/>
      <c r="QVA43" s="19"/>
      <c r="QVB43" s="21"/>
      <c r="QVC43" s="19"/>
      <c r="QVL43" s="19"/>
      <c r="QVM43" s="19"/>
      <c r="QVN43" s="19"/>
      <c r="QVO43" s="19"/>
      <c r="QVP43" s="21"/>
      <c r="QVQ43" s="19"/>
      <c r="QVZ43" s="19"/>
      <c r="QWA43" s="19"/>
      <c r="QWB43" s="19"/>
      <c r="QWC43" s="19"/>
      <c r="QWD43" s="21"/>
      <c r="QWE43" s="19"/>
      <c r="QWN43" s="19"/>
      <c r="QWO43" s="19"/>
      <c r="QWP43" s="19"/>
      <c r="QWQ43" s="19"/>
      <c r="QWR43" s="21"/>
      <c r="QWS43" s="19"/>
      <c r="QXB43" s="19"/>
      <c r="QXC43" s="19"/>
      <c r="QXD43" s="19"/>
      <c r="QXE43" s="19"/>
      <c r="QXF43" s="21"/>
      <c r="QXG43" s="19"/>
      <c r="QXP43" s="19"/>
      <c r="QXQ43" s="19"/>
      <c r="QXR43" s="19"/>
      <c r="QXS43" s="19"/>
      <c r="QXT43" s="21"/>
      <c r="QXU43" s="19"/>
      <c r="QYD43" s="19"/>
      <c r="QYE43" s="19"/>
      <c r="QYF43" s="19"/>
      <c r="QYG43" s="19"/>
      <c r="QYH43" s="21"/>
      <c r="QYI43" s="19"/>
      <c r="QYR43" s="19"/>
      <c r="QYS43" s="19"/>
      <c r="QYT43" s="19"/>
      <c r="QYU43" s="19"/>
      <c r="QYV43" s="21"/>
      <c r="QYW43" s="19"/>
      <c r="QZF43" s="19"/>
      <c r="QZG43" s="19"/>
      <c r="QZH43" s="19"/>
      <c r="QZI43" s="19"/>
      <c r="QZJ43" s="21"/>
      <c r="QZK43" s="19"/>
      <c r="QZT43" s="19"/>
      <c r="QZU43" s="19"/>
      <c r="QZV43" s="19"/>
      <c r="QZW43" s="19"/>
      <c r="QZX43" s="21"/>
      <c r="QZY43" s="19"/>
      <c r="RAH43" s="19"/>
      <c r="RAI43" s="19"/>
      <c r="RAJ43" s="19"/>
      <c r="RAK43" s="19"/>
      <c r="RAL43" s="21"/>
      <c r="RAM43" s="19"/>
      <c r="RAV43" s="19"/>
      <c r="RAW43" s="19"/>
      <c r="RAX43" s="19"/>
      <c r="RAY43" s="19"/>
      <c r="RAZ43" s="21"/>
      <c r="RBA43" s="19"/>
      <c r="RBJ43" s="19"/>
      <c r="RBK43" s="19"/>
      <c r="RBL43" s="19"/>
      <c r="RBM43" s="19"/>
      <c r="RBN43" s="21"/>
      <c r="RBO43" s="19"/>
      <c r="RBX43" s="19"/>
      <c r="RBY43" s="19"/>
      <c r="RBZ43" s="19"/>
      <c r="RCA43" s="19"/>
      <c r="RCB43" s="21"/>
      <c r="RCC43" s="19"/>
      <c r="RCL43" s="19"/>
      <c r="RCM43" s="19"/>
      <c r="RCN43" s="19"/>
      <c r="RCO43" s="19"/>
      <c r="RCP43" s="21"/>
      <c r="RCQ43" s="19"/>
      <c r="RCZ43" s="19"/>
      <c r="RDA43" s="19"/>
      <c r="RDB43" s="19"/>
      <c r="RDC43" s="19"/>
      <c r="RDD43" s="21"/>
      <c r="RDE43" s="19"/>
      <c r="RDN43" s="19"/>
      <c r="RDO43" s="19"/>
      <c r="RDP43" s="19"/>
      <c r="RDQ43" s="19"/>
      <c r="RDR43" s="21"/>
      <c r="RDS43" s="19"/>
      <c r="REB43" s="19"/>
      <c r="REC43" s="19"/>
      <c r="RED43" s="19"/>
      <c r="REE43" s="19"/>
      <c r="REF43" s="21"/>
      <c r="REG43" s="19"/>
      <c r="REP43" s="19"/>
      <c r="REQ43" s="19"/>
      <c r="RER43" s="19"/>
      <c r="RES43" s="19"/>
      <c r="RET43" s="21"/>
      <c r="REU43" s="19"/>
      <c r="RFD43" s="19"/>
      <c r="RFE43" s="19"/>
      <c r="RFF43" s="19"/>
      <c r="RFG43" s="19"/>
      <c r="RFH43" s="21"/>
      <c r="RFI43" s="19"/>
      <c r="RFR43" s="19"/>
      <c r="RFS43" s="19"/>
      <c r="RFT43" s="19"/>
      <c r="RFU43" s="19"/>
      <c r="RFV43" s="21"/>
      <c r="RFW43" s="19"/>
      <c r="RGF43" s="19"/>
      <c r="RGG43" s="19"/>
      <c r="RGH43" s="19"/>
      <c r="RGI43" s="19"/>
      <c r="RGJ43" s="21"/>
      <c r="RGK43" s="19"/>
      <c r="RGT43" s="19"/>
      <c r="RGU43" s="19"/>
      <c r="RGV43" s="19"/>
      <c r="RGW43" s="19"/>
      <c r="RGX43" s="21"/>
      <c r="RGY43" s="19"/>
      <c r="RHH43" s="19"/>
      <c r="RHI43" s="19"/>
      <c r="RHJ43" s="19"/>
      <c r="RHK43" s="19"/>
      <c r="RHL43" s="21"/>
      <c r="RHM43" s="19"/>
      <c r="RHV43" s="19"/>
      <c r="RHW43" s="19"/>
      <c r="RHX43" s="19"/>
      <c r="RHY43" s="19"/>
      <c r="RHZ43" s="21"/>
      <c r="RIA43" s="19"/>
      <c r="RIJ43" s="19"/>
      <c r="RIK43" s="19"/>
      <c r="RIL43" s="19"/>
      <c r="RIM43" s="19"/>
      <c r="RIN43" s="21"/>
      <c r="RIO43" s="19"/>
      <c r="RIX43" s="19"/>
      <c r="RIY43" s="19"/>
      <c r="RIZ43" s="19"/>
      <c r="RJA43" s="19"/>
      <c r="RJB43" s="21"/>
      <c r="RJC43" s="19"/>
      <c r="RJL43" s="19"/>
      <c r="RJM43" s="19"/>
      <c r="RJN43" s="19"/>
      <c r="RJO43" s="19"/>
      <c r="RJP43" s="21"/>
      <c r="RJQ43" s="19"/>
      <c r="RJZ43" s="19"/>
      <c r="RKA43" s="19"/>
      <c r="RKB43" s="19"/>
      <c r="RKC43" s="19"/>
      <c r="RKD43" s="21"/>
      <c r="RKE43" s="19"/>
      <c r="RKN43" s="19"/>
      <c r="RKO43" s="19"/>
      <c r="RKP43" s="19"/>
      <c r="RKQ43" s="19"/>
      <c r="RKR43" s="21"/>
      <c r="RKS43" s="19"/>
      <c r="RLB43" s="19"/>
      <c r="RLC43" s="19"/>
      <c r="RLD43" s="19"/>
      <c r="RLE43" s="19"/>
      <c r="RLF43" s="21"/>
      <c r="RLG43" s="19"/>
      <c r="RLP43" s="19"/>
      <c r="RLQ43" s="19"/>
      <c r="RLR43" s="19"/>
      <c r="RLS43" s="19"/>
      <c r="RLT43" s="21"/>
      <c r="RLU43" s="19"/>
      <c r="RMD43" s="19"/>
      <c r="RME43" s="19"/>
      <c r="RMF43" s="19"/>
      <c r="RMG43" s="19"/>
      <c r="RMH43" s="21"/>
      <c r="RMI43" s="19"/>
      <c r="RMR43" s="19"/>
      <c r="RMS43" s="19"/>
      <c r="RMT43" s="19"/>
      <c r="RMU43" s="19"/>
      <c r="RMV43" s="21"/>
      <c r="RMW43" s="19"/>
      <c r="RNF43" s="19"/>
      <c r="RNG43" s="19"/>
      <c r="RNH43" s="19"/>
      <c r="RNI43" s="19"/>
      <c r="RNJ43" s="21"/>
      <c r="RNK43" s="19"/>
      <c r="RNT43" s="19"/>
      <c r="RNU43" s="19"/>
      <c r="RNV43" s="19"/>
      <c r="RNW43" s="19"/>
      <c r="RNX43" s="21"/>
      <c r="RNY43" s="19"/>
      <c r="ROH43" s="19"/>
      <c r="ROI43" s="19"/>
      <c r="ROJ43" s="19"/>
      <c r="ROK43" s="19"/>
      <c r="ROL43" s="21"/>
      <c r="ROM43" s="19"/>
      <c r="ROV43" s="19"/>
      <c r="ROW43" s="19"/>
      <c r="ROX43" s="19"/>
      <c r="ROY43" s="19"/>
      <c r="ROZ43" s="21"/>
      <c r="RPA43" s="19"/>
      <c r="RPJ43" s="19"/>
      <c r="RPK43" s="19"/>
      <c r="RPL43" s="19"/>
      <c r="RPM43" s="19"/>
      <c r="RPN43" s="21"/>
      <c r="RPO43" s="19"/>
      <c r="RPX43" s="19"/>
      <c r="RPY43" s="19"/>
      <c r="RPZ43" s="19"/>
      <c r="RQA43" s="19"/>
      <c r="RQB43" s="21"/>
      <c r="RQC43" s="19"/>
      <c r="RQL43" s="19"/>
      <c r="RQM43" s="19"/>
      <c r="RQN43" s="19"/>
      <c r="RQO43" s="19"/>
      <c r="RQP43" s="21"/>
      <c r="RQQ43" s="19"/>
      <c r="RQZ43" s="19"/>
      <c r="RRA43" s="19"/>
      <c r="RRB43" s="19"/>
      <c r="RRC43" s="19"/>
      <c r="RRD43" s="21"/>
      <c r="RRE43" s="19"/>
      <c r="RRN43" s="19"/>
      <c r="RRO43" s="19"/>
      <c r="RRP43" s="19"/>
      <c r="RRQ43" s="19"/>
      <c r="RRR43" s="21"/>
      <c r="RRS43" s="19"/>
      <c r="RSB43" s="19"/>
      <c r="RSC43" s="19"/>
      <c r="RSD43" s="19"/>
      <c r="RSE43" s="19"/>
      <c r="RSF43" s="21"/>
      <c r="RSG43" s="19"/>
      <c r="RSP43" s="19"/>
      <c r="RSQ43" s="19"/>
      <c r="RSR43" s="19"/>
      <c r="RSS43" s="19"/>
      <c r="RST43" s="21"/>
      <c r="RSU43" s="19"/>
      <c r="RTD43" s="19"/>
      <c r="RTE43" s="19"/>
      <c r="RTF43" s="19"/>
      <c r="RTG43" s="19"/>
      <c r="RTH43" s="21"/>
      <c r="RTI43" s="19"/>
      <c r="RTR43" s="19"/>
      <c r="RTS43" s="19"/>
      <c r="RTT43" s="19"/>
      <c r="RTU43" s="19"/>
      <c r="RTV43" s="21"/>
      <c r="RTW43" s="19"/>
      <c r="RUF43" s="19"/>
      <c r="RUG43" s="19"/>
      <c r="RUH43" s="19"/>
      <c r="RUI43" s="19"/>
      <c r="RUJ43" s="21"/>
      <c r="RUK43" s="19"/>
      <c r="RUT43" s="19"/>
      <c r="RUU43" s="19"/>
      <c r="RUV43" s="19"/>
      <c r="RUW43" s="19"/>
      <c r="RUX43" s="21"/>
      <c r="RUY43" s="19"/>
      <c r="RVH43" s="19"/>
      <c r="RVI43" s="19"/>
      <c r="RVJ43" s="19"/>
      <c r="RVK43" s="19"/>
      <c r="RVL43" s="21"/>
      <c r="RVM43" s="19"/>
      <c r="RVV43" s="19"/>
      <c r="RVW43" s="19"/>
      <c r="RVX43" s="19"/>
      <c r="RVY43" s="19"/>
      <c r="RVZ43" s="21"/>
      <c r="RWA43" s="19"/>
      <c r="RWJ43" s="19"/>
      <c r="RWK43" s="19"/>
      <c r="RWL43" s="19"/>
      <c r="RWM43" s="19"/>
      <c r="RWN43" s="21"/>
      <c r="RWO43" s="19"/>
      <c r="RWX43" s="19"/>
      <c r="RWY43" s="19"/>
      <c r="RWZ43" s="19"/>
      <c r="RXA43" s="19"/>
      <c r="RXB43" s="21"/>
      <c r="RXC43" s="19"/>
      <c r="RXL43" s="19"/>
      <c r="RXM43" s="19"/>
      <c r="RXN43" s="19"/>
      <c r="RXO43" s="19"/>
      <c r="RXP43" s="21"/>
      <c r="RXQ43" s="19"/>
      <c r="RXZ43" s="19"/>
      <c r="RYA43" s="19"/>
      <c r="RYB43" s="19"/>
      <c r="RYC43" s="19"/>
      <c r="RYD43" s="21"/>
      <c r="RYE43" s="19"/>
      <c r="RYN43" s="19"/>
      <c r="RYO43" s="19"/>
      <c r="RYP43" s="19"/>
      <c r="RYQ43" s="19"/>
      <c r="RYR43" s="21"/>
      <c r="RYS43" s="19"/>
      <c r="RZB43" s="19"/>
      <c r="RZC43" s="19"/>
      <c r="RZD43" s="19"/>
      <c r="RZE43" s="19"/>
      <c r="RZF43" s="21"/>
      <c r="RZG43" s="19"/>
      <c r="RZP43" s="19"/>
      <c r="RZQ43" s="19"/>
      <c r="RZR43" s="19"/>
      <c r="RZS43" s="19"/>
      <c r="RZT43" s="21"/>
      <c r="RZU43" s="19"/>
      <c r="SAD43" s="19"/>
      <c r="SAE43" s="19"/>
      <c r="SAF43" s="19"/>
      <c r="SAG43" s="19"/>
      <c r="SAH43" s="21"/>
      <c r="SAI43" s="19"/>
      <c r="SAR43" s="19"/>
      <c r="SAS43" s="19"/>
      <c r="SAT43" s="19"/>
      <c r="SAU43" s="19"/>
      <c r="SAV43" s="21"/>
      <c r="SAW43" s="19"/>
      <c r="SBF43" s="19"/>
      <c r="SBG43" s="19"/>
      <c r="SBH43" s="19"/>
      <c r="SBI43" s="19"/>
      <c r="SBJ43" s="21"/>
      <c r="SBK43" s="19"/>
      <c r="SBT43" s="19"/>
      <c r="SBU43" s="19"/>
      <c r="SBV43" s="19"/>
      <c r="SBW43" s="19"/>
      <c r="SBX43" s="21"/>
      <c r="SBY43" s="19"/>
      <c r="SCH43" s="19"/>
      <c r="SCI43" s="19"/>
      <c r="SCJ43" s="19"/>
      <c r="SCK43" s="19"/>
      <c r="SCL43" s="21"/>
      <c r="SCM43" s="19"/>
      <c r="SCV43" s="19"/>
      <c r="SCW43" s="19"/>
      <c r="SCX43" s="19"/>
      <c r="SCY43" s="19"/>
      <c r="SCZ43" s="21"/>
      <c r="SDA43" s="19"/>
      <c r="SDJ43" s="19"/>
      <c r="SDK43" s="19"/>
      <c r="SDL43" s="19"/>
      <c r="SDM43" s="19"/>
      <c r="SDN43" s="21"/>
      <c r="SDO43" s="19"/>
      <c r="SDX43" s="19"/>
      <c r="SDY43" s="19"/>
      <c r="SDZ43" s="19"/>
      <c r="SEA43" s="19"/>
      <c r="SEB43" s="21"/>
      <c r="SEC43" s="19"/>
      <c r="SEL43" s="19"/>
      <c r="SEM43" s="19"/>
      <c r="SEN43" s="19"/>
      <c r="SEO43" s="19"/>
      <c r="SEP43" s="21"/>
      <c r="SEQ43" s="19"/>
      <c r="SEZ43" s="19"/>
      <c r="SFA43" s="19"/>
      <c r="SFB43" s="19"/>
      <c r="SFC43" s="19"/>
      <c r="SFD43" s="21"/>
      <c r="SFE43" s="19"/>
      <c r="SFN43" s="19"/>
      <c r="SFO43" s="19"/>
      <c r="SFP43" s="19"/>
      <c r="SFQ43" s="19"/>
      <c r="SFR43" s="21"/>
      <c r="SFS43" s="19"/>
      <c r="SGB43" s="19"/>
      <c r="SGC43" s="19"/>
      <c r="SGD43" s="19"/>
      <c r="SGE43" s="19"/>
      <c r="SGF43" s="21"/>
      <c r="SGG43" s="19"/>
      <c r="SGP43" s="19"/>
      <c r="SGQ43" s="19"/>
      <c r="SGR43" s="19"/>
      <c r="SGS43" s="19"/>
      <c r="SGT43" s="21"/>
      <c r="SGU43" s="19"/>
      <c r="SHD43" s="19"/>
      <c r="SHE43" s="19"/>
      <c r="SHF43" s="19"/>
      <c r="SHG43" s="19"/>
      <c r="SHH43" s="21"/>
      <c r="SHI43" s="19"/>
      <c r="SHR43" s="19"/>
      <c r="SHS43" s="19"/>
      <c r="SHT43" s="19"/>
      <c r="SHU43" s="19"/>
      <c r="SHV43" s="21"/>
      <c r="SHW43" s="19"/>
      <c r="SIF43" s="19"/>
      <c r="SIG43" s="19"/>
      <c r="SIH43" s="19"/>
      <c r="SII43" s="19"/>
      <c r="SIJ43" s="21"/>
      <c r="SIK43" s="19"/>
      <c r="SIT43" s="19"/>
      <c r="SIU43" s="19"/>
      <c r="SIV43" s="19"/>
      <c r="SIW43" s="19"/>
      <c r="SIX43" s="21"/>
      <c r="SIY43" s="19"/>
      <c r="SJH43" s="19"/>
      <c r="SJI43" s="19"/>
      <c r="SJJ43" s="19"/>
      <c r="SJK43" s="19"/>
      <c r="SJL43" s="21"/>
      <c r="SJM43" s="19"/>
      <c r="SJV43" s="19"/>
      <c r="SJW43" s="19"/>
      <c r="SJX43" s="19"/>
      <c r="SJY43" s="19"/>
      <c r="SJZ43" s="21"/>
      <c r="SKA43" s="19"/>
      <c r="SKJ43" s="19"/>
      <c r="SKK43" s="19"/>
      <c r="SKL43" s="19"/>
      <c r="SKM43" s="19"/>
      <c r="SKN43" s="21"/>
      <c r="SKO43" s="19"/>
      <c r="SKX43" s="19"/>
      <c r="SKY43" s="19"/>
      <c r="SKZ43" s="19"/>
      <c r="SLA43" s="19"/>
      <c r="SLB43" s="21"/>
      <c r="SLC43" s="19"/>
      <c r="SLL43" s="19"/>
      <c r="SLM43" s="19"/>
      <c r="SLN43" s="19"/>
      <c r="SLO43" s="19"/>
      <c r="SLP43" s="21"/>
      <c r="SLQ43" s="19"/>
      <c r="SLZ43" s="19"/>
      <c r="SMA43" s="19"/>
      <c r="SMB43" s="19"/>
      <c r="SMC43" s="19"/>
      <c r="SMD43" s="21"/>
      <c r="SME43" s="19"/>
      <c r="SMN43" s="19"/>
      <c r="SMO43" s="19"/>
      <c r="SMP43" s="19"/>
      <c r="SMQ43" s="19"/>
      <c r="SMR43" s="21"/>
      <c r="SMS43" s="19"/>
      <c r="SNB43" s="19"/>
      <c r="SNC43" s="19"/>
      <c r="SND43" s="19"/>
      <c r="SNE43" s="19"/>
      <c r="SNF43" s="21"/>
      <c r="SNG43" s="19"/>
      <c r="SNP43" s="19"/>
      <c r="SNQ43" s="19"/>
      <c r="SNR43" s="19"/>
      <c r="SNS43" s="19"/>
      <c r="SNT43" s="21"/>
      <c r="SNU43" s="19"/>
      <c r="SOD43" s="19"/>
      <c r="SOE43" s="19"/>
      <c r="SOF43" s="19"/>
      <c r="SOG43" s="19"/>
      <c r="SOH43" s="21"/>
      <c r="SOI43" s="19"/>
      <c r="SOR43" s="19"/>
      <c r="SOS43" s="19"/>
      <c r="SOT43" s="19"/>
      <c r="SOU43" s="19"/>
      <c r="SOV43" s="21"/>
      <c r="SOW43" s="19"/>
      <c r="SPF43" s="19"/>
      <c r="SPG43" s="19"/>
      <c r="SPH43" s="19"/>
      <c r="SPI43" s="19"/>
      <c r="SPJ43" s="21"/>
      <c r="SPK43" s="19"/>
      <c r="SPT43" s="19"/>
      <c r="SPU43" s="19"/>
      <c r="SPV43" s="19"/>
      <c r="SPW43" s="19"/>
      <c r="SPX43" s="21"/>
      <c r="SPY43" s="19"/>
      <c r="SQH43" s="19"/>
      <c r="SQI43" s="19"/>
      <c r="SQJ43" s="19"/>
      <c r="SQK43" s="19"/>
      <c r="SQL43" s="21"/>
      <c r="SQM43" s="19"/>
      <c r="SQV43" s="19"/>
      <c r="SQW43" s="19"/>
      <c r="SQX43" s="19"/>
      <c r="SQY43" s="19"/>
      <c r="SQZ43" s="21"/>
      <c r="SRA43" s="19"/>
      <c r="SRJ43" s="19"/>
      <c r="SRK43" s="19"/>
      <c r="SRL43" s="19"/>
      <c r="SRM43" s="19"/>
      <c r="SRN43" s="21"/>
      <c r="SRO43" s="19"/>
      <c r="SRX43" s="19"/>
      <c r="SRY43" s="19"/>
      <c r="SRZ43" s="19"/>
      <c r="SSA43" s="19"/>
      <c r="SSB43" s="21"/>
      <c r="SSC43" s="19"/>
      <c r="SSL43" s="19"/>
      <c r="SSM43" s="19"/>
      <c r="SSN43" s="19"/>
      <c r="SSO43" s="19"/>
      <c r="SSP43" s="21"/>
      <c r="SSQ43" s="19"/>
      <c r="SSZ43" s="19"/>
      <c r="STA43" s="19"/>
      <c r="STB43" s="19"/>
      <c r="STC43" s="19"/>
      <c r="STD43" s="21"/>
      <c r="STE43" s="19"/>
      <c r="STN43" s="19"/>
      <c r="STO43" s="19"/>
      <c r="STP43" s="19"/>
      <c r="STQ43" s="19"/>
      <c r="STR43" s="21"/>
      <c r="STS43" s="19"/>
      <c r="SUB43" s="19"/>
      <c r="SUC43" s="19"/>
      <c r="SUD43" s="19"/>
      <c r="SUE43" s="19"/>
      <c r="SUF43" s="21"/>
      <c r="SUG43" s="19"/>
      <c r="SUP43" s="19"/>
      <c r="SUQ43" s="19"/>
      <c r="SUR43" s="19"/>
      <c r="SUS43" s="19"/>
      <c r="SUT43" s="21"/>
      <c r="SUU43" s="19"/>
      <c r="SVD43" s="19"/>
      <c r="SVE43" s="19"/>
      <c r="SVF43" s="19"/>
      <c r="SVG43" s="19"/>
      <c r="SVH43" s="21"/>
      <c r="SVI43" s="19"/>
      <c r="SVR43" s="19"/>
      <c r="SVS43" s="19"/>
      <c r="SVT43" s="19"/>
      <c r="SVU43" s="19"/>
      <c r="SVV43" s="21"/>
      <c r="SVW43" s="19"/>
      <c r="SWF43" s="19"/>
      <c r="SWG43" s="19"/>
      <c r="SWH43" s="19"/>
      <c r="SWI43" s="19"/>
      <c r="SWJ43" s="21"/>
      <c r="SWK43" s="19"/>
      <c r="SWT43" s="19"/>
      <c r="SWU43" s="19"/>
      <c r="SWV43" s="19"/>
      <c r="SWW43" s="19"/>
      <c r="SWX43" s="21"/>
      <c r="SWY43" s="19"/>
      <c r="SXH43" s="19"/>
      <c r="SXI43" s="19"/>
      <c r="SXJ43" s="19"/>
      <c r="SXK43" s="19"/>
      <c r="SXL43" s="21"/>
      <c r="SXM43" s="19"/>
      <c r="SXV43" s="19"/>
      <c r="SXW43" s="19"/>
      <c r="SXX43" s="19"/>
      <c r="SXY43" s="19"/>
      <c r="SXZ43" s="21"/>
      <c r="SYA43" s="19"/>
      <c r="SYJ43" s="19"/>
      <c r="SYK43" s="19"/>
      <c r="SYL43" s="19"/>
      <c r="SYM43" s="19"/>
      <c r="SYN43" s="21"/>
      <c r="SYO43" s="19"/>
      <c r="SYX43" s="19"/>
      <c r="SYY43" s="19"/>
      <c r="SYZ43" s="19"/>
      <c r="SZA43" s="19"/>
      <c r="SZB43" s="21"/>
      <c r="SZC43" s="19"/>
      <c r="SZL43" s="19"/>
      <c r="SZM43" s="19"/>
      <c r="SZN43" s="19"/>
      <c r="SZO43" s="19"/>
      <c r="SZP43" s="21"/>
      <c r="SZQ43" s="19"/>
      <c r="SZZ43" s="19"/>
      <c r="TAA43" s="19"/>
      <c r="TAB43" s="19"/>
      <c r="TAC43" s="19"/>
      <c r="TAD43" s="21"/>
      <c r="TAE43" s="19"/>
      <c r="TAN43" s="19"/>
      <c r="TAO43" s="19"/>
      <c r="TAP43" s="19"/>
      <c r="TAQ43" s="19"/>
      <c r="TAR43" s="21"/>
      <c r="TAS43" s="19"/>
      <c r="TBB43" s="19"/>
      <c r="TBC43" s="19"/>
      <c r="TBD43" s="19"/>
      <c r="TBE43" s="19"/>
      <c r="TBF43" s="21"/>
      <c r="TBG43" s="19"/>
      <c r="TBP43" s="19"/>
      <c r="TBQ43" s="19"/>
      <c r="TBR43" s="19"/>
      <c r="TBS43" s="19"/>
      <c r="TBT43" s="21"/>
      <c r="TBU43" s="19"/>
      <c r="TCD43" s="19"/>
      <c r="TCE43" s="19"/>
      <c r="TCF43" s="19"/>
      <c r="TCG43" s="19"/>
      <c r="TCH43" s="21"/>
      <c r="TCI43" s="19"/>
      <c r="TCR43" s="19"/>
      <c r="TCS43" s="19"/>
      <c r="TCT43" s="19"/>
      <c r="TCU43" s="19"/>
      <c r="TCV43" s="21"/>
      <c r="TCW43" s="19"/>
      <c r="TDF43" s="19"/>
      <c r="TDG43" s="19"/>
      <c r="TDH43" s="19"/>
      <c r="TDI43" s="19"/>
      <c r="TDJ43" s="21"/>
      <c r="TDK43" s="19"/>
      <c r="TDT43" s="19"/>
      <c r="TDU43" s="19"/>
      <c r="TDV43" s="19"/>
      <c r="TDW43" s="19"/>
      <c r="TDX43" s="21"/>
      <c r="TDY43" s="19"/>
      <c r="TEH43" s="19"/>
      <c r="TEI43" s="19"/>
      <c r="TEJ43" s="19"/>
      <c r="TEK43" s="19"/>
      <c r="TEL43" s="21"/>
      <c r="TEM43" s="19"/>
      <c r="TEV43" s="19"/>
      <c r="TEW43" s="19"/>
      <c r="TEX43" s="19"/>
      <c r="TEY43" s="19"/>
      <c r="TEZ43" s="21"/>
      <c r="TFA43" s="19"/>
      <c r="TFJ43" s="19"/>
      <c r="TFK43" s="19"/>
      <c r="TFL43" s="19"/>
      <c r="TFM43" s="19"/>
      <c r="TFN43" s="21"/>
      <c r="TFO43" s="19"/>
      <c r="TFX43" s="19"/>
      <c r="TFY43" s="19"/>
      <c r="TFZ43" s="19"/>
      <c r="TGA43" s="19"/>
      <c r="TGB43" s="21"/>
      <c r="TGC43" s="19"/>
      <c r="TGL43" s="19"/>
      <c r="TGM43" s="19"/>
      <c r="TGN43" s="19"/>
      <c r="TGO43" s="19"/>
      <c r="TGP43" s="21"/>
      <c r="TGQ43" s="19"/>
      <c r="TGZ43" s="19"/>
      <c r="THA43" s="19"/>
      <c r="THB43" s="19"/>
      <c r="THC43" s="19"/>
      <c r="THD43" s="21"/>
      <c r="THE43" s="19"/>
      <c r="THN43" s="19"/>
      <c r="THO43" s="19"/>
      <c r="THP43" s="19"/>
      <c r="THQ43" s="19"/>
      <c r="THR43" s="21"/>
      <c r="THS43" s="19"/>
      <c r="TIB43" s="19"/>
      <c r="TIC43" s="19"/>
      <c r="TID43" s="19"/>
      <c r="TIE43" s="19"/>
      <c r="TIF43" s="21"/>
      <c r="TIG43" s="19"/>
      <c r="TIP43" s="19"/>
      <c r="TIQ43" s="19"/>
      <c r="TIR43" s="19"/>
      <c r="TIS43" s="19"/>
      <c r="TIT43" s="21"/>
      <c r="TIU43" s="19"/>
      <c r="TJD43" s="19"/>
      <c r="TJE43" s="19"/>
      <c r="TJF43" s="19"/>
      <c r="TJG43" s="19"/>
      <c r="TJH43" s="21"/>
      <c r="TJI43" s="19"/>
      <c r="TJR43" s="19"/>
      <c r="TJS43" s="19"/>
      <c r="TJT43" s="19"/>
      <c r="TJU43" s="19"/>
      <c r="TJV43" s="21"/>
      <c r="TJW43" s="19"/>
      <c r="TKF43" s="19"/>
      <c r="TKG43" s="19"/>
      <c r="TKH43" s="19"/>
      <c r="TKI43" s="19"/>
      <c r="TKJ43" s="21"/>
      <c r="TKK43" s="19"/>
      <c r="TKT43" s="19"/>
      <c r="TKU43" s="19"/>
      <c r="TKV43" s="19"/>
      <c r="TKW43" s="19"/>
      <c r="TKX43" s="21"/>
      <c r="TKY43" s="19"/>
      <c r="TLH43" s="19"/>
      <c r="TLI43" s="19"/>
      <c r="TLJ43" s="19"/>
      <c r="TLK43" s="19"/>
      <c r="TLL43" s="21"/>
      <c r="TLM43" s="19"/>
      <c r="TLV43" s="19"/>
      <c r="TLW43" s="19"/>
      <c r="TLX43" s="19"/>
      <c r="TLY43" s="19"/>
      <c r="TLZ43" s="21"/>
      <c r="TMA43" s="19"/>
      <c r="TMJ43" s="19"/>
      <c r="TMK43" s="19"/>
      <c r="TML43" s="19"/>
      <c r="TMM43" s="19"/>
      <c r="TMN43" s="21"/>
      <c r="TMO43" s="19"/>
      <c r="TMX43" s="19"/>
      <c r="TMY43" s="19"/>
      <c r="TMZ43" s="19"/>
      <c r="TNA43" s="19"/>
      <c r="TNB43" s="21"/>
      <c r="TNC43" s="19"/>
      <c r="TNL43" s="19"/>
      <c r="TNM43" s="19"/>
      <c r="TNN43" s="19"/>
      <c r="TNO43" s="19"/>
      <c r="TNP43" s="21"/>
      <c r="TNQ43" s="19"/>
      <c r="TNZ43" s="19"/>
      <c r="TOA43" s="19"/>
      <c r="TOB43" s="19"/>
      <c r="TOC43" s="19"/>
      <c r="TOD43" s="21"/>
      <c r="TOE43" s="19"/>
      <c r="TON43" s="19"/>
      <c r="TOO43" s="19"/>
      <c r="TOP43" s="19"/>
      <c r="TOQ43" s="19"/>
      <c r="TOR43" s="21"/>
      <c r="TOS43" s="19"/>
      <c r="TPB43" s="19"/>
      <c r="TPC43" s="19"/>
      <c r="TPD43" s="19"/>
      <c r="TPE43" s="19"/>
      <c r="TPF43" s="21"/>
      <c r="TPG43" s="19"/>
      <c r="TPP43" s="19"/>
      <c r="TPQ43" s="19"/>
      <c r="TPR43" s="19"/>
      <c r="TPS43" s="19"/>
      <c r="TPT43" s="21"/>
      <c r="TPU43" s="19"/>
      <c r="TQD43" s="19"/>
      <c r="TQE43" s="19"/>
      <c r="TQF43" s="19"/>
      <c r="TQG43" s="19"/>
      <c r="TQH43" s="21"/>
      <c r="TQI43" s="19"/>
      <c r="TQR43" s="19"/>
      <c r="TQS43" s="19"/>
      <c r="TQT43" s="19"/>
      <c r="TQU43" s="19"/>
      <c r="TQV43" s="21"/>
      <c r="TQW43" s="19"/>
      <c r="TRF43" s="19"/>
      <c r="TRG43" s="19"/>
      <c r="TRH43" s="19"/>
      <c r="TRI43" s="19"/>
      <c r="TRJ43" s="21"/>
      <c r="TRK43" s="19"/>
      <c r="TRT43" s="19"/>
      <c r="TRU43" s="19"/>
      <c r="TRV43" s="19"/>
      <c r="TRW43" s="19"/>
      <c r="TRX43" s="21"/>
      <c r="TRY43" s="19"/>
      <c r="TSH43" s="19"/>
      <c r="TSI43" s="19"/>
      <c r="TSJ43" s="19"/>
      <c r="TSK43" s="19"/>
      <c r="TSL43" s="21"/>
      <c r="TSM43" s="19"/>
      <c r="TSV43" s="19"/>
      <c r="TSW43" s="19"/>
      <c r="TSX43" s="19"/>
      <c r="TSY43" s="19"/>
      <c r="TSZ43" s="21"/>
      <c r="TTA43" s="19"/>
      <c r="TTJ43" s="19"/>
      <c r="TTK43" s="19"/>
      <c r="TTL43" s="19"/>
      <c r="TTM43" s="19"/>
      <c r="TTN43" s="21"/>
      <c r="TTO43" s="19"/>
      <c r="TTX43" s="19"/>
      <c r="TTY43" s="19"/>
      <c r="TTZ43" s="19"/>
      <c r="TUA43" s="19"/>
      <c r="TUB43" s="21"/>
      <c r="TUC43" s="19"/>
      <c r="TUL43" s="19"/>
      <c r="TUM43" s="19"/>
      <c r="TUN43" s="19"/>
      <c r="TUO43" s="19"/>
      <c r="TUP43" s="21"/>
      <c r="TUQ43" s="19"/>
      <c r="TUZ43" s="19"/>
      <c r="TVA43" s="19"/>
      <c r="TVB43" s="19"/>
      <c r="TVC43" s="19"/>
      <c r="TVD43" s="21"/>
      <c r="TVE43" s="19"/>
      <c r="TVN43" s="19"/>
      <c r="TVO43" s="19"/>
      <c r="TVP43" s="19"/>
      <c r="TVQ43" s="19"/>
      <c r="TVR43" s="21"/>
      <c r="TVS43" s="19"/>
      <c r="TWB43" s="19"/>
      <c r="TWC43" s="19"/>
      <c r="TWD43" s="19"/>
      <c r="TWE43" s="19"/>
      <c r="TWF43" s="21"/>
      <c r="TWG43" s="19"/>
      <c r="TWP43" s="19"/>
      <c r="TWQ43" s="19"/>
      <c r="TWR43" s="19"/>
      <c r="TWS43" s="19"/>
      <c r="TWT43" s="21"/>
      <c r="TWU43" s="19"/>
      <c r="TXD43" s="19"/>
      <c r="TXE43" s="19"/>
      <c r="TXF43" s="19"/>
      <c r="TXG43" s="19"/>
      <c r="TXH43" s="21"/>
      <c r="TXI43" s="19"/>
      <c r="TXR43" s="19"/>
      <c r="TXS43" s="19"/>
      <c r="TXT43" s="19"/>
      <c r="TXU43" s="19"/>
      <c r="TXV43" s="21"/>
      <c r="TXW43" s="19"/>
      <c r="TYF43" s="19"/>
      <c r="TYG43" s="19"/>
      <c r="TYH43" s="19"/>
      <c r="TYI43" s="19"/>
      <c r="TYJ43" s="21"/>
      <c r="TYK43" s="19"/>
      <c r="TYT43" s="19"/>
      <c r="TYU43" s="19"/>
      <c r="TYV43" s="19"/>
      <c r="TYW43" s="19"/>
      <c r="TYX43" s="21"/>
      <c r="TYY43" s="19"/>
      <c r="TZH43" s="19"/>
      <c r="TZI43" s="19"/>
      <c r="TZJ43" s="19"/>
      <c r="TZK43" s="19"/>
      <c r="TZL43" s="21"/>
      <c r="TZM43" s="19"/>
      <c r="TZV43" s="19"/>
      <c r="TZW43" s="19"/>
      <c r="TZX43" s="19"/>
      <c r="TZY43" s="19"/>
      <c r="TZZ43" s="21"/>
      <c r="UAA43" s="19"/>
      <c r="UAJ43" s="19"/>
      <c r="UAK43" s="19"/>
      <c r="UAL43" s="19"/>
      <c r="UAM43" s="19"/>
      <c r="UAN43" s="21"/>
      <c r="UAO43" s="19"/>
      <c r="UAX43" s="19"/>
      <c r="UAY43" s="19"/>
      <c r="UAZ43" s="19"/>
      <c r="UBA43" s="19"/>
      <c r="UBB43" s="21"/>
      <c r="UBC43" s="19"/>
      <c r="UBL43" s="19"/>
      <c r="UBM43" s="19"/>
      <c r="UBN43" s="19"/>
      <c r="UBO43" s="19"/>
      <c r="UBP43" s="21"/>
      <c r="UBQ43" s="19"/>
      <c r="UBZ43" s="19"/>
      <c r="UCA43" s="19"/>
      <c r="UCB43" s="19"/>
      <c r="UCC43" s="19"/>
      <c r="UCD43" s="21"/>
      <c r="UCE43" s="19"/>
      <c r="UCN43" s="19"/>
      <c r="UCO43" s="19"/>
      <c r="UCP43" s="19"/>
      <c r="UCQ43" s="19"/>
      <c r="UCR43" s="21"/>
      <c r="UCS43" s="19"/>
      <c r="UDB43" s="19"/>
      <c r="UDC43" s="19"/>
      <c r="UDD43" s="19"/>
      <c r="UDE43" s="19"/>
      <c r="UDF43" s="21"/>
      <c r="UDG43" s="19"/>
      <c r="UDP43" s="19"/>
      <c r="UDQ43" s="19"/>
      <c r="UDR43" s="19"/>
      <c r="UDS43" s="19"/>
      <c r="UDT43" s="21"/>
      <c r="UDU43" s="19"/>
      <c r="UED43" s="19"/>
      <c r="UEE43" s="19"/>
      <c r="UEF43" s="19"/>
      <c r="UEG43" s="19"/>
      <c r="UEH43" s="21"/>
      <c r="UEI43" s="19"/>
      <c r="UER43" s="19"/>
      <c r="UES43" s="19"/>
      <c r="UET43" s="19"/>
      <c r="UEU43" s="19"/>
      <c r="UEV43" s="21"/>
      <c r="UEW43" s="19"/>
      <c r="UFF43" s="19"/>
      <c r="UFG43" s="19"/>
      <c r="UFH43" s="19"/>
      <c r="UFI43" s="19"/>
      <c r="UFJ43" s="21"/>
      <c r="UFK43" s="19"/>
      <c r="UFT43" s="19"/>
      <c r="UFU43" s="19"/>
      <c r="UFV43" s="19"/>
      <c r="UFW43" s="19"/>
      <c r="UFX43" s="21"/>
      <c r="UFY43" s="19"/>
      <c r="UGH43" s="19"/>
      <c r="UGI43" s="19"/>
      <c r="UGJ43" s="19"/>
      <c r="UGK43" s="19"/>
      <c r="UGL43" s="21"/>
      <c r="UGM43" s="19"/>
      <c r="UGV43" s="19"/>
      <c r="UGW43" s="19"/>
      <c r="UGX43" s="19"/>
      <c r="UGY43" s="19"/>
      <c r="UGZ43" s="21"/>
      <c r="UHA43" s="19"/>
      <c r="UHJ43" s="19"/>
      <c r="UHK43" s="19"/>
      <c r="UHL43" s="19"/>
      <c r="UHM43" s="19"/>
      <c r="UHN43" s="21"/>
      <c r="UHO43" s="19"/>
      <c r="UHX43" s="19"/>
      <c r="UHY43" s="19"/>
      <c r="UHZ43" s="19"/>
      <c r="UIA43" s="19"/>
      <c r="UIB43" s="21"/>
      <c r="UIC43" s="19"/>
      <c r="UIL43" s="19"/>
      <c r="UIM43" s="19"/>
      <c r="UIN43" s="19"/>
      <c r="UIO43" s="19"/>
      <c r="UIP43" s="21"/>
      <c r="UIQ43" s="19"/>
      <c r="UIZ43" s="19"/>
      <c r="UJA43" s="19"/>
      <c r="UJB43" s="19"/>
      <c r="UJC43" s="19"/>
      <c r="UJD43" s="21"/>
      <c r="UJE43" s="19"/>
      <c r="UJN43" s="19"/>
      <c r="UJO43" s="19"/>
      <c r="UJP43" s="19"/>
      <c r="UJQ43" s="19"/>
      <c r="UJR43" s="21"/>
      <c r="UJS43" s="19"/>
      <c r="UKB43" s="19"/>
      <c r="UKC43" s="19"/>
      <c r="UKD43" s="19"/>
      <c r="UKE43" s="19"/>
      <c r="UKF43" s="21"/>
      <c r="UKG43" s="19"/>
      <c r="UKP43" s="19"/>
      <c r="UKQ43" s="19"/>
      <c r="UKR43" s="19"/>
      <c r="UKS43" s="19"/>
      <c r="UKT43" s="21"/>
      <c r="UKU43" s="19"/>
      <c r="ULD43" s="19"/>
      <c r="ULE43" s="19"/>
      <c r="ULF43" s="19"/>
      <c r="ULG43" s="19"/>
      <c r="ULH43" s="21"/>
      <c r="ULI43" s="19"/>
      <c r="ULR43" s="19"/>
      <c r="ULS43" s="19"/>
      <c r="ULT43" s="19"/>
      <c r="ULU43" s="19"/>
      <c r="ULV43" s="21"/>
      <c r="ULW43" s="19"/>
      <c r="UMF43" s="19"/>
      <c r="UMG43" s="19"/>
      <c r="UMH43" s="19"/>
      <c r="UMI43" s="19"/>
      <c r="UMJ43" s="21"/>
      <c r="UMK43" s="19"/>
      <c r="UMT43" s="19"/>
      <c r="UMU43" s="19"/>
      <c r="UMV43" s="19"/>
      <c r="UMW43" s="19"/>
      <c r="UMX43" s="21"/>
      <c r="UMY43" s="19"/>
      <c r="UNH43" s="19"/>
      <c r="UNI43" s="19"/>
      <c r="UNJ43" s="19"/>
      <c r="UNK43" s="19"/>
      <c r="UNL43" s="21"/>
      <c r="UNM43" s="19"/>
      <c r="UNV43" s="19"/>
      <c r="UNW43" s="19"/>
      <c r="UNX43" s="19"/>
      <c r="UNY43" s="19"/>
      <c r="UNZ43" s="21"/>
      <c r="UOA43" s="19"/>
      <c r="UOJ43" s="19"/>
      <c r="UOK43" s="19"/>
      <c r="UOL43" s="19"/>
      <c r="UOM43" s="19"/>
      <c r="UON43" s="21"/>
      <c r="UOO43" s="19"/>
      <c r="UOX43" s="19"/>
      <c r="UOY43" s="19"/>
      <c r="UOZ43" s="19"/>
      <c r="UPA43" s="19"/>
      <c r="UPB43" s="21"/>
      <c r="UPC43" s="19"/>
      <c r="UPL43" s="19"/>
      <c r="UPM43" s="19"/>
      <c r="UPN43" s="19"/>
      <c r="UPO43" s="19"/>
      <c r="UPP43" s="21"/>
      <c r="UPQ43" s="19"/>
      <c r="UPZ43" s="19"/>
      <c r="UQA43" s="19"/>
      <c r="UQB43" s="19"/>
      <c r="UQC43" s="19"/>
      <c r="UQD43" s="21"/>
      <c r="UQE43" s="19"/>
      <c r="UQN43" s="19"/>
      <c r="UQO43" s="19"/>
      <c r="UQP43" s="19"/>
      <c r="UQQ43" s="19"/>
      <c r="UQR43" s="21"/>
      <c r="UQS43" s="19"/>
      <c r="URB43" s="19"/>
      <c r="URC43" s="19"/>
      <c r="URD43" s="19"/>
      <c r="URE43" s="19"/>
      <c r="URF43" s="21"/>
      <c r="URG43" s="19"/>
      <c r="URP43" s="19"/>
      <c r="URQ43" s="19"/>
      <c r="URR43" s="19"/>
      <c r="URS43" s="19"/>
      <c r="URT43" s="21"/>
      <c r="URU43" s="19"/>
      <c r="USD43" s="19"/>
      <c r="USE43" s="19"/>
      <c r="USF43" s="19"/>
      <c r="USG43" s="19"/>
      <c r="USH43" s="21"/>
      <c r="USI43" s="19"/>
      <c r="USR43" s="19"/>
      <c r="USS43" s="19"/>
      <c r="UST43" s="19"/>
      <c r="USU43" s="19"/>
      <c r="USV43" s="21"/>
      <c r="USW43" s="19"/>
      <c r="UTF43" s="19"/>
      <c r="UTG43" s="19"/>
      <c r="UTH43" s="19"/>
      <c r="UTI43" s="19"/>
      <c r="UTJ43" s="21"/>
      <c r="UTK43" s="19"/>
      <c r="UTT43" s="19"/>
      <c r="UTU43" s="19"/>
      <c r="UTV43" s="19"/>
      <c r="UTW43" s="19"/>
      <c r="UTX43" s="21"/>
      <c r="UTY43" s="19"/>
      <c r="UUH43" s="19"/>
      <c r="UUI43" s="19"/>
      <c r="UUJ43" s="19"/>
      <c r="UUK43" s="19"/>
      <c r="UUL43" s="21"/>
      <c r="UUM43" s="19"/>
      <c r="UUV43" s="19"/>
      <c r="UUW43" s="19"/>
      <c r="UUX43" s="19"/>
      <c r="UUY43" s="19"/>
      <c r="UUZ43" s="21"/>
      <c r="UVA43" s="19"/>
      <c r="UVJ43" s="19"/>
      <c r="UVK43" s="19"/>
      <c r="UVL43" s="19"/>
      <c r="UVM43" s="19"/>
      <c r="UVN43" s="21"/>
      <c r="UVO43" s="19"/>
      <c r="UVX43" s="19"/>
      <c r="UVY43" s="19"/>
      <c r="UVZ43" s="19"/>
      <c r="UWA43" s="19"/>
      <c r="UWB43" s="21"/>
      <c r="UWC43" s="19"/>
      <c r="UWL43" s="19"/>
      <c r="UWM43" s="19"/>
      <c r="UWN43" s="19"/>
      <c r="UWO43" s="19"/>
      <c r="UWP43" s="21"/>
      <c r="UWQ43" s="19"/>
      <c r="UWZ43" s="19"/>
      <c r="UXA43" s="19"/>
      <c r="UXB43" s="19"/>
      <c r="UXC43" s="19"/>
      <c r="UXD43" s="21"/>
      <c r="UXE43" s="19"/>
      <c r="UXN43" s="19"/>
      <c r="UXO43" s="19"/>
      <c r="UXP43" s="19"/>
      <c r="UXQ43" s="19"/>
      <c r="UXR43" s="21"/>
      <c r="UXS43" s="19"/>
      <c r="UYB43" s="19"/>
      <c r="UYC43" s="19"/>
      <c r="UYD43" s="19"/>
      <c r="UYE43" s="19"/>
      <c r="UYF43" s="21"/>
      <c r="UYG43" s="19"/>
      <c r="UYP43" s="19"/>
      <c r="UYQ43" s="19"/>
      <c r="UYR43" s="19"/>
      <c r="UYS43" s="19"/>
      <c r="UYT43" s="21"/>
      <c r="UYU43" s="19"/>
      <c r="UZD43" s="19"/>
      <c r="UZE43" s="19"/>
      <c r="UZF43" s="19"/>
      <c r="UZG43" s="19"/>
      <c r="UZH43" s="21"/>
      <c r="UZI43" s="19"/>
      <c r="UZR43" s="19"/>
      <c r="UZS43" s="19"/>
      <c r="UZT43" s="19"/>
      <c r="UZU43" s="19"/>
      <c r="UZV43" s="21"/>
      <c r="UZW43" s="19"/>
      <c r="VAF43" s="19"/>
      <c r="VAG43" s="19"/>
      <c r="VAH43" s="19"/>
      <c r="VAI43" s="19"/>
      <c r="VAJ43" s="21"/>
      <c r="VAK43" s="19"/>
      <c r="VAT43" s="19"/>
      <c r="VAU43" s="19"/>
      <c r="VAV43" s="19"/>
      <c r="VAW43" s="19"/>
      <c r="VAX43" s="21"/>
      <c r="VAY43" s="19"/>
      <c r="VBH43" s="19"/>
      <c r="VBI43" s="19"/>
      <c r="VBJ43" s="19"/>
      <c r="VBK43" s="19"/>
      <c r="VBL43" s="21"/>
      <c r="VBM43" s="19"/>
      <c r="VBV43" s="19"/>
      <c r="VBW43" s="19"/>
      <c r="VBX43" s="19"/>
      <c r="VBY43" s="19"/>
      <c r="VBZ43" s="21"/>
      <c r="VCA43" s="19"/>
      <c r="VCJ43" s="19"/>
      <c r="VCK43" s="19"/>
      <c r="VCL43" s="19"/>
      <c r="VCM43" s="19"/>
      <c r="VCN43" s="21"/>
      <c r="VCO43" s="19"/>
      <c r="VCX43" s="19"/>
      <c r="VCY43" s="19"/>
      <c r="VCZ43" s="19"/>
      <c r="VDA43" s="19"/>
      <c r="VDB43" s="21"/>
      <c r="VDC43" s="19"/>
      <c r="VDL43" s="19"/>
      <c r="VDM43" s="19"/>
      <c r="VDN43" s="19"/>
      <c r="VDO43" s="19"/>
      <c r="VDP43" s="21"/>
      <c r="VDQ43" s="19"/>
      <c r="VDZ43" s="19"/>
      <c r="VEA43" s="19"/>
      <c r="VEB43" s="19"/>
      <c r="VEC43" s="19"/>
      <c r="VED43" s="21"/>
      <c r="VEE43" s="19"/>
      <c r="VEN43" s="19"/>
      <c r="VEO43" s="19"/>
      <c r="VEP43" s="19"/>
      <c r="VEQ43" s="19"/>
      <c r="VER43" s="21"/>
      <c r="VES43" s="19"/>
      <c r="VFB43" s="19"/>
      <c r="VFC43" s="19"/>
      <c r="VFD43" s="19"/>
      <c r="VFE43" s="19"/>
      <c r="VFF43" s="21"/>
      <c r="VFG43" s="19"/>
      <c r="VFP43" s="19"/>
      <c r="VFQ43" s="19"/>
      <c r="VFR43" s="19"/>
      <c r="VFS43" s="19"/>
      <c r="VFT43" s="21"/>
      <c r="VFU43" s="19"/>
      <c r="VGD43" s="19"/>
      <c r="VGE43" s="19"/>
      <c r="VGF43" s="19"/>
      <c r="VGG43" s="19"/>
      <c r="VGH43" s="21"/>
      <c r="VGI43" s="19"/>
      <c r="VGR43" s="19"/>
      <c r="VGS43" s="19"/>
      <c r="VGT43" s="19"/>
      <c r="VGU43" s="19"/>
      <c r="VGV43" s="21"/>
      <c r="VGW43" s="19"/>
      <c r="VHF43" s="19"/>
      <c r="VHG43" s="19"/>
      <c r="VHH43" s="19"/>
      <c r="VHI43" s="19"/>
      <c r="VHJ43" s="21"/>
      <c r="VHK43" s="19"/>
      <c r="VHT43" s="19"/>
      <c r="VHU43" s="19"/>
      <c r="VHV43" s="19"/>
      <c r="VHW43" s="19"/>
      <c r="VHX43" s="21"/>
      <c r="VHY43" s="19"/>
      <c r="VIH43" s="19"/>
      <c r="VII43" s="19"/>
      <c r="VIJ43" s="19"/>
      <c r="VIK43" s="19"/>
      <c r="VIL43" s="21"/>
      <c r="VIM43" s="19"/>
      <c r="VIV43" s="19"/>
      <c r="VIW43" s="19"/>
      <c r="VIX43" s="19"/>
      <c r="VIY43" s="19"/>
      <c r="VIZ43" s="21"/>
      <c r="VJA43" s="19"/>
      <c r="VJJ43" s="19"/>
      <c r="VJK43" s="19"/>
      <c r="VJL43" s="19"/>
      <c r="VJM43" s="19"/>
      <c r="VJN43" s="21"/>
      <c r="VJO43" s="19"/>
      <c r="VJX43" s="19"/>
      <c r="VJY43" s="19"/>
      <c r="VJZ43" s="19"/>
      <c r="VKA43" s="19"/>
      <c r="VKB43" s="21"/>
      <c r="VKC43" s="19"/>
      <c r="VKL43" s="19"/>
      <c r="VKM43" s="19"/>
      <c r="VKN43" s="19"/>
      <c r="VKO43" s="19"/>
      <c r="VKP43" s="21"/>
      <c r="VKQ43" s="19"/>
      <c r="VKZ43" s="19"/>
      <c r="VLA43" s="19"/>
      <c r="VLB43" s="19"/>
      <c r="VLC43" s="19"/>
      <c r="VLD43" s="21"/>
      <c r="VLE43" s="19"/>
      <c r="VLN43" s="19"/>
      <c r="VLO43" s="19"/>
      <c r="VLP43" s="19"/>
      <c r="VLQ43" s="19"/>
      <c r="VLR43" s="21"/>
      <c r="VLS43" s="19"/>
      <c r="VMB43" s="19"/>
      <c r="VMC43" s="19"/>
      <c r="VMD43" s="19"/>
      <c r="VME43" s="19"/>
      <c r="VMF43" s="21"/>
      <c r="VMG43" s="19"/>
      <c r="VMP43" s="19"/>
      <c r="VMQ43" s="19"/>
      <c r="VMR43" s="19"/>
      <c r="VMS43" s="19"/>
      <c r="VMT43" s="21"/>
      <c r="VMU43" s="19"/>
      <c r="VND43" s="19"/>
      <c r="VNE43" s="19"/>
      <c r="VNF43" s="19"/>
      <c r="VNG43" s="19"/>
      <c r="VNH43" s="21"/>
      <c r="VNI43" s="19"/>
      <c r="VNR43" s="19"/>
      <c r="VNS43" s="19"/>
      <c r="VNT43" s="19"/>
      <c r="VNU43" s="19"/>
      <c r="VNV43" s="21"/>
      <c r="VNW43" s="19"/>
      <c r="VOF43" s="19"/>
      <c r="VOG43" s="19"/>
      <c r="VOH43" s="19"/>
      <c r="VOI43" s="19"/>
      <c r="VOJ43" s="21"/>
      <c r="VOK43" s="19"/>
      <c r="VOT43" s="19"/>
      <c r="VOU43" s="19"/>
      <c r="VOV43" s="19"/>
      <c r="VOW43" s="19"/>
      <c r="VOX43" s="21"/>
      <c r="VOY43" s="19"/>
      <c r="VPH43" s="19"/>
      <c r="VPI43" s="19"/>
      <c r="VPJ43" s="19"/>
      <c r="VPK43" s="19"/>
      <c r="VPL43" s="21"/>
      <c r="VPM43" s="19"/>
      <c r="VPV43" s="19"/>
      <c r="VPW43" s="19"/>
      <c r="VPX43" s="19"/>
      <c r="VPY43" s="19"/>
      <c r="VPZ43" s="21"/>
      <c r="VQA43" s="19"/>
      <c r="VQJ43" s="19"/>
      <c r="VQK43" s="19"/>
      <c r="VQL43" s="19"/>
      <c r="VQM43" s="19"/>
      <c r="VQN43" s="21"/>
      <c r="VQO43" s="19"/>
      <c r="VQX43" s="19"/>
      <c r="VQY43" s="19"/>
      <c r="VQZ43" s="19"/>
      <c r="VRA43" s="19"/>
      <c r="VRB43" s="21"/>
      <c r="VRC43" s="19"/>
      <c r="VRL43" s="19"/>
      <c r="VRM43" s="19"/>
      <c r="VRN43" s="19"/>
      <c r="VRO43" s="19"/>
      <c r="VRP43" s="21"/>
      <c r="VRQ43" s="19"/>
      <c r="VRZ43" s="19"/>
      <c r="VSA43" s="19"/>
      <c r="VSB43" s="19"/>
      <c r="VSC43" s="19"/>
      <c r="VSD43" s="21"/>
      <c r="VSE43" s="19"/>
      <c r="VSN43" s="19"/>
      <c r="VSO43" s="19"/>
      <c r="VSP43" s="19"/>
      <c r="VSQ43" s="19"/>
      <c r="VSR43" s="21"/>
      <c r="VSS43" s="19"/>
      <c r="VTB43" s="19"/>
      <c r="VTC43" s="19"/>
      <c r="VTD43" s="19"/>
      <c r="VTE43" s="19"/>
      <c r="VTF43" s="21"/>
      <c r="VTG43" s="19"/>
      <c r="VTP43" s="19"/>
      <c r="VTQ43" s="19"/>
      <c r="VTR43" s="19"/>
      <c r="VTS43" s="19"/>
      <c r="VTT43" s="21"/>
      <c r="VTU43" s="19"/>
      <c r="VUD43" s="19"/>
      <c r="VUE43" s="19"/>
      <c r="VUF43" s="19"/>
      <c r="VUG43" s="19"/>
      <c r="VUH43" s="21"/>
      <c r="VUI43" s="19"/>
      <c r="VUR43" s="19"/>
      <c r="VUS43" s="19"/>
      <c r="VUT43" s="19"/>
      <c r="VUU43" s="19"/>
      <c r="VUV43" s="21"/>
      <c r="VUW43" s="19"/>
      <c r="VVF43" s="19"/>
      <c r="VVG43" s="19"/>
      <c r="VVH43" s="19"/>
      <c r="VVI43" s="19"/>
      <c r="VVJ43" s="21"/>
      <c r="VVK43" s="19"/>
      <c r="VVT43" s="19"/>
      <c r="VVU43" s="19"/>
      <c r="VVV43" s="19"/>
      <c r="VVW43" s="19"/>
      <c r="VVX43" s="21"/>
      <c r="VVY43" s="19"/>
      <c r="VWH43" s="19"/>
      <c r="VWI43" s="19"/>
      <c r="VWJ43" s="19"/>
      <c r="VWK43" s="19"/>
      <c r="VWL43" s="21"/>
      <c r="VWM43" s="19"/>
      <c r="VWV43" s="19"/>
      <c r="VWW43" s="19"/>
      <c r="VWX43" s="19"/>
      <c r="VWY43" s="19"/>
      <c r="VWZ43" s="21"/>
      <c r="VXA43" s="19"/>
      <c r="VXJ43" s="19"/>
      <c r="VXK43" s="19"/>
      <c r="VXL43" s="19"/>
      <c r="VXM43" s="19"/>
      <c r="VXN43" s="21"/>
      <c r="VXO43" s="19"/>
      <c r="VXX43" s="19"/>
      <c r="VXY43" s="19"/>
      <c r="VXZ43" s="19"/>
      <c r="VYA43" s="19"/>
      <c r="VYB43" s="21"/>
      <c r="VYC43" s="19"/>
      <c r="VYL43" s="19"/>
      <c r="VYM43" s="19"/>
      <c r="VYN43" s="19"/>
      <c r="VYO43" s="19"/>
      <c r="VYP43" s="21"/>
      <c r="VYQ43" s="19"/>
      <c r="VYZ43" s="19"/>
      <c r="VZA43" s="19"/>
      <c r="VZB43" s="19"/>
      <c r="VZC43" s="19"/>
      <c r="VZD43" s="21"/>
      <c r="VZE43" s="19"/>
      <c r="VZN43" s="19"/>
      <c r="VZO43" s="19"/>
      <c r="VZP43" s="19"/>
      <c r="VZQ43" s="19"/>
      <c r="VZR43" s="21"/>
      <c r="VZS43" s="19"/>
      <c r="WAB43" s="19"/>
      <c r="WAC43" s="19"/>
      <c r="WAD43" s="19"/>
      <c r="WAE43" s="19"/>
      <c r="WAF43" s="21"/>
      <c r="WAG43" s="19"/>
      <c r="WAP43" s="19"/>
      <c r="WAQ43" s="19"/>
      <c r="WAR43" s="19"/>
      <c r="WAS43" s="19"/>
      <c r="WAT43" s="21"/>
      <c r="WAU43" s="19"/>
      <c r="WBD43" s="19"/>
      <c r="WBE43" s="19"/>
      <c r="WBF43" s="19"/>
      <c r="WBG43" s="19"/>
      <c r="WBH43" s="21"/>
      <c r="WBI43" s="19"/>
      <c r="WBR43" s="19"/>
      <c r="WBS43" s="19"/>
      <c r="WBT43" s="19"/>
      <c r="WBU43" s="19"/>
      <c r="WBV43" s="21"/>
      <c r="WBW43" s="19"/>
      <c r="WCF43" s="19"/>
      <c r="WCG43" s="19"/>
      <c r="WCH43" s="19"/>
      <c r="WCI43" s="19"/>
      <c r="WCJ43" s="21"/>
      <c r="WCK43" s="19"/>
      <c r="WCT43" s="19"/>
      <c r="WCU43" s="19"/>
      <c r="WCV43" s="19"/>
      <c r="WCW43" s="19"/>
      <c r="WCX43" s="21"/>
      <c r="WCY43" s="19"/>
      <c r="WDH43" s="19"/>
      <c r="WDI43" s="19"/>
      <c r="WDJ43" s="19"/>
      <c r="WDK43" s="19"/>
      <c r="WDL43" s="21"/>
      <c r="WDM43" s="19"/>
      <c r="WDV43" s="19"/>
      <c r="WDW43" s="19"/>
      <c r="WDX43" s="19"/>
      <c r="WDY43" s="19"/>
      <c r="WDZ43" s="21"/>
      <c r="WEA43" s="19"/>
      <c r="WEJ43" s="19"/>
      <c r="WEK43" s="19"/>
      <c r="WEL43" s="19"/>
      <c r="WEM43" s="19"/>
      <c r="WEN43" s="21"/>
      <c r="WEO43" s="19"/>
      <c r="WEX43" s="19"/>
      <c r="WEY43" s="19"/>
      <c r="WEZ43" s="19"/>
      <c r="WFA43" s="19"/>
      <c r="WFB43" s="21"/>
      <c r="WFC43" s="19"/>
      <c r="WFL43" s="19"/>
      <c r="WFM43" s="19"/>
      <c r="WFN43" s="19"/>
      <c r="WFO43" s="19"/>
      <c r="WFP43" s="21"/>
      <c r="WFQ43" s="19"/>
      <c r="WFZ43" s="19"/>
      <c r="WGA43" s="19"/>
      <c r="WGB43" s="19"/>
      <c r="WGC43" s="19"/>
      <c r="WGD43" s="21"/>
      <c r="WGE43" s="19"/>
      <c r="WGN43" s="19"/>
      <c r="WGO43" s="19"/>
      <c r="WGP43" s="19"/>
      <c r="WGQ43" s="19"/>
      <c r="WGR43" s="21"/>
      <c r="WGS43" s="19"/>
      <c r="WHB43" s="19"/>
      <c r="WHC43" s="19"/>
      <c r="WHD43" s="19"/>
      <c r="WHE43" s="19"/>
      <c r="WHF43" s="21"/>
      <c r="WHG43" s="19"/>
      <c r="WHP43" s="19"/>
      <c r="WHQ43" s="19"/>
      <c r="WHR43" s="19"/>
      <c r="WHS43" s="19"/>
      <c r="WHT43" s="21"/>
      <c r="WHU43" s="19"/>
      <c r="WID43" s="19"/>
      <c r="WIE43" s="19"/>
      <c r="WIF43" s="19"/>
      <c r="WIG43" s="19"/>
      <c r="WIH43" s="21"/>
      <c r="WII43" s="19"/>
      <c r="WIR43" s="19"/>
      <c r="WIS43" s="19"/>
      <c r="WIT43" s="19"/>
      <c r="WIU43" s="19"/>
      <c r="WIV43" s="21"/>
      <c r="WIW43" s="19"/>
      <c r="WJF43" s="19"/>
      <c r="WJG43" s="19"/>
      <c r="WJH43" s="19"/>
      <c r="WJI43" s="19"/>
      <c r="WJJ43" s="21"/>
      <c r="WJK43" s="19"/>
      <c r="WJT43" s="19"/>
      <c r="WJU43" s="19"/>
      <c r="WJV43" s="19"/>
      <c r="WJW43" s="19"/>
      <c r="WJX43" s="21"/>
      <c r="WJY43" s="19"/>
      <c r="WKH43" s="19"/>
      <c r="WKI43" s="19"/>
      <c r="WKJ43" s="19"/>
      <c r="WKK43" s="19"/>
      <c r="WKL43" s="21"/>
      <c r="WKM43" s="19"/>
      <c r="WKV43" s="19"/>
      <c r="WKW43" s="19"/>
      <c r="WKX43" s="19"/>
      <c r="WKY43" s="19"/>
      <c r="WKZ43" s="21"/>
      <c r="WLA43" s="19"/>
      <c r="WLJ43" s="19"/>
      <c r="WLK43" s="19"/>
      <c r="WLL43" s="19"/>
      <c r="WLM43" s="19"/>
      <c r="WLN43" s="21"/>
      <c r="WLO43" s="19"/>
      <c r="WLX43" s="19"/>
      <c r="WLY43" s="19"/>
      <c r="WLZ43" s="19"/>
      <c r="WMA43" s="19"/>
      <c r="WMB43" s="21"/>
      <c r="WMC43" s="19"/>
      <c r="WML43" s="19"/>
      <c r="WMM43" s="19"/>
      <c r="WMN43" s="19"/>
      <c r="WMO43" s="19"/>
      <c r="WMP43" s="21"/>
      <c r="WMQ43" s="19"/>
      <c r="WMZ43" s="19"/>
      <c r="WNA43" s="19"/>
      <c r="WNB43" s="19"/>
      <c r="WNC43" s="19"/>
      <c r="WND43" s="21"/>
      <c r="WNE43" s="19"/>
      <c r="WNN43" s="19"/>
      <c r="WNO43" s="19"/>
      <c r="WNP43" s="19"/>
      <c r="WNQ43" s="19"/>
      <c r="WNR43" s="21"/>
      <c r="WNS43" s="19"/>
      <c r="WOB43" s="19"/>
      <c r="WOC43" s="19"/>
      <c r="WOD43" s="19"/>
      <c r="WOE43" s="19"/>
      <c r="WOF43" s="21"/>
      <c r="WOG43" s="19"/>
      <c r="WOP43" s="19"/>
      <c r="WOQ43" s="19"/>
      <c r="WOR43" s="19"/>
      <c r="WOS43" s="19"/>
      <c r="WOT43" s="21"/>
      <c r="WOU43" s="19"/>
      <c r="WPD43" s="19"/>
      <c r="WPE43" s="19"/>
      <c r="WPF43" s="19"/>
      <c r="WPG43" s="19"/>
      <c r="WPH43" s="21"/>
      <c r="WPI43" s="19"/>
      <c r="WPR43" s="19"/>
      <c r="WPS43" s="19"/>
      <c r="WPT43" s="19"/>
      <c r="WPU43" s="19"/>
      <c r="WPV43" s="21"/>
      <c r="WPW43" s="19"/>
      <c r="WQF43" s="19"/>
      <c r="WQG43" s="19"/>
      <c r="WQH43" s="19"/>
      <c r="WQI43" s="19"/>
      <c r="WQJ43" s="21"/>
      <c r="WQK43" s="19"/>
      <c r="WQT43" s="19"/>
      <c r="WQU43" s="19"/>
      <c r="WQV43" s="19"/>
      <c r="WQW43" s="19"/>
      <c r="WQX43" s="21"/>
      <c r="WQY43" s="19"/>
      <c r="WRH43" s="19"/>
      <c r="WRI43" s="19"/>
      <c r="WRJ43" s="19"/>
      <c r="WRK43" s="19"/>
      <c r="WRL43" s="21"/>
      <c r="WRM43" s="19"/>
      <c r="WRV43" s="19"/>
      <c r="WRW43" s="19"/>
      <c r="WRX43" s="19"/>
      <c r="WRY43" s="19"/>
      <c r="WRZ43" s="21"/>
      <c r="WSA43" s="19"/>
      <c r="WSJ43" s="19"/>
      <c r="WSK43" s="19"/>
      <c r="WSL43" s="19"/>
      <c r="WSM43" s="19"/>
      <c r="WSN43" s="21"/>
      <c r="WSO43" s="19"/>
      <c r="WSX43" s="19"/>
      <c r="WSY43" s="19"/>
      <c r="WSZ43" s="19"/>
      <c r="WTA43" s="19"/>
      <c r="WTB43" s="21"/>
      <c r="WTC43" s="19"/>
      <c r="WTL43" s="19"/>
      <c r="WTM43" s="19"/>
      <c r="WTN43" s="19"/>
      <c r="WTO43" s="19"/>
      <c r="WTP43" s="21"/>
      <c r="WTQ43" s="19"/>
      <c r="WTZ43" s="19"/>
      <c r="WUA43" s="19"/>
      <c r="WUB43" s="19"/>
      <c r="WUC43" s="19"/>
      <c r="WUD43" s="21"/>
      <c r="WUE43" s="19"/>
      <c r="WUN43" s="19"/>
      <c r="WUO43" s="19"/>
      <c r="WUP43" s="19"/>
      <c r="WUQ43" s="19"/>
      <c r="WUR43" s="21"/>
      <c r="WUS43" s="19"/>
      <c r="WVB43" s="19"/>
      <c r="WVC43" s="19"/>
      <c r="WVD43" s="19"/>
      <c r="WVE43" s="19"/>
      <c r="WVF43" s="21"/>
      <c r="WVG43" s="19"/>
      <c r="WVP43" s="19"/>
      <c r="WVQ43" s="19"/>
      <c r="WVR43" s="19"/>
      <c r="WVS43" s="19"/>
      <c r="WVT43" s="21"/>
      <c r="WVU43" s="19"/>
      <c r="WWD43" s="19"/>
      <c r="WWE43" s="19"/>
      <c r="WWF43" s="19"/>
      <c r="WWG43" s="19"/>
      <c r="WWH43" s="21"/>
      <c r="WWI43" s="19"/>
      <c r="WWR43" s="19"/>
      <c r="WWS43" s="19"/>
      <c r="WWT43" s="19"/>
      <c r="WWU43" s="19"/>
      <c r="WWV43" s="21"/>
      <c r="WWW43" s="19"/>
      <c r="WXF43" s="19"/>
      <c r="WXG43" s="19"/>
      <c r="WXH43" s="19"/>
      <c r="WXI43" s="19"/>
      <c r="WXJ43" s="21"/>
      <c r="WXK43" s="19"/>
      <c r="WXT43" s="19"/>
      <c r="WXU43" s="19"/>
      <c r="WXV43" s="19"/>
      <c r="WXW43" s="19"/>
      <c r="WXX43" s="21"/>
      <c r="WXY43" s="19"/>
      <c r="WYH43" s="19"/>
      <c r="WYI43" s="19"/>
      <c r="WYJ43" s="19"/>
      <c r="WYK43" s="19"/>
      <c r="WYL43" s="21"/>
      <c r="WYM43" s="19"/>
      <c r="WYV43" s="19"/>
      <c r="WYW43" s="19"/>
      <c r="WYX43" s="19"/>
      <c r="WYY43" s="19"/>
      <c r="WYZ43" s="21"/>
      <c r="WZA43" s="19"/>
      <c r="WZJ43" s="19"/>
      <c r="WZK43" s="19"/>
      <c r="WZL43" s="19"/>
      <c r="WZM43" s="19"/>
      <c r="WZN43" s="21"/>
      <c r="WZO43" s="19"/>
      <c r="WZX43" s="19"/>
      <c r="WZY43" s="19"/>
      <c r="WZZ43" s="19"/>
      <c r="XAA43" s="19"/>
      <c r="XAB43" s="21"/>
      <c r="XAC43" s="19"/>
      <c r="XAL43" s="19"/>
      <c r="XAM43" s="19"/>
      <c r="XAN43" s="19"/>
      <c r="XAO43" s="19"/>
      <c r="XAP43" s="21"/>
      <c r="XAQ43" s="19"/>
      <c r="XAZ43" s="19"/>
      <c r="XBA43" s="19"/>
      <c r="XBB43" s="19"/>
      <c r="XBC43" s="19"/>
      <c r="XBD43" s="21"/>
      <c r="XBE43" s="19"/>
      <c r="XBN43" s="19"/>
      <c r="XBO43" s="19"/>
      <c r="XBP43" s="19"/>
      <c r="XBQ43" s="19"/>
      <c r="XBR43" s="21"/>
      <c r="XBS43" s="19"/>
      <c r="XCB43" s="19"/>
      <c r="XCC43" s="19"/>
      <c r="XCD43" s="19"/>
      <c r="XCE43" s="19"/>
      <c r="XCF43" s="21"/>
      <c r="XCG43" s="19"/>
      <c r="XCP43" s="19"/>
      <c r="XCQ43" s="19"/>
      <c r="XCR43" s="19"/>
      <c r="XCS43" s="19"/>
      <c r="XCT43" s="21"/>
      <c r="XCU43" s="19"/>
      <c r="XDD43" s="19"/>
      <c r="XDE43" s="19"/>
      <c r="XDF43" s="19"/>
      <c r="XDG43" s="19"/>
      <c r="XDH43" s="21"/>
      <c r="XDI43" s="19"/>
      <c r="XDR43" s="19"/>
      <c r="XDS43" s="19"/>
      <c r="XDT43" s="19"/>
      <c r="XDU43" s="19"/>
      <c r="XDV43" s="21"/>
      <c r="XDW43" s="19"/>
      <c r="XEF43" s="19"/>
      <c r="XEG43" s="19"/>
      <c r="XEH43" s="19"/>
      <c r="XEI43" s="19"/>
      <c r="XEJ43" s="21"/>
      <c r="XEK43" s="19"/>
    </row>
    <row r="44" spans="1:1021 1030:2043 2052:3065 3074:7167 7176:8189 8198:9211 9220:10233 10242:14335 14344:15357 15366:16365" s="20" customFormat="1">
      <c r="A44" s="19">
        <v>3</v>
      </c>
      <c r="B44" s="21">
        <v>11</v>
      </c>
      <c r="C44" s="19" t="s">
        <v>126</v>
      </c>
      <c r="D44" s="20">
        <v>3</v>
      </c>
      <c r="E44" s="20">
        <v>3</v>
      </c>
      <c r="F44" s="20">
        <v>1</v>
      </c>
      <c r="G44" s="20">
        <v>0</v>
      </c>
      <c r="H44" s="20">
        <v>2</v>
      </c>
      <c r="I44" s="20">
        <v>3</v>
      </c>
      <c r="J44" s="20">
        <v>5</v>
      </c>
      <c r="K44" s="20">
        <v>-2</v>
      </c>
      <c r="L44" s="27"/>
      <c r="M44" s="19"/>
      <c r="V44" s="19"/>
      <c r="W44" s="19"/>
      <c r="X44" s="19"/>
      <c r="Y44" s="19"/>
      <c r="Z44" s="21"/>
      <c r="AA44" s="19"/>
      <c r="AJ44" s="19"/>
      <c r="AK44" s="19"/>
      <c r="AL44" s="19"/>
      <c r="AM44" s="19"/>
      <c r="AN44" s="21"/>
      <c r="AO44" s="19"/>
      <c r="AX44" s="19"/>
      <c r="AY44" s="19"/>
      <c r="AZ44" s="19"/>
      <c r="BA44" s="19"/>
      <c r="BB44" s="21"/>
      <c r="BC44" s="19"/>
      <c r="BL44" s="19"/>
      <c r="BM44" s="19"/>
      <c r="BN44" s="19"/>
      <c r="BO44" s="19"/>
      <c r="BP44" s="21"/>
      <c r="BQ44" s="19"/>
      <c r="BZ44" s="19"/>
      <c r="CA44" s="19"/>
      <c r="CB44" s="19"/>
      <c r="CC44" s="19"/>
      <c r="CD44" s="21"/>
      <c r="CE44" s="19"/>
      <c r="CN44" s="19"/>
      <c r="CO44" s="19"/>
      <c r="CP44" s="19"/>
      <c r="CQ44" s="19"/>
      <c r="CR44" s="21"/>
      <c r="CS44" s="19"/>
      <c r="DB44" s="19"/>
      <c r="DC44" s="19"/>
      <c r="DD44" s="19"/>
      <c r="DE44" s="19"/>
      <c r="DF44" s="21"/>
      <c r="DG44" s="19"/>
      <c r="DP44" s="19"/>
      <c r="DQ44" s="19"/>
      <c r="DR44" s="19"/>
      <c r="DS44" s="19"/>
      <c r="DT44" s="21"/>
      <c r="DU44" s="19"/>
      <c r="ED44" s="19"/>
      <c r="EE44" s="19"/>
      <c r="EF44" s="19"/>
      <c r="EG44" s="19"/>
      <c r="EH44" s="21"/>
      <c r="EI44" s="19"/>
      <c r="ER44" s="19"/>
      <c r="ES44" s="19"/>
      <c r="ET44" s="19"/>
      <c r="EU44" s="19"/>
      <c r="EV44" s="21"/>
      <c r="EW44" s="19"/>
      <c r="FF44" s="19"/>
      <c r="FG44" s="19"/>
      <c r="FH44" s="19"/>
      <c r="FI44" s="19"/>
      <c r="FJ44" s="21"/>
      <c r="FK44" s="19"/>
      <c r="FT44" s="19"/>
      <c r="FU44" s="19"/>
      <c r="FV44" s="19"/>
      <c r="FW44" s="19"/>
      <c r="FX44" s="21"/>
      <c r="FY44" s="19"/>
      <c r="GH44" s="19"/>
      <c r="GI44" s="19"/>
      <c r="GJ44" s="19"/>
      <c r="GK44" s="19"/>
      <c r="GL44" s="21"/>
      <c r="GM44" s="19"/>
      <c r="GV44" s="19"/>
      <c r="GW44" s="19"/>
      <c r="GX44" s="19"/>
      <c r="GY44" s="19"/>
      <c r="GZ44" s="21"/>
      <c r="HA44" s="19"/>
      <c r="HJ44" s="19"/>
      <c r="HK44" s="19"/>
      <c r="HL44" s="19"/>
      <c r="HM44" s="19"/>
      <c r="HN44" s="21"/>
      <c r="HO44" s="19"/>
      <c r="HX44" s="19"/>
      <c r="HY44" s="19"/>
      <c r="HZ44" s="19"/>
      <c r="IA44" s="19"/>
      <c r="IB44" s="21"/>
      <c r="IC44" s="19"/>
      <c r="IL44" s="19"/>
      <c r="IM44" s="19"/>
      <c r="IN44" s="19"/>
      <c r="IO44" s="19"/>
      <c r="IP44" s="21"/>
      <c r="IQ44" s="19"/>
      <c r="IZ44" s="19"/>
      <c r="JA44" s="19"/>
      <c r="JB44" s="19"/>
      <c r="JC44" s="19"/>
      <c r="JD44" s="21"/>
      <c r="JE44" s="19"/>
      <c r="JN44" s="19"/>
      <c r="JO44" s="19"/>
      <c r="JP44" s="19"/>
      <c r="JQ44" s="19"/>
      <c r="JR44" s="21"/>
      <c r="JS44" s="19"/>
      <c r="KB44" s="19"/>
      <c r="KC44" s="19"/>
      <c r="KD44" s="19"/>
      <c r="KE44" s="19"/>
      <c r="KF44" s="21"/>
      <c r="KG44" s="19"/>
      <c r="KP44" s="19"/>
      <c r="KQ44" s="19"/>
      <c r="KR44" s="19"/>
      <c r="KS44" s="19"/>
      <c r="KT44" s="21"/>
      <c r="KU44" s="19"/>
      <c r="LD44" s="19"/>
      <c r="LE44" s="19"/>
      <c r="LF44" s="19"/>
      <c r="LG44" s="19"/>
      <c r="LH44" s="21"/>
      <c r="LI44" s="19"/>
      <c r="LR44" s="19"/>
      <c r="LS44" s="19"/>
      <c r="LT44" s="19"/>
      <c r="LU44" s="19"/>
      <c r="LV44" s="21"/>
      <c r="LW44" s="19"/>
      <c r="MF44" s="19"/>
      <c r="MG44" s="19"/>
      <c r="MH44" s="19"/>
      <c r="MI44" s="19"/>
      <c r="MJ44" s="21"/>
      <c r="MK44" s="19"/>
      <c r="MT44" s="19"/>
      <c r="MU44" s="19"/>
      <c r="MV44" s="19"/>
      <c r="MW44" s="19"/>
      <c r="MX44" s="21"/>
      <c r="MY44" s="19"/>
      <c r="NH44" s="19"/>
      <c r="NI44" s="19"/>
      <c r="NJ44" s="19"/>
      <c r="NK44" s="19"/>
      <c r="NL44" s="21"/>
      <c r="NM44" s="19"/>
      <c r="NV44" s="19"/>
      <c r="NW44" s="19"/>
      <c r="NX44" s="19"/>
      <c r="NY44" s="19"/>
      <c r="NZ44" s="21"/>
      <c r="OA44" s="19"/>
      <c r="OJ44" s="19"/>
      <c r="OK44" s="19"/>
      <c r="OL44" s="19"/>
      <c r="OM44" s="19"/>
      <c r="ON44" s="21"/>
      <c r="OO44" s="19"/>
      <c r="OX44" s="19"/>
      <c r="OY44" s="19"/>
      <c r="OZ44" s="19"/>
      <c r="PA44" s="19"/>
      <c r="PB44" s="21"/>
      <c r="PC44" s="19"/>
      <c r="PL44" s="19"/>
      <c r="PM44" s="19"/>
      <c r="PN44" s="19"/>
      <c r="PO44" s="19"/>
      <c r="PP44" s="21"/>
      <c r="PQ44" s="19"/>
      <c r="PZ44" s="19"/>
      <c r="QA44" s="19"/>
      <c r="QB44" s="19"/>
      <c r="QC44" s="19"/>
      <c r="QD44" s="21"/>
      <c r="QE44" s="19"/>
      <c r="QN44" s="19"/>
      <c r="QO44" s="19"/>
      <c r="QP44" s="19"/>
      <c r="QQ44" s="19"/>
      <c r="QR44" s="21"/>
      <c r="QS44" s="19"/>
      <c r="RB44" s="19"/>
      <c r="RC44" s="19"/>
      <c r="RD44" s="19"/>
      <c r="RE44" s="19"/>
      <c r="RF44" s="21"/>
      <c r="RG44" s="19"/>
      <c r="RP44" s="19"/>
      <c r="RQ44" s="19"/>
      <c r="RR44" s="19"/>
      <c r="RS44" s="19"/>
      <c r="RT44" s="21"/>
      <c r="RU44" s="19"/>
      <c r="SD44" s="19"/>
      <c r="SE44" s="19"/>
      <c r="SF44" s="19"/>
      <c r="SG44" s="19"/>
      <c r="SH44" s="21"/>
      <c r="SI44" s="19"/>
      <c r="SR44" s="19"/>
      <c r="SS44" s="19"/>
      <c r="ST44" s="19"/>
      <c r="SU44" s="19"/>
      <c r="SV44" s="21"/>
      <c r="SW44" s="19"/>
      <c r="TF44" s="19"/>
      <c r="TG44" s="19"/>
      <c r="TH44" s="19"/>
      <c r="TI44" s="19"/>
      <c r="TJ44" s="21"/>
      <c r="TK44" s="19"/>
      <c r="TT44" s="19"/>
      <c r="TU44" s="19"/>
      <c r="TV44" s="19"/>
      <c r="TW44" s="19"/>
      <c r="TX44" s="21"/>
      <c r="TY44" s="19"/>
      <c r="UH44" s="19"/>
      <c r="UI44" s="19"/>
      <c r="UJ44" s="19"/>
      <c r="UK44" s="19"/>
      <c r="UL44" s="21"/>
      <c r="UM44" s="19"/>
      <c r="UV44" s="19"/>
      <c r="UW44" s="19"/>
      <c r="UX44" s="19"/>
      <c r="UY44" s="19"/>
      <c r="UZ44" s="21"/>
      <c r="VA44" s="19"/>
      <c r="VJ44" s="19"/>
      <c r="VK44" s="19"/>
      <c r="VL44" s="19"/>
      <c r="VM44" s="19"/>
      <c r="VN44" s="21"/>
      <c r="VO44" s="19"/>
      <c r="VX44" s="19"/>
      <c r="VY44" s="19"/>
      <c r="VZ44" s="19"/>
      <c r="WA44" s="19"/>
      <c r="WB44" s="21"/>
      <c r="WC44" s="19"/>
      <c r="WL44" s="19"/>
      <c r="WM44" s="19"/>
      <c r="WN44" s="19"/>
      <c r="WO44" s="19"/>
      <c r="WP44" s="21"/>
      <c r="WQ44" s="19"/>
      <c r="WZ44" s="19"/>
      <c r="XA44" s="19"/>
      <c r="XB44" s="19"/>
      <c r="XC44" s="19"/>
      <c r="XD44" s="21"/>
      <c r="XE44" s="19"/>
      <c r="XN44" s="19"/>
      <c r="XO44" s="19"/>
      <c r="XP44" s="19"/>
      <c r="XQ44" s="19"/>
      <c r="XR44" s="21"/>
      <c r="XS44" s="19"/>
      <c r="YB44" s="19"/>
      <c r="YC44" s="19"/>
      <c r="YD44" s="19"/>
      <c r="YE44" s="19"/>
      <c r="YF44" s="21"/>
      <c r="YG44" s="19"/>
      <c r="YP44" s="19"/>
      <c r="YQ44" s="19"/>
      <c r="YR44" s="19"/>
      <c r="YS44" s="19"/>
      <c r="YT44" s="21"/>
      <c r="YU44" s="19"/>
      <c r="ZD44" s="19"/>
      <c r="ZE44" s="19"/>
      <c r="ZF44" s="19"/>
      <c r="ZG44" s="19"/>
      <c r="ZH44" s="21"/>
      <c r="ZI44" s="19"/>
      <c r="ZR44" s="19"/>
      <c r="ZS44" s="19"/>
      <c r="ZT44" s="19"/>
      <c r="ZU44" s="19"/>
      <c r="ZV44" s="21"/>
      <c r="ZW44" s="19"/>
      <c r="AAF44" s="19"/>
      <c r="AAG44" s="19"/>
      <c r="AAH44" s="19"/>
      <c r="AAI44" s="19"/>
      <c r="AAJ44" s="21"/>
      <c r="AAK44" s="19"/>
      <c r="AAT44" s="19"/>
      <c r="AAU44" s="19"/>
      <c r="AAV44" s="19"/>
      <c r="AAW44" s="19"/>
      <c r="AAX44" s="21"/>
      <c r="AAY44" s="19"/>
      <c r="ABH44" s="19"/>
      <c r="ABI44" s="19"/>
      <c r="ABJ44" s="19"/>
      <c r="ABK44" s="19"/>
      <c r="ABL44" s="21"/>
      <c r="ABM44" s="19"/>
      <c r="ABV44" s="19"/>
      <c r="ABW44" s="19"/>
      <c r="ABX44" s="19"/>
      <c r="ABY44" s="19"/>
      <c r="ABZ44" s="21"/>
      <c r="ACA44" s="19"/>
      <c r="ACJ44" s="19"/>
      <c r="ACK44" s="19"/>
      <c r="ACL44" s="19"/>
      <c r="ACM44" s="19"/>
      <c r="ACN44" s="21"/>
      <c r="ACO44" s="19"/>
      <c r="ACX44" s="19"/>
      <c r="ACY44" s="19"/>
      <c r="ACZ44" s="19"/>
      <c r="ADA44" s="19"/>
      <c r="ADB44" s="21"/>
      <c r="ADC44" s="19"/>
      <c r="ADL44" s="19"/>
      <c r="ADM44" s="19"/>
      <c r="ADN44" s="19"/>
      <c r="ADO44" s="19"/>
      <c r="ADP44" s="21"/>
      <c r="ADQ44" s="19"/>
      <c r="ADZ44" s="19"/>
      <c r="AEA44" s="19"/>
      <c r="AEB44" s="19"/>
      <c r="AEC44" s="19"/>
      <c r="AED44" s="21"/>
      <c r="AEE44" s="19"/>
      <c r="AEN44" s="19"/>
      <c r="AEO44" s="19"/>
      <c r="AEP44" s="19"/>
      <c r="AEQ44" s="19"/>
      <c r="AER44" s="21"/>
      <c r="AES44" s="19"/>
      <c r="AFB44" s="19"/>
      <c r="AFC44" s="19"/>
      <c r="AFD44" s="19"/>
      <c r="AFE44" s="19"/>
      <c r="AFF44" s="21"/>
      <c r="AFG44" s="19"/>
      <c r="AFP44" s="19"/>
      <c r="AFQ44" s="19"/>
      <c r="AFR44" s="19"/>
      <c r="AFS44" s="19"/>
      <c r="AFT44" s="21"/>
      <c r="AFU44" s="19"/>
      <c r="AGD44" s="19"/>
      <c r="AGE44" s="19"/>
      <c r="AGF44" s="19"/>
      <c r="AGG44" s="19"/>
      <c r="AGH44" s="21"/>
      <c r="AGI44" s="19"/>
      <c r="AGR44" s="19"/>
      <c r="AGS44" s="19"/>
      <c r="AGT44" s="19"/>
      <c r="AGU44" s="19"/>
      <c r="AGV44" s="21"/>
      <c r="AGW44" s="19"/>
      <c r="AHF44" s="19"/>
      <c r="AHG44" s="19"/>
      <c r="AHH44" s="19"/>
      <c r="AHI44" s="19"/>
      <c r="AHJ44" s="21"/>
      <c r="AHK44" s="19"/>
      <c r="AHT44" s="19"/>
      <c r="AHU44" s="19"/>
      <c r="AHV44" s="19"/>
      <c r="AHW44" s="19"/>
      <c r="AHX44" s="21"/>
      <c r="AHY44" s="19"/>
      <c r="AIH44" s="19"/>
      <c r="AII44" s="19"/>
      <c r="AIJ44" s="19"/>
      <c r="AIK44" s="19"/>
      <c r="AIL44" s="21"/>
      <c r="AIM44" s="19"/>
      <c r="AIV44" s="19"/>
      <c r="AIW44" s="19"/>
      <c r="AIX44" s="19"/>
      <c r="AIY44" s="19"/>
      <c r="AIZ44" s="21"/>
      <c r="AJA44" s="19"/>
      <c r="AJJ44" s="19"/>
      <c r="AJK44" s="19"/>
      <c r="AJL44" s="19"/>
      <c r="AJM44" s="19"/>
      <c r="AJN44" s="21"/>
      <c r="AJO44" s="19"/>
      <c r="AJX44" s="19"/>
      <c r="AJY44" s="19"/>
      <c r="AJZ44" s="19"/>
      <c r="AKA44" s="19"/>
      <c r="AKB44" s="21"/>
      <c r="AKC44" s="19"/>
      <c r="AKL44" s="19"/>
      <c r="AKM44" s="19"/>
      <c r="AKN44" s="19"/>
      <c r="AKO44" s="19"/>
      <c r="AKP44" s="21"/>
      <c r="AKQ44" s="19"/>
      <c r="AKZ44" s="19"/>
      <c r="ALA44" s="19"/>
      <c r="ALB44" s="19"/>
      <c r="ALC44" s="19"/>
      <c r="ALD44" s="21"/>
      <c r="ALE44" s="19"/>
      <c r="ALN44" s="19"/>
      <c r="ALO44" s="19"/>
      <c r="ALP44" s="19"/>
      <c r="ALQ44" s="19"/>
      <c r="ALR44" s="21"/>
      <c r="ALS44" s="19"/>
      <c r="AMB44" s="19"/>
      <c r="AMC44" s="19"/>
      <c r="AMD44" s="19"/>
      <c r="AME44" s="19"/>
      <c r="AMF44" s="21"/>
      <c r="AMG44" s="19"/>
      <c r="AMP44" s="19"/>
      <c r="AMQ44" s="19"/>
      <c r="AMR44" s="19"/>
      <c r="AMS44" s="19"/>
      <c r="AMT44" s="21"/>
      <c r="AMU44" s="19"/>
      <c r="AND44" s="19"/>
      <c r="ANE44" s="19"/>
      <c r="ANF44" s="19"/>
      <c r="ANG44" s="19"/>
      <c r="ANH44" s="21"/>
      <c r="ANI44" s="19"/>
      <c r="ANR44" s="19"/>
      <c r="ANS44" s="19"/>
      <c r="ANT44" s="19"/>
      <c r="ANU44" s="19"/>
      <c r="ANV44" s="21"/>
      <c r="ANW44" s="19"/>
      <c r="AOF44" s="19"/>
      <c r="AOG44" s="19"/>
      <c r="AOH44" s="19"/>
      <c r="AOI44" s="19"/>
      <c r="AOJ44" s="21"/>
      <c r="AOK44" s="19"/>
      <c r="AOT44" s="19"/>
      <c r="AOU44" s="19"/>
      <c r="AOV44" s="19"/>
      <c r="AOW44" s="19"/>
      <c r="AOX44" s="21"/>
      <c r="AOY44" s="19"/>
      <c r="APH44" s="19"/>
      <c r="API44" s="19"/>
      <c r="APJ44" s="19"/>
      <c r="APK44" s="19"/>
      <c r="APL44" s="21"/>
      <c r="APM44" s="19"/>
      <c r="APV44" s="19"/>
      <c r="APW44" s="19"/>
      <c r="APX44" s="19"/>
      <c r="APY44" s="19"/>
      <c r="APZ44" s="21"/>
      <c r="AQA44" s="19"/>
      <c r="AQJ44" s="19"/>
      <c r="AQK44" s="19"/>
      <c r="AQL44" s="19"/>
      <c r="AQM44" s="19"/>
      <c r="AQN44" s="21"/>
      <c r="AQO44" s="19"/>
      <c r="AQX44" s="19"/>
      <c r="AQY44" s="19"/>
      <c r="AQZ44" s="19"/>
      <c r="ARA44" s="19"/>
      <c r="ARB44" s="21"/>
      <c r="ARC44" s="19"/>
      <c r="ARL44" s="19"/>
      <c r="ARM44" s="19"/>
      <c r="ARN44" s="19"/>
      <c r="ARO44" s="19"/>
      <c r="ARP44" s="21"/>
      <c r="ARQ44" s="19"/>
      <c r="ARZ44" s="19"/>
      <c r="ASA44" s="19"/>
      <c r="ASB44" s="19"/>
      <c r="ASC44" s="19"/>
      <c r="ASD44" s="21"/>
      <c r="ASE44" s="19"/>
      <c r="ASN44" s="19"/>
      <c r="ASO44" s="19"/>
      <c r="ASP44" s="19"/>
      <c r="ASQ44" s="19"/>
      <c r="ASR44" s="21"/>
      <c r="ASS44" s="19"/>
      <c r="ATB44" s="19"/>
      <c r="ATC44" s="19"/>
      <c r="ATD44" s="19"/>
      <c r="ATE44" s="19"/>
      <c r="ATF44" s="21"/>
      <c r="ATG44" s="19"/>
      <c r="ATP44" s="19"/>
      <c r="ATQ44" s="19"/>
      <c r="ATR44" s="19"/>
      <c r="ATS44" s="19"/>
      <c r="ATT44" s="21"/>
      <c r="ATU44" s="19"/>
      <c r="AUD44" s="19"/>
      <c r="AUE44" s="19"/>
      <c r="AUF44" s="19"/>
      <c r="AUG44" s="19"/>
      <c r="AUH44" s="21"/>
      <c r="AUI44" s="19"/>
      <c r="AUR44" s="19"/>
      <c r="AUS44" s="19"/>
      <c r="AUT44" s="19"/>
      <c r="AUU44" s="19"/>
      <c r="AUV44" s="21"/>
      <c r="AUW44" s="19"/>
      <c r="AVF44" s="19"/>
      <c r="AVG44" s="19"/>
      <c r="AVH44" s="19"/>
      <c r="AVI44" s="19"/>
      <c r="AVJ44" s="21"/>
      <c r="AVK44" s="19"/>
      <c r="AVT44" s="19"/>
      <c r="AVU44" s="19"/>
      <c r="AVV44" s="19"/>
      <c r="AVW44" s="19"/>
      <c r="AVX44" s="21"/>
      <c r="AVY44" s="19"/>
      <c r="AWH44" s="19"/>
      <c r="AWI44" s="19"/>
      <c r="AWJ44" s="19"/>
      <c r="AWK44" s="19"/>
      <c r="AWL44" s="21"/>
      <c r="AWM44" s="19"/>
      <c r="AWV44" s="19"/>
      <c r="AWW44" s="19"/>
      <c r="AWX44" s="19"/>
      <c r="AWY44" s="19"/>
      <c r="AWZ44" s="21"/>
      <c r="AXA44" s="19"/>
      <c r="AXJ44" s="19"/>
      <c r="AXK44" s="19"/>
      <c r="AXL44" s="19"/>
      <c r="AXM44" s="19"/>
      <c r="AXN44" s="21"/>
      <c r="AXO44" s="19"/>
      <c r="AXX44" s="19"/>
      <c r="AXY44" s="19"/>
      <c r="AXZ44" s="19"/>
      <c r="AYA44" s="19"/>
      <c r="AYB44" s="21"/>
      <c r="AYC44" s="19"/>
      <c r="AYL44" s="19"/>
      <c r="AYM44" s="19"/>
      <c r="AYN44" s="19"/>
      <c r="AYO44" s="19"/>
      <c r="AYP44" s="21"/>
      <c r="AYQ44" s="19"/>
      <c r="AYZ44" s="19"/>
      <c r="AZA44" s="19"/>
      <c r="AZB44" s="19"/>
      <c r="AZC44" s="19"/>
      <c r="AZD44" s="21"/>
      <c r="AZE44" s="19"/>
      <c r="AZN44" s="19"/>
      <c r="AZO44" s="19"/>
      <c r="AZP44" s="19"/>
      <c r="AZQ44" s="19"/>
      <c r="AZR44" s="21"/>
      <c r="AZS44" s="19"/>
      <c r="BAB44" s="19"/>
      <c r="BAC44" s="19"/>
      <c r="BAD44" s="19"/>
      <c r="BAE44" s="19"/>
      <c r="BAF44" s="21"/>
      <c r="BAG44" s="19"/>
      <c r="BAP44" s="19"/>
      <c r="BAQ44" s="19"/>
      <c r="BAR44" s="19"/>
      <c r="BAS44" s="19"/>
      <c r="BAT44" s="21"/>
      <c r="BAU44" s="19"/>
      <c r="BBD44" s="19"/>
      <c r="BBE44" s="19"/>
      <c r="BBF44" s="19"/>
      <c r="BBG44" s="19"/>
      <c r="BBH44" s="21"/>
      <c r="BBI44" s="19"/>
      <c r="BBR44" s="19"/>
      <c r="BBS44" s="19"/>
      <c r="BBT44" s="19"/>
      <c r="BBU44" s="19"/>
      <c r="BBV44" s="21"/>
      <c r="BBW44" s="19"/>
      <c r="BCF44" s="19"/>
      <c r="BCG44" s="19"/>
      <c r="BCH44" s="19"/>
      <c r="BCI44" s="19"/>
      <c r="BCJ44" s="21"/>
      <c r="BCK44" s="19"/>
      <c r="BCT44" s="19"/>
      <c r="BCU44" s="19"/>
      <c r="BCV44" s="19"/>
      <c r="BCW44" s="19"/>
      <c r="BCX44" s="21"/>
      <c r="BCY44" s="19"/>
      <c r="BDH44" s="19"/>
      <c r="BDI44" s="19"/>
      <c r="BDJ44" s="19"/>
      <c r="BDK44" s="19"/>
      <c r="BDL44" s="21"/>
      <c r="BDM44" s="19"/>
      <c r="BDV44" s="19"/>
      <c r="BDW44" s="19"/>
      <c r="BDX44" s="19"/>
      <c r="BDY44" s="19"/>
      <c r="BDZ44" s="21"/>
      <c r="BEA44" s="19"/>
      <c r="BEJ44" s="19"/>
      <c r="BEK44" s="19"/>
      <c r="BEL44" s="19"/>
      <c r="BEM44" s="19"/>
      <c r="BEN44" s="21"/>
      <c r="BEO44" s="19"/>
      <c r="BEX44" s="19"/>
      <c r="BEY44" s="19"/>
      <c r="BEZ44" s="19"/>
      <c r="BFA44" s="19"/>
      <c r="BFB44" s="21"/>
      <c r="BFC44" s="19"/>
      <c r="BFL44" s="19"/>
      <c r="BFM44" s="19"/>
      <c r="BFN44" s="19"/>
      <c r="BFO44" s="19"/>
      <c r="BFP44" s="21"/>
      <c r="BFQ44" s="19"/>
      <c r="BFZ44" s="19"/>
      <c r="BGA44" s="19"/>
      <c r="BGB44" s="19"/>
      <c r="BGC44" s="19"/>
      <c r="BGD44" s="21"/>
      <c r="BGE44" s="19"/>
      <c r="BGN44" s="19"/>
      <c r="BGO44" s="19"/>
      <c r="BGP44" s="19"/>
      <c r="BGQ44" s="19"/>
      <c r="BGR44" s="21"/>
      <c r="BGS44" s="19"/>
      <c r="BHB44" s="19"/>
      <c r="BHC44" s="19"/>
      <c r="BHD44" s="19"/>
      <c r="BHE44" s="19"/>
      <c r="BHF44" s="21"/>
      <c r="BHG44" s="19"/>
      <c r="BHP44" s="19"/>
      <c r="BHQ44" s="19"/>
      <c r="BHR44" s="19"/>
      <c r="BHS44" s="19"/>
      <c r="BHT44" s="21"/>
      <c r="BHU44" s="19"/>
      <c r="BID44" s="19"/>
      <c r="BIE44" s="19"/>
      <c r="BIF44" s="19"/>
      <c r="BIG44" s="19"/>
      <c r="BIH44" s="21"/>
      <c r="BII44" s="19"/>
      <c r="BIR44" s="19"/>
      <c r="BIS44" s="19"/>
      <c r="BIT44" s="19"/>
      <c r="BIU44" s="19"/>
      <c r="BIV44" s="21"/>
      <c r="BIW44" s="19"/>
      <c r="BJF44" s="19"/>
      <c r="BJG44" s="19"/>
      <c r="BJH44" s="19"/>
      <c r="BJI44" s="19"/>
      <c r="BJJ44" s="21"/>
      <c r="BJK44" s="19"/>
      <c r="BJT44" s="19"/>
      <c r="BJU44" s="19"/>
      <c r="BJV44" s="19"/>
      <c r="BJW44" s="19"/>
      <c r="BJX44" s="21"/>
      <c r="BJY44" s="19"/>
      <c r="BKH44" s="19"/>
      <c r="BKI44" s="19"/>
      <c r="BKJ44" s="19"/>
      <c r="BKK44" s="19"/>
      <c r="BKL44" s="21"/>
      <c r="BKM44" s="19"/>
      <c r="BKV44" s="19"/>
      <c r="BKW44" s="19"/>
      <c r="BKX44" s="19"/>
      <c r="BKY44" s="19"/>
      <c r="BKZ44" s="21"/>
      <c r="BLA44" s="19"/>
      <c r="BLJ44" s="19"/>
      <c r="BLK44" s="19"/>
      <c r="BLL44" s="19"/>
      <c r="BLM44" s="19"/>
      <c r="BLN44" s="21"/>
      <c r="BLO44" s="19"/>
      <c r="BLX44" s="19"/>
      <c r="BLY44" s="19"/>
      <c r="BLZ44" s="19"/>
      <c r="BMA44" s="19"/>
      <c r="BMB44" s="21"/>
      <c r="BMC44" s="19"/>
      <c r="BML44" s="19"/>
      <c r="BMM44" s="19"/>
      <c r="BMN44" s="19"/>
      <c r="BMO44" s="19"/>
      <c r="BMP44" s="21"/>
      <c r="BMQ44" s="19"/>
      <c r="BMZ44" s="19"/>
      <c r="BNA44" s="19"/>
      <c r="BNB44" s="19"/>
      <c r="BNC44" s="19"/>
      <c r="BND44" s="21"/>
      <c r="BNE44" s="19"/>
      <c r="BNN44" s="19"/>
      <c r="BNO44" s="19"/>
      <c r="BNP44" s="19"/>
      <c r="BNQ44" s="19"/>
      <c r="BNR44" s="21"/>
      <c r="BNS44" s="19"/>
      <c r="BOB44" s="19"/>
      <c r="BOC44" s="19"/>
      <c r="BOD44" s="19"/>
      <c r="BOE44" s="19"/>
      <c r="BOF44" s="21"/>
      <c r="BOG44" s="19"/>
      <c r="BOP44" s="19"/>
      <c r="BOQ44" s="19"/>
      <c r="BOR44" s="19"/>
      <c r="BOS44" s="19"/>
      <c r="BOT44" s="21"/>
      <c r="BOU44" s="19"/>
      <c r="BPD44" s="19"/>
      <c r="BPE44" s="19"/>
      <c r="BPF44" s="19"/>
      <c r="BPG44" s="19"/>
      <c r="BPH44" s="21"/>
      <c r="BPI44" s="19"/>
      <c r="BPR44" s="19"/>
      <c r="BPS44" s="19"/>
      <c r="BPT44" s="19"/>
      <c r="BPU44" s="19"/>
      <c r="BPV44" s="21"/>
      <c r="BPW44" s="19"/>
      <c r="BQF44" s="19"/>
      <c r="BQG44" s="19"/>
      <c r="BQH44" s="19"/>
      <c r="BQI44" s="19"/>
      <c r="BQJ44" s="21"/>
      <c r="BQK44" s="19"/>
      <c r="BQT44" s="19"/>
      <c r="BQU44" s="19"/>
      <c r="BQV44" s="19"/>
      <c r="BQW44" s="19"/>
      <c r="BQX44" s="21"/>
      <c r="BQY44" s="19"/>
      <c r="BRH44" s="19"/>
      <c r="BRI44" s="19"/>
      <c r="BRJ44" s="19"/>
      <c r="BRK44" s="19"/>
      <c r="BRL44" s="21"/>
      <c r="BRM44" s="19"/>
      <c r="BRV44" s="19"/>
      <c r="BRW44" s="19"/>
      <c r="BRX44" s="19"/>
      <c r="BRY44" s="19"/>
      <c r="BRZ44" s="21"/>
      <c r="BSA44" s="19"/>
      <c r="BSJ44" s="19"/>
      <c r="BSK44" s="19"/>
      <c r="BSL44" s="19"/>
      <c r="BSM44" s="19"/>
      <c r="BSN44" s="21"/>
      <c r="BSO44" s="19"/>
      <c r="BSX44" s="19"/>
      <c r="BSY44" s="19"/>
      <c r="BSZ44" s="19"/>
      <c r="BTA44" s="19"/>
      <c r="BTB44" s="21"/>
      <c r="BTC44" s="19"/>
      <c r="BTL44" s="19"/>
      <c r="BTM44" s="19"/>
      <c r="BTN44" s="19"/>
      <c r="BTO44" s="19"/>
      <c r="BTP44" s="21"/>
      <c r="BTQ44" s="19"/>
      <c r="BTZ44" s="19"/>
      <c r="BUA44" s="19"/>
      <c r="BUB44" s="19"/>
      <c r="BUC44" s="19"/>
      <c r="BUD44" s="21"/>
      <c r="BUE44" s="19"/>
      <c r="BUN44" s="19"/>
      <c r="BUO44" s="19"/>
      <c r="BUP44" s="19"/>
      <c r="BUQ44" s="19"/>
      <c r="BUR44" s="21"/>
      <c r="BUS44" s="19"/>
      <c r="BVB44" s="19"/>
      <c r="BVC44" s="19"/>
      <c r="BVD44" s="19"/>
      <c r="BVE44" s="19"/>
      <c r="BVF44" s="21"/>
      <c r="BVG44" s="19"/>
      <c r="BVP44" s="19"/>
      <c r="BVQ44" s="19"/>
      <c r="BVR44" s="19"/>
      <c r="BVS44" s="19"/>
      <c r="BVT44" s="21"/>
      <c r="BVU44" s="19"/>
      <c r="BWD44" s="19"/>
      <c r="BWE44" s="19"/>
      <c r="BWF44" s="19"/>
      <c r="BWG44" s="19"/>
      <c r="BWH44" s="21"/>
      <c r="BWI44" s="19"/>
      <c r="BWR44" s="19"/>
      <c r="BWS44" s="19"/>
      <c r="BWT44" s="19"/>
      <c r="BWU44" s="19"/>
      <c r="BWV44" s="21"/>
      <c r="BWW44" s="19"/>
      <c r="BXF44" s="19"/>
      <c r="BXG44" s="19"/>
      <c r="BXH44" s="19"/>
      <c r="BXI44" s="19"/>
      <c r="BXJ44" s="21"/>
      <c r="BXK44" s="19"/>
      <c r="BXT44" s="19"/>
      <c r="BXU44" s="19"/>
      <c r="BXV44" s="19"/>
      <c r="BXW44" s="19"/>
      <c r="BXX44" s="21"/>
      <c r="BXY44" s="19"/>
      <c r="BYH44" s="19"/>
      <c r="BYI44" s="19"/>
      <c r="BYJ44" s="19"/>
      <c r="BYK44" s="19"/>
      <c r="BYL44" s="21"/>
      <c r="BYM44" s="19"/>
      <c r="BYV44" s="19"/>
      <c r="BYW44" s="19"/>
      <c r="BYX44" s="19"/>
      <c r="BYY44" s="19"/>
      <c r="BYZ44" s="21"/>
      <c r="BZA44" s="19"/>
      <c r="BZJ44" s="19"/>
      <c r="BZK44" s="19"/>
      <c r="BZL44" s="19"/>
      <c r="BZM44" s="19"/>
      <c r="BZN44" s="21"/>
      <c r="BZO44" s="19"/>
      <c r="BZX44" s="19"/>
      <c r="BZY44" s="19"/>
      <c r="BZZ44" s="19"/>
      <c r="CAA44" s="19"/>
      <c r="CAB44" s="21"/>
      <c r="CAC44" s="19"/>
      <c r="CAL44" s="19"/>
      <c r="CAM44" s="19"/>
      <c r="CAN44" s="19"/>
      <c r="CAO44" s="19"/>
      <c r="CAP44" s="21"/>
      <c r="CAQ44" s="19"/>
      <c r="CAZ44" s="19"/>
      <c r="CBA44" s="19"/>
      <c r="CBB44" s="19"/>
      <c r="CBC44" s="19"/>
      <c r="CBD44" s="21"/>
      <c r="CBE44" s="19"/>
      <c r="CBN44" s="19"/>
      <c r="CBO44" s="19"/>
      <c r="CBP44" s="19"/>
      <c r="CBQ44" s="19"/>
      <c r="CBR44" s="21"/>
      <c r="CBS44" s="19"/>
      <c r="CCB44" s="19"/>
      <c r="CCC44" s="19"/>
      <c r="CCD44" s="19"/>
      <c r="CCE44" s="19"/>
      <c r="CCF44" s="21"/>
      <c r="CCG44" s="19"/>
      <c r="CCP44" s="19"/>
      <c r="CCQ44" s="19"/>
      <c r="CCR44" s="19"/>
      <c r="CCS44" s="19"/>
      <c r="CCT44" s="21"/>
      <c r="CCU44" s="19"/>
      <c r="CDD44" s="19"/>
      <c r="CDE44" s="19"/>
      <c r="CDF44" s="19"/>
      <c r="CDG44" s="19"/>
      <c r="CDH44" s="21"/>
      <c r="CDI44" s="19"/>
      <c r="CDR44" s="19"/>
      <c r="CDS44" s="19"/>
      <c r="CDT44" s="19"/>
      <c r="CDU44" s="19"/>
      <c r="CDV44" s="21"/>
      <c r="CDW44" s="19"/>
      <c r="CEF44" s="19"/>
      <c r="CEG44" s="19"/>
      <c r="CEH44" s="19"/>
      <c r="CEI44" s="19"/>
      <c r="CEJ44" s="21"/>
      <c r="CEK44" s="19"/>
      <c r="CET44" s="19"/>
      <c r="CEU44" s="19"/>
      <c r="CEV44" s="19"/>
      <c r="CEW44" s="19"/>
      <c r="CEX44" s="21"/>
      <c r="CEY44" s="19"/>
      <c r="CFH44" s="19"/>
      <c r="CFI44" s="19"/>
      <c r="CFJ44" s="19"/>
      <c r="CFK44" s="19"/>
      <c r="CFL44" s="21"/>
      <c r="CFM44" s="19"/>
      <c r="CFV44" s="19"/>
      <c r="CFW44" s="19"/>
      <c r="CFX44" s="19"/>
      <c r="CFY44" s="19"/>
      <c r="CFZ44" s="21"/>
      <c r="CGA44" s="19"/>
      <c r="CGJ44" s="19"/>
      <c r="CGK44" s="19"/>
      <c r="CGL44" s="19"/>
      <c r="CGM44" s="19"/>
      <c r="CGN44" s="21"/>
      <c r="CGO44" s="19"/>
      <c r="CGX44" s="19"/>
      <c r="CGY44" s="19"/>
      <c r="CGZ44" s="19"/>
      <c r="CHA44" s="19"/>
      <c r="CHB44" s="21"/>
      <c r="CHC44" s="19"/>
      <c r="CHL44" s="19"/>
      <c r="CHM44" s="19"/>
      <c r="CHN44" s="19"/>
      <c r="CHO44" s="19"/>
      <c r="CHP44" s="21"/>
      <c r="CHQ44" s="19"/>
      <c r="CHZ44" s="19"/>
      <c r="CIA44" s="19"/>
      <c r="CIB44" s="19"/>
      <c r="CIC44" s="19"/>
      <c r="CID44" s="21"/>
      <c r="CIE44" s="19"/>
      <c r="CIN44" s="19"/>
      <c r="CIO44" s="19"/>
      <c r="CIP44" s="19"/>
      <c r="CIQ44" s="19"/>
      <c r="CIR44" s="21"/>
      <c r="CIS44" s="19"/>
      <c r="CJB44" s="19"/>
      <c r="CJC44" s="19"/>
      <c r="CJD44" s="19"/>
      <c r="CJE44" s="19"/>
      <c r="CJF44" s="21"/>
      <c r="CJG44" s="19"/>
      <c r="CJP44" s="19"/>
      <c r="CJQ44" s="19"/>
      <c r="CJR44" s="19"/>
      <c r="CJS44" s="19"/>
      <c r="CJT44" s="21"/>
      <c r="CJU44" s="19"/>
      <c r="CKD44" s="19"/>
      <c r="CKE44" s="19"/>
      <c r="CKF44" s="19"/>
      <c r="CKG44" s="19"/>
      <c r="CKH44" s="21"/>
      <c r="CKI44" s="19"/>
      <c r="CKR44" s="19"/>
      <c r="CKS44" s="19"/>
      <c r="CKT44" s="19"/>
      <c r="CKU44" s="19"/>
      <c r="CKV44" s="21"/>
      <c r="CKW44" s="19"/>
      <c r="CLF44" s="19"/>
      <c r="CLG44" s="19"/>
      <c r="CLH44" s="19"/>
      <c r="CLI44" s="19"/>
      <c r="CLJ44" s="21"/>
      <c r="CLK44" s="19"/>
      <c r="CLT44" s="19"/>
      <c r="CLU44" s="19"/>
      <c r="CLV44" s="19"/>
      <c r="CLW44" s="19"/>
      <c r="CLX44" s="21"/>
      <c r="CLY44" s="19"/>
      <c r="CMH44" s="19"/>
      <c r="CMI44" s="19"/>
      <c r="CMJ44" s="19"/>
      <c r="CMK44" s="19"/>
      <c r="CML44" s="21"/>
      <c r="CMM44" s="19"/>
      <c r="CMV44" s="19"/>
      <c r="CMW44" s="19"/>
      <c r="CMX44" s="19"/>
      <c r="CMY44" s="19"/>
      <c r="CMZ44" s="21"/>
      <c r="CNA44" s="19"/>
      <c r="CNJ44" s="19"/>
      <c r="CNK44" s="19"/>
      <c r="CNL44" s="19"/>
      <c r="CNM44" s="19"/>
      <c r="CNN44" s="21"/>
      <c r="CNO44" s="19"/>
      <c r="CNX44" s="19"/>
      <c r="CNY44" s="19"/>
      <c r="CNZ44" s="19"/>
      <c r="COA44" s="19"/>
      <c r="COB44" s="21"/>
      <c r="COC44" s="19"/>
      <c r="COL44" s="19"/>
      <c r="COM44" s="19"/>
      <c r="CON44" s="19"/>
      <c r="COO44" s="19"/>
      <c r="COP44" s="21"/>
      <c r="COQ44" s="19"/>
      <c r="COZ44" s="19"/>
      <c r="CPA44" s="19"/>
      <c r="CPB44" s="19"/>
      <c r="CPC44" s="19"/>
      <c r="CPD44" s="21"/>
      <c r="CPE44" s="19"/>
      <c r="CPN44" s="19"/>
      <c r="CPO44" s="19"/>
      <c r="CPP44" s="19"/>
      <c r="CPQ44" s="19"/>
      <c r="CPR44" s="21"/>
      <c r="CPS44" s="19"/>
      <c r="CQB44" s="19"/>
      <c r="CQC44" s="19"/>
      <c r="CQD44" s="19"/>
      <c r="CQE44" s="19"/>
      <c r="CQF44" s="21"/>
      <c r="CQG44" s="19"/>
      <c r="CQP44" s="19"/>
      <c r="CQQ44" s="19"/>
      <c r="CQR44" s="19"/>
      <c r="CQS44" s="19"/>
      <c r="CQT44" s="21"/>
      <c r="CQU44" s="19"/>
      <c r="CRD44" s="19"/>
      <c r="CRE44" s="19"/>
      <c r="CRF44" s="19"/>
      <c r="CRG44" s="19"/>
      <c r="CRH44" s="21"/>
      <c r="CRI44" s="19"/>
      <c r="CRR44" s="19"/>
      <c r="CRS44" s="19"/>
      <c r="CRT44" s="19"/>
      <c r="CRU44" s="19"/>
      <c r="CRV44" s="21"/>
      <c r="CRW44" s="19"/>
      <c r="CSF44" s="19"/>
      <c r="CSG44" s="19"/>
      <c r="CSH44" s="19"/>
      <c r="CSI44" s="19"/>
      <c r="CSJ44" s="21"/>
      <c r="CSK44" s="19"/>
      <c r="CST44" s="19"/>
      <c r="CSU44" s="19"/>
      <c r="CSV44" s="19"/>
      <c r="CSW44" s="19"/>
      <c r="CSX44" s="21"/>
      <c r="CSY44" s="19"/>
      <c r="CTH44" s="19"/>
      <c r="CTI44" s="19"/>
      <c r="CTJ44" s="19"/>
      <c r="CTK44" s="19"/>
      <c r="CTL44" s="21"/>
      <c r="CTM44" s="19"/>
      <c r="CTV44" s="19"/>
      <c r="CTW44" s="19"/>
      <c r="CTX44" s="19"/>
      <c r="CTY44" s="19"/>
      <c r="CTZ44" s="21"/>
      <c r="CUA44" s="19"/>
      <c r="CUJ44" s="19"/>
      <c r="CUK44" s="19"/>
      <c r="CUL44" s="19"/>
      <c r="CUM44" s="19"/>
      <c r="CUN44" s="21"/>
      <c r="CUO44" s="19"/>
      <c r="CUX44" s="19"/>
      <c r="CUY44" s="19"/>
      <c r="CUZ44" s="19"/>
      <c r="CVA44" s="19"/>
      <c r="CVB44" s="21"/>
      <c r="CVC44" s="19"/>
      <c r="CVL44" s="19"/>
      <c r="CVM44" s="19"/>
      <c r="CVN44" s="19"/>
      <c r="CVO44" s="19"/>
      <c r="CVP44" s="21"/>
      <c r="CVQ44" s="19"/>
      <c r="CVZ44" s="19"/>
      <c r="CWA44" s="19"/>
      <c r="CWB44" s="19"/>
      <c r="CWC44" s="19"/>
      <c r="CWD44" s="21"/>
      <c r="CWE44" s="19"/>
      <c r="CWN44" s="19"/>
      <c r="CWO44" s="19"/>
      <c r="CWP44" s="19"/>
      <c r="CWQ44" s="19"/>
      <c r="CWR44" s="21"/>
      <c r="CWS44" s="19"/>
      <c r="CXB44" s="19"/>
      <c r="CXC44" s="19"/>
      <c r="CXD44" s="19"/>
      <c r="CXE44" s="19"/>
      <c r="CXF44" s="21"/>
      <c r="CXG44" s="19"/>
      <c r="CXP44" s="19"/>
      <c r="CXQ44" s="19"/>
      <c r="CXR44" s="19"/>
      <c r="CXS44" s="19"/>
      <c r="CXT44" s="21"/>
      <c r="CXU44" s="19"/>
      <c r="CYD44" s="19"/>
      <c r="CYE44" s="19"/>
      <c r="CYF44" s="19"/>
      <c r="CYG44" s="19"/>
      <c r="CYH44" s="21"/>
      <c r="CYI44" s="19"/>
      <c r="CYR44" s="19"/>
      <c r="CYS44" s="19"/>
      <c r="CYT44" s="19"/>
      <c r="CYU44" s="19"/>
      <c r="CYV44" s="21"/>
      <c r="CYW44" s="19"/>
      <c r="CZF44" s="19"/>
      <c r="CZG44" s="19"/>
      <c r="CZH44" s="19"/>
      <c r="CZI44" s="19"/>
      <c r="CZJ44" s="21"/>
      <c r="CZK44" s="19"/>
      <c r="CZT44" s="19"/>
      <c r="CZU44" s="19"/>
      <c r="CZV44" s="19"/>
      <c r="CZW44" s="19"/>
      <c r="CZX44" s="21"/>
      <c r="CZY44" s="19"/>
      <c r="DAH44" s="19"/>
      <c r="DAI44" s="19"/>
      <c r="DAJ44" s="19"/>
      <c r="DAK44" s="19"/>
      <c r="DAL44" s="21"/>
      <c r="DAM44" s="19"/>
      <c r="DAV44" s="19"/>
      <c r="DAW44" s="19"/>
      <c r="DAX44" s="19"/>
      <c r="DAY44" s="19"/>
      <c r="DAZ44" s="21"/>
      <c r="DBA44" s="19"/>
      <c r="DBJ44" s="19"/>
      <c r="DBK44" s="19"/>
      <c r="DBL44" s="19"/>
      <c r="DBM44" s="19"/>
      <c r="DBN44" s="21"/>
      <c r="DBO44" s="19"/>
      <c r="DBX44" s="19"/>
      <c r="DBY44" s="19"/>
      <c r="DBZ44" s="19"/>
      <c r="DCA44" s="19"/>
      <c r="DCB44" s="21"/>
      <c r="DCC44" s="19"/>
      <c r="DCL44" s="19"/>
      <c r="DCM44" s="19"/>
      <c r="DCN44" s="19"/>
      <c r="DCO44" s="19"/>
      <c r="DCP44" s="21"/>
      <c r="DCQ44" s="19"/>
      <c r="DCZ44" s="19"/>
      <c r="DDA44" s="19"/>
      <c r="DDB44" s="19"/>
      <c r="DDC44" s="19"/>
      <c r="DDD44" s="21"/>
      <c r="DDE44" s="19"/>
      <c r="DDN44" s="19"/>
      <c r="DDO44" s="19"/>
      <c r="DDP44" s="19"/>
      <c r="DDQ44" s="19"/>
      <c r="DDR44" s="21"/>
      <c r="DDS44" s="19"/>
      <c r="DEB44" s="19"/>
      <c r="DEC44" s="19"/>
      <c r="DED44" s="19"/>
      <c r="DEE44" s="19"/>
      <c r="DEF44" s="21"/>
      <c r="DEG44" s="19"/>
      <c r="DEP44" s="19"/>
      <c r="DEQ44" s="19"/>
      <c r="DER44" s="19"/>
      <c r="DES44" s="19"/>
      <c r="DET44" s="21"/>
      <c r="DEU44" s="19"/>
      <c r="DFD44" s="19"/>
      <c r="DFE44" s="19"/>
      <c r="DFF44" s="19"/>
      <c r="DFG44" s="19"/>
      <c r="DFH44" s="21"/>
      <c r="DFI44" s="19"/>
      <c r="DFR44" s="19"/>
      <c r="DFS44" s="19"/>
      <c r="DFT44" s="19"/>
      <c r="DFU44" s="19"/>
      <c r="DFV44" s="21"/>
      <c r="DFW44" s="19"/>
      <c r="DGF44" s="19"/>
      <c r="DGG44" s="19"/>
      <c r="DGH44" s="19"/>
      <c r="DGI44" s="19"/>
      <c r="DGJ44" s="21"/>
      <c r="DGK44" s="19"/>
      <c r="DGT44" s="19"/>
      <c r="DGU44" s="19"/>
      <c r="DGV44" s="19"/>
      <c r="DGW44" s="19"/>
      <c r="DGX44" s="21"/>
      <c r="DGY44" s="19"/>
      <c r="DHH44" s="19"/>
      <c r="DHI44" s="19"/>
      <c r="DHJ44" s="19"/>
      <c r="DHK44" s="19"/>
      <c r="DHL44" s="21"/>
      <c r="DHM44" s="19"/>
      <c r="DHV44" s="19"/>
      <c r="DHW44" s="19"/>
      <c r="DHX44" s="19"/>
      <c r="DHY44" s="19"/>
      <c r="DHZ44" s="21"/>
      <c r="DIA44" s="19"/>
      <c r="DIJ44" s="19"/>
      <c r="DIK44" s="19"/>
      <c r="DIL44" s="19"/>
      <c r="DIM44" s="19"/>
      <c r="DIN44" s="21"/>
      <c r="DIO44" s="19"/>
      <c r="DIX44" s="19"/>
      <c r="DIY44" s="19"/>
      <c r="DIZ44" s="19"/>
      <c r="DJA44" s="19"/>
      <c r="DJB44" s="21"/>
      <c r="DJC44" s="19"/>
      <c r="DJL44" s="19"/>
      <c r="DJM44" s="19"/>
      <c r="DJN44" s="19"/>
      <c r="DJO44" s="19"/>
      <c r="DJP44" s="21"/>
      <c r="DJQ44" s="19"/>
      <c r="DJZ44" s="19"/>
      <c r="DKA44" s="19"/>
      <c r="DKB44" s="19"/>
      <c r="DKC44" s="19"/>
      <c r="DKD44" s="21"/>
      <c r="DKE44" s="19"/>
      <c r="DKN44" s="19"/>
      <c r="DKO44" s="19"/>
      <c r="DKP44" s="19"/>
      <c r="DKQ44" s="19"/>
      <c r="DKR44" s="21"/>
      <c r="DKS44" s="19"/>
      <c r="DLB44" s="19"/>
      <c r="DLC44" s="19"/>
      <c r="DLD44" s="19"/>
      <c r="DLE44" s="19"/>
      <c r="DLF44" s="21"/>
      <c r="DLG44" s="19"/>
      <c r="DLP44" s="19"/>
      <c r="DLQ44" s="19"/>
      <c r="DLR44" s="19"/>
      <c r="DLS44" s="19"/>
      <c r="DLT44" s="21"/>
      <c r="DLU44" s="19"/>
      <c r="DMD44" s="19"/>
      <c r="DME44" s="19"/>
      <c r="DMF44" s="19"/>
      <c r="DMG44" s="19"/>
      <c r="DMH44" s="21"/>
      <c r="DMI44" s="19"/>
      <c r="DMR44" s="19"/>
      <c r="DMS44" s="19"/>
      <c r="DMT44" s="19"/>
      <c r="DMU44" s="19"/>
      <c r="DMV44" s="21"/>
      <c r="DMW44" s="19"/>
      <c r="DNF44" s="19"/>
      <c r="DNG44" s="19"/>
      <c r="DNH44" s="19"/>
      <c r="DNI44" s="19"/>
      <c r="DNJ44" s="21"/>
      <c r="DNK44" s="19"/>
      <c r="DNT44" s="19"/>
      <c r="DNU44" s="19"/>
      <c r="DNV44" s="19"/>
      <c r="DNW44" s="19"/>
      <c r="DNX44" s="21"/>
      <c r="DNY44" s="19"/>
      <c r="DOH44" s="19"/>
      <c r="DOI44" s="19"/>
      <c r="DOJ44" s="19"/>
      <c r="DOK44" s="19"/>
      <c r="DOL44" s="21"/>
      <c r="DOM44" s="19"/>
      <c r="DOV44" s="19"/>
      <c r="DOW44" s="19"/>
      <c r="DOX44" s="19"/>
      <c r="DOY44" s="19"/>
      <c r="DOZ44" s="21"/>
      <c r="DPA44" s="19"/>
      <c r="DPJ44" s="19"/>
      <c r="DPK44" s="19"/>
      <c r="DPL44" s="19"/>
      <c r="DPM44" s="19"/>
      <c r="DPN44" s="21"/>
      <c r="DPO44" s="19"/>
      <c r="DPX44" s="19"/>
      <c r="DPY44" s="19"/>
      <c r="DPZ44" s="19"/>
      <c r="DQA44" s="19"/>
      <c r="DQB44" s="21"/>
      <c r="DQC44" s="19"/>
      <c r="DQL44" s="19"/>
      <c r="DQM44" s="19"/>
      <c r="DQN44" s="19"/>
      <c r="DQO44" s="19"/>
      <c r="DQP44" s="21"/>
      <c r="DQQ44" s="19"/>
      <c r="DQZ44" s="19"/>
      <c r="DRA44" s="19"/>
      <c r="DRB44" s="19"/>
      <c r="DRC44" s="19"/>
      <c r="DRD44" s="21"/>
      <c r="DRE44" s="19"/>
      <c r="DRN44" s="19"/>
      <c r="DRO44" s="19"/>
      <c r="DRP44" s="19"/>
      <c r="DRQ44" s="19"/>
      <c r="DRR44" s="21"/>
      <c r="DRS44" s="19"/>
      <c r="DSB44" s="19"/>
      <c r="DSC44" s="19"/>
      <c r="DSD44" s="19"/>
      <c r="DSE44" s="19"/>
      <c r="DSF44" s="21"/>
      <c r="DSG44" s="19"/>
      <c r="DSP44" s="19"/>
      <c r="DSQ44" s="19"/>
      <c r="DSR44" s="19"/>
      <c r="DSS44" s="19"/>
      <c r="DST44" s="21"/>
      <c r="DSU44" s="19"/>
      <c r="DTD44" s="19"/>
      <c r="DTE44" s="19"/>
      <c r="DTF44" s="19"/>
      <c r="DTG44" s="19"/>
      <c r="DTH44" s="21"/>
      <c r="DTI44" s="19"/>
      <c r="DTR44" s="19"/>
      <c r="DTS44" s="19"/>
      <c r="DTT44" s="19"/>
      <c r="DTU44" s="19"/>
      <c r="DTV44" s="21"/>
      <c r="DTW44" s="19"/>
      <c r="DUF44" s="19"/>
      <c r="DUG44" s="19"/>
      <c r="DUH44" s="19"/>
      <c r="DUI44" s="19"/>
      <c r="DUJ44" s="21"/>
      <c r="DUK44" s="19"/>
      <c r="DUT44" s="19"/>
      <c r="DUU44" s="19"/>
      <c r="DUV44" s="19"/>
      <c r="DUW44" s="19"/>
      <c r="DUX44" s="21"/>
      <c r="DUY44" s="19"/>
      <c r="DVH44" s="19"/>
      <c r="DVI44" s="19"/>
      <c r="DVJ44" s="19"/>
      <c r="DVK44" s="19"/>
      <c r="DVL44" s="21"/>
      <c r="DVM44" s="19"/>
      <c r="DVV44" s="19"/>
      <c r="DVW44" s="19"/>
      <c r="DVX44" s="19"/>
      <c r="DVY44" s="19"/>
      <c r="DVZ44" s="21"/>
      <c r="DWA44" s="19"/>
      <c r="DWJ44" s="19"/>
      <c r="DWK44" s="19"/>
      <c r="DWL44" s="19"/>
      <c r="DWM44" s="19"/>
      <c r="DWN44" s="21"/>
      <c r="DWO44" s="19"/>
      <c r="DWX44" s="19"/>
      <c r="DWY44" s="19"/>
      <c r="DWZ44" s="19"/>
      <c r="DXA44" s="19"/>
      <c r="DXB44" s="21"/>
      <c r="DXC44" s="19"/>
      <c r="DXL44" s="19"/>
      <c r="DXM44" s="19"/>
      <c r="DXN44" s="19"/>
      <c r="DXO44" s="19"/>
      <c r="DXP44" s="21"/>
      <c r="DXQ44" s="19"/>
      <c r="DXZ44" s="19"/>
      <c r="DYA44" s="19"/>
      <c r="DYB44" s="19"/>
      <c r="DYC44" s="19"/>
      <c r="DYD44" s="21"/>
      <c r="DYE44" s="19"/>
      <c r="DYN44" s="19"/>
      <c r="DYO44" s="19"/>
      <c r="DYP44" s="19"/>
      <c r="DYQ44" s="19"/>
      <c r="DYR44" s="21"/>
      <c r="DYS44" s="19"/>
      <c r="DZB44" s="19"/>
      <c r="DZC44" s="19"/>
      <c r="DZD44" s="19"/>
      <c r="DZE44" s="19"/>
      <c r="DZF44" s="21"/>
      <c r="DZG44" s="19"/>
      <c r="DZP44" s="19"/>
      <c r="DZQ44" s="19"/>
      <c r="DZR44" s="19"/>
      <c r="DZS44" s="19"/>
      <c r="DZT44" s="21"/>
      <c r="DZU44" s="19"/>
      <c r="EAD44" s="19"/>
      <c r="EAE44" s="19"/>
      <c r="EAF44" s="19"/>
      <c r="EAG44" s="19"/>
      <c r="EAH44" s="21"/>
      <c r="EAI44" s="19"/>
      <c r="EAR44" s="19"/>
      <c r="EAS44" s="19"/>
      <c r="EAT44" s="19"/>
      <c r="EAU44" s="19"/>
      <c r="EAV44" s="21"/>
      <c r="EAW44" s="19"/>
      <c r="EBF44" s="19"/>
      <c r="EBG44" s="19"/>
      <c r="EBH44" s="19"/>
      <c r="EBI44" s="19"/>
      <c r="EBJ44" s="21"/>
      <c r="EBK44" s="19"/>
      <c r="EBT44" s="19"/>
      <c r="EBU44" s="19"/>
      <c r="EBV44" s="19"/>
      <c r="EBW44" s="19"/>
      <c r="EBX44" s="21"/>
      <c r="EBY44" s="19"/>
      <c r="ECH44" s="19"/>
      <c r="ECI44" s="19"/>
      <c r="ECJ44" s="19"/>
      <c r="ECK44" s="19"/>
      <c r="ECL44" s="21"/>
      <c r="ECM44" s="19"/>
      <c r="ECV44" s="19"/>
      <c r="ECW44" s="19"/>
      <c r="ECX44" s="19"/>
      <c r="ECY44" s="19"/>
      <c r="ECZ44" s="21"/>
      <c r="EDA44" s="19"/>
      <c r="EDJ44" s="19"/>
      <c r="EDK44" s="19"/>
      <c r="EDL44" s="19"/>
      <c r="EDM44" s="19"/>
      <c r="EDN44" s="21"/>
      <c r="EDO44" s="19"/>
      <c r="EDX44" s="19"/>
      <c r="EDY44" s="19"/>
      <c r="EDZ44" s="19"/>
      <c r="EEA44" s="19"/>
      <c r="EEB44" s="21"/>
      <c r="EEC44" s="19"/>
      <c r="EEL44" s="19"/>
      <c r="EEM44" s="19"/>
      <c r="EEN44" s="19"/>
      <c r="EEO44" s="19"/>
      <c r="EEP44" s="21"/>
      <c r="EEQ44" s="19"/>
      <c r="EEZ44" s="19"/>
      <c r="EFA44" s="19"/>
      <c r="EFB44" s="19"/>
      <c r="EFC44" s="19"/>
      <c r="EFD44" s="21"/>
      <c r="EFE44" s="19"/>
      <c r="EFN44" s="19"/>
      <c r="EFO44" s="19"/>
      <c r="EFP44" s="19"/>
      <c r="EFQ44" s="19"/>
      <c r="EFR44" s="21"/>
      <c r="EFS44" s="19"/>
      <c r="EGB44" s="19"/>
      <c r="EGC44" s="19"/>
      <c r="EGD44" s="19"/>
      <c r="EGE44" s="19"/>
      <c r="EGF44" s="21"/>
      <c r="EGG44" s="19"/>
      <c r="EGP44" s="19"/>
      <c r="EGQ44" s="19"/>
      <c r="EGR44" s="19"/>
      <c r="EGS44" s="19"/>
      <c r="EGT44" s="21"/>
      <c r="EGU44" s="19"/>
      <c r="EHD44" s="19"/>
      <c r="EHE44" s="19"/>
      <c r="EHF44" s="19"/>
      <c r="EHG44" s="19"/>
      <c r="EHH44" s="21"/>
      <c r="EHI44" s="19"/>
      <c r="EHR44" s="19"/>
      <c r="EHS44" s="19"/>
      <c r="EHT44" s="19"/>
      <c r="EHU44" s="19"/>
      <c r="EHV44" s="21"/>
      <c r="EHW44" s="19"/>
      <c r="EIF44" s="19"/>
      <c r="EIG44" s="19"/>
      <c r="EIH44" s="19"/>
      <c r="EII44" s="19"/>
      <c r="EIJ44" s="21"/>
      <c r="EIK44" s="19"/>
      <c r="EIT44" s="19"/>
      <c r="EIU44" s="19"/>
      <c r="EIV44" s="19"/>
      <c r="EIW44" s="19"/>
      <c r="EIX44" s="21"/>
      <c r="EIY44" s="19"/>
      <c r="EJH44" s="19"/>
      <c r="EJI44" s="19"/>
      <c r="EJJ44" s="19"/>
      <c r="EJK44" s="19"/>
      <c r="EJL44" s="21"/>
      <c r="EJM44" s="19"/>
      <c r="EJV44" s="19"/>
      <c r="EJW44" s="19"/>
      <c r="EJX44" s="19"/>
      <c r="EJY44" s="19"/>
      <c r="EJZ44" s="21"/>
      <c r="EKA44" s="19"/>
      <c r="EKJ44" s="19"/>
      <c r="EKK44" s="19"/>
      <c r="EKL44" s="19"/>
      <c r="EKM44" s="19"/>
      <c r="EKN44" s="21"/>
      <c r="EKO44" s="19"/>
      <c r="EKX44" s="19"/>
      <c r="EKY44" s="19"/>
      <c r="EKZ44" s="19"/>
      <c r="ELA44" s="19"/>
      <c r="ELB44" s="21"/>
      <c r="ELC44" s="19"/>
      <c r="ELL44" s="19"/>
      <c r="ELM44" s="19"/>
      <c r="ELN44" s="19"/>
      <c r="ELO44" s="19"/>
      <c r="ELP44" s="21"/>
      <c r="ELQ44" s="19"/>
      <c r="ELZ44" s="19"/>
      <c r="EMA44" s="19"/>
      <c r="EMB44" s="19"/>
      <c r="EMC44" s="19"/>
      <c r="EMD44" s="21"/>
      <c r="EME44" s="19"/>
      <c r="EMN44" s="19"/>
      <c r="EMO44" s="19"/>
      <c r="EMP44" s="19"/>
      <c r="EMQ44" s="19"/>
      <c r="EMR44" s="21"/>
      <c r="EMS44" s="19"/>
      <c r="ENB44" s="19"/>
      <c r="ENC44" s="19"/>
      <c r="END44" s="19"/>
      <c r="ENE44" s="19"/>
      <c r="ENF44" s="21"/>
      <c r="ENG44" s="19"/>
      <c r="ENP44" s="19"/>
      <c r="ENQ44" s="19"/>
      <c r="ENR44" s="19"/>
      <c r="ENS44" s="19"/>
      <c r="ENT44" s="21"/>
      <c r="ENU44" s="19"/>
      <c r="EOD44" s="19"/>
      <c r="EOE44" s="19"/>
      <c r="EOF44" s="19"/>
      <c r="EOG44" s="19"/>
      <c r="EOH44" s="21"/>
      <c r="EOI44" s="19"/>
      <c r="EOR44" s="19"/>
      <c r="EOS44" s="19"/>
      <c r="EOT44" s="19"/>
      <c r="EOU44" s="19"/>
      <c r="EOV44" s="21"/>
      <c r="EOW44" s="19"/>
      <c r="EPF44" s="19"/>
      <c r="EPG44" s="19"/>
      <c r="EPH44" s="19"/>
      <c r="EPI44" s="19"/>
      <c r="EPJ44" s="21"/>
      <c r="EPK44" s="19"/>
      <c r="EPT44" s="19"/>
      <c r="EPU44" s="19"/>
      <c r="EPV44" s="19"/>
      <c r="EPW44" s="19"/>
      <c r="EPX44" s="21"/>
      <c r="EPY44" s="19"/>
      <c r="EQH44" s="19"/>
      <c r="EQI44" s="19"/>
      <c r="EQJ44" s="19"/>
      <c r="EQK44" s="19"/>
      <c r="EQL44" s="21"/>
      <c r="EQM44" s="19"/>
      <c r="EQV44" s="19"/>
      <c r="EQW44" s="19"/>
      <c r="EQX44" s="19"/>
      <c r="EQY44" s="19"/>
      <c r="EQZ44" s="21"/>
      <c r="ERA44" s="19"/>
      <c r="ERJ44" s="19"/>
      <c r="ERK44" s="19"/>
      <c r="ERL44" s="19"/>
      <c r="ERM44" s="19"/>
      <c r="ERN44" s="21"/>
      <c r="ERO44" s="19"/>
      <c r="ERX44" s="19"/>
      <c r="ERY44" s="19"/>
      <c r="ERZ44" s="19"/>
      <c r="ESA44" s="19"/>
      <c r="ESB44" s="21"/>
      <c r="ESC44" s="19"/>
      <c r="ESL44" s="19"/>
      <c r="ESM44" s="19"/>
      <c r="ESN44" s="19"/>
      <c r="ESO44" s="19"/>
      <c r="ESP44" s="21"/>
      <c r="ESQ44" s="19"/>
      <c r="ESZ44" s="19"/>
      <c r="ETA44" s="19"/>
      <c r="ETB44" s="19"/>
      <c r="ETC44" s="19"/>
      <c r="ETD44" s="21"/>
      <c r="ETE44" s="19"/>
      <c r="ETN44" s="19"/>
      <c r="ETO44" s="19"/>
      <c r="ETP44" s="19"/>
      <c r="ETQ44" s="19"/>
      <c r="ETR44" s="21"/>
      <c r="ETS44" s="19"/>
      <c r="EUB44" s="19"/>
      <c r="EUC44" s="19"/>
      <c r="EUD44" s="19"/>
      <c r="EUE44" s="19"/>
      <c r="EUF44" s="21"/>
      <c r="EUG44" s="19"/>
      <c r="EUP44" s="19"/>
      <c r="EUQ44" s="19"/>
      <c r="EUR44" s="19"/>
      <c r="EUS44" s="19"/>
      <c r="EUT44" s="21"/>
      <c r="EUU44" s="19"/>
      <c r="EVD44" s="19"/>
      <c r="EVE44" s="19"/>
      <c r="EVF44" s="19"/>
      <c r="EVG44" s="19"/>
      <c r="EVH44" s="21"/>
      <c r="EVI44" s="19"/>
      <c r="EVR44" s="19"/>
      <c r="EVS44" s="19"/>
      <c r="EVT44" s="19"/>
      <c r="EVU44" s="19"/>
      <c r="EVV44" s="21"/>
      <c r="EVW44" s="19"/>
      <c r="EWF44" s="19"/>
      <c r="EWG44" s="19"/>
      <c r="EWH44" s="19"/>
      <c r="EWI44" s="19"/>
      <c r="EWJ44" s="21"/>
      <c r="EWK44" s="19"/>
      <c r="EWT44" s="19"/>
      <c r="EWU44" s="19"/>
      <c r="EWV44" s="19"/>
      <c r="EWW44" s="19"/>
      <c r="EWX44" s="21"/>
      <c r="EWY44" s="19"/>
      <c r="EXH44" s="19"/>
      <c r="EXI44" s="19"/>
      <c r="EXJ44" s="19"/>
      <c r="EXK44" s="19"/>
      <c r="EXL44" s="21"/>
      <c r="EXM44" s="19"/>
      <c r="EXV44" s="19"/>
      <c r="EXW44" s="19"/>
      <c r="EXX44" s="19"/>
      <c r="EXY44" s="19"/>
      <c r="EXZ44" s="21"/>
      <c r="EYA44" s="19"/>
      <c r="EYJ44" s="19"/>
      <c r="EYK44" s="19"/>
      <c r="EYL44" s="19"/>
      <c r="EYM44" s="19"/>
      <c r="EYN44" s="21"/>
      <c r="EYO44" s="19"/>
      <c r="EYX44" s="19"/>
      <c r="EYY44" s="19"/>
      <c r="EYZ44" s="19"/>
      <c r="EZA44" s="19"/>
      <c r="EZB44" s="21"/>
      <c r="EZC44" s="19"/>
      <c r="EZL44" s="19"/>
      <c r="EZM44" s="19"/>
      <c r="EZN44" s="19"/>
      <c r="EZO44" s="19"/>
      <c r="EZP44" s="21"/>
      <c r="EZQ44" s="19"/>
      <c r="EZZ44" s="19"/>
      <c r="FAA44" s="19"/>
      <c r="FAB44" s="19"/>
      <c r="FAC44" s="19"/>
      <c r="FAD44" s="21"/>
      <c r="FAE44" s="19"/>
      <c r="FAN44" s="19"/>
      <c r="FAO44" s="19"/>
      <c r="FAP44" s="19"/>
      <c r="FAQ44" s="19"/>
      <c r="FAR44" s="21"/>
      <c r="FAS44" s="19"/>
      <c r="FBB44" s="19"/>
      <c r="FBC44" s="19"/>
      <c r="FBD44" s="19"/>
      <c r="FBE44" s="19"/>
      <c r="FBF44" s="21"/>
      <c r="FBG44" s="19"/>
      <c r="FBP44" s="19"/>
      <c r="FBQ44" s="19"/>
      <c r="FBR44" s="19"/>
      <c r="FBS44" s="19"/>
      <c r="FBT44" s="21"/>
      <c r="FBU44" s="19"/>
      <c r="FCD44" s="19"/>
      <c r="FCE44" s="19"/>
      <c r="FCF44" s="19"/>
      <c r="FCG44" s="19"/>
      <c r="FCH44" s="21"/>
      <c r="FCI44" s="19"/>
      <c r="FCR44" s="19"/>
      <c r="FCS44" s="19"/>
      <c r="FCT44" s="19"/>
      <c r="FCU44" s="19"/>
      <c r="FCV44" s="21"/>
      <c r="FCW44" s="19"/>
      <c r="FDF44" s="19"/>
      <c r="FDG44" s="19"/>
      <c r="FDH44" s="19"/>
      <c r="FDI44" s="19"/>
      <c r="FDJ44" s="21"/>
      <c r="FDK44" s="19"/>
      <c r="FDT44" s="19"/>
      <c r="FDU44" s="19"/>
      <c r="FDV44" s="19"/>
      <c r="FDW44" s="19"/>
      <c r="FDX44" s="21"/>
      <c r="FDY44" s="19"/>
      <c r="FEH44" s="19"/>
      <c r="FEI44" s="19"/>
      <c r="FEJ44" s="19"/>
      <c r="FEK44" s="19"/>
      <c r="FEL44" s="21"/>
      <c r="FEM44" s="19"/>
      <c r="FEV44" s="19"/>
      <c r="FEW44" s="19"/>
      <c r="FEX44" s="19"/>
      <c r="FEY44" s="19"/>
      <c r="FEZ44" s="21"/>
      <c r="FFA44" s="19"/>
      <c r="FFJ44" s="19"/>
      <c r="FFK44" s="19"/>
      <c r="FFL44" s="19"/>
      <c r="FFM44" s="19"/>
      <c r="FFN44" s="21"/>
      <c r="FFO44" s="19"/>
      <c r="FFX44" s="19"/>
      <c r="FFY44" s="19"/>
      <c r="FFZ44" s="19"/>
      <c r="FGA44" s="19"/>
      <c r="FGB44" s="21"/>
      <c r="FGC44" s="19"/>
      <c r="FGL44" s="19"/>
      <c r="FGM44" s="19"/>
      <c r="FGN44" s="19"/>
      <c r="FGO44" s="19"/>
      <c r="FGP44" s="21"/>
      <c r="FGQ44" s="19"/>
      <c r="FGZ44" s="19"/>
      <c r="FHA44" s="19"/>
      <c r="FHB44" s="19"/>
      <c r="FHC44" s="19"/>
      <c r="FHD44" s="21"/>
      <c r="FHE44" s="19"/>
      <c r="FHN44" s="19"/>
      <c r="FHO44" s="19"/>
      <c r="FHP44" s="19"/>
      <c r="FHQ44" s="19"/>
      <c r="FHR44" s="21"/>
      <c r="FHS44" s="19"/>
      <c r="FIB44" s="19"/>
      <c r="FIC44" s="19"/>
      <c r="FID44" s="19"/>
      <c r="FIE44" s="19"/>
      <c r="FIF44" s="21"/>
      <c r="FIG44" s="19"/>
      <c r="FIP44" s="19"/>
      <c r="FIQ44" s="19"/>
      <c r="FIR44" s="19"/>
      <c r="FIS44" s="19"/>
      <c r="FIT44" s="21"/>
      <c r="FIU44" s="19"/>
      <c r="FJD44" s="19"/>
      <c r="FJE44" s="19"/>
      <c r="FJF44" s="19"/>
      <c r="FJG44" s="19"/>
      <c r="FJH44" s="21"/>
      <c r="FJI44" s="19"/>
      <c r="FJR44" s="19"/>
      <c r="FJS44" s="19"/>
      <c r="FJT44" s="19"/>
      <c r="FJU44" s="19"/>
      <c r="FJV44" s="21"/>
      <c r="FJW44" s="19"/>
      <c r="FKF44" s="19"/>
      <c r="FKG44" s="19"/>
      <c r="FKH44" s="19"/>
      <c r="FKI44" s="19"/>
      <c r="FKJ44" s="21"/>
      <c r="FKK44" s="19"/>
      <c r="FKT44" s="19"/>
      <c r="FKU44" s="19"/>
      <c r="FKV44" s="19"/>
      <c r="FKW44" s="19"/>
      <c r="FKX44" s="21"/>
      <c r="FKY44" s="19"/>
      <c r="FLH44" s="19"/>
      <c r="FLI44" s="19"/>
      <c r="FLJ44" s="19"/>
      <c r="FLK44" s="19"/>
      <c r="FLL44" s="21"/>
      <c r="FLM44" s="19"/>
      <c r="FLV44" s="19"/>
      <c r="FLW44" s="19"/>
      <c r="FLX44" s="19"/>
      <c r="FLY44" s="19"/>
      <c r="FLZ44" s="21"/>
      <c r="FMA44" s="19"/>
      <c r="FMJ44" s="19"/>
      <c r="FMK44" s="19"/>
      <c r="FML44" s="19"/>
      <c r="FMM44" s="19"/>
      <c r="FMN44" s="21"/>
      <c r="FMO44" s="19"/>
      <c r="FMX44" s="19"/>
      <c r="FMY44" s="19"/>
      <c r="FMZ44" s="19"/>
      <c r="FNA44" s="19"/>
      <c r="FNB44" s="21"/>
      <c r="FNC44" s="19"/>
      <c r="FNL44" s="19"/>
      <c r="FNM44" s="19"/>
      <c r="FNN44" s="19"/>
      <c r="FNO44" s="19"/>
      <c r="FNP44" s="21"/>
      <c r="FNQ44" s="19"/>
      <c r="FNZ44" s="19"/>
      <c r="FOA44" s="19"/>
      <c r="FOB44" s="19"/>
      <c r="FOC44" s="19"/>
      <c r="FOD44" s="21"/>
      <c r="FOE44" s="19"/>
      <c r="FON44" s="19"/>
      <c r="FOO44" s="19"/>
      <c r="FOP44" s="19"/>
      <c r="FOQ44" s="19"/>
      <c r="FOR44" s="21"/>
      <c r="FOS44" s="19"/>
      <c r="FPB44" s="19"/>
      <c r="FPC44" s="19"/>
      <c r="FPD44" s="19"/>
      <c r="FPE44" s="19"/>
      <c r="FPF44" s="21"/>
      <c r="FPG44" s="19"/>
      <c r="FPP44" s="19"/>
      <c r="FPQ44" s="19"/>
      <c r="FPR44" s="19"/>
      <c r="FPS44" s="19"/>
      <c r="FPT44" s="21"/>
      <c r="FPU44" s="19"/>
      <c r="FQD44" s="19"/>
      <c r="FQE44" s="19"/>
      <c r="FQF44" s="19"/>
      <c r="FQG44" s="19"/>
      <c r="FQH44" s="21"/>
      <c r="FQI44" s="19"/>
      <c r="FQR44" s="19"/>
      <c r="FQS44" s="19"/>
      <c r="FQT44" s="19"/>
      <c r="FQU44" s="19"/>
      <c r="FQV44" s="21"/>
      <c r="FQW44" s="19"/>
      <c r="FRF44" s="19"/>
      <c r="FRG44" s="19"/>
      <c r="FRH44" s="19"/>
      <c r="FRI44" s="19"/>
      <c r="FRJ44" s="21"/>
      <c r="FRK44" s="19"/>
      <c r="FRT44" s="19"/>
      <c r="FRU44" s="19"/>
      <c r="FRV44" s="19"/>
      <c r="FRW44" s="19"/>
      <c r="FRX44" s="21"/>
      <c r="FRY44" s="19"/>
      <c r="FSH44" s="19"/>
      <c r="FSI44" s="19"/>
      <c r="FSJ44" s="19"/>
      <c r="FSK44" s="19"/>
      <c r="FSL44" s="21"/>
      <c r="FSM44" s="19"/>
      <c r="FSV44" s="19"/>
      <c r="FSW44" s="19"/>
      <c r="FSX44" s="19"/>
      <c r="FSY44" s="19"/>
      <c r="FSZ44" s="21"/>
      <c r="FTA44" s="19"/>
      <c r="FTJ44" s="19"/>
      <c r="FTK44" s="19"/>
      <c r="FTL44" s="19"/>
      <c r="FTM44" s="19"/>
      <c r="FTN44" s="21"/>
      <c r="FTO44" s="19"/>
      <c r="FTX44" s="19"/>
      <c r="FTY44" s="19"/>
      <c r="FTZ44" s="19"/>
      <c r="FUA44" s="19"/>
      <c r="FUB44" s="21"/>
      <c r="FUC44" s="19"/>
      <c r="FUL44" s="19"/>
      <c r="FUM44" s="19"/>
      <c r="FUN44" s="19"/>
      <c r="FUO44" s="19"/>
      <c r="FUP44" s="21"/>
      <c r="FUQ44" s="19"/>
      <c r="FUZ44" s="19"/>
      <c r="FVA44" s="19"/>
      <c r="FVB44" s="19"/>
      <c r="FVC44" s="19"/>
      <c r="FVD44" s="21"/>
      <c r="FVE44" s="19"/>
      <c r="FVN44" s="19"/>
      <c r="FVO44" s="19"/>
      <c r="FVP44" s="19"/>
      <c r="FVQ44" s="19"/>
      <c r="FVR44" s="21"/>
      <c r="FVS44" s="19"/>
      <c r="FWB44" s="19"/>
      <c r="FWC44" s="19"/>
      <c r="FWD44" s="19"/>
      <c r="FWE44" s="19"/>
      <c r="FWF44" s="21"/>
      <c r="FWG44" s="19"/>
      <c r="FWP44" s="19"/>
      <c r="FWQ44" s="19"/>
      <c r="FWR44" s="19"/>
      <c r="FWS44" s="19"/>
      <c r="FWT44" s="21"/>
      <c r="FWU44" s="19"/>
      <c r="FXD44" s="19"/>
      <c r="FXE44" s="19"/>
      <c r="FXF44" s="19"/>
      <c r="FXG44" s="19"/>
      <c r="FXH44" s="21"/>
      <c r="FXI44" s="19"/>
      <c r="FXR44" s="19"/>
      <c r="FXS44" s="19"/>
      <c r="FXT44" s="19"/>
      <c r="FXU44" s="19"/>
      <c r="FXV44" s="21"/>
      <c r="FXW44" s="19"/>
      <c r="FYF44" s="19"/>
      <c r="FYG44" s="19"/>
      <c r="FYH44" s="19"/>
      <c r="FYI44" s="19"/>
      <c r="FYJ44" s="21"/>
      <c r="FYK44" s="19"/>
      <c r="FYT44" s="19"/>
      <c r="FYU44" s="19"/>
      <c r="FYV44" s="19"/>
      <c r="FYW44" s="19"/>
      <c r="FYX44" s="21"/>
      <c r="FYY44" s="19"/>
      <c r="FZH44" s="19"/>
      <c r="FZI44" s="19"/>
      <c r="FZJ44" s="19"/>
      <c r="FZK44" s="19"/>
      <c r="FZL44" s="21"/>
      <c r="FZM44" s="19"/>
      <c r="FZV44" s="19"/>
      <c r="FZW44" s="19"/>
      <c r="FZX44" s="19"/>
      <c r="FZY44" s="19"/>
      <c r="FZZ44" s="21"/>
      <c r="GAA44" s="19"/>
      <c r="GAJ44" s="19"/>
      <c r="GAK44" s="19"/>
      <c r="GAL44" s="19"/>
      <c r="GAM44" s="19"/>
      <c r="GAN44" s="21"/>
      <c r="GAO44" s="19"/>
      <c r="GAX44" s="19"/>
      <c r="GAY44" s="19"/>
      <c r="GAZ44" s="19"/>
      <c r="GBA44" s="19"/>
      <c r="GBB44" s="21"/>
      <c r="GBC44" s="19"/>
      <c r="GBL44" s="19"/>
      <c r="GBM44" s="19"/>
      <c r="GBN44" s="19"/>
      <c r="GBO44" s="19"/>
      <c r="GBP44" s="21"/>
      <c r="GBQ44" s="19"/>
      <c r="GBZ44" s="19"/>
      <c r="GCA44" s="19"/>
      <c r="GCB44" s="19"/>
      <c r="GCC44" s="19"/>
      <c r="GCD44" s="21"/>
      <c r="GCE44" s="19"/>
      <c r="GCN44" s="19"/>
      <c r="GCO44" s="19"/>
      <c r="GCP44" s="19"/>
      <c r="GCQ44" s="19"/>
      <c r="GCR44" s="21"/>
      <c r="GCS44" s="19"/>
      <c r="GDB44" s="19"/>
      <c r="GDC44" s="19"/>
      <c r="GDD44" s="19"/>
      <c r="GDE44" s="19"/>
      <c r="GDF44" s="21"/>
      <c r="GDG44" s="19"/>
      <c r="GDP44" s="19"/>
      <c r="GDQ44" s="19"/>
      <c r="GDR44" s="19"/>
      <c r="GDS44" s="19"/>
      <c r="GDT44" s="21"/>
      <c r="GDU44" s="19"/>
      <c r="GED44" s="19"/>
      <c r="GEE44" s="19"/>
      <c r="GEF44" s="19"/>
      <c r="GEG44" s="19"/>
      <c r="GEH44" s="21"/>
      <c r="GEI44" s="19"/>
      <c r="GER44" s="19"/>
      <c r="GES44" s="19"/>
      <c r="GET44" s="19"/>
      <c r="GEU44" s="19"/>
      <c r="GEV44" s="21"/>
      <c r="GEW44" s="19"/>
      <c r="GFF44" s="19"/>
      <c r="GFG44" s="19"/>
      <c r="GFH44" s="19"/>
      <c r="GFI44" s="19"/>
      <c r="GFJ44" s="21"/>
      <c r="GFK44" s="19"/>
      <c r="GFT44" s="19"/>
      <c r="GFU44" s="19"/>
      <c r="GFV44" s="19"/>
      <c r="GFW44" s="19"/>
      <c r="GFX44" s="21"/>
      <c r="GFY44" s="19"/>
      <c r="GGH44" s="19"/>
      <c r="GGI44" s="19"/>
      <c r="GGJ44" s="19"/>
      <c r="GGK44" s="19"/>
      <c r="GGL44" s="21"/>
      <c r="GGM44" s="19"/>
      <c r="GGV44" s="19"/>
      <c r="GGW44" s="19"/>
      <c r="GGX44" s="19"/>
      <c r="GGY44" s="19"/>
      <c r="GGZ44" s="21"/>
      <c r="GHA44" s="19"/>
      <c r="GHJ44" s="19"/>
      <c r="GHK44" s="19"/>
      <c r="GHL44" s="19"/>
      <c r="GHM44" s="19"/>
      <c r="GHN44" s="21"/>
      <c r="GHO44" s="19"/>
      <c r="GHX44" s="19"/>
      <c r="GHY44" s="19"/>
      <c r="GHZ44" s="19"/>
      <c r="GIA44" s="19"/>
      <c r="GIB44" s="21"/>
      <c r="GIC44" s="19"/>
      <c r="GIL44" s="19"/>
      <c r="GIM44" s="19"/>
      <c r="GIN44" s="19"/>
      <c r="GIO44" s="19"/>
      <c r="GIP44" s="21"/>
      <c r="GIQ44" s="19"/>
      <c r="GIZ44" s="19"/>
      <c r="GJA44" s="19"/>
      <c r="GJB44" s="19"/>
      <c r="GJC44" s="19"/>
      <c r="GJD44" s="21"/>
      <c r="GJE44" s="19"/>
      <c r="GJN44" s="19"/>
      <c r="GJO44" s="19"/>
      <c r="GJP44" s="19"/>
      <c r="GJQ44" s="19"/>
      <c r="GJR44" s="21"/>
      <c r="GJS44" s="19"/>
      <c r="GKB44" s="19"/>
      <c r="GKC44" s="19"/>
      <c r="GKD44" s="19"/>
      <c r="GKE44" s="19"/>
      <c r="GKF44" s="21"/>
      <c r="GKG44" s="19"/>
      <c r="GKP44" s="19"/>
      <c r="GKQ44" s="19"/>
      <c r="GKR44" s="19"/>
      <c r="GKS44" s="19"/>
      <c r="GKT44" s="21"/>
      <c r="GKU44" s="19"/>
      <c r="GLD44" s="19"/>
      <c r="GLE44" s="19"/>
      <c r="GLF44" s="19"/>
      <c r="GLG44" s="19"/>
      <c r="GLH44" s="21"/>
      <c r="GLI44" s="19"/>
      <c r="GLR44" s="19"/>
      <c r="GLS44" s="19"/>
      <c r="GLT44" s="19"/>
      <c r="GLU44" s="19"/>
      <c r="GLV44" s="21"/>
      <c r="GLW44" s="19"/>
      <c r="GMF44" s="19"/>
      <c r="GMG44" s="19"/>
      <c r="GMH44" s="19"/>
      <c r="GMI44" s="19"/>
      <c r="GMJ44" s="21"/>
      <c r="GMK44" s="19"/>
      <c r="GMT44" s="19"/>
      <c r="GMU44" s="19"/>
      <c r="GMV44" s="19"/>
      <c r="GMW44" s="19"/>
      <c r="GMX44" s="21"/>
      <c r="GMY44" s="19"/>
      <c r="GNH44" s="19"/>
      <c r="GNI44" s="19"/>
      <c r="GNJ44" s="19"/>
      <c r="GNK44" s="19"/>
      <c r="GNL44" s="21"/>
      <c r="GNM44" s="19"/>
      <c r="GNV44" s="19"/>
      <c r="GNW44" s="19"/>
      <c r="GNX44" s="19"/>
      <c r="GNY44" s="19"/>
      <c r="GNZ44" s="21"/>
      <c r="GOA44" s="19"/>
      <c r="GOJ44" s="19"/>
      <c r="GOK44" s="19"/>
      <c r="GOL44" s="19"/>
      <c r="GOM44" s="19"/>
      <c r="GON44" s="21"/>
      <c r="GOO44" s="19"/>
      <c r="GOX44" s="19"/>
      <c r="GOY44" s="19"/>
      <c r="GOZ44" s="19"/>
      <c r="GPA44" s="19"/>
      <c r="GPB44" s="21"/>
      <c r="GPC44" s="19"/>
      <c r="GPL44" s="19"/>
      <c r="GPM44" s="19"/>
      <c r="GPN44" s="19"/>
      <c r="GPO44" s="19"/>
      <c r="GPP44" s="21"/>
      <c r="GPQ44" s="19"/>
      <c r="GPZ44" s="19"/>
      <c r="GQA44" s="19"/>
      <c r="GQB44" s="19"/>
      <c r="GQC44" s="19"/>
      <c r="GQD44" s="21"/>
      <c r="GQE44" s="19"/>
      <c r="GQN44" s="19"/>
      <c r="GQO44" s="19"/>
      <c r="GQP44" s="19"/>
      <c r="GQQ44" s="19"/>
      <c r="GQR44" s="21"/>
      <c r="GQS44" s="19"/>
      <c r="GRB44" s="19"/>
      <c r="GRC44" s="19"/>
      <c r="GRD44" s="19"/>
      <c r="GRE44" s="19"/>
      <c r="GRF44" s="21"/>
      <c r="GRG44" s="19"/>
      <c r="GRP44" s="19"/>
      <c r="GRQ44" s="19"/>
      <c r="GRR44" s="19"/>
      <c r="GRS44" s="19"/>
      <c r="GRT44" s="21"/>
      <c r="GRU44" s="19"/>
      <c r="GSD44" s="19"/>
      <c r="GSE44" s="19"/>
      <c r="GSF44" s="19"/>
      <c r="GSG44" s="19"/>
      <c r="GSH44" s="21"/>
      <c r="GSI44" s="19"/>
      <c r="GSR44" s="19"/>
      <c r="GSS44" s="19"/>
      <c r="GST44" s="19"/>
      <c r="GSU44" s="19"/>
      <c r="GSV44" s="21"/>
      <c r="GSW44" s="19"/>
      <c r="GTF44" s="19"/>
      <c r="GTG44" s="19"/>
      <c r="GTH44" s="19"/>
      <c r="GTI44" s="19"/>
      <c r="GTJ44" s="21"/>
      <c r="GTK44" s="19"/>
      <c r="GTT44" s="19"/>
      <c r="GTU44" s="19"/>
      <c r="GTV44" s="19"/>
      <c r="GTW44" s="19"/>
      <c r="GTX44" s="21"/>
      <c r="GTY44" s="19"/>
      <c r="GUH44" s="19"/>
      <c r="GUI44" s="19"/>
      <c r="GUJ44" s="19"/>
      <c r="GUK44" s="19"/>
      <c r="GUL44" s="21"/>
      <c r="GUM44" s="19"/>
      <c r="GUV44" s="19"/>
      <c r="GUW44" s="19"/>
      <c r="GUX44" s="19"/>
      <c r="GUY44" s="19"/>
      <c r="GUZ44" s="21"/>
      <c r="GVA44" s="19"/>
      <c r="GVJ44" s="19"/>
      <c r="GVK44" s="19"/>
      <c r="GVL44" s="19"/>
      <c r="GVM44" s="19"/>
      <c r="GVN44" s="21"/>
      <c r="GVO44" s="19"/>
      <c r="GVX44" s="19"/>
      <c r="GVY44" s="19"/>
      <c r="GVZ44" s="19"/>
      <c r="GWA44" s="19"/>
      <c r="GWB44" s="21"/>
      <c r="GWC44" s="19"/>
      <c r="GWL44" s="19"/>
      <c r="GWM44" s="19"/>
      <c r="GWN44" s="19"/>
      <c r="GWO44" s="19"/>
      <c r="GWP44" s="21"/>
      <c r="GWQ44" s="19"/>
      <c r="GWZ44" s="19"/>
      <c r="GXA44" s="19"/>
      <c r="GXB44" s="19"/>
      <c r="GXC44" s="19"/>
      <c r="GXD44" s="21"/>
      <c r="GXE44" s="19"/>
      <c r="GXN44" s="19"/>
      <c r="GXO44" s="19"/>
      <c r="GXP44" s="19"/>
      <c r="GXQ44" s="19"/>
      <c r="GXR44" s="21"/>
      <c r="GXS44" s="19"/>
      <c r="GYB44" s="19"/>
      <c r="GYC44" s="19"/>
      <c r="GYD44" s="19"/>
      <c r="GYE44" s="19"/>
      <c r="GYF44" s="21"/>
      <c r="GYG44" s="19"/>
      <c r="GYP44" s="19"/>
      <c r="GYQ44" s="19"/>
      <c r="GYR44" s="19"/>
      <c r="GYS44" s="19"/>
      <c r="GYT44" s="21"/>
      <c r="GYU44" s="19"/>
      <c r="GZD44" s="19"/>
      <c r="GZE44" s="19"/>
      <c r="GZF44" s="19"/>
      <c r="GZG44" s="19"/>
      <c r="GZH44" s="21"/>
      <c r="GZI44" s="19"/>
      <c r="GZR44" s="19"/>
      <c r="GZS44" s="19"/>
      <c r="GZT44" s="19"/>
      <c r="GZU44" s="19"/>
      <c r="GZV44" s="21"/>
      <c r="GZW44" s="19"/>
      <c r="HAF44" s="19"/>
      <c r="HAG44" s="19"/>
      <c r="HAH44" s="19"/>
      <c r="HAI44" s="19"/>
      <c r="HAJ44" s="21"/>
      <c r="HAK44" s="19"/>
      <c r="HAT44" s="19"/>
      <c r="HAU44" s="19"/>
      <c r="HAV44" s="19"/>
      <c r="HAW44" s="19"/>
      <c r="HAX44" s="21"/>
      <c r="HAY44" s="19"/>
      <c r="HBH44" s="19"/>
      <c r="HBI44" s="19"/>
      <c r="HBJ44" s="19"/>
      <c r="HBK44" s="19"/>
      <c r="HBL44" s="21"/>
      <c r="HBM44" s="19"/>
      <c r="HBV44" s="19"/>
      <c r="HBW44" s="19"/>
      <c r="HBX44" s="19"/>
      <c r="HBY44" s="19"/>
      <c r="HBZ44" s="21"/>
      <c r="HCA44" s="19"/>
      <c r="HCJ44" s="19"/>
      <c r="HCK44" s="19"/>
      <c r="HCL44" s="19"/>
      <c r="HCM44" s="19"/>
      <c r="HCN44" s="21"/>
      <c r="HCO44" s="19"/>
      <c r="HCX44" s="19"/>
      <c r="HCY44" s="19"/>
      <c r="HCZ44" s="19"/>
      <c r="HDA44" s="19"/>
      <c r="HDB44" s="21"/>
      <c r="HDC44" s="19"/>
      <c r="HDL44" s="19"/>
      <c r="HDM44" s="19"/>
      <c r="HDN44" s="19"/>
      <c r="HDO44" s="19"/>
      <c r="HDP44" s="21"/>
      <c r="HDQ44" s="19"/>
      <c r="HDZ44" s="19"/>
      <c r="HEA44" s="19"/>
      <c r="HEB44" s="19"/>
      <c r="HEC44" s="19"/>
      <c r="HED44" s="21"/>
      <c r="HEE44" s="19"/>
      <c r="HEN44" s="19"/>
      <c r="HEO44" s="19"/>
      <c r="HEP44" s="19"/>
      <c r="HEQ44" s="19"/>
      <c r="HER44" s="21"/>
      <c r="HES44" s="19"/>
      <c r="HFB44" s="19"/>
      <c r="HFC44" s="19"/>
      <c r="HFD44" s="19"/>
      <c r="HFE44" s="19"/>
      <c r="HFF44" s="21"/>
      <c r="HFG44" s="19"/>
      <c r="HFP44" s="19"/>
      <c r="HFQ44" s="19"/>
      <c r="HFR44" s="19"/>
      <c r="HFS44" s="19"/>
      <c r="HFT44" s="21"/>
      <c r="HFU44" s="19"/>
      <c r="HGD44" s="19"/>
      <c r="HGE44" s="19"/>
      <c r="HGF44" s="19"/>
      <c r="HGG44" s="19"/>
      <c r="HGH44" s="21"/>
      <c r="HGI44" s="19"/>
      <c r="HGR44" s="19"/>
      <c r="HGS44" s="19"/>
      <c r="HGT44" s="19"/>
      <c r="HGU44" s="19"/>
      <c r="HGV44" s="21"/>
      <c r="HGW44" s="19"/>
      <c r="HHF44" s="19"/>
      <c r="HHG44" s="19"/>
      <c r="HHH44" s="19"/>
      <c r="HHI44" s="19"/>
      <c r="HHJ44" s="21"/>
      <c r="HHK44" s="19"/>
      <c r="HHT44" s="19"/>
      <c r="HHU44" s="19"/>
      <c r="HHV44" s="19"/>
      <c r="HHW44" s="19"/>
      <c r="HHX44" s="21"/>
      <c r="HHY44" s="19"/>
      <c r="HIH44" s="19"/>
      <c r="HII44" s="19"/>
      <c r="HIJ44" s="19"/>
      <c r="HIK44" s="19"/>
      <c r="HIL44" s="21"/>
      <c r="HIM44" s="19"/>
      <c r="HIV44" s="19"/>
      <c r="HIW44" s="19"/>
      <c r="HIX44" s="19"/>
      <c r="HIY44" s="19"/>
      <c r="HIZ44" s="21"/>
      <c r="HJA44" s="19"/>
      <c r="HJJ44" s="19"/>
      <c r="HJK44" s="19"/>
      <c r="HJL44" s="19"/>
      <c r="HJM44" s="19"/>
      <c r="HJN44" s="21"/>
      <c r="HJO44" s="19"/>
      <c r="HJX44" s="19"/>
      <c r="HJY44" s="19"/>
      <c r="HJZ44" s="19"/>
      <c r="HKA44" s="19"/>
      <c r="HKB44" s="21"/>
      <c r="HKC44" s="19"/>
      <c r="HKL44" s="19"/>
      <c r="HKM44" s="19"/>
      <c r="HKN44" s="19"/>
      <c r="HKO44" s="19"/>
      <c r="HKP44" s="21"/>
      <c r="HKQ44" s="19"/>
      <c r="HKZ44" s="19"/>
      <c r="HLA44" s="19"/>
      <c r="HLB44" s="19"/>
      <c r="HLC44" s="19"/>
      <c r="HLD44" s="21"/>
      <c r="HLE44" s="19"/>
      <c r="HLN44" s="19"/>
      <c r="HLO44" s="19"/>
      <c r="HLP44" s="19"/>
      <c r="HLQ44" s="19"/>
      <c r="HLR44" s="21"/>
      <c r="HLS44" s="19"/>
      <c r="HMB44" s="19"/>
      <c r="HMC44" s="19"/>
      <c r="HMD44" s="19"/>
      <c r="HME44" s="19"/>
      <c r="HMF44" s="21"/>
      <c r="HMG44" s="19"/>
      <c r="HMP44" s="19"/>
      <c r="HMQ44" s="19"/>
      <c r="HMR44" s="19"/>
      <c r="HMS44" s="19"/>
      <c r="HMT44" s="21"/>
      <c r="HMU44" s="19"/>
      <c r="HND44" s="19"/>
      <c r="HNE44" s="19"/>
      <c r="HNF44" s="19"/>
      <c r="HNG44" s="19"/>
      <c r="HNH44" s="21"/>
      <c r="HNI44" s="19"/>
      <c r="HNR44" s="19"/>
      <c r="HNS44" s="19"/>
      <c r="HNT44" s="19"/>
      <c r="HNU44" s="19"/>
      <c r="HNV44" s="21"/>
      <c r="HNW44" s="19"/>
      <c r="HOF44" s="19"/>
      <c r="HOG44" s="19"/>
      <c r="HOH44" s="19"/>
      <c r="HOI44" s="19"/>
      <c r="HOJ44" s="21"/>
      <c r="HOK44" s="19"/>
      <c r="HOT44" s="19"/>
      <c r="HOU44" s="19"/>
      <c r="HOV44" s="19"/>
      <c r="HOW44" s="19"/>
      <c r="HOX44" s="21"/>
      <c r="HOY44" s="19"/>
      <c r="HPH44" s="19"/>
      <c r="HPI44" s="19"/>
      <c r="HPJ44" s="19"/>
      <c r="HPK44" s="19"/>
      <c r="HPL44" s="21"/>
      <c r="HPM44" s="19"/>
      <c r="HPV44" s="19"/>
      <c r="HPW44" s="19"/>
      <c r="HPX44" s="19"/>
      <c r="HPY44" s="19"/>
      <c r="HPZ44" s="21"/>
      <c r="HQA44" s="19"/>
      <c r="HQJ44" s="19"/>
      <c r="HQK44" s="19"/>
      <c r="HQL44" s="19"/>
      <c r="HQM44" s="19"/>
      <c r="HQN44" s="21"/>
      <c r="HQO44" s="19"/>
      <c r="HQX44" s="19"/>
      <c r="HQY44" s="19"/>
      <c r="HQZ44" s="19"/>
      <c r="HRA44" s="19"/>
      <c r="HRB44" s="21"/>
      <c r="HRC44" s="19"/>
      <c r="HRL44" s="19"/>
      <c r="HRM44" s="19"/>
      <c r="HRN44" s="19"/>
      <c r="HRO44" s="19"/>
      <c r="HRP44" s="21"/>
      <c r="HRQ44" s="19"/>
      <c r="HRZ44" s="19"/>
      <c r="HSA44" s="19"/>
      <c r="HSB44" s="19"/>
      <c r="HSC44" s="19"/>
      <c r="HSD44" s="21"/>
      <c r="HSE44" s="19"/>
      <c r="HSN44" s="19"/>
      <c r="HSO44" s="19"/>
      <c r="HSP44" s="19"/>
      <c r="HSQ44" s="19"/>
      <c r="HSR44" s="21"/>
      <c r="HSS44" s="19"/>
      <c r="HTB44" s="19"/>
      <c r="HTC44" s="19"/>
      <c r="HTD44" s="19"/>
      <c r="HTE44" s="19"/>
      <c r="HTF44" s="21"/>
      <c r="HTG44" s="19"/>
      <c r="HTP44" s="19"/>
      <c r="HTQ44" s="19"/>
      <c r="HTR44" s="19"/>
      <c r="HTS44" s="19"/>
      <c r="HTT44" s="21"/>
      <c r="HTU44" s="19"/>
      <c r="HUD44" s="19"/>
      <c r="HUE44" s="19"/>
      <c r="HUF44" s="19"/>
      <c r="HUG44" s="19"/>
      <c r="HUH44" s="21"/>
      <c r="HUI44" s="19"/>
      <c r="HUR44" s="19"/>
      <c r="HUS44" s="19"/>
      <c r="HUT44" s="19"/>
      <c r="HUU44" s="19"/>
      <c r="HUV44" s="21"/>
      <c r="HUW44" s="19"/>
      <c r="HVF44" s="19"/>
      <c r="HVG44" s="19"/>
      <c r="HVH44" s="19"/>
      <c r="HVI44" s="19"/>
      <c r="HVJ44" s="21"/>
      <c r="HVK44" s="19"/>
      <c r="HVT44" s="19"/>
      <c r="HVU44" s="19"/>
      <c r="HVV44" s="19"/>
      <c r="HVW44" s="19"/>
      <c r="HVX44" s="21"/>
      <c r="HVY44" s="19"/>
      <c r="HWH44" s="19"/>
      <c r="HWI44" s="19"/>
      <c r="HWJ44" s="19"/>
      <c r="HWK44" s="19"/>
      <c r="HWL44" s="21"/>
      <c r="HWM44" s="19"/>
      <c r="HWV44" s="19"/>
      <c r="HWW44" s="19"/>
      <c r="HWX44" s="19"/>
      <c r="HWY44" s="19"/>
      <c r="HWZ44" s="21"/>
      <c r="HXA44" s="19"/>
      <c r="HXJ44" s="19"/>
      <c r="HXK44" s="19"/>
      <c r="HXL44" s="19"/>
      <c r="HXM44" s="19"/>
      <c r="HXN44" s="21"/>
      <c r="HXO44" s="19"/>
      <c r="HXX44" s="19"/>
      <c r="HXY44" s="19"/>
      <c r="HXZ44" s="19"/>
      <c r="HYA44" s="19"/>
      <c r="HYB44" s="21"/>
      <c r="HYC44" s="19"/>
      <c r="HYL44" s="19"/>
      <c r="HYM44" s="19"/>
      <c r="HYN44" s="19"/>
      <c r="HYO44" s="19"/>
      <c r="HYP44" s="21"/>
      <c r="HYQ44" s="19"/>
      <c r="HYZ44" s="19"/>
      <c r="HZA44" s="19"/>
      <c r="HZB44" s="19"/>
      <c r="HZC44" s="19"/>
      <c r="HZD44" s="21"/>
      <c r="HZE44" s="19"/>
      <c r="HZN44" s="19"/>
      <c r="HZO44" s="19"/>
      <c r="HZP44" s="19"/>
      <c r="HZQ44" s="19"/>
      <c r="HZR44" s="21"/>
      <c r="HZS44" s="19"/>
      <c r="IAB44" s="19"/>
      <c r="IAC44" s="19"/>
      <c r="IAD44" s="19"/>
      <c r="IAE44" s="19"/>
      <c r="IAF44" s="21"/>
      <c r="IAG44" s="19"/>
      <c r="IAP44" s="19"/>
      <c r="IAQ44" s="19"/>
      <c r="IAR44" s="19"/>
      <c r="IAS44" s="19"/>
      <c r="IAT44" s="21"/>
      <c r="IAU44" s="19"/>
      <c r="IBD44" s="19"/>
      <c r="IBE44" s="19"/>
      <c r="IBF44" s="19"/>
      <c r="IBG44" s="19"/>
      <c r="IBH44" s="21"/>
      <c r="IBI44" s="19"/>
      <c r="IBR44" s="19"/>
      <c r="IBS44" s="19"/>
      <c r="IBT44" s="19"/>
      <c r="IBU44" s="19"/>
      <c r="IBV44" s="21"/>
      <c r="IBW44" s="19"/>
      <c r="ICF44" s="19"/>
      <c r="ICG44" s="19"/>
      <c r="ICH44" s="19"/>
      <c r="ICI44" s="19"/>
      <c r="ICJ44" s="21"/>
      <c r="ICK44" s="19"/>
      <c r="ICT44" s="19"/>
      <c r="ICU44" s="19"/>
      <c r="ICV44" s="19"/>
      <c r="ICW44" s="19"/>
      <c r="ICX44" s="21"/>
      <c r="ICY44" s="19"/>
      <c r="IDH44" s="19"/>
      <c r="IDI44" s="19"/>
      <c r="IDJ44" s="19"/>
      <c r="IDK44" s="19"/>
      <c r="IDL44" s="21"/>
      <c r="IDM44" s="19"/>
      <c r="IDV44" s="19"/>
      <c r="IDW44" s="19"/>
      <c r="IDX44" s="19"/>
      <c r="IDY44" s="19"/>
      <c r="IDZ44" s="21"/>
      <c r="IEA44" s="19"/>
      <c r="IEJ44" s="19"/>
      <c r="IEK44" s="19"/>
      <c r="IEL44" s="19"/>
      <c r="IEM44" s="19"/>
      <c r="IEN44" s="21"/>
      <c r="IEO44" s="19"/>
      <c r="IEX44" s="19"/>
      <c r="IEY44" s="19"/>
      <c r="IEZ44" s="19"/>
      <c r="IFA44" s="19"/>
      <c r="IFB44" s="21"/>
      <c r="IFC44" s="19"/>
      <c r="IFL44" s="19"/>
      <c r="IFM44" s="19"/>
      <c r="IFN44" s="19"/>
      <c r="IFO44" s="19"/>
      <c r="IFP44" s="21"/>
      <c r="IFQ44" s="19"/>
      <c r="IFZ44" s="19"/>
      <c r="IGA44" s="19"/>
      <c r="IGB44" s="19"/>
      <c r="IGC44" s="19"/>
      <c r="IGD44" s="21"/>
      <c r="IGE44" s="19"/>
      <c r="IGN44" s="19"/>
      <c r="IGO44" s="19"/>
      <c r="IGP44" s="19"/>
      <c r="IGQ44" s="19"/>
      <c r="IGR44" s="21"/>
      <c r="IGS44" s="19"/>
      <c r="IHB44" s="19"/>
      <c r="IHC44" s="19"/>
      <c r="IHD44" s="19"/>
      <c r="IHE44" s="19"/>
      <c r="IHF44" s="21"/>
      <c r="IHG44" s="19"/>
      <c r="IHP44" s="19"/>
      <c r="IHQ44" s="19"/>
      <c r="IHR44" s="19"/>
      <c r="IHS44" s="19"/>
      <c r="IHT44" s="21"/>
      <c r="IHU44" s="19"/>
      <c r="IID44" s="19"/>
      <c r="IIE44" s="19"/>
      <c r="IIF44" s="19"/>
      <c r="IIG44" s="19"/>
      <c r="IIH44" s="21"/>
      <c r="III44" s="19"/>
      <c r="IIR44" s="19"/>
      <c r="IIS44" s="19"/>
      <c r="IIT44" s="19"/>
      <c r="IIU44" s="19"/>
      <c r="IIV44" s="21"/>
      <c r="IIW44" s="19"/>
      <c r="IJF44" s="19"/>
      <c r="IJG44" s="19"/>
      <c r="IJH44" s="19"/>
      <c r="IJI44" s="19"/>
      <c r="IJJ44" s="21"/>
      <c r="IJK44" s="19"/>
      <c r="IJT44" s="19"/>
      <c r="IJU44" s="19"/>
      <c r="IJV44" s="19"/>
      <c r="IJW44" s="19"/>
      <c r="IJX44" s="21"/>
      <c r="IJY44" s="19"/>
      <c r="IKH44" s="19"/>
      <c r="IKI44" s="19"/>
      <c r="IKJ44" s="19"/>
      <c r="IKK44" s="19"/>
      <c r="IKL44" s="21"/>
      <c r="IKM44" s="19"/>
      <c r="IKV44" s="19"/>
      <c r="IKW44" s="19"/>
      <c r="IKX44" s="19"/>
      <c r="IKY44" s="19"/>
      <c r="IKZ44" s="21"/>
      <c r="ILA44" s="19"/>
      <c r="ILJ44" s="19"/>
      <c r="ILK44" s="19"/>
      <c r="ILL44" s="19"/>
      <c r="ILM44" s="19"/>
      <c r="ILN44" s="21"/>
      <c r="ILO44" s="19"/>
      <c r="ILX44" s="19"/>
      <c r="ILY44" s="19"/>
      <c r="ILZ44" s="19"/>
      <c r="IMA44" s="19"/>
      <c r="IMB44" s="21"/>
      <c r="IMC44" s="19"/>
      <c r="IML44" s="19"/>
      <c r="IMM44" s="19"/>
      <c r="IMN44" s="19"/>
      <c r="IMO44" s="19"/>
      <c r="IMP44" s="21"/>
      <c r="IMQ44" s="19"/>
      <c r="IMZ44" s="19"/>
      <c r="INA44" s="19"/>
      <c r="INB44" s="19"/>
      <c r="INC44" s="19"/>
      <c r="IND44" s="21"/>
      <c r="INE44" s="19"/>
      <c r="INN44" s="19"/>
      <c r="INO44" s="19"/>
      <c r="INP44" s="19"/>
      <c r="INQ44" s="19"/>
      <c r="INR44" s="21"/>
      <c r="INS44" s="19"/>
      <c r="IOB44" s="19"/>
      <c r="IOC44" s="19"/>
      <c r="IOD44" s="19"/>
      <c r="IOE44" s="19"/>
      <c r="IOF44" s="21"/>
      <c r="IOG44" s="19"/>
      <c r="IOP44" s="19"/>
      <c r="IOQ44" s="19"/>
      <c r="IOR44" s="19"/>
      <c r="IOS44" s="19"/>
      <c r="IOT44" s="21"/>
      <c r="IOU44" s="19"/>
      <c r="IPD44" s="19"/>
      <c r="IPE44" s="19"/>
      <c r="IPF44" s="19"/>
      <c r="IPG44" s="19"/>
      <c r="IPH44" s="21"/>
      <c r="IPI44" s="19"/>
      <c r="IPR44" s="19"/>
      <c r="IPS44" s="19"/>
      <c r="IPT44" s="19"/>
      <c r="IPU44" s="19"/>
      <c r="IPV44" s="21"/>
      <c r="IPW44" s="19"/>
      <c r="IQF44" s="19"/>
      <c r="IQG44" s="19"/>
      <c r="IQH44" s="19"/>
      <c r="IQI44" s="19"/>
      <c r="IQJ44" s="21"/>
      <c r="IQK44" s="19"/>
      <c r="IQT44" s="19"/>
      <c r="IQU44" s="19"/>
      <c r="IQV44" s="19"/>
      <c r="IQW44" s="19"/>
      <c r="IQX44" s="21"/>
      <c r="IQY44" s="19"/>
      <c r="IRH44" s="19"/>
      <c r="IRI44" s="19"/>
      <c r="IRJ44" s="19"/>
      <c r="IRK44" s="19"/>
      <c r="IRL44" s="21"/>
      <c r="IRM44" s="19"/>
      <c r="IRV44" s="19"/>
      <c r="IRW44" s="19"/>
      <c r="IRX44" s="19"/>
      <c r="IRY44" s="19"/>
      <c r="IRZ44" s="21"/>
      <c r="ISA44" s="19"/>
      <c r="ISJ44" s="19"/>
      <c r="ISK44" s="19"/>
      <c r="ISL44" s="19"/>
      <c r="ISM44" s="19"/>
      <c r="ISN44" s="21"/>
      <c r="ISO44" s="19"/>
      <c r="ISX44" s="19"/>
      <c r="ISY44" s="19"/>
      <c r="ISZ44" s="19"/>
      <c r="ITA44" s="19"/>
      <c r="ITB44" s="21"/>
      <c r="ITC44" s="19"/>
      <c r="ITL44" s="19"/>
      <c r="ITM44" s="19"/>
      <c r="ITN44" s="19"/>
      <c r="ITO44" s="19"/>
      <c r="ITP44" s="21"/>
      <c r="ITQ44" s="19"/>
      <c r="ITZ44" s="19"/>
      <c r="IUA44" s="19"/>
      <c r="IUB44" s="19"/>
      <c r="IUC44" s="19"/>
      <c r="IUD44" s="21"/>
      <c r="IUE44" s="19"/>
      <c r="IUN44" s="19"/>
      <c r="IUO44" s="19"/>
      <c r="IUP44" s="19"/>
      <c r="IUQ44" s="19"/>
      <c r="IUR44" s="21"/>
      <c r="IUS44" s="19"/>
      <c r="IVB44" s="19"/>
      <c r="IVC44" s="19"/>
      <c r="IVD44" s="19"/>
      <c r="IVE44" s="19"/>
      <c r="IVF44" s="21"/>
      <c r="IVG44" s="19"/>
      <c r="IVP44" s="19"/>
      <c r="IVQ44" s="19"/>
      <c r="IVR44" s="19"/>
      <c r="IVS44" s="19"/>
      <c r="IVT44" s="21"/>
      <c r="IVU44" s="19"/>
      <c r="IWD44" s="19"/>
      <c r="IWE44" s="19"/>
      <c r="IWF44" s="19"/>
      <c r="IWG44" s="19"/>
      <c r="IWH44" s="21"/>
      <c r="IWI44" s="19"/>
      <c r="IWR44" s="19"/>
      <c r="IWS44" s="19"/>
      <c r="IWT44" s="19"/>
      <c r="IWU44" s="19"/>
      <c r="IWV44" s="21"/>
      <c r="IWW44" s="19"/>
      <c r="IXF44" s="19"/>
      <c r="IXG44" s="19"/>
      <c r="IXH44" s="19"/>
      <c r="IXI44" s="19"/>
      <c r="IXJ44" s="21"/>
      <c r="IXK44" s="19"/>
      <c r="IXT44" s="19"/>
      <c r="IXU44" s="19"/>
      <c r="IXV44" s="19"/>
      <c r="IXW44" s="19"/>
      <c r="IXX44" s="21"/>
      <c r="IXY44" s="19"/>
      <c r="IYH44" s="19"/>
      <c r="IYI44" s="19"/>
      <c r="IYJ44" s="19"/>
      <c r="IYK44" s="19"/>
      <c r="IYL44" s="21"/>
      <c r="IYM44" s="19"/>
      <c r="IYV44" s="19"/>
      <c r="IYW44" s="19"/>
      <c r="IYX44" s="19"/>
      <c r="IYY44" s="19"/>
      <c r="IYZ44" s="21"/>
      <c r="IZA44" s="19"/>
      <c r="IZJ44" s="19"/>
      <c r="IZK44" s="19"/>
      <c r="IZL44" s="19"/>
      <c r="IZM44" s="19"/>
      <c r="IZN44" s="21"/>
      <c r="IZO44" s="19"/>
      <c r="IZX44" s="19"/>
      <c r="IZY44" s="19"/>
      <c r="IZZ44" s="19"/>
      <c r="JAA44" s="19"/>
      <c r="JAB44" s="21"/>
      <c r="JAC44" s="19"/>
      <c r="JAL44" s="19"/>
      <c r="JAM44" s="19"/>
      <c r="JAN44" s="19"/>
      <c r="JAO44" s="19"/>
      <c r="JAP44" s="21"/>
      <c r="JAQ44" s="19"/>
      <c r="JAZ44" s="19"/>
      <c r="JBA44" s="19"/>
      <c r="JBB44" s="19"/>
      <c r="JBC44" s="19"/>
      <c r="JBD44" s="21"/>
      <c r="JBE44" s="19"/>
      <c r="JBN44" s="19"/>
      <c r="JBO44" s="19"/>
      <c r="JBP44" s="19"/>
      <c r="JBQ44" s="19"/>
      <c r="JBR44" s="21"/>
      <c r="JBS44" s="19"/>
      <c r="JCB44" s="19"/>
      <c r="JCC44" s="19"/>
      <c r="JCD44" s="19"/>
      <c r="JCE44" s="19"/>
      <c r="JCF44" s="21"/>
      <c r="JCG44" s="19"/>
      <c r="JCP44" s="19"/>
      <c r="JCQ44" s="19"/>
      <c r="JCR44" s="19"/>
      <c r="JCS44" s="19"/>
      <c r="JCT44" s="21"/>
      <c r="JCU44" s="19"/>
      <c r="JDD44" s="19"/>
      <c r="JDE44" s="19"/>
      <c r="JDF44" s="19"/>
      <c r="JDG44" s="19"/>
      <c r="JDH44" s="21"/>
      <c r="JDI44" s="19"/>
      <c r="JDR44" s="19"/>
      <c r="JDS44" s="19"/>
      <c r="JDT44" s="19"/>
      <c r="JDU44" s="19"/>
      <c r="JDV44" s="21"/>
      <c r="JDW44" s="19"/>
      <c r="JEF44" s="19"/>
      <c r="JEG44" s="19"/>
      <c r="JEH44" s="19"/>
      <c r="JEI44" s="19"/>
      <c r="JEJ44" s="21"/>
      <c r="JEK44" s="19"/>
      <c r="JET44" s="19"/>
      <c r="JEU44" s="19"/>
      <c r="JEV44" s="19"/>
      <c r="JEW44" s="19"/>
      <c r="JEX44" s="21"/>
      <c r="JEY44" s="19"/>
      <c r="JFH44" s="19"/>
      <c r="JFI44" s="19"/>
      <c r="JFJ44" s="19"/>
      <c r="JFK44" s="19"/>
      <c r="JFL44" s="21"/>
      <c r="JFM44" s="19"/>
      <c r="JFV44" s="19"/>
      <c r="JFW44" s="19"/>
      <c r="JFX44" s="19"/>
      <c r="JFY44" s="19"/>
      <c r="JFZ44" s="21"/>
      <c r="JGA44" s="19"/>
      <c r="JGJ44" s="19"/>
      <c r="JGK44" s="19"/>
      <c r="JGL44" s="19"/>
      <c r="JGM44" s="19"/>
      <c r="JGN44" s="21"/>
      <c r="JGO44" s="19"/>
      <c r="JGX44" s="19"/>
      <c r="JGY44" s="19"/>
      <c r="JGZ44" s="19"/>
      <c r="JHA44" s="19"/>
      <c r="JHB44" s="21"/>
      <c r="JHC44" s="19"/>
      <c r="JHL44" s="19"/>
      <c r="JHM44" s="19"/>
      <c r="JHN44" s="19"/>
      <c r="JHO44" s="19"/>
      <c r="JHP44" s="21"/>
      <c r="JHQ44" s="19"/>
      <c r="JHZ44" s="19"/>
      <c r="JIA44" s="19"/>
      <c r="JIB44" s="19"/>
      <c r="JIC44" s="19"/>
      <c r="JID44" s="21"/>
      <c r="JIE44" s="19"/>
      <c r="JIN44" s="19"/>
      <c r="JIO44" s="19"/>
      <c r="JIP44" s="19"/>
      <c r="JIQ44" s="19"/>
      <c r="JIR44" s="21"/>
      <c r="JIS44" s="19"/>
      <c r="JJB44" s="19"/>
      <c r="JJC44" s="19"/>
      <c r="JJD44" s="19"/>
      <c r="JJE44" s="19"/>
      <c r="JJF44" s="21"/>
      <c r="JJG44" s="19"/>
      <c r="JJP44" s="19"/>
      <c r="JJQ44" s="19"/>
      <c r="JJR44" s="19"/>
      <c r="JJS44" s="19"/>
      <c r="JJT44" s="21"/>
      <c r="JJU44" s="19"/>
      <c r="JKD44" s="19"/>
      <c r="JKE44" s="19"/>
      <c r="JKF44" s="19"/>
      <c r="JKG44" s="19"/>
      <c r="JKH44" s="21"/>
      <c r="JKI44" s="19"/>
      <c r="JKR44" s="19"/>
      <c r="JKS44" s="19"/>
      <c r="JKT44" s="19"/>
      <c r="JKU44" s="19"/>
      <c r="JKV44" s="21"/>
      <c r="JKW44" s="19"/>
      <c r="JLF44" s="19"/>
      <c r="JLG44" s="19"/>
      <c r="JLH44" s="19"/>
      <c r="JLI44" s="19"/>
      <c r="JLJ44" s="21"/>
      <c r="JLK44" s="19"/>
      <c r="JLT44" s="19"/>
      <c r="JLU44" s="19"/>
      <c r="JLV44" s="19"/>
      <c r="JLW44" s="19"/>
      <c r="JLX44" s="21"/>
      <c r="JLY44" s="19"/>
      <c r="JMH44" s="19"/>
      <c r="JMI44" s="19"/>
      <c r="JMJ44" s="19"/>
      <c r="JMK44" s="19"/>
      <c r="JML44" s="21"/>
      <c r="JMM44" s="19"/>
      <c r="JMV44" s="19"/>
      <c r="JMW44" s="19"/>
      <c r="JMX44" s="19"/>
      <c r="JMY44" s="19"/>
      <c r="JMZ44" s="21"/>
      <c r="JNA44" s="19"/>
      <c r="JNJ44" s="19"/>
      <c r="JNK44" s="19"/>
      <c r="JNL44" s="19"/>
      <c r="JNM44" s="19"/>
      <c r="JNN44" s="21"/>
      <c r="JNO44" s="19"/>
      <c r="JNX44" s="19"/>
      <c r="JNY44" s="19"/>
      <c r="JNZ44" s="19"/>
      <c r="JOA44" s="19"/>
      <c r="JOB44" s="21"/>
      <c r="JOC44" s="19"/>
      <c r="JOL44" s="19"/>
      <c r="JOM44" s="19"/>
      <c r="JON44" s="19"/>
      <c r="JOO44" s="19"/>
      <c r="JOP44" s="21"/>
      <c r="JOQ44" s="19"/>
      <c r="JOZ44" s="19"/>
      <c r="JPA44" s="19"/>
      <c r="JPB44" s="19"/>
      <c r="JPC44" s="19"/>
      <c r="JPD44" s="21"/>
      <c r="JPE44" s="19"/>
      <c r="JPN44" s="19"/>
      <c r="JPO44" s="19"/>
      <c r="JPP44" s="19"/>
      <c r="JPQ44" s="19"/>
      <c r="JPR44" s="21"/>
      <c r="JPS44" s="19"/>
      <c r="JQB44" s="19"/>
      <c r="JQC44" s="19"/>
      <c r="JQD44" s="19"/>
      <c r="JQE44" s="19"/>
      <c r="JQF44" s="21"/>
      <c r="JQG44" s="19"/>
      <c r="JQP44" s="19"/>
      <c r="JQQ44" s="19"/>
      <c r="JQR44" s="19"/>
      <c r="JQS44" s="19"/>
      <c r="JQT44" s="21"/>
      <c r="JQU44" s="19"/>
      <c r="JRD44" s="19"/>
      <c r="JRE44" s="19"/>
      <c r="JRF44" s="19"/>
      <c r="JRG44" s="19"/>
      <c r="JRH44" s="21"/>
      <c r="JRI44" s="19"/>
      <c r="JRR44" s="19"/>
      <c r="JRS44" s="19"/>
      <c r="JRT44" s="19"/>
      <c r="JRU44" s="19"/>
      <c r="JRV44" s="21"/>
      <c r="JRW44" s="19"/>
      <c r="JSF44" s="19"/>
      <c r="JSG44" s="19"/>
      <c r="JSH44" s="19"/>
      <c r="JSI44" s="19"/>
      <c r="JSJ44" s="21"/>
      <c r="JSK44" s="19"/>
      <c r="JST44" s="19"/>
      <c r="JSU44" s="19"/>
      <c r="JSV44" s="19"/>
      <c r="JSW44" s="19"/>
      <c r="JSX44" s="21"/>
      <c r="JSY44" s="19"/>
      <c r="JTH44" s="19"/>
      <c r="JTI44" s="19"/>
      <c r="JTJ44" s="19"/>
      <c r="JTK44" s="19"/>
      <c r="JTL44" s="21"/>
      <c r="JTM44" s="19"/>
      <c r="JTV44" s="19"/>
      <c r="JTW44" s="19"/>
      <c r="JTX44" s="19"/>
      <c r="JTY44" s="19"/>
      <c r="JTZ44" s="21"/>
      <c r="JUA44" s="19"/>
      <c r="JUJ44" s="19"/>
      <c r="JUK44" s="19"/>
      <c r="JUL44" s="19"/>
      <c r="JUM44" s="19"/>
      <c r="JUN44" s="21"/>
      <c r="JUO44" s="19"/>
      <c r="JUX44" s="19"/>
      <c r="JUY44" s="19"/>
      <c r="JUZ44" s="19"/>
      <c r="JVA44" s="19"/>
      <c r="JVB44" s="21"/>
      <c r="JVC44" s="19"/>
      <c r="JVL44" s="19"/>
      <c r="JVM44" s="19"/>
      <c r="JVN44" s="19"/>
      <c r="JVO44" s="19"/>
      <c r="JVP44" s="21"/>
      <c r="JVQ44" s="19"/>
      <c r="JVZ44" s="19"/>
      <c r="JWA44" s="19"/>
      <c r="JWB44" s="19"/>
      <c r="JWC44" s="19"/>
      <c r="JWD44" s="21"/>
      <c r="JWE44" s="19"/>
      <c r="JWN44" s="19"/>
      <c r="JWO44" s="19"/>
      <c r="JWP44" s="19"/>
      <c r="JWQ44" s="19"/>
      <c r="JWR44" s="21"/>
      <c r="JWS44" s="19"/>
      <c r="JXB44" s="19"/>
      <c r="JXC44" s="19"/>
      <c r="JXD44" s="19"/>
      <c r="JXE44" s="19"/>
      <c r="JXF44" s="21"/>
      <c r="JXG44" s="19"/>
      <c r="JXP44" s="19"/>
      <c r="JXQ44" s="19"/>
      <c r="JXR44" s="19"/>
      <c r="JXS44" s="19"/>
      <c r="JXT44" s="21"/>
      <c r="JXU44" s="19"/>
      <c r="JYD44" s="19"/>
      <c r="JYE44" s="19"/>
      <c r="JYF44" s="19"/>
      <c r="JYG44" s="19"/>
      <c r="JYH44" s="21"/>
      <c r="JYI44" s="19"/>
      <c r="JYR44" s="19"/>
      <c r="JYS44" s="19"/>
      <c r="JYT44" s="19"/>
      <c r="JYU44" s="19"/>
      <c r="JYV44" s="21"/>
      <c r="JYW44" s="19"/>
      <c r="JZF44" s="19"/>
      <c r="JZG44" s="19"/>
      <c r="JZH44" s="19"/>
      <c r="JZI44" s="19"/>
      <c r="JZJ44" s="21"/>
      <c r="JZK44" s="19"/>
      <c r="JZT44" s="19"/>
      <c r="JZU44" s="19"/>
      <c r="JZV44" s="19"/>
      <c r="JZW44" s="19"/>
      <c r="JZX44" s="21"/>
      <c r="JZY44" s="19"/>
      <c r="KAH44" s="19"/>
      <c r="KAI44" s="19"/>
      <c r="KAJ44" s="19"/>
      <c r="KAK44" s="19"/>
      <c r="KAL44" s="21"/>
      <c r="KAM44" s="19"/>
      <c r="KAV44" s="19"/>
      <c r="KAW44" s="19"/>
      <c r="KAX44" s="19"/>
      <c r="KAY44" s="19"/>
      <c r="KAZ44" s="21"/>
      <c r="KBA44" s="19"/>
      <c r="KBJ44" s="19"/>
      <c r="KBK44" s="19"/>
      <c r="KBL44" s="19"/>
      <c r="KBM44" s="19"/>
      <c r="KBN44" s="21"/>
      <c r="KBO44" s="19"/>
      <c r="KBX44" s="19"/>
      <c r="KBY44" s="19"/>
      <c r="KBZ44" s="19"/>
      <c r="KCA44" s="19"/>
      <c r="KCB44" s="21"/>
      <c r="KCC44" s="19"/>
      <c r="KCL44" s="19"/>
      <c r="KCM44" s="19"/>
      <c r="KCN44" s="19"/>
      <c r="KCO44" s="19"/>
      <c r="KCP44" s="21"/>
      <c r="KCQ44" s="19"/>
      <c r="KCZ44" s="19"/>
      <c r="KDA44" s="19"/>
      <c r="KDB44" s="19"/>
      <c r="KDC44" s="19"/>
      <c r="KDD44" s="21"/>
      <c r="KDE44" s="19"/>
      <c r="KDN44" s="19"/>
      <c r="KDO44" s="19"/>
      <c r="KDP44" s="19"/>
      <c r="KDQ44" s="19"/>
      <c r="KDR44" s="21"/>
      <c r="KDS44" s="19"/>
      <c r="KEB44" s="19"/>
      <c r="KEC44" s="19"/>
      <c r="KED44" s="19"/>
      <c r="KEE44" s="19"/>
      <c r="KEF44" s="21"/>
      <c r="KEG44" s="19"/>
      <c r="KEP44" s="19"/>
      <c r="KEQ44" s="19"/>
      <c r="KER44" s="19"/>
      <c r="KES44" s="19"/>
      <c r="KET44" s="21"/>
      <c r="KEU44" s="19"/>
      <c r="KFD44" s="19"/>
      <c r="KFE44" s="19"/>
      <c r="KFF44" s="19"/>
      <c r="KFG44" s="19"/>
      <c r="KFH44" s="21"/>
      <c r="KFI44" s="19"/>
      <c r="KFR44" s="19"/>
      <c r="KFS44" s="19"/>
      <c r="KFT44" s="19"/>
      <c r="KFU44" s="19"/>
      <c r="KFV44" s="21"/>
      <c r="KFW44" s="19"/>
      <c r="KGF44" s="19"/>
      <c r="KGG44" s="19"/>
      <c r="KGH44" s="19"/>
      <c r="KGI44" s="19"/>
      <c r="KGJ44" s="21"/>
      <c r="KGK44" s="19"/>
      <c r="KGT44" s="19"/>
      <c r="KGU44" s="19"/>
      <c r="KGV44" s="19"/>
      <c r="KGW44" s="19"/>
      <c r="KGX44" s="21"/>
      <c r="KGY44" s="19"/>
      <c r="KHH44" s="19"/>
      <c r="KHI44" s="19"/>
      <c r="KHJ44" s="19"/>
      <c r="KHK44" s="19"/>
      <c r="KHL44" s="21"/>
      <c r="KHM44" s="19"/>
      <c r="KHV44" s="19"/>
      <c r="KHW44" s="19"/>
      <c r="KHX44" s="19"/>
      <c r="KHY44" s="19"/>
      <c r="KHZ44" s="21"/>
      <c r="KIA44" s="19"/>
      <c r="KIJ44" s="19"/>
      <c r="KIK44" s="19"/>
      <c r="KIL44" s="19"/>
      <c r="KIM44" s="19"/>
      <c r="KIN44" s="21"/>
      <c r="KIO44" s="19"/>
      <c r="KIX44" s="19"/>
      <c r="KIY44" s="19"/>
      <c r="KIZ44" s="19"/>
      <c r="KJA44" s="19"/>
      <c r="KJB44" s="21"/>
      <c r="KJC44" s="19"/>
      <c r="KJL44" s="19"/>
      <c r="KJM44" s="19"/>
      <c r="KJN44" s="19"/>
      <c r="KJO44" s="19"/>
      <c r="KJP44" s="21"/>
      <c r="KJQ44" s="19"/>
      <c r="KJZ44" s="19"/>
      <c r="KKA44" s="19"/>
      <c r="KKB44" s="19"/>
      <c r="KKC44" s="19"/>
      <c r="KKD44" s="21"/>
      <c r="KKE44" s="19"/>
      <c r="KKN44" s="19"/>
      <c r="KKO44" s="19"/>
      <c r="KKP44" s="19"/>
      <c r="KKQ44" s="19"/>
      <c r="KKR44" s="21"/>
      <c r="KKS44" s="19"/>
      <c r="KLB44" s="19"/>
      <c r="KLC44" s="19"/>
      <c r="KLD44" s="19"/>
      <c r="KLE44" s="19"/>
      <c r="KLF44" s="21"/>
      <c r="KLG44" s="19"/>
      <c r="KLP44" s="19"/>
      <c r="KLQ44" s="19"/>
      <c r="KLR44" s="19"/>
      <c r="KLS44" s="19"/>
      <c r="KLT44" s="21"/>
      <c r="KLU44" s="19"/>
      <c r="KMD44" s="19"/>
      <c r="KME44" s="19"/>
      <c r="KMF44" s="19"/>
      <c r="KMG44" s="19"/>
      <c r="KMH44" s="21"/>
      <c r="KMI44" s="19"/>
      <c r="KMR44" s="19"/>
      <c r="KMS44" s="19"/>
      <c r="KMT44" s="19"/>
      <c r="KMU44" s="19"/>
      <c r="KMV44" s="21"/>
      <c r="KMW44" s="19"/>
      <c r="KNF44" s="19"/>
      <c r="KNG44" s="19"/>
      <c r="KNH44" s="19"/>
      <c r="KNI44" s="19"/>
      <c r="KNJ44" s="21"/>
      <c r="KNK44" s="19"/>
      <c r="KNT44" s="19"/>
      <c r="KNU44" s="19"/>
      <c r="KNV44" s="19"/>
      <c r="KNW44" s="19"/>
      <c r="KNX44" s="21"/>
      <c r="KNY44" s="19"/>
      <c r="KOH44" s="19"/>
      <c r="KOI44" s="19"/>
      <c r="KOJ44" s="19"/>
      <c r="KOK44" s="19"/>
      <c r="KOL44" s="21"/>
      <c r="KOM44" s="19"/>
      <c r="KOV44" s="19"/>
      <c r="KOW44" s="19"/>
      <c r="KOX44" s="19"/>
      <c r="KOY44" s="19"/>
      <c r="KOZ44" s="21"/>
      <c r="KPA44" s="19"/>
      <c r="KPJ44" s="19"/>
      <c r="KPK44" s="19"/>
      <c r="KPL44" s="19"/>
      <c r="KPM44" s="19"/>
      <c r="KPN44" s="21"/>
      <c r="KPO44" s="19"/>
      <c r="KPX44" s="19"/>
      <c r="KPY44" s="19"/>
      <c r="KPZ44" s="19"/>
      <c r="KQA44" s="19"/>
      <c r="KQB44" s="21"/>
      <c r="KQC44" s="19"/>
      <c r="KQL44" s="19"/>
      <c r="KQM44" s="19"/>
      <c r="KQN44" s="19"/>
      <c r="KQO44" s="19"/>
      <c r="KQP44" s="21"/>
      <c r="KQQ44" s="19"/>
      <c r="KQZ44" s="19"/>
      <c r="KRA44" s="19"/>
      <c r="KRB44" s="19"/>
      <c r="KRC44" s="19"/>
      <c r="KRD44" s="21"/>
      <c r="KRE44" s="19"/>
      <c r="KRN44" s="19"/>
      <c r="KRO44" s="19"/>
      <c r="KRP44" s="19"/>
      <c r="KRQ44" s="19"/>
      <c r="KRR44" s="21"/>
      <c r="KRS44" s="19"/>
      <c r="KSB44" s="19"/>
      <c r="KSC44" s="19"/>
      <c r="KSD44" s="19"/>
      <c r="KSE44" s="19"/>
      <c r="KSF44" s="21"/>
      <c r="KSG44" s="19"/>
      <c r="KSP44" s="19"/>
      <c r="KSQ44" s="19"/>
      <c r="KSR44" s="19"/>
      <c r="KSS44" s="19"/>
      <c r="KST44" s="21"/>
      <c r="KSU44" s="19"/>
      <c r="KTD44" s="19"/>
      <c r="KTE44" s="19"/>
      <c r="KTF44" s="19"/>
      <c r="KTG44" s="19"/>
      <c r="KTH44" s="21"/>
      <c r="KTI44" s="19"/>
      <c r="KTR44" s="19"/>
      <c r="KTS44" s="19"/>
      <c r="KTT44" s="19"/>
      <c r="KTU44" s="19"/>
      <c r="KTV44" s="21"/>
      <c r="KTW44" s="19"/>
      <c r="KUF44" s="19"/>
      <c r="KUG44" s="19"/>
      <c r="KUH44" s="19"/>
      <c r="KUI44" s="19"/>
      <c r="KUJ44" s="21"/>
      <c r="KUK44" s="19"/>
      <c r="KUT44" s="19"/>
      <c r="KUU44" s="19"/>
      <c r="KUV44" s="19"/>
      <c r="KUW44" s="19"/>
      <c r="KUX44" s="21"/>
      <c r="KUY44" s="19"/>
      <c r="KVH44" s="19"/>
      <c r="KVI44" s="19"/>
      <c r="KVJ44" s="19"/>
      <c r="KVK44" s="19"/>
      <c r="KVL44" s="21"/>
      <c r="KVM44" s="19"/>
      <c r="KVV44" s="19"/>
      <c r="KVW44" s="19"/>
      <c r="KVX44" s="19"/>
      <c r="KVY44" s="19"/>
      <c r="KVZ44" s="21"/>
      <c r="KWA44" s="19"/>
      <c r="KWJ44" s="19"/>
      <c r="KWK44" s="19"/>
      <c r="KWL44" s="19"/>
      <c r="KWM44" s="19"/>
      <c r="KWN44" s="21"/>
      <c r="KWO44" s="19"/>
      <c r="KWX44" s="19"/>
      <c r="KWY44" s="19"/>
      <c r="KWZ44" s="19"/>
      <c r="KXA44" s="19"/>
      <c r="KXB44" s="21"/>
      <c r="KXC44" s="19"/>
      <c r="KXL44" s="19"/>
      <c r="KXM44" s="19"/>
      <c r="KXN44" s="19"/>
      <c r="KXO44" s="19"/>
      <c r="KXP44" s="21"/>
      <c r="KXQ44" s="19"/>
      <c r="KXZ44" s="19"/>
      <c r="KYA44" s="19"/>
      <c r="KYB44" s="19"/>
      <c r="KYC44" s="19"/>
      <c r="KYD44" s="21"/>
      <c r="KYE44" s="19"/>
      <c r="KYN44" s="19"/>
      <c r="KYO44" s="19"/>
      <c r="KYP44" s="19"/>
      <c r="KYQ44" s="19"/>
      <c r="KYR44" s="21"/>
      <c r="KYS44" s="19"/>
      <c r="KZB44" s="19"/>
      <c r="KZC44" s="19"/>
      <c r="KZD44" s="19"/>
      <c r="KZE44" s="19"/>
      <c r="KZF44" s="21"/>
      <c r="KZG44" s="19"/>
      <c r="KZP44" s="19"/>
      <c r="KZQ44" s="19"/>
      <c r="KZR44" s="19"/>
      <c r="KZS44" s="19"/>
      <c r="KZT44" s="21"/>
      <c r="KZU44" s="19"/>
      <c r="LAD44" s="19"/>
      <c r="LAE44" s="19"/>
      <c r="LAF44" s="19"/>
      <c r="LAG44" s="19"/>
      <c r="LAH44" s="21"/>
      <c r="LAI44" s="19"/>
      <c r="LAR44" s="19"/>
      <c r="LAS44" s="19"/>
      <c r="LAT44" s="19"/>
      <c r="LAU44" s="19"/>
      <c r="LAV44" s="21"/>
      <c r="LAW44" s="19"/>
      <c r="LBF44" s="19"/>
      <c r="LBG44" s="19"/>
      <c r="LBH44" s="19"/>
      <c r="LBI44" s="19"/>
      <c r="LBJ44" s="21"/>
      <c r="LBK44" s="19"/>
      <c r="LBT44" s="19"/>
      <c r="LBU44" s="19"/>
      <c r="LBV44" s="19"/>
      <c r="LBW44" s="19"/>
      <c r="LBX44" s="21"/>
      <c r="LBY44" s="19"/>
      <c r="LCH44" s="19"/>
      <c r="LCI44" s="19"/>
      <c r="LCJ44" s="19"/>
      <c r="LCK44" s="19"/>
      <c r="LCL44" s="21"/>
      <c r="LCM44" s="19"/>
      <c r="LCV44" s="19"/>
      <c r="LCW44" s="19"/>
      <c r="LCX44" s="19"/>
      <c r="LCY44" s="19"/>
      <c r="LCZ44" s="21"/>
      <c r="LDA44" s="19"/>
      <c r="LDJ44" s="19"/>
      <c r="LDK44" s="19"/>
      <c r="LDL44" s="19"/>
      <c r="LDM44" s="19"/>
      <c r="LDN44" s="21"/>
      <c r="LDO44" s="19"/>
      <c r="LDX44" s="19"/>
      <c r="LDY44" s="19"/>
      <c r="LDZ44" s="19"/>
      <c r="LEA44" s="19"/>
      <c r="LEB44" s="21"/>
      <c r="LEC44" s="19"/>
      <c r="LEL44" s="19"/>
      <c r="LEM44" s="19"/>
      <c r="LEN44" s="19"/>
      <c r="LEO44" s="19"/>
      <c r="LEP44" s="21"/>
      <c r="LEQ44" s="19"/>
      <c r="LEZ44" s="19"/>
      <c r="LFA44" s="19"/>
      <c r="LFB44" s="19"/>
      <c r="LFC44" s="19"/>
      <c r="LFD44" s="21"/>
      <c r="LFE44" s="19"/>
      <c r="LFN44" s="19"/>
      <c r="LFO44" s="19"/>
      <c r="LFP44" s="19"/>
      <c r="LFQ44" s="19"/>
      <c r="LFR44" s="21"/>
      <c r="LFS44" s="19"/>
      <c r="LGB44" s="19"/>
      <c r="LGC44" s="19"/>
      <c r="LGD44" s="19"/>
      <c r="LGE44" s="19"/>
      <c r="LGF44" s="21"/>
      <c r="LGG44" s="19"/>
      <c r="LGP44" s="19"/>
      <c r="LGQ44" s="19"/>
      <c r="LGR44" s="19"/>
      <c r="LGS44" s="19"/>
      <c r="LGT44" s="21"/>
      <c r="LGU44" s="19"/>
      <c r="LHD44" s="19"/>
      <c r="LHE44" s="19"/>
      <c r="LHF44" s="19"/>
      <c r="LHG44" s="19"/>
      <c r="LHH44" s="21"/>
      <c r="LHI44" s="19"/>
      <c r="LHR44" s="19"/>
      <c r="LHS44" s="19"/>
      <c r="LHT44" s="19"/>
      <c r="LHU44" s="19"/>
      <c r="LHV44" s="21"/>
      <c r="LHW44" s="19"/>
      <c r="LIF44" s="19"/>
      <c r="LIG44" s="19"/>
      <c r="LIH44" s="19"/>
      <c r="LII44" s="19"/>
      <c r="LIJ44" s="21"/>
      <c r="LIK44" s="19"/>
      <c r="LIT44" s="19"/>
      <c r="LIU44" s="19"/>
      <c r="LIV44" s="19"/>
      <c r="LIW44" s="19"/>
      <c r="LIX44" s="21"/>
      <c r="LIY44" s="19"/>
      <c r="LJH44" s="19"/>
      <c r="LJI44" s="19"/>
      <c r="LJJ44" s="19"/>
      <c r="LJK44" s="19"/>
      <c r="LJL44" s="21"/>
      <c r="LJM44" s="19"/>
      <c r="LJV44" s="19"/>
      <c r="LJW44" s="19"/>
      <c r="LJX44" s="19"/>
      <c r="LJY44" s="19"/>
      <c r="LJZ44" s="21"/>
      <c r="LKA44" s="19"/>
      <c r="LKJ44" s="19"/>
      <c r="LKK44" s="19"/>
      <c r="LKL44" s="19"/>
      <c r="LKM44" s="19"/>
      <c r="LKN44" s="21"/>
      <c r="LKO44" s="19"/>
      <c r="LKX44" s="19"/>
      <c r="LKY44" s="19"/>
      <c r="LKZ44" s="19"/>
      <c r="LLA44" s="19"/>
      <c r="LLB44" s="21"/>
      <c r="LLC44" s="19"/>
      <c r="LLL44" s="19"/>
      <c r="LLM44" s="19"/>
      <c r="LLN44" s="19"/>
      <c r="LLO44" s="19"/>
      <c r="LLP44" s="21"/>
      <c r="LLQ44" s="19"/>
      <c r="LLZ44" s="19"/>
      <c r="LMA44" s="19"/>
      <c r="LMB44" s="19"/>
      <c r="LMC44" s="19"/>
      <c r="LMD44" s="21"/>
      <c r="LME44" s="19"/>
      <c r="LMN44" s="19"/>
      <c r="LMO44" s="19"/>
      <c r="LMP44" s="19"/>
      <c r="LMQ44" s="19"/>
      <c r="LMR44" s="21"/>
      <c r="LMS44" s="19"/>
      <c r="LNB44" s="19"/>
      <c r="LNC44" s="19"/>
      <c r="LND44" s="19"/>
      <c r="LNE44" s="19"/>
      <c r="LNF44" s="21"/>
      <c r="LNG44" s="19"/>
      <c r="LNP44" s="19"/>
      <c r="LNQ44" s="19"/>
      <c r="LNR44" s="19"/>
      <c r="LNS44" s="19"/>
      <c r="LNT44" s="21"/>
      <c r="LNU44" s="19"/>
      <c r="LOD44" s="19"/>
      <c r="LOE44" s="19"/>
      <c r="LOF44" s="19"/>
      <c r="LOG44" s="19"/>
      <c r="LOH44" s="21"/>
      <c r="LOI44" s="19"/>
      <c r="LOR44" s="19"/>
      <c r="LOS44" s="19"/>
      <c r="LOT44" s="19"/>
      <c r="LOU44" s="19"/>
      <c r="LOV44" s="21"/>
      <c r="LOW44" s="19"/>
      <c r="LPF44" s="19"/>
      <c r="LPG44" s="19"/>
      <c r="LPH44" s="19"/>
      <c r="LPI44" s="19"/>
      <c r="LPJ44" s="21"/>
      <c r="LPK44" s="19"/>
      <c r="LPT44" s="19"/>
      <c r="LPU44" s="19"/>
      <c r="LPV44" s="19"/>
      <c r="LPW44" s="19"/>
      <c r="LPX44" s="21"/>
      <c r="LPY44" s="19"/>
      <c r="LQH44" s="19"/>
      <c r="LQI44" s="19"/>
      <c r="LQJ44" s="19"/>
      <c r="LQK44" s="19"/>
      <c r="LQL44" s="21"/>
      <c r="LQM44" s="19"/>
      <c r="LQV44" s="19"/>
      <c r="LQW44" s="19"/>
      <c r="LQX44" s="19"/>
      <c r="LQY44" s="19"/>
      <c r="LQZ44" s="21"/>
      <c r="LRA44" s="19"/>
      <c r="LRJ44" s="19"/>
      <c r="LRK44" s="19"/>
      <c r="LRL44" s="19"/>
      <c r="LRM44" s="19"/>
      <c r="LRN44" s="21"/>
      <c r="LRO44" s="19"/>
      <c r="LRX44" s="19"/>
      <c r="LRY44" s="19"/>
      <c r="LRZ44" s="19"/>
      <c r="LSA44" s="19"/>
      <c r="LSB44" s="21"/>
      <c r="LSC44" s="19"/>
      <c r="LSL44" s="19"/>
      <c r="LSM44" s="19"/>
      <c r="LSN44" s="19"/>
      <c r="LSO44" s="19"/>
      <c r="LSP44" s="21"/>
      <c r="LSQ44" s="19"/>
      <c r="LSZ44" s="19"/>
      <c r="LTA44" s="19"/>
      <c r="LTB44" s="19"/>
      <c r="LTC44" s="19"/>
      <c r="LTD44" s="21"/>
      <c r="LTE44" s="19"/>
      <c r="LTN44" s="19"/>
      <c r="LTO44" s="19"/>
      <c r="LTP44" s="19"/>
      <c r="LTQ44" s="19"/>
      <c r="LTR44" s="21"/>
      <c r="LTS44" s="19"/>
      <c r="LUB44" s="19"/>
      <c r="LUC44" s="19"/>
      <c r="LUD44" s="19"/>
      <c r="LUE44" s="19"/>
      <c r="LUF44" s="21"/>
      <c r="LUG44" s="19"/>
      <c r="LUP44" s="19"/>
      <c r="LUQ44" s="19"/>
      <c r="LUR44" s="19"/>
      <c r="LUS44" s="19"/>
      <c r="LUT44" s="21"/>
      <c r="LUU44" s="19"/>
      <c r="LVD44" s="19"/>
      <c r="LVE44" s="19"/>
      <c r="LVF44" s="19"/>
      <c r="LVG44" s="19"/>
      <c r="LVH44" s="21"/>
      <c r="LVI44" s="19"/>
      <c r="LVR44" s="19"/>
      <c r="LVS44" s="19"/>
      <c r="LVT44" s="19"/>
      <c r="LVU44" s="19"/>
      <c r="LVV44" s="21"/>
      <c r="LVW44" s="19"/>
      <c r="LWF44" s="19"/>
      <c r="LWG44" s="19"/>
      <c r="LWH44" s="19"/>
      <c r="LWI44" s="19"/>
      <c r="LWJ44" s="21"/>
      <c r="LWK44" s="19"/>
      <c r="LWT44" s="19"/>
      <c r="LWU44" s="19"/>
      <c r="LWV44" s="19"/>
      <c r="LWW44" s="19"/>
      <c r="LWX44" s="21"/>
      <c r="LWY44" s="19"/>
      <c r="LXH44" s="19"/>
      <c r="LXI44" s="19"/>
      <c r="LXJ44" s="19"/>
      <c r="LXK44" s="19"/>
      <c r="LXL44" s="21"/>
      <c r="LXM44" s="19"/>
      <c r="LXV44" s="19"/>
      <c r="LXW44" s="19"/>
      <c r="LXX44" s="19"/>
      <c r="LXY44" s="19"/>
      <c r="LXZ44" s="21"/>
      <c r="LYA44" s="19"/>
      <c r="LYJ44" s="19"/>
      <c r="LYK44" s="19"/>
      <c r="LYL44" s="19"/>
      <c r="LYM44" s="19"/>
      <c r="LYN44" s="21"/>
      <c r="LYO44" s="19"/>
      <c r="LYX44" s="19"/>
      <c r="LYY44" s="19"/>
      <c r="LYZ44" s="19"/>
      <c r="LZA44" s="19"/>
      <c r="LZB44" s="21"/>
      <c r="LZC44" s="19"/>
      <c r="LZL44" s="19"/>
      <c r="LZM44" s="19"/>
      <c r="LZN44" s="19"/>
      <c r="LZO44" s="19"/>
      <c r="LZP44" s="21"/>
      <c r="LZQ44" s="19"/>
      <c r="LZZ44" s="19"/>
      <c r="MAA44" s="19"/>
      <c r="MAB44" s="19"/>
      <c r="MAC44" s="19"/>
      <c r="MAD44" s="21"/>
      <c r="MAE44" s="19"/>
      <c r="MAN44" s="19"/>
      <c r="MAO44" s="19"/>
      <c r="MAP44" s="19"/>
      <c r="MAQ44" s="19"/>
      <c r="MAR44" s="21"/>
      <c r="MAS44" s="19"/>
      <c r="MBB44" s="19"/>
      <c r="MBC44" s="19"/>
      <c r="MBD44" s="19"/>
      <c r="MBE44" s="19"/>
      <c r="MBF44" s="21"/>
      <c r="MBG44" s="19"/>
      <c r="MBP44" s="19"/>
      <c r="MBQ44" s="19"/>
      <c r="MBR44" s="19"/>
      <c r="MBS44" s="19"/>
      <c r="MBT44" s="21"/>
      <c r="MBU44" s="19"/>
      <c r="MCD44" s="19"/>
      <c r="MCE44" s="19"/>
      <c r="MCF44" s="19"/>
      <c r="MCG44" s="19"/>
      <c r="MCH44" s="21"/>
      <c r="MCI44" s="19"/>
      <c r="MCR44" s="19"/>
      <c r="MCS44" s="19"/>
      <c r="MCT44" s="19"/>
      <c r="MCU44" s="19"/>
      <c r="MCV44" s="21"/>
      <c r="MCW44" s="19"/>
      <c r="MDF44" s="19"/>
      <c r="MDG44" s="19"/>
      <c r="MDH44" s="19"/>
      <c r="MDI44" s="19"/>
      <c r="MDJ44" s="21"/>
      <c r="MDK44" s="19"/>
      <c r="MDT44" s="19"/>
      <c r="MDU44" s="19"/>
      <c r="MDV44" s="19"/>
      <c r="MDW44" s="19"/>
      <c r="MDX44" s="21"/>
      <c r="MDY44" s="19"/>
      <c r="MEH44" s="19"/>
      <c r="MEI44" s="19"/>
      <c r="MEJ44" s="19"/>
      <c r="MEK44" s="19"/>
      <c r="MEL44" s="21"/>
      <c r="MEM44" s="19"/>
      <c r="MEV44" s="19"/>
      <c r="MEW44" s="19"/>
      <c r="MEX44" s="19"/>
      <c r="MEY44" s="19"/>
      <c r="MEZ44" s="21"/>
      <c r="MFA44" s="19"/>
      <c r="MFJ44" s="19"/>
      <c r="MFK44" s="19"/>
      <c r="MFL44" s="19"/>
      <c r="MFM44" s="19"/>
      <c r="MFN44" s="21"/>
      <c r="MFO44" s="19"/>
      <c r="MFX44" s="19"/>
      <c r="MFY44" s="19"/>
      <c r="MFZ44" s="19"/>
      <c r="MGA44" s="19"/>
      <c r="MGB44" s="21"/>
      <c r="MGC44" s="19"/>
      <c r="MGL44" s="19"/>
      <c r="MGM44" s="19"/>
      <c r="MGN44" s="19"/>
      <c r="MGO44" s="19"/>
      <c r="MGP44" s="21"/>
      <c r="MGQ44" s="19"/>
      <c r="MGZ44" s="19"/>
      <c r="MHA44" s="19"/>
      <c r="MHB44" s="19"/>
      <c r="MHC44" s="19"/>
      <c r="MHD44" s="21"/>
      <c r="MHE44" s="19"/>
      <c r="MHN44" s="19"/>
      <c r="MHO44" s="19"/>
      <c r="MHP44" s="19"/>
      <c r="MHQ44" s="19"/>
      <c r="MHR44" s="21"/>
      <c r="MHS44" s="19"/>
      <c r="MIB44" s="19"/>
      <c r="MIC44" s="19"/>
      <c r="MID44" s="19"/>
      <c r="MIE44" s="19"/>
      <c r="MIF44" s="21"/>
      <c r="MIG44" s="19"/>
      <c r="MIP44" s="19"/>
      <c r="MIQ44" s="19"/>
      <c r="MIR44" s="19"/>
      <c r="MIS44" s="19"/>
      <c r="MIT44" s="21"/>
      <c r="MIU44" s="19"/>
      <c r="MJD44" s="19"/>
      <c r="MJE44" s="19"/>
      <c r="MJF44" s="19"/>
      <c r="MJG44" s="19"/>
      <c r="MJH44" s="21"/>
      <c r="MJI44" s="19"/>
      <c r="MJR44" s="19"/>
      <c r="MJS44" s="19"/>
      <c r="MJT44" s="19"/>
      <c r="MJU44" s="19"/>
      <c r="MJV44" s="21"/>
      <c r="MJW44" s="19"/>
      <c r="MKF44" s="19"/>
      <c r="MKG44" s="19"/>
      <c r="MKH44" s="19"/>
      <c r="MKI44" s="19"/>
      <c r="MKJ44" s="21"/>
      <c r="MKK44" s="19"/>
      <c r="MKT44" s="19"/>
      <c r="MKU44" s="19"/>
      <c r="MKV44" s="19"/>
      <c r="MKW44" s="19"/>
      <c r="MKX44" s="21"/>
      <c r="MKY44" s="19"/>
      <c r="MLH44" s="19"/>
      <c r="MLI44" s="19"/>
      <c r="MLJ44" s="19"/>
      <c r="MLK44" s="19"/>
      <c r="MLL44" s="21"/>
      <c r="MLM44" s="19"/>
      <c r="MLV44" s="19"/>
      <c r="MLW44" s="19"/>
      <c r="MLX44" s="19"/>
      <c r="MLY44" s="19"/>
      <c r="MLZ44" s="21"/>
      <c r="MMA44" s="19"/>
      <c r="MMJ44" s="19"/>
      <c r="MMK44" s="19"/>
      <c r="MML44" s="19"/>
      <c r="MMM44" s="19"/>
      <c r="MMN44" s="21"/>
      <c r="MMO44" s="19"/>
      <c r="MMX44" s="19"/>
      <c r="MMY44" s="19"/>
      <c r="MMZ44" s="19"/>
      <c r="MNA44" s="19"/>
      <c r="MNB44" s="21"/>
      <c r="MNC44" s="19"/>
      <c r="MNL44" s="19"/>
      <c r="MNM44" s="19"/>
      <c r="MNN44" s="19"/>
      <c r="MNO44" s="19"/>
      <c r="MNP44" s="21"/>
      <c r="MNQ44" s="19"/>
      <c r="MNZ44" s="19"/>
      <c r="MOA44" s="19"/>
      <c r="MOB44" s="19"/>
      <c r="MOC44" s="19"/>
      <c r="MOD44" s="21"/>
      <c r="MOE44" s="19"/>
      <c r="MON44" s="19"/>
      <c r="MOO44" s="19"/>
      <c r="MOP44" s="19"/>
      <c r="MOQ44" s="19"/>
      <c r="MOR44" s="21"/>
      <c r="MOS44" s="19"/>
      <c r="MPB44" s="19"/>
      <c r="MPC44" s="19"/>
      <c r="MPD44" s="19"/>
      <c r="MPE44" s="19"/>
      <c r="MPF44" s="21"/>
      <c r="MPG44" s="19"/>
      <c r="MPP44" s="19"/>
      <c r="MPQ44" s="19"/>
      <c r="MPR44" s="19"/>
      <c r="MPS44" s="19"/>
      <c r="MPT44" s="21"/>
      <c r="MPU44" s="19"/>
      <c r="MQD44" s="19"/>
      <c r="MQE44" s="19"/>
      <c r="MQF44" s="19"/>
      <c r="MQG44" s="19"/>
      <c r="MQH44" s="21"/>
      <c r="MQI44" s="19"/>
      <c r="MQR44" s="19"/>
      <c r="MQS44" s="19"/>
      <c r="MQT44" s="19"/>
      <c r="MQU44" s="19"/>
      <c r="MQV44" s="21"/>
      <c r="MQW44" s="19"/>
      <c r="MRF44" s="19"/>
      <c r="MRG44" s="19"/>
      <c r="MRH44" s="19"/>
      <c r="MRI44" s="19"/>
      <c r="MRJ44" s="21"/>
      <c r="MRK44" s="19"/>
      <c r="MRT44" s="19"/>
      <c r="MRU44" s="19"/>
      <c r="MRV44" s="19"/>
      <c r="MRW44" s="19"/>
      <c r="MRX44" s="21"/>
      <c r="MRY44" s="19"/>
      <c r="MSH44" s="19"/>
      <c r="MSI44" s="19"/>
      <c r="MSJ44" s="19"/>
      <c r="MSK44" s="19"/>
      <c r="MSL44" s="21"/>
      <c r="MSM44" s="19"/>
      <c r="MSV44" s="19"/>
      <c r="MSW44" s="19"/>
      <c r="MSX44" s="19"/>
      <c r="MSY44" s="19"/>
      <c r="MSZ44" s="21"/>
      <c r="MTA44" s="19"/>
      <c r="MTJ44" s="19"/>
      <c r="MTK44" s="19"/>
      <c r="MTL44" s="19"/>
      <c r="MTM44" s="19"/>
      <c r="MTN44" s="21"/>
      <c r="MTO44" s="19"/>
      <c r="MTX44" s="19"/>
      <c r="MTY44" s="19"/>
      <c r="MTZ44" s="19"/>
      <c r="MUA44" s="19"/>
      <c r="MUB44" s="21"/>
      <c r="MUC44" s="19"/>
      <c r="MUL44" s="19"/>
      <c r="MUM44" s="19"/>
      <c r="MUN44" s="19"/>
      <c r="MUO44" s="19"/>
      <c r="MUP44" s="21"/>
      <c r="MUQ44" s="19"/>
      <c r="MUZ44" s="19"/>
      <c r="MVA44" s="19"/>
      <c r="MVB44" s="19"/>
      <c r="MVC44" s="19"/>
      <c r="MVD44" s="21"/>
      <c r="MVE44" s="19"/>
      <c r="MVN44" s="19"/>
      <c r="MVO44" s="19"/>
      <c r="MVP44" s="19"/>
      <c r="MVQ44" s="19"/>
      <c r="MVR44" s="21"/>
      <c r="MVS44" s="19"/>
      <c r="MWB44" s="19"/>
      <c r="MWC44" s="19"/>
      <c r="MWD44" s="19"/>
      <c r="MWE44" s="19"/>
      <c r="MWF44" s="21"/>
      <c r="MWG44" s="19"/>
      <c r="MWP44" s="19"/>
      <c r="MWQ44" s="19"/>
      <c r="MWR44" s="19"/>
      <c r="MWS44" s="19"/>
      <c r="MWT44" s="21"/>
      <c r="MWU44" s="19"/>
      <c r="MXD44" s="19"/>
      <c r="MXE44" s="19"/>
      <c r="MXF44" s="19"/>
      <c r="MXG44" s="19"/>
      <c r="MXH44" s="21"/>
      <c r="MXI44" s="19"/>
      <c r="MXR44" s="19"/>
      <c r="MXS44" s="19"/>
      <c r="MXT44" s="19"/>
      <c r="MXU44" s="19"/>
      <c r="MXV44" s="21"/>
      <c r="MXW44" s="19"/>
      <c r="MYF44" s="19"/>
      <c r="MYG44" s="19"/>
      <c r="MYH44" s="19"/>
      <c r="MYI44" s="19"/>
      <c r="MYJ44" s="21"/>
      <c r="MYK44" s="19"/>
      <c r="MYT44" s="19"/>
      <c r="MYU44" s="19"/>
      <c r="MYV44" s="19"/>
      <c r="MYW44" s="19"/>
      <c r="MYX44" s="21"/>
      <c r="MYY44" s="19"/>
      <c r="MZH44" s="19"/>
      <c r="MZI44" s="19"/>
      <c r="MZJ44" s="19"/>
      <c r="MZK44" s="19"/>
      <c r="MZL44" s="21"/>
      <c r="MZM44" s="19"/>
      <c r="MZV44" s="19"/>
      <c r="MZW44" s="19"/>
      <c r="MZX44" s="19"/>
      <c r="MZY44" s="19"/>
      <c r="MZZ44" s="21"/>
      <c r="NAA44" s="19"/>
      <c r="NAJ44" s="19"/>
      <c r="NAK44" s="19"/>
      <c r="NAL44" s="19"/>
      <c r="NAM44" s="19"/>
      <c r="NAN44" s="21"/>
      <c r="NAO44" s="19"/>
      <c r="NAX44" s="19"/>
      <c r="NAY44" s="19"/>
      <c r="NAZ44" s="19"/>
      <c r="NBA44" s="19"/>
      <c r="NBB44" s="21"/>
      <c r="NBC44" s="19"/>
      <c r="NBL44" s="19"/>
      <c r="NBM44" s="19"/>
      <c r="NBN44" s="19"/>
      <c r="NBO44" s="19"/>
      <c r="NBP44" s="21"/>
      <c r="NBQ44" s="19"/>
      <c r="NBZ44" s="19"/>
      <c r="NCA44" s="19"/>
      <c r="NCB44" s="19"/>
      <c r="NCC44" s="19"/>
      <c r="NCD44" s="21"/>
      <c r="NCE44" s="19"/>
      <c r="NCN44" s="19"/>
      <c r="NCO44" s="19"/>
      <c r="NCP44" s="19"/>
      <c r="NCQ44" s="19"/>
      <c r="NCR44" s="21"/>
      <c r="NCS44" s="19"/>
      <c r="NDB44" s="19"/>
      <c r="NDC44" s="19"/>
      <c r="NDD44" s="19"/>
      <c r="NDE44" s="19"/>
      <c r="NDF44" s="21"/>
      <c r="NDG44" s="19"/>
      <c r="NDP44" s="19"/>
      <c r="NDQ44" s="19"/>
      <c r="NDR44" s="19"/>
      <c r="NDS44" s="19"/>
      <c r="NDT44" s="21"/>
      <c r="NDU44" s="19"/>
      <c r="NED44" s="19"/>
      <c r="NEE44" s="19"/>
      <c r="NEF44" s="19"/>
      <c r="NEG44" s="19"/>
      <c r="NEH44" s="21"/>
      <c r="NEI44" s="19"/>
      <c r="NER44" s="19"/>
      <c r="NES44" s="19"/>
      <c r="NET44" s="19"/>
      <c r="NEU44" s="19"/>
      <c r="NEV44" s="21"/>
      <c r="NEW44" s="19"/>
      <c r="NFF44" s="19"/>
      <c r="NFG44" s="19"/>
      <c r="NFH44" s="19"/>
      <c r="NFI44" s="19"/>
      <c r="NFJ44" s="21"/>
      <c r="NFK44" s="19"/>
      <c r="NFT44" s="19"/>
      <c r="NFU44" s="19"/>
      <c r="NFV44" s="19"/>
      <c r="NFW44" s="19"/>
      <c r="NFX44" s="21"/>
      <c r="NFY44" s="19"/>
      <c r="NGH44" s="19"/>
      <c r="NGI44" s="19"/>
      <c r="NGJ44" s="19"/>
      <c r="NGK44" s="19"/>
      <c r="NGL44" s="21"/>
      <c r="NGM44" s="19"/>
      <c r="NGV44" s="19"/>
      <c r="NGW44" s="19"/>
      <c r="NGX44" s="19"/>
      <c r="NGY44" s="19"/>
      <c r="NGZ44" s="21"/>
      <c r="NHA44" s="19"/>
      <c r="NHJ44" s="19"/>
      <c r="NHK44" s="19"/>
      <c r="NHL44" s="19"/>
      <c r="NHM44" s="19"/>
      <c r="NHN44" s="21"/>
      <c r="NHO44" s="19"/>
      <c r="NHX44" s="19"/>
      <c r="NHY44" s="19"/>
      <c r="NHZ44" s="19"/>
      <c r="NIA44" s="19"/>
      <c r="NIB44" s="21"/>
      <c r="NIC44" s="19"/>
      <c r="NIL44" s="19"/>
      <c r="NIM44" s="19"/>
      <c r="NIN44" s="19"/>
      <c r="NIO44" s="19"/>
      <c r="NIP44" s="21"/>
      <c r="NIQ44" s="19"/>
      <c r="NIZ44" s="19"/>
      <c r="NJA44" s="19"/>
      <c r="NJB44" s="19"/>
      <c r="NJC44" s="19"/>
      <c r="NJD44" s="21"/>
      <c r="NJE44" s="19"/>
      <c r="NJN44" s="19"/>
      <c r="NJO44" s="19"/>
      <c r="NJP44" s="19"/>
      <c r="NJQ44" s="19"/>
      <c r="NJR44" s="21"/>
      <c r="NJS44" s="19"/>
      <c r="NKB44" s="19"/>
      <c r="NKC44" s="19"/>
      <c r="NKD44" s="19"/>
      <c r="NKE44" s="19"/>
      <c r="NKF44" s="21"/>
      <c r="NKG44" s="19"/>
      <c r="NKP44" s="19"/>
      <c r="NKQ44" s="19"/>
      <c r="NKR44" s="19"/>
      <c r="NKS44" s="19"/>
      <c r="NKT44" s="21"/>
      <c r="NKU44" s="19"/>
      <c r="NLD44" s="19"/>
      <c r="NLE44" s="19"/>
      <c r="NLF44" s="19"/>
      <c r="NLG44" s="19"/>
      <c r="NLH44" s="21"/>
      <c r="NLI44" s="19"/>
      <c r="NLR44" s="19"/>
      <c r="NLS44" s="19"/>
      <c r="NLT44" s="19"/>
      <c r="NLU44" s="19"/>
      <c r="NLV44" s="21"/>
      <c r="NLW44" s="19"/>
      <c r="NMF44" s="19"/>
      <c r="NMG44" s="19"/>
      <c r="NMH44" s="19"/>
      <c r="NMI44" s="19"/>
      <c r="NMJ44" s="21"/>
      <c r="NMK44" s="19"/>
      <c r="NMT44" s="19"/>
      <c r="NMU44" s="19"/>
      <c r="NMV44" s="19"/>
      <c r="NMW44" s="19"/>
      <c r="NMX44" s="21"/>
      <c r="NMY44" s="19"/>
      <c r="NNH44" s="19"/>
      <c r="NNI44" s="19"/>
      <c r="NNJ44" s="19"/>
      <c r="NNK44" s="19"/>
      <c r="NNL44" s="21"/>
      <c r="NNM44" s="19"/>
      <c r="NNV44" s="19"/>
      <c r="NNW44" s="19"/>
      <c r="NNX44" s="19"/>
      <c r="NNY44" s="19"/>
      <c r="NNZ44" s="21"/>
      <c r="NOA44" s="19"/>
      <c r="NOJ44" s="19"/>
      <c r="NOK44" s="19"/>
      <c r="NOL44" s="19"/>
      <c r="NOM44" s="19"/>
      <c r="NON44" s="21"/>
      <c r="NOO44" s="19"/>
      <c r="NOX44" s="19"/>
      <c r="NOY44" s="19"/>
      <c r="NOZ44" s="19"/>
      <c r="NPA44" s="19"/>
      <c r="NPB44" s="21"/>
      <c r="NPC44" s="19"/>
      <c r="NPL44" s="19"/>
      <c r="NPM44" s="19"/>
      <c r="NPN44" s="19"/>
      <c r="NPO44" s="19"/>
      <c r="NPP44" s="21"/>
      <c r="NPQ44" s="19"/>
      <c r="NPZ44" s="19"/>
      <c r="NQA44" s="19"/>
      <c r="NQB44" s="19"/>
      <c r="NQC44" s="19"/>
      <c r="NQD44" s="21"/>
      <c r="NQE44" s="19"/>
      <c r="NQN44" s="19"/>
      <c r="NQO44" s="19"/>
      <c r="NQP44" s="19"/>
      <c r="NQQ44" s="19"/>
      <c r="NQR44" s="21"/>
      <c r="NQS44" s="19"/>
      <c r="NRB44" s="19"/>
      <c r="NRC44" s="19"/>
      <c r="NRD44" s="19"/>
      <c r="NRE44" s="19"/>
      <c r="NRF44" s="21"/>
      <c r="NRG44" s="19"/>
      <c r="NRP44" s="19"/>
      <c r="NRQ44" s="19"/>
      <c r="NRR44" s="19"/>
      <c r="NRS44" s="19"/>
      <c r="NRT44" s="21"/>
      <c r="NRU44" s="19"/>
      <c r="NSD44" s="19"/>
      <c r="NSE44" s="19"/>
      <c r="NSF44" s="19"/>
      <c r="NSG44" s="19"/>
      <c r="NSH44" s="21"/>
      <c r="NSI44" s="19"/>
      <c r="NSR44" s="19"/>
      <c r="NSS44" s="19"/>
      <c r="NST44" s="19"/>
      <c r="NSU44" s="19"/>
      <c r="NSV44" s="21"/>
      <c r="NSW44" s="19"/>
      <c r="NTF44" s="19"/>
      <c r="NTG44" s="19"/>
      <c r="NTH44" s="19"/>
      <c r="NTI44" s="19"/>
      <c r="NTJ44" s="21"/>
      <c r="NTK44" s="19"/>
      <c r="NTT44" s="19"/>
      <c r="NTU44" s="19"/>
      <c r="NTV44" s="19"/>
      <c r="NTW44" s="19"/>
      <c r="NTX44" s="21"/>
      <c r="NTY44" s="19"/>
      <c r="NUH44" s="19"/>
      <c r="NUI44" s="19"/>
      <c r="NUJ44" s="19"/>
      <c r="NUK44" s="19"/>
      <c r="NUL44" s="21"/>
      <c r="NUM44" s="19"/>
      <c r="NUV44" s="19"/>
      <c r="NUW44" s="19"/>
      <c r="NUX44" s="19"/>
      <c r="NUY44" s="19"/>
      <c r="NUZ44" s="21"/>
      <c r="NVA44" s="19"/>
      <c r="NVJ44" s="19"/>
      <c r="NVK44" s="19"/>
      <c r="NVL44" s="19"/>
      <c r="NVM44" s="19"/>
      <c r="NVN44" s="21"/>
      <c r="NVO44" s="19"/>
      <c r="NVX44" s="19"/>
      <c r="NVY44" s="19"/>
      <c r="NVZ44" s="19"/>
      <c r="NWA44" s="19"/>
      <c r="NWB44" s="21"/>
      <c r="NWC44" s="19"/>
      <c r="NWL44" s="19"/>
      <c r="NWM44" s="19"/>
      <c r="NWN44" s="19"/>
      <c r="NWO44" s="19"/>
      <c r="NWP44" s="21"/>
      <c r="NWQ44" s="19"/>
      <c r="NWZ44" s="19"/>
      <c r="NXA44" s="19"/>
      <c r="NXB44" s="19"/>
      <c r="NXC44" s="19"/>
      <c r="NXD44" s="21"/>
      <c r="NXE44" s="19"/>
      <c r="NXN44" s="19"/>
      <c r="NXO44" s="19"/>
      <c r="NXP44" s="19"/>
      <c r="NXQ44" s="19"/>
      <c r="NXR44" s="21"/>
      <c r="NXS44" s="19"/>
      <c r="NYB44" s="19"/>
      <c r="NYC44" s="19"/>
      <c r="NYD44" s="19"/>
      <c r="NYE44" s="19"/>
      <c r="NYF44" s="21"/>
      <c r="NYG44" s="19"/>
      <c r="NYP44" s="19"/>
      <c r="NYQ44" s="19"/>
      <c r="NYR44" s="19"/>
      <c r="NYS44" s="19"/>
      <c r="NYT44" s="21"/>
      <c r="NYU44" s="19"/>
      <c r="NZD44" s="19"/>
      <c r="NZE44" s="19"/>
      <c r="NZF44" s="19"/>
      <c r="NZG44" s="19"/>
      <c r="NZH44" s="21"/>
      <c r="NZI44" s="19"/>
      <c r="NZR44" s="19"/>
      <c r="NZS44" s="19"/>
      <c r="NZT44" s="19"/>
      <c r="NZU44" s="19"/>
      <c r="NZV44" s="21"/>
      <c r="NZW44" s="19"/>
      <c r="OAF44" s="19"/>
      <c r="OAG44" s="19"/>
      <c r="OAH44" s="19"/>
      <c r="OAI44" s="19"/>
      <c r="OAJ44" s="21"/>
      <c r="OAK44" s="19"/>
      <c r="OAT44" s="19"/>
      <c r="OAU44" s="19"/>
      <c r="OAV44" s="19"/>
      <c r="OAW44" s="19"/>
      <c r="OAX44" s="21"/>
      <c r="OAY44" s="19"/>
      <c r="OBH44" s="19"/>
      <c r="OBI44" s="19"/>
      <c r="OBJ44" s="19"/>
      <c r="OBK44" s="19"/>
      <c r="OBL44" s="21"/>
      <c r="OBM44" s="19"/>
      <c r="OBV44" s="19"/>
      <c r="OBW44" s="19"/>
      <c r="OBX44" s="19"/>
      <c r="OBY44" s="19"/>
      <c r="OBZ44" s="21"/>
      <c r="OCA44" s="19"/>
      <c r="OCJ44" s="19"/>
      <c r="OCK44" s="19"/>
      <c r="OCL44" s="19"/>
      <c r="OCM44" s="19"/>
      <c r="OCN44" s="21"/>
      <c r="OCO44" s="19"/>
      <c r="OCX44" s="19"/>
      <c r="OCY44" s="19"/>
      <c r="OCZ44" s="19"/>
      <c r="ODA44" s="19"/>
      <c r="ODB44" s="21"/>
      <c r="ODC44" s="19"/>
      <c r="ODL44" s="19"/>
      <c r="ODM44" s="19"/>
      <c r="ODN44" s="19"/>
      <c r="ODO44" s="19"/>
      <c r="ODP44" s="21"/>
      <c r="ODQ44" s="19"/>
      <c r="ODZ44" s="19"/>
      <c r="OEA44" s="19"/>
      <c r="OEB44" s="19"/>
      <c r="OEC44" s="19"/>
      <c r="OED44" s="21"/>
      <c r="OEE44" s="19"/>
      <c r="OEN44" s="19"/>
      <c r="OEO44" s="19"/>
      <c r="OEP44" s="19"/>
      <c r="OEQ44" s="19"/>
      <c r="OER44" s="21"/>
      <c r="OES44" s="19"/>
      <c r="OFB44" s="19"/>
      <c r="OFC44" s="19"/>
      <c r="OFD44" s="19"/>
      <c r="OFE44" s="19"/>
      <c r="OFF44" s="21"/>
      <c r="OFG44" s="19"/>
      <c r="OFP44" s="19"/>
      <c r="OFQ44" s="19"/>
      <c r="OFR44" s="19"/>
      <c r="OFS44" s="19"/>
      <c r="OFT44" s="21"/>
      <c r="OFU44" s="19"/>
      <c r="OGD44" s="19"/>
      <c r="OGE44" s="19"/>
      <c r="OGF44" s="19"/>
      <c r="OGG44" s="19"/>
      <c r="OGH44" s="21"/>
      <c r="OGI44" s="19"/>
      <c r="OGR44" s="19"/>
      <c r="OGS44" s="19"/>
      <c r="OGT44" s="19"/>
      <c r="OGU44" s="19"/>
      <c r="OGV44" s="21"/>
      <c r="OGW44" s="19"/>
      <c r="OHF44" s="19"/>
      <c r="OHG44" s="19"/>
      <c r="OHH44" s="19"/>
      <c r="OHI44" s="19"/>
      <c r="OHJ44" s="21"/>
      <c r="OHK44" s="19"/>
      <c r="OHT44" s="19"/>
      <c r="OHU44" s="19"/>
      <c r="OHV44" s="19"/>
      <c r="OHW44" s="19"/>
      <c r="OHX44" s="21"/>
      <c r="OHY44" s="19"/>
      <c r="OIH44" s="19"/>
      <c r="OII44" s="19"/>
      <c r="OIJ44" s="19"/>
      <c r="OIK44" s="19"/>
      <c r="OIL44" s="21"/>
      <c r="OIM44" s="19"/>
      <c r="OIV44" s="19"/>
      <c r="OIW44" s="19"/>
      <c r="OIX44" s="19"/>
      <c r="OIY44" s="19"/>
      <c r="OIZ44" s="21"/>
      <c r="OJA44" s="19"/>
      <c r="OJJ44" s="19"/>
      <c r="OJK44" s="19"/>
      <c r="OJL44" s="19"/>
      <c r="OJM44" s="19"/>
      <c r="OJN44" s="21"/>
      <c r="OJO44" s="19"/>
      <c r="OJX44" s="19"/>
      <c r="OJY44" s="19"/>
      <c r="OJZ44" s="19"/>
      <c r="OKA44" s="19"/>
      <c r="OKB44" s="21"/>
      <c r="OKC44" s="19"/>
      <c r="OKL44" s="19"/>
      <c r="OKM44" s="19"/>
      <c r="OKN44" s="19"/>
      <c r="OKO44" s="19"/>
      <c r="OKP44" s="21"/>
      <c r="OKQ44" s="19"/>
      <c r="OKZ44" s="19"/>
      <c r="OLA44" s="19"/>
      <c r="OLB44" s="19"/>
      <c r="OLC44" s="19"/>
      <c r="OLD44" s="21"/>
      <c r="OLE44" s="19"/>
      <c r="OLN44" s="19"/>
      <c r="OLO44" s="19"/>
      <c r="OLP44" s="19"/>
      <c r="OLQ44" s="19"/>
      <c r="OLR44" s="21"/>
      <c r="OLS44" s="19"/>
      <c r="OMB44" s="19"/>
      <c r="OMC44" s="19"/>
      <c r="OMD44" s="19"/>
      <c r="OME44" s="19"/>
      <c r="OMF44" s="21"/>
      <c r="OMG44" s="19"/>
      <c r="OMP44" s="19"/>
      <c r="OMQ44" s="19"/>
      <c r="OMR44" s="19"/>
      <c r="OMS44" s="19"/>
      <c r="OMT44" s="21"/>
      <c r="OMU44" s="19"/>
      <c r="OND44" s="19"/>
      <c r="ONE44" s="19"/>
      <c r="ONF44" s="19"/>
      <c r="ONG44" s="19"/>
      <c r="ONH44" s="21"/>
      <c r="ONI44" s="19"/>
      <c r="ONR44" s="19"/>
      <c r="ONS44" s="19"/>
      <c r="ONT44" s="19"/>
      <c r="ONU44" s="19"/>
      <c r="ONV44" s="21"/>
      <c r="ONW44" s="19"/>
      <c r="OOF44" s="19"/>
      <c r="OOG44" s="19"/>
      <c r="OOH44" s="19"/>
      <c r="OOI44" s="19"/>
      <c r="OOJ44" s="21"/>
      <c r="OOK44" s="19"/>
      <c r="OOT44" s="19"/>
      <c r="OOU44" s="19"/>
      <c r="OOV44" s="19"/>
      <c r="OOW44" s="19"/>
      <c r="OOX44" s="21"/>
      <c r="OOY44" s="19"/>
      <c r="OPH44" s="19"/>
      <c r="OPI44" s="19"/>
      <c r="OPJ44" s="19"/>
      <c r="OPK44" s="19"/>
      <c r="OPL44" s="21"/>
      <c r="OPM44" s="19"/>
      <c r="OPV44" s="19"/>
      <c r="OPW44" s="19"/>
      <c r="OPX44" s="19"/>
      <c r="OPY44" s="19"/>
      <c r="OPZ44" s="21"/>
      <c r="OQA44" s="19"/>
      <c r="OQJ44" s="19"/>
      <c r="OQK44" s="19"/>
      <c r="OQL44" s="19"/>
      <c r="OQM44" s="19"/>
      <c r="OQN44" s="21"/>
      <c r="OQO44" s="19"/>
      <c r="OQX44" s="19"/>
      <c r="OQY44" s="19"/>
      <c r="OQZ44" s="19"/>
      <c r="ORA44" s="19"/>
      <c r="ORB44" s="21"/>
      <c r="ORC44" s="19"/>
      <c r="ORL44" s="19"/>
      <c r="ORM44" s="19"/>
      <c r="ORN44" s="19"/>
      <c r="ORO44" s="19"/>
      <c r="ORP44" s="21"/>
      <c r="ORQ44" s="19"/>
      <c r="ORZ44" s="19"/>
      <c r="OSA44" s="19"/>
      <c r="OSB44" s="19"/>
      <c r="OSC44" s="19"/>
      <c r="OSD44" s="21"/>
      <c r="OSE44" s="19"/>
      <c r="OSN44" s="19"/>
      <c r="OSO44" s="19"/>
      <c r="OSP44" s="19"/>
      <c r="OSQ44" s="19"/>
      <c r="OSR44" s="21"/>
      <c r="OSS44" s="19"/>
      <c r="OTB44" s="19"/>
      <c r="OTC44" s="19"/>
      <c r="OTD44" s="19"/>
      <c r="OTE44" s="19"/>
      <c r="OTF44" s="21"/>
      <c r="OTG44" s="19"/>
      <c r="OTP44" s="19"/>
      <c r="OTQ44" s="19"/>
      <c r="OTR44" s="19"/>
      <c r="OTS44" s="19"/>
      <c r="OTT44" s="21"/>
      <c r="OTU44" s="19"/>
      <c r="OUD44" s="19"/>
      <c r="OUE44" s="19"/>
      <c r="OUF44" s="19"/>
      <c r="OUG44" s="19"/>
      <c r="OUH44" s="21"/>
      <c r="OUI44" s="19"/>
      <c r="OUR44" s="19"/>
      <c r="OUS44" s="19"/>
      <c r="OUT44" s="19"/>
      <c r="OUU44" s="19"/>
      <c r="OUV44" s="21"/>
      <c r="OUW44" s="19"/>
      <c r="OVF44" s="19"/>
      <c r="OVG44" s="19"/>
      <c r="OVH44" s="19"/>
      <c r="OVI44" s="19"/>
      <c r="OVJ44" s="21"/>
      <c r="OVK44" s="19"/>
      <c r="OVT44" s="19"/>
      <c r="OVU44" s="19"/>
      <c r="OVV44" s="19"/>
      <c r="OVW44" s="19"/>
      <c r="OVX44" s="21"/>
      <c r="OVY44" s="19"/>
      <c r="OWH44" s="19"/>
      <c r="OWI44" s="19"/>
      <c r="OWJ44" s="19"/>
      <c r="OWK44" s="19"/>
      <c r="OWL44" s="21"/>
      <c r="OWM44" s="19"/>
      <c r="OWV44" s="19"/>
      <c r="OWW44" s="19"/>
      <c r="OWX44" s="19"/>
      <c r="OWY44" s="19"/>
      <c r="OWZ44" s="21"/>
      <c r="OXA44" s="19"/>
      <c r="OXJ44" s="19"/>
      <c r="OXK44" s="19"/>
      <c r="OXL44" s="19"/>
      <c r="OXM44" s="19"/>
      <c r="OXN44" s="21"/>
      <c r="OXO44" s="19"/>
      <c r="OXX44" s="19"/>
      <c r="OXY44" s="19"/>
      <c r="OXZ44" s="19"/>
      <c r="OYA44" s="19"/>
      <c r="OYB44" s="21"/>
      <c r="OYC44" s="19"/>
      <c r="OYL44" s="19"/>
      <c r="OYM44" s="19"/>
      <c r="OYN44" s="19"/>
      <c r="OYO44" s="19"/>
      <c r="OYP44" s="21"/>
      <c r="OYQ44" s="19"/>
      <c r="OYZ44" s="19"/>
      <c r="OZA44" s="19"/>
      <c r="OZB44" s="19"/>
      <c r="OZC44" s="19"/>
      <c r="OZD44" s="21"/>
      <c r="OZE44" s="19"/>
      <c r="OZN44" s="19"/>
      <c r="OZO44" s="19"/>
      <c r="OZP44" s="19"/>
      <c r="OZQ44" s="19"/>
      <c r="OZR44" s="21"/>
      <c r="OZS44" s="19"/>
      <c r="PAB44" s="19"/>
      <c r="PAC44" s="19"/>
      <c r="PAD44" s="19"/>
      <c r="PAE44" s="19"/>
      <c r="PAF44" s="21"/>
      <c r="PAG44" s="19"/>
      <c r="PAP44" s="19"/>
      <c r="PAQ44" s="19"/>
      <c r="PAR44" s="19"/>
      <c r="PAS44" s="19"/>
      <c r="PAT44" s="21"/>
      <c r="PAU44" s="19"/>
      <c r="PBD44" s="19"/>
      <c r="PBE44" s="19"/>
      <c r="PBF44" s="19"/>
      <c r="PBG44" s="19"/>
      <c r="PBH44" s="21"/>
      <c r="PBI44" s="19"/>
      <c r="PBR44" s="19"/>
      <c r="PBS44" s="19"/>
      <c r="PBT44" s="19"/>
      <c r="PBU44" s="19"/>
      <c r="PBV44" s="21"/>
      <c r="PBW44" s="19"/>
      <c r="PCF44" s="19"/>
      <c r="PCG44" s="19"/>
      <c r="PCH44" s="19"/>
      <c r="PCI44" s="19"/>
      <c r="PCJ44" s="21"/>
      <c r="PCK44" s="19"/>
      <c r="PCT44" s="19"/>
      <c r="PCU44" s="19"/>
      <c r="PCV44" s="19"/>
      <c r="PCW44" s="19"/>
      <c r="PCX44" s="21"/>
      <c r="PCY44" s="19"/>
      <c r="PDH44" s="19"/>
      <c r="PDI44" s="19"/>
      <c r="PDJ44" s="19"/>
      <c r="PDK44" s="19"/>
      <c r="PDL44" s="21"/>
      <c r="PDM44" s="19"/>
      <c r="PDV44" s="19"/>
      <c r="PDW44" s="19"/>
      <c r="PDX44" s="19"/>
      <c r="PDY44" s="19"/>
      <c r="PDZ44" s="21"/>
      <c r="PEA44" s="19"/>
      <c r="PEJ44" s="19"/>
      <c r="PEK44" s="19"/>
      <c r="PEL44" s="19"/>
      <c r="PEM44" s="19"/>
      <c r="PEN44" s="21"/>
      <c r="PEO44" s="19"/>
      <c r="PEX44" s="19"/>
      <c r="PEY44" s="19"/>
      <c r="PEZ44" s="19"/>
      <c r="PFA44" s="19"/>
      <c r="PFB44" s="21"/>
      <c r="PFC44" s="19"/>
      <c r="PFL44" s="19"/>
      <c r="PFM44" s="19"/>
      <c r="PFN44" s="19"/>
      <c r="PFO44" s="19"/>
      <c r="PFP44" s="21"/>
      <c r="PFQ44" s="19"/>
      <c r="PFZ44" s="19"/>
      <c r="PGA44" s="19"/>
      <c r="PGB44" s="19"/>
      <c r="PGC44" s="19"/>
      <c r="PGD44" s="21"/>
      <c r="PGE44" s="19"/>
      <c r="PGN44" s="19"/>
      <c r="PGO44" s="19"/>
      <c r="PGP44" s="19"/>
      <c r="PGQ44" s="19"/>
      <c r="PGR44" s="21"/>
      <c r="PGS44" s="19"/>
      <c r="PHB44" s="19"/>
      <c r="PHC44" s="19"/>
      <c r="PHD44" s="19"/>
      <c r="PHE44" s="19"/>
      <c r="PHF44" s="21"/>
      <c r="PHG44" s="19"/>
      <c r="PHP44" s="19"/>
      <c r="PHQ44" s="19"/>
      <c r="PHR44" s="19"/>
      <c r="PHS44" s="19"/>
      <c r="PHT44" s="21"/>
      <c r="PHU44" s="19"/>
      <c r="PID44" s="19"/>
      <c r="PIE44" s="19"/>
      <c r="PIF44" s="19"/>
      <c r="PIG44" s="19"/>
      <c r="PIH44" s="21"/>
      <c r="PII44" s="19"/>
      <c r="PIR44" s="19"/>
      <c r="PIS44" s="19"/>
      <c r="PIT44" s="19"/>
      <c r="PIU44" s="19"/>
      <c r="PIV44" s="21"/>
      <c r="PIW44" s="19"/>
      <c r="PJF44" s="19"/>
      <c r="PJG44" s="19"/>
      <c r="PJH44" s="19"/>
      <c r="PJI44" s="19"/>
      <c r="PJJ44" s="21"/>
      <c r="PJK44" s="19"/>
      <c r="PJT44" s="19"/>
      <c r="PJU44" s="19"/>
      <c r="PJV44" s="19"/>
      <c r="PJW44" s="19"/>
      <c r="PJX44" s="21"/>
      <c r="PJY44" s="19"/>
      <c r="PKH44" s="19"/>
      <c r="PKI44" s="19"/>
      <c r="PKJ44" s="19"/>
      <c r="PKK44" s="19"/>
      <c r="PKL44" s="21"/>
      <c r="PKM44" s="19"/>
      <c r="PKV44" s="19"/>
      <c r="PKW44" s="19"/>
      <c r="PKX44" s="19"/>
      <c r="PKY44" s="19"/>
      <c r="PKZ44" s="21"/>
      <c r="PLA44" s="19"/>
      <c r="PLJ44" s="19"/>
      <c r="PLK44" s="19"/>
      <c r="PLL44" s="19"/>
      <c r="PLM44" s="19"/>
      <c r="PLN44" s="21"/>
      <c r="PLO44" s="19"/>
      <c r="PLX44" s="19"/>
      <c r="PLY44" s="19"/>
      <c r="PLZ44" s="19"/>
      <c r="PMA44" s="19"/>
      <c r="PMB44" s="21"/>
      <c r="PMC44" s="19"/>
      <c r="PML44" s="19"/>
      <c r="PMM44" s="19"/>
      <c r="PMN44" s="19"/>
      <c r="PMO44" s="19"/>
      <c r="PMP44" s="21"/>
      <c r="PMQ44" s="19"/>
      <c r="PMZ44" s="19"/>
      <c r="PNA44" s="19"/>
      <c r="PNB44" s="19"/>
      <c r="PNC44" s="19"/>
      <c r="PND44" s="21"/>
      <c r="PNE44" s="19"/>
      <c r="PNN44" s="19"/>
      <c r="PNO44" s="19"/>
      <c r="PNP44" s="19"/>
      <c r="PNQ44" s="19"/>
      <c r="PNR44" s="21"/>
      <c r="PNS44" s="19"/>
      <c r="POB44" s="19"/>
      <c r="POC44" s="19"/>
      <c r="POD44" s="19"/>
      <c r="POE44" s="19"/>
      <c r="POF44" s="21"/>
      <c r="POG44" s="19"/>
      <c r="POP44" s="19"/>
      <c r="POQ44" s="19"/>
      <c r="POR44" s="19"/>
      <c r="POS44" s="19"/>
      <c r="POT44" s="21"/>
      <c r="POU44" s="19"/>
      <c r="PPD44" s="19"/>
      <c r="PPE44" s="19"/>
      <c r="PPF44" s="19"/>
      <c r="PPG44" s="19"/>
      <c r="PPH44" s="21"/>
      <c r="PPI44" s="19"/>
      <c r="PPR44" s="19"/>
      <c r="PPS44" s="19"/>
      <c r="PPT44" s="19"/>
      <c r="PPU44" s="19"/>
      <c r="PPV44" s="21"/>
      <c r="PPW44" s="19"/>
      <c r="PQF44" s="19"/>
      <c r="PQG44" s="19"/>
      <c r="PQH44" s="19"/>
      <c r="PQI44" s="19"/>
      <c r="PQJ44" s="21"/>
      <c r="PQK44" s="19"/>
      <c r="PQT44" s="19"/>
      <c r="PQU44" s="19"/>
      <c r="PQV44" s="19"/>
      <c r="PQW44" s="19"/>
      <c r="PQX44" s="21"/>
      <c r="PQY44" s="19"/>
      <c r="PRH44" s="19"/>
      <c r="PRI44" s="19"/>
      <c r="PRJ44" s="19"/>
      <c r="PRK44" s="19"/>
      <c r="PRL44" s="21"/>
      <c r="PRM44" s="19"/>
      <c r="PRV44" s="19"/>
      <c r="PRW44" s="19"/>
      <c r="PRX44" s="19"/>
      <c r="PRY44" s="19"/>
      <c r="PRZ44" s="21"/>
      <c r="PSA44" s="19"/>
      <c r="PSJ44" s="19"/>
      <c r="PSK44" s="19"/>
      <c r="PSL44" s="19"/>
      <c r="PSM44" s="19"/>
      <c r="PSN44" s="21"/>
      <c r="PSO44" s="19"/>
      <c r="PSX44" s="19"/>
      <c r="PSY44" s="19"/>
      <c r="PSZ44" s="19"/>
      <c r="PTA44" s="19"/>
      <c r="PTB44" s="21"/>
      <c r="PTC44" s="19"/>
      <c r="PTL44" s="19"/>
      <c r="PTM44" s="19"/>
      <c r="PTN44" s="19"/>
      <c r="PTO44" s="19"/>
      <c r="PTP44" s="21"/>
      <c r="PTQ44" s="19"/>
      <c r="PTZ44" s="19"/>
      <c r="PUA44" s="19"/>
      <c r="PUB44" s="19"/>
      <c r="PUC44" s="19"/>
      <c r="PUD44" s="21"/>
      <c r="PUE44" s="19"/>
      <c r="PUN44" s="19"/>
      <c r="PUO44" s="19"/>
      <c r="PUP44" s="19"/>
      <c r="PUQ44" s="19"/>
      <c r="PUR44" s="21"/>
      <c r="PUS44" s="19"/>
      <c r="PVB44" s="19"/>
      <c r="PVC44" s="19"/>
      <c r="PVD44" s="19"/>
      <c r="PVE44" s="19"/>
      <c r="PVF44" s="21"/>
      <c r="PVG44" s="19"/>
      <c r="PVP44" s="19"/>
      <c r="PVQ44" s="19"/>
      <c r="PVR44" s="19"/>
      <c r="PVS44" s="19"/>
      <c r="PVT44" s="21"/>
      <c r="PVU44" s="19"/>
      <c r="PWD44" s="19"/>
      <c r="PWE44" s="19"/>
      <c r="PWF44" s="19"/>
      <c r="PWG44" s="19"/>
      <c r="PWH44" s="21"/>
      <c r="PWI44" s="19"/>
      <c r="PWR44" s="19"/>
      <c r="PWS44" s="19"/>
      <c r="PWT44" s="19"/>
      <c r="PWU44" s="19"/>
      <c r="PWV44" s="21"/>
      <c r="PWW44" s="19"/>
      <c r="PXF44" s="19"/>
      <c r="PXG44" s="19"/>
      <c r="PXH44" s="19"/>
      <c r="PXI44" s="19"/>
      <c r="PXJ44" s="21"/>
      <c r="PXK44" s="19"/>
      <c r="PXT44" s="19"/>
      <c r="PXU44" s="19"/>
      <c r="PXV44" s="19"/>
      <c r="PXW44" s="19"/>
      <c r="PXX44" s="21"/>
      <c r="PXY44" s="19"/>
      <c r="PYH44" s="19"/>
      <c r="PYI44" s="19"/>
      <c r="PYJ44" s="19"/>
      <c r="PYK44" s="19"/>
      <c r="PYL44" s="21"/>
      <c r="PYM44" s="19"/>
      <c r="PYV44" s="19"/>
      <c r="PYW44" s="19"/>
      <c r="PYX44" s="19"/>
      <c r="PYY44" s="19"/>
      <c r="PYZ44" s="21"/>
      <c r="PZA44" s="19"/>
      <c r="PZJ44" s="19"/>
      <c r="PZK44" s="19"/>
      <c r="PZL44" s="19"/>
      <c r="PZM44" s="19"/>
      <c r="PZN44" s="21"/>
      <c r="PZO44" s="19"/>
      <c r="PZX44" s="19"/>
      <c r="PZY44" s="19"/>
      <c r="PZZ44" s="19"/>
      <c r="QAA44" s="19"/>
      <c r="QAB44" s="21"/>
      <c r="QAC44" s="19"/>
      <c r="QAL44" s="19"/>
      <c r="QAM44" s="19"/>
      <c r="QAN44" s="19"/>
      <c r="QAO44" s="19"/>
      <c r="QAP44" s="21"/>
      <c r="QAQ44" s="19"/>
      <c r="QAZ44" s="19"/>
      <c r="QBA44" s="19"/>
      <c r="QBB44" s="19"/>
      <c r="QBC44" s="19"/>
      <c r="QBD44" s="21"/>
      <c r="QBE44" s="19"/>
      <c r="QBN44" s="19"/>
      <c r="QBO44" s="19"/>
      <c r="QBP44" s="19"/>
      <c r="QBQ44" s="19"/>
      <c r="QBR44" s="21"/>
      <c r="QBS44" s="19"/>
      <c r="QCB44" s="19"/>
      <c r="QCC44" s="19"/>
      <c r="QCD44" s="19"/>
      <c r="QCE44" s="19"/>
      <c r="QCF44" s="21"/>
      <c r="QCG44" s="19"/>
      <c r="QCP44" s="19"/>
      <c r="QCQ44" s="19"/>
      <c r="QCR44" s="19"/>
      <c r="QCS44" s="19"/>
      <c r="QCT44" s="21"/>
      <c r="QCU44" s="19"/>
      <c r="QDD44" s="19"/>
      <c r="QDE44" s="19"/>
      <c r="QDF44" s="19"/>
      <c r="QDG44" s="19"/>
      <c r="QDH44" s="21"/>
      <c r="QDI44" s="19"/>
      <c r="QDR44" s="19"/>
      <c r="QDS44" s="19"/>
      <c r="QDT44" s="19"/>
      <c r="QDU44" s="19"/>
      <c r="QDV44" s="21"/>
      <c r="QDW44" s="19"/>
      <c r="QEF44" s="19"/>
      <c r="QEG44" s="19"/>
      <c r="QEH44" s="19"/>
      <c r="QEI44" s="19"/>
      <c r="QEJ44" s="21"/>
      <c r="QEK44" s="19"/>
      <c r="QET44" s="19"/>
      <c r="QEU44" s="19"/>
      <c r="QEV44" s="19"/>
      <c r="QEW44" s="19"/>
      <c r="QEX44" s="21"/>
      <c r="QEY44" s="19"/>
      <c r="QFH44" s="19"/>
      <c r="QFI44" s="19"/>
      <c r="QFJ44" s="19"/>
      <c r="QFK44" s="19"/>
      <c r="QFL44" s="21"/>
      <c r="QFM44" s="19"/>
      <c r="QFV44" s="19"/>
      <c r="QFW44" s="19"/>
      <c r="QFX44" s="19"/>
      <c r="QFY44" s="19"/>
      <c r="QFZ44" s="21"/>
      <c r="QGA44" s="19"/>
      <c r="QGJ44" s="19"/>
      <c r="QGK44" s="19"/>
      <c r="QGL44" s="19"/>
      <c r="QGM44" s="19"/>
      <c r="QGN44" s="21"/>
      <c r="QGO44" s="19"/>
      <c r="QGX44" s="19"/>
      <c r="QGY44" s="19"/>
      <c r="QGZ44" s="19"/>
      <c r="QHA44" s="19"/>
      <c r="QHB44" s="21"/>
      <c r="QHC44" s="19"/>
      <c r="QHL44" s="19"/>
      <c r="QHM44" s="19"/>
      <c r="QHN44" s="19"/>
      <c r="QHO44" s="19"/>
      <c r="QHP44" s="21"/>
      <c r="QHQ44" s="19"/>
      <c r="QHZ44" s="19"/>
      <c r="QIA44" s="19"/>
      <c r="QIB44" s="19"/>
      <c r="QIC44" s="19"/>
      <c r="QID44" s="21"/>
      <c r="QIE44" s="19"/>
      <c r="QIN44" s="19"/>
      <c r="QIO44" s="19"/>
      <c r="QIP44" s="19"/>
      <c r="QIQ44" s="19"/>
      <c r="QIR44" s="21"/>
      <c r="QIS44" s="19"/>
      <c r="QJB44" s="19"/>
      <c r="QJC44" s="19"/>
      <c r="QJD44" s="19"/>
      <c r="QJE44" s="19"/>
      <c r="QJF44" s="21"/>
      <c r="QJG44" s="19"/>
      <c r="QJP44" s="19"/>
      <c r="QJQ44" s="19"/>
      <c r="QJR44" s="19"/>
      <c r="QJS44" s="19"/>
      <c r="QJT44" s="21"/>
      <c r="QJU44" s="19"/>
      <c r="QKD44" s="19"/>
      <c r="QKE44" s="19"/>
      <c r="QKF44" s="19"/>
      <c r="QKG44" s="19"/>
      <c r="QKH44" s="21"/>
      <c r="QKI44" s="19"/>
      <c r="QKR44" s="19"/>
      <c r="QKS44" s="19"/>
      <c r="QKT44" s="19"/>
      <c r="QKU44" s="19"/>
      <c r="QKV44" s="21"/>
      <c r="QKW44" s="19"/>
      <c r="QLF44" s="19"/>
      <c r="QLG44" s="19"/>
      <c r="QLH44" s="19"/>
      <c r="QLI44" s="19"/>
      <c r="QLJ44" s="21"/>
      <c r="QLK44" s="19"/>
      <c r="QLT44" s="19"/>
      <c r="QLU44" s="19"/>
      <c r="QLV44" s="19"/>
      <c r="QLW44" s="19"/>
      <c r="QLX44" s="21"/>
      <c r="QLY44" s="19"/>
      <c r="QMH44" s="19"/>
      <c r="QMI44" s="19"/>
      <c r="QMJ44" s="19"/>
      <c r="QMK44" s="19"/>
      <c r="QML44" s="21"/>
      <c r="QMM44" s="19"/>
      <c r="QMV44" s="19"/>
      <c r="QMW44" s="19"/>
      <c r="QMX44" s="19"/>
      <c r="QMY44" s="19"/>
      <c r="QMZ44" s="21"/>
      <c r="QNA44" s="19"/>
      <c r="QNJ44" s="19"/>
      <c r="QNK44" s="19"/>
      <c r="QNL44" s="19"/>
      <c r="QNM44" s="19"/>
      <c r="QNN44" s="21"/>
      <c r="QNO44" s="19"/>
      <c r="QNX44" s="19"/>
      <c r="QNY44" s="19"/>
      <c r="QNZ44" s="19"/>
      <c r="QOA44" s="19"/>
      <c r="QOB44" s="21"/>
      <c r="QOC44" s="19"/>
      <c r="QOL44" s="19"/>
      <c r="QOM44" s="19"/>
      <c r="QON44" s="19"/>
      <c r="QOO44" s="19"/>
      <c r="QOP44" s="21"/>
      <c r="QOQ44" s="19"/>
      <c r="QOZ44" s="19"/>
      <c r="QPA44" s="19"/>
      <c r="QPB44" s="19"/>
      <c r="QPC44" s="19"/>
      <c r="QPD44" s="21"/>
      <c r="QPE44" s="19"/>
      <c r="QPN44" s="19"/>
      <c r="QPO44" s="19"/>
      <c r="QPP44" s="19"/>
      <c r="QPQ44" s="19"/>
      <c r="QPR44" s="21"/>
      <c r="QPS44" s="19"/>
      <c r="QQB44" s="19"/>
      <c r="QQC44" s="19"/>
      <c r="QQD44" s="19"/>
      <c r="QQE44" s="19"/>
      <c r="QQF44" s="21"/>
      <c r="QQG44" s="19"/>
      <c r="QQP44" s="19"/>
      <c r="QQQ44" s="19"/>
      <c r="QQR44" s="19"/>
      <c r="QQS44" s="19"/>
      <c r="QQT44" s="21"/>
      <c r="QQU44" s="19"/>
      <c r="QRD44" s="19"/>
      <c r="QRE44" s="19"/>
      <c r="QRF44" s="19"/>
      <c r="QRG44" s="19"/>
      <c r="QRH44" s="21"/>
      <c r="QRI44" s="19"/>
      <c r="QRR44" s="19"/>
      <c r="QRS44" s="19"/>
      <c r="QRT44" s="19"/>
      <c r="QRU44" s="19"/>
      <c r="QRV44" s="21"/>
      <c r="QRW44" s="19"/>
      <c r="QSF44" s="19"/>
      <c r="QSG44" s="19"/>
      <c r="QSH44" s="19"/>
      <c r="QSI44" s="19"/>
      <c r="QSJ44" s="21"/>
      <c r="QSK44" s="19"/>
      <c r="QST44" s="19"/>
      <c r="QSU44" s="19"/>
      <c r="QSV44" s="19"/>
      <c r="QSW44" s="19"/>
      <c r="QSX44" s="21"/>
      <c r="QSY44" s="19"/>
      <c r="QTH44" s="19"/>
      <c r="QTI44" s="19"/>
      <c r="QTJ44" s="19"/>
      <c r="QTK44" s="19"/>
      <c r="QTL44" s="21"/>
      <c r="QTM44" s="19"/>
      <c r="QTV44" s="19"/>
      <c r="QTW44" s="19"/>
      <c r="QTX44" s="19"/>
      <c r="QTY44" s="19"/>
      <c r="QTZ44" s="21"/>
      <c r="QUA44" s="19"/>
      <c r="QUJ44" s="19"/>
      <c r="QUK44" s="19"/>
      <c r="QUL44" s="19"/>
      <c r="QUM44" s="19"/>
      <c r="QUN44" s="21"/>
      <c r="QUO44" s="19"/>
      <c r="QUX44" s="19"/>
      <c r="QUY44" s="19"/>
      <c r="QUZ44" s="19"/>
      <c r="QVA44" s="19"/>
      <c r="QVB44" s="21"/>
      <c r="QVC44" s="19"/>
      <c r="QVL44" s="19"/>
      <c r="QVM44" s="19"/>
      <c r="QVN44" s="19"/>
      <c r="QVO44" s="19"/>
      <c r="QVP44" s="21"/>
      <c r="QVQ44" s="19"/>
      <c r="QVZ44" s="19"/>
      <c r="QWA44" s="19"/>
      <c r="QWB44" s="19"/>
      <c r="QWC44" s="19"/>
      <c r="QWD44" s="21"/>
      <c r="QWE44" s="19"/>
      <c r="QWN44" s="19"/>
      <c r="QWO44" s="19"/>
      <c r="QWP44" s="19"/>
      <c r="QWQ44" s="19"/>
      <c r="QWR44" s="21"/>
      <c r="QWS44" s="19"/>
      <c r="QXB44" s="19"/>
      <c r="QXC44" s="19"/>
      <c r="QXD44" s="19"/>
      <c r="QXE44" s="19"/>
      <c r="QXF44" s="21"/>
      <c r="QXG44" s="19"/>
      <c r="QXP44" s="19"/>
      <c r="QXQ44" s="19"/>
      <c r="QXR44" s="19"/>
      <c r="QXS44" s="19"/>
      <c r="QXT44" s="21"/>
      <c r="QXU44" s="19"/>
      <c r="QYD44" s="19"/>
      <c r="QYE44" s="19"/>
      <c r="QYF44" s="19"/>
      <c r="QYG44" s="19"/>
      <c r="QYH44" s="21"/>
      <c r="QYI44" s="19"/>
      <c r="QYR44" s="19"/>
      <c r="QYS44" s="19"/>
      <c r="QYT44" s="19"/>
      <c r="QYU44" s="19"/>
      <c r="QYV44" s="21"/>
      <c r="QYW44" s="19"/>
      <c r="QZF44" s="19"/>
      <c r="QZG44" s="19"/>
      <c r="QZH44" s="19"/>
      <c r="QZI44" s="19"/>
      <c r="QZJ44" s="21"/>
      <c r="QZK44" s="19"/>
      <c r="QZT44" s="19"/>
      <c r="QZU44" s="19"/>
      <c r="QZV44" s="19"/>
      <c r="QZW44" s="19"/>
      <c r="QZX44" s="21"/>
      <c r="QZY44" s="19"/>
      <c r="RAH44" s="19"/>
      <c r="RAI44" s="19"/>
      <c r="RAJ44" s="19"/>
      <c r="RAK44" s="19"/>
      <c r="RAL44" s="21"/>
      <c r="RAM44" s="19"/>
      <c r="RAV44" s="19"/>
      <c r="RAW44" s="19"/>
      <c r="RAX44" s="19"/>
      <c r="RAY44" s="19"/>
      <c r="RAZ44" s="21"/>
      <c r="RBA44" s="19"/>
      <c r="RBJ44" s="19"/>
      <c r="RBK44" s="19"/>
      <c r="RBL44" s="19"/>
      <c r="RBM44" s="19"/>
      <c r="RBN44" s="21"/>
      <c r="RBO44" s="19"/>
      <c r="RBX44" s="19"/>
      <c r="RBY44" s="19"/>
      <c r="RBZ44" s="19"/>
      <c r="RCA44" s="19"/>
      <c r="RCB44" s="21"/>
      <c r="RCC44" s="19"/>
      <c r="RCL44" s="19"/>
      <c r="RCM44" s="19"/>
      <c r="RCN44" s="19"/>
      <c r="RCO44" s="19"/>
      <c r="RCP44" s="21"/>
      <c r="RCQ44" s="19"/>
      <c r="RCZ44" s="19"/>
      <c r="RDA44" s="19"/>
      <c r="RDB44" s="19"/>
      <c r="RDC44" s="19"/>
      <c r="RDD44" s="21"/>
      <c r="RDE44" s="19"/>
      <c r="RDN44" s="19"/>
      <c r="RDO44" s="19"/>
      <c r="RDP44" s="19"/>
      <c r="RDQ44" s="19"/>
      <c r="RDR44" s="21"/>
      <c r="RDS44" s="19"/>
      <c r="REB44" s="19"/>
      <c r="REC44" s="19"/>
      <c r="RED44" s="19"/>
      <c r="REE44" s="19"/>
      <c r="REF44" s="21"/>
      <c r="REG44" s="19"/>
      <c r="REP44" s="19"/>
      <c r="REQ44" s="19"/>
      <c r="RER44" s="19"/>
      <c r="RES44" s="19"/>
      <c r="RET44" s="21"/>
      <c r="REU44" s="19"/>
      <c r="RFD44" s="19"/>
      <c r="RFE44" s="19"/>
      <c r="RFF44" s="19"/>
      <c r="RFG44" s="19"/>
      <c r="RFH44" s="21"/>
      <c r="RFI44" s="19"/>
      <c r="RFR44" s="19"/>
      <c r="RFS44" s="19"/>
      <c r="RFT44" s="19"/>
      <c r="RFU44" s="19"/>
      <c r="RFV44" s="21"/>
      <c r="RFW44" s="19"/>
      <c r="RGF44" s="19"/>
      <c r="RGG44" s="19"/>
      <c r="RGH44" s="19"/>
      <c r="RGI44" s="19"/>
      <c r="RGJ44" s="21"/>
      <c r="RGK44" s="19"/>
      <c r="RGT44" s="19"/>
      <c r="RGU44" s="19"/>
      <c r="RGV44" s="19"/>
      <c r="RGW44" s="19"/>
      <c r="RGX44" s="21"/>
      <c r="RGY44" s="19"/>
      <c r="RHH44" s="19"/>
      <c r="RHI44" s="19"/>
      <c r="RHJ44" s="19"/>
      <c r="RHK44" s="19"/>
      <c r="RHL44" s="21"/>
      <c r="RHM44" s="19"/>
      <c r="RHV44" s="19"/>
      <c r="RHW44" s="19"/>
      <c r="RHX44" s="19"/>
      <c r="RHY44" s="19"/>
      <c r="RHZ44" s="21"/>
      <c r="RIA44" s="19"/>
      <c r="RIJ44" s="19"/>
      <c r="RIK44" s="19"/>
      <c r="RIL44" s="19"/>
      <c r="RIM44" s="19"/>
      <c r="RIN44" s="21"/>
      <c r="RIO44" s="19"/>
      <c r="RIX44" s="19"/>
      <c r="RIY44" s="19"/>
      <c r="RIZ44" s="19"/>
      <c r="RJA44" s="19"/>
      <c r="RJB44" s="21"/>
      <c r="RJC44" s="19"/>
      <c r="RJL44" s="19"/>
      <c r="RJM44" s="19"/>
      <c r="RJN44" s="19"/>
      <c r="RJO44" s="19"/>
      <c r="RJP44" s="21"/>
      <c r="RJQ44" s="19"/>
      <c r="RJZ44" s="19"/>
      <c r="RKA44" s="19"/>
      <c r="RKB44" s="19"/>
      <c r="RKC44" s="19"/>
      <c r="RKD44" s="21"/>
      <c r="RKE44" s="19"/>
      <c r="RKN44" s="19"/>
      <c r="RKO44" s="19"/>
      <c r="RKP44" s="19"/>
      <c r="RKQ44" s="19"/>
      <c r="RKR44" s="21"/>
      <c r="RKS44" s="19"/>
      <c r="RLB44" s="19"/>
      <c r="RLC44" s="19"/>
      <c r="RLD44" s="19"/>
      <c r="RLE44" s="19"/>
      <c r="RLF44" s="21"/>
      <c r="RLG44" s="19"/>
      <c r="RLP44" s="19"/>
      <c r="RLQ44" s="19"/>
      <c r="RLR44" s="19"/>
      <c r="RLS44" s="19"/>
      <c r="RLT44" s="21"/>
      <c r="RLU44" s="19"/>
      <c r="RMD44" s="19"/>
      <c r="RME44" s="19"/>
      <c r="RMF44" s="19"/>
      <c r="RMG44" s="19"/>
      <c r="RMH44" s="21"/>
      <c r="RMI44" s="19"/>
      <c r="RMR44" s="19"/>
      <c r="RMS44" s="19"/>
      <c r="RMT44" s="19"/>
      <c r="RMU44" s="19"/>
      <c r="RMV44" s="21"/>
      <c r="RMW44" s="19"/>
      <c r="RNF44" s="19"/>
      <c r="RNG44" s="19"/>
      <c r="RNH44" s="19"/>
      <c r="RNI44" s="19"/>
      <c r="RNJ44" s="21"/>
      <c r="RNK44" s="19"/>
      <c r="RNT44" s="19"/>
      <c r="RNU44" s="19"/>
      <c r="RNV44" s="19"/>
      <c r="RNW44" s="19"/>
      <c r="RNX44" s="21"/>
      <c r="RNY44" s="19"/>
      <c r="ROH44" s="19"/>
      <c r="ROI44" s="19"/>
      <c r="ROJ44" s="19"/>
      <c r="ROK44" s="19"/>
      <c r="ROL44" s="21"/>
      <c r="ROM44" s="19"/>
      <c r="ROV44" s="19"/>
      <c r="ROW44" s="19"/>
      <c r="ROX44" s="19"/>
      <c r="ROY44" s="19"/>
      <c r="ROZ44" s="21"/>
      <c r="RPA44" s="19"/>
      <c r="RPJ44" s="19"/>
      <c r="RPK44" s="19"/>
      <c r="RPL44" s="19"/>
      <c r="RPM44" s="19"/>
      <c r="RPN44" s="21"/>
      <c r="RPO44" s="19"/>
      <c r="RPX44" s="19"/>
      <c r="RPY44" s="19"/>
      <c r="RPZ44" s="19"/>
      <c r="RQA44" s="19"/>
      <c r="RQB44" s="21"/>
      <c r="RQC44" s="19"/>
      <c r="RQL44" s="19"/>
      <c r="RQM44" s="19"/>
      <c r="RQN44" s="19"/>
      <c r="RQO44" s="19"/>
      <c r="RQP44" s="21"/>
      <c r="RQQ44" s="19"/>
      <c r="RQZ44" s="19"/>
      <c r="RRA44" s="19"/>
      <c r="RRB44" s="19"/>
      <c r="RRC44" s="19"/>
      <c r="RRD44" s="21"/>
      <c r="RRE44" s="19"/>
      <c r="RRN44" s="19"/>
      <c r="RRO44" s="19"/>
      <c r="RRP44" s="19"/>
      <c r="RRQ44" s="19"/>
      <c r="RRR44" s="21"/>
      <c r="RRS44" s="19"/>
      <c r="RSB44" s="19"/>
      <c r="RSC44" s="19"/>
      <c r="RSD44" s="19"/>
      <c r="RSE44" s="19"/>
      <c r="RSF44" s="21"/>
      <c r="RSG44" s="19"/>
      <c r="RSP44" s="19"/>
      <c r="RSQ44" s="19"/>
      <c r="RSR44" s="19"/>
      <c r="RSS44" s="19"/>
      <c r="RST44" s="21"/>
      <c r="RSU44" s="19"/>
      <c r="RTD44" s="19"/>
      <c r="RTE44" s="19"/>
      <c r="RTF44" s="19"/>
      <c r="RTG44" s="19"/>
      <c r="RTH44" s="21"/>
      <c r="RTI44" s="19"/>
      <c r="RTR44" s="19"/>
      <c r="RTS44" s="19"/>
      <c r="RTT44" s="19"/>
      <c r="RTU44" s="19"/>
      <c r="RTV44" s="21"/>
      <c r="RTW44" s="19"/>
      <c r="RUF44" s="19"/>
      <c r="RUG44" s="19"/>
      <c r="RUH44" s="19"/>
      <c r="RUI44" s="19"/>
      <c r="RUJ44" s="21"/>
      <c r="RUK44" s="19"/>
      <c r="RUT44" s="19"/>
      <c r="RUU44" s="19"/>
      <c r="RUV44" s="19"/>
      <c r="RUW44" s="19"/>
      <c r="RUX44" s="21"/>
      <c r="RUY44" s="19"/>
      <c r="RVH44" s="19"/>
      <c r="RVI44" s="19"/>
      <c r="RVJ44" s="19"/>
      <c r="RVK44" s="19"/>
      <c r="RVL44" s="21"/>
      <c r="RVM44" s="19"/>
      <c r="RVV44" s="19"/>
      <c r="RVW44" s="19"/>
      <c r="RVX44" s="19"/>
      <c r="RVY44" s="19"/>
      <c r="RVZ44" s="21"/>
      <c r="RWA44" s="19"/>
      <c r="RWJ44" s="19"/>
      <c r="RWK44" s="19"/>
      <c r="RWL44" s="19"/>
      <c r="RWM44" s="19"/>
      <c r="RWN44" s="21"/>
      <c r="RWO44" s="19"/>
      <c r="RWX44" s="19"/>
      <c r="RWY44" s="19"/>
      <c r="RWZ44" s="19"/>
      <c r="RXA44" s="19"/>
      <c r="RXB44" s="21"/>
      <c r="RXC44" s="19"/>
      <c r="RXL44" s="19"/>
      <c r="RXM44" s="19"/>
      <c r="RXN44" s="19"/>
      <c r="RXO44" s="19"/>
      <c r="RXP44" s="21"/>
      <c r="RXQ44" s="19"/>
      <c r="RXZ44" s="19"/>
      <c r="RYA44" s="19"/>
      <c r="RYB44" s="19"/>
      <c r="RYC44" s="19"/>
      <c r="RYD44" s="21"/>
      <c r="RYE44" s="19"/>
      <c r="RYN44" s="19"/>
      <c r="RYO44" s="19"/>
      <c r="RYP44" s="19"/>
      <c r="RYQ44" s="19"/>
      <c r="RYR44" s="21"/>
      <c r="RYS44" s="19"/>
      <c r="RZB44" s="19"/>
      <c r="RZC44" s="19"/>
      <c r="RZD44" s="19"/>
      <c r="RZE44" s="19"/>
      <c r="RZF44" s="21"/>
      <c r="RZG44" s="19"/>
      <c r="RZP44" s="19"/>
      <c r="RZQ44" s="19"/>
      <c r="RZR44" s="19"/>
      <c r="RZS44" s="19"/>
      <c r="RZT44" s="21"/>
      <c r="RZU44" s="19"/>
      <c r="SAD44" s="19"/>
      <c r="SAE44" s="19"/>
      <c r="SAF44" s="19"/>
      <c r="SAG44" s="19"/>
      <c r="SAH44" s="21"/>
      <c r="SAI44" s="19"/>
      <c r="SAR44" s="19"/>
      <c r="SAS44" s="19"/>
      <c r="SAT44" s="19"/>
      <c r="SAU44" s="19"/>
      <c r="SAV44" s="21"/>
      <c r="SAW44" s="19"/>
      <c r="SBF44" s="19"/>
      <c r="SBG44" s="19"/>
      <c r="SBH44" s="19"/>
      <c r="SBI44" s="19"/>
      <c r="SBJ44" s="21"/>
      <c r="SBK44" s="19"/>
      <c r="SBT44" s="19"/>
      <c r="SBU44" s="19"/>
      <c r="SBV44" s="19"/>
      <c r="SBW44" s="19"/>
      <c r="SBX44" s="21"/>
      <c r="SBY44" s="19"/>
      <c r="SCH44" s="19"/>
      <c r="SCI44" s="19"/>
      <c r="SCJ44" s="19"/>
      <c r="SCK44" s="19"/>
      <c r="SCL44" s="21"/>
      <c r="SCM44" s="19"/>
      <c r="SCV44" s="19"/>
      <c r="SCW44" s="19"/>
      <c r="SCX44" s="19"/>
      <c r="SCY44" s="19"/>
      <c r="SCZ44" s="21"/>
      <c r="SDA44" s="19"/>
      <c r="SDJ44" s="19"/>
      <c r="SDK44" s="19"/>
      <c r="SDL44" s="19"/>
      <c r="SDM44" s="19"/>
      <c r="SDN44" s="21"/>
      <c r="SDO44" s="19"/>
      <c r="SDX44" s="19"/>
      <c r="SDY44" s="19"/>
      <c r="SDZ44" s="19"/>
      <c r="SEA44" s="19"/>
      <c r="SEB44" s="21"/>
      <c r="SEC44" s="19"/>
      <c r="SEL44" s="19"/>
      <c r="SEM44" s="19"/>
      <c r="SEN44" s="19"/>
      <c r="SEO44" s="19"/>
      <c r="SEP44" s="21"/>
      <c r="SEQ44" s="19"/>
      <c r="SEZ44" s="19"/>
      <c r="SFA44" s="19"/>
      <c r="SFB44" s="19"/>
      <c r="SFC44" s="19"/>
      <c r="SFD44" s="21"/>
      <c r="SFE44" s="19"/>
      <c r="SFN44" s="19"/>
      <c r="SFO44" s="19"/>
      <c r="SFP44" s="19"/>
      <c r="SFQ44" s="19"/>
      <c r="SFR44" s="21"/>
      <c r="SFS44" s="19"/>
      <c r="SGB44" s="19"/>
      <c r="SGC44" s="19"/>
      <c r="SGD44" s="19"/>
      <c r="SGE44" s="19"/>
      <c r="SGF44" s="21"/>
      <c r="SGG44" s="19"/>
      <c r="SGP44" s="19"/>
      <c r="SGQ44" s="19"/>
      <c r="SGR44" s="19"/>
      <c r="SGS44" s="19"/>
      <c r="SGT44" s="21"/>
      <c r="SGU44" s="19"/>
      <c r="SHD44" s="19"/>
      <c r="SHE44" s="19"/>
      <c r="SHF44" s="19"/>
      <c r="SHG44" s="19"/>
      <c r="SHH44" s="21"/>
      <c r="SHI44" s="19"/>
      <c r="SHR44" s="19"/>
      <c r="SHS44" s="19"/>
      <c r="SHT44" s="19"/>
      <c r="SHU44" s="19"/>
      <c r="SHV44" s="21"/>
      <c r="SHW44" s="19"/>
      <c r="SIF44" s="19"/>
      <c r="SIG44" s="19"/>
      <c r="SIH44" s="19"/>
      <c r="SII44" s="19"/>
      <c r="SIJ44" s="21"/>
      <c r="SIK44" s="19"/>
      <c r="SIT44" s="19"/>
      <c r="SIU44" s="19"/>
      <c r="SIV44" s="19"/>
      <c r="SIW44" s="19"/>
      <c r="SIX44" s="21"/>
      <c r="SIY44" s="19"/>
      <c r="SJH44" s="19"/>
      <c r="SJI44" s="19"/>
      <c r="SJJ44" s="19"/>
      <c r="SJK44" s="19"/>
      <c r="SJL44" s="21"/>
      <c r="SJM44" s="19"/>
      <c r="SJV44" s="19"/>
      <c r="SJW44" s="19"/>
      <c r="SJX44" s="19"/>
      <c r="SJY44" s="19"/>
      <c r="SJZ44" s="21"/>
      <c r="SKA44" s="19"/>
      <c r="SKJ44" s="19"/>
      <c r="SKK44" s="19"/>
      <c r="SKL44" s="19"/>
      <c r="SKM44" s="19"/>
      <c r="SKN44" s="21"/>
      <c r="SKO44" s="19"/>
      <c r="SKX44" s="19"/>
      <c r="SKY44" s="19"/>
      <c r="SKZ44" s="19"/>
      <c r="SLA44" s="19"/>
      <c r="SLB44" s="21"/>
      <c r="SLC44" s="19"/>
      <c r="SLL44" s="19"/>
      <c r="SLM44" s="19"/>
      <c r="SLN44" s="19"/>
      <c r="SLO44" s="19"/>
      <c r="SLP44" s="21"/>
      <c r="SLQ44" s="19"/>
      <c r="SLZ44" s="19"/>
      <c r="SMA44" s="19"/>
      <c r="SMB44" s="19"/>
      <c r="SMC44" s="19"/>
      <c r="SMD44" s="21"/>
      <c r="SME44" s="19"/>
      <c r="SMN44" s="19"/>
      <c r="SMO44" s="19"/>
      <c r="SMP44" s="19"/>
      <c r="SMQ44" s="19"/>
      <c r="SMR44" s="21"/>
      <c r="SMS44" s="19"/>
      <c r="SNB44" s="19"/>
      <c r="SNC44" s="19"/>
      <c r="SND44" s="19"/>
      <c r="SNE44" s="19"/>
      <c r="SNF44" s="21"/>
      <c r="SNG44" s="19"/>
      <c r="SNP44" s="19"/>
      <c r="SNQ44" s="19"/>
      <c r="SNR44" s="19"/>
      <c r="SNS44" s="19"/>
      <c r="SNT44" s="21"/>
      <c r="SNU44" s="19"/>
      <c r="SOD44" s="19"/>
      <c r="SOE44" s="19"/>
      <c r="SOF44" s="19"/>
      <c r="SOG44" s="19"/>
      <c r="SOH44" s="21"/>
      <c r="SOI44" s="19"/>
      <c r="SOR44" s="19"/>
      <c r="SOS44" s="19"/>
      <c r="SOT44" s="19"/>
      <c r="SOU44" s="19"/>
      <c r="SOV44" s="21"/>
      <c r="SOW44" s="19"/>
      <c r="SPF44" s="19"/>
      <c r="SPG44" s="19"/>
      <c r="SPH44" s="19"/>
      <c r="SPI44" s="19"/>
      <c r="SPJ44" s="21"/>
      <c r="SPK44" s="19"/>
      <c r="SPT44" s="19"/>
      <c r="SPU44" s="19"/>
      <c r="SPV44" s="19"/>
      <c r="SPW44" s="19"/>
      <c r="SPX44" s="21"/>
      <c r="SPY44" s="19"/>
      <c r="SQH44" s="19"/>
      <c r="SQI44" s="19"/>
      <c r="SQJ44" s="19"/>
      <c r="SQK44" s="19"/>
      <c r="SQL44" s="21"/>
      <c r="SQM44" s="19"/>
      <c r="SQV44" s="19"/>
      <c r="SQW44" s="19"/>
      <c r="SQX44" s="19"/>
      <c r="SQY44" s="19"/>
      <c r="SQZ44" s="21"/>
      <c r="SRA44" s="19"/>
      <c r="SRJ44" s="19"/>
      <c r="SRK44" s="19"/>
      <c r="SRL44" s="19"/>
      <c r="SRM44" s="19"/>
      <c r="SRN44" s="21"/>
      <c r="SRO44" s="19"/>
      <c r="SRX44" s="19"/>
      <c r="SRY44" s="19"/>
      <c r="SRZ44" s="19"/>
      <c r="SSA44" s="19"/>
      <c r="SSB44" s="21"/>
      <c r="SSC44" s="19"/>
      <c r="SSL44" s="19"/>
      <c r="SSM44" s="19"/>
      <c r="SSN44" s="19"/>
      <c r="SSO44" s="19"/>
      <c r="SSP44" s="21"/>
      <c r="SSQ44" s="19"/>
      <c r="SSZ44" s="19"/>
      <c r="STA44" s="19"/>
      <c r="STB44" s="19"/>
      <c r="STC44" s="19"/>
      <c r="STD44" s="21"/>
      <c r="STE44" s="19"/>
      <c r="STN44" s="19"/>
      <c r="STO44" s="19"/>
      <c r="STP44" s="19"/>
      <c r="STQ44" s="19"/>
      <c r="STR44" s="21"/>
      <c r="STS44" s="19"/>
      <c r="SUB44" s="19"/>
      <c r="SUC44" s="19"/>
      <c r="SUD44" s="19"/>
      <c r="SUE44" s="19"/>
      <c r="SUF44" s="21"/>
      <c r="SUG44" s="19"/>
      <c r="SUP44" s="19"/>
      <c r="SUQ44" s="19"/>
      <c r="SUR44" s="19"/>
      <c r="SUS44" s="19"/>
      <c r="SUT44" s="21"/>
      <c r="SUU44" s="19"/>
      <c r="SVD44" s="19"/>
      <c r="SVE44" s="19"/>
      <c r="SVF44" s="19"/>
      <c r="SVG44" s="19"/>
      <c r="SVH44" s="21"/>
      <c r="SVI44" s="19"/>
      <c r="SVR44" s="19"/>
      <c r="SVS44" s="19"/>
      <c r="SVT44" s="19"/>
      <c r="SVU44" s="19"/>
      <c r="SVV44" s="21"/>
      <c r="SVW44" s="19"/>
      <c r="SWF44" s="19"/>
      <c r="SWG44" s="19"/>
      <c r="SWH44" s="19"/>
      <c r="SWI44" s="19"/>
      <c r="SWJ44" s="21"/>
      <c r="SWK44" s="19"/>
      <c r="SWT44" s="19"/>
      <c r="SWU44" s="19"/>
      <c r="SWV44" s="19"/>
      <c r="SWW44" s="19"/>
      <c r="SWX44" s="21"/>
      <c r="SWY44" s="19"/>
      <c r="SXH44" s="19"/>
      <c r="SXI44" s="19"/>
      <c r="SXJ44" s="19"/>
      <c r="SXK44" s="19"/>
      <c r="SXL44" s="21"/>
      <c r="SXM44" s="19"/>
      <c r="SXV44" s="19"/>
      <c r="SXW44" s="19"/>
      <c r="SXX44" s="19"/>
      <c r="SXY44" s="19"/>
      <c r="SXZ44" s="21"/>
      <c r="SYA44" s="19"/>
      <c r="SYJ44" s="19"/>
      <c r="SYK44" s="19"/>
      <c r="SYL44" s="19"/>
      <c r="SYM44" s="19"/>
      <c r="SYN44" s="21"/>
      <c r="SYO44" s="19"/>
      <c r="SYX44" s="19"/>
      <c r="SYY44" s="19"/>
      <c r="SYZ44" s="19"/>
      <c r="SZA44" s="19"/>
      <c r="SZB44" s="21"/>
      <c r="SZC44" s="19"/>
      <c r="SZL44" s="19"/>
      <c r="SZM44" s="19"/>
      <c r="SZN44" s="19"/>
      <c r="SZO44" s="19"/>
      <c r="SZP44" s="21"/>
      <c r="SZQ44" s="19"/>
      <c r="SZZ44" s="19"/>
      <c r="TAA44" s="19"/>
      <c r="TAB44" s="19"/>
      <c r="TAC44" s="19"/>
      <c r="TAD44" s="21"/>
      <c r="TAE44" s="19"/>
      <c r="TAN44" s="19"/>
      <c r="TAO44" s="19"/>
      <c r="TAP44" s="19"/>
      <c r="TAQ44" s="19"/>
      <c r="TAR44" s="21"/>
      <c r="TAS44" s="19"/>
      <c r="TBB44" s="19"/>
      <c r="TBC44" s="19"/>
      <c r="TBD44" s="19"/>
      <c r="TBE44" s="19"/>
      <c r="TBF44" s="21"/>
      <c r="TBG44" s="19"/>
      <c r="TBP44" s="19"/>
      <c r="TBQ44" s="19"/>
      <c r="TBR44" s="19"/>
      <c r="TBS44" s="19"/>
      <c r="TBT44" s="21"/>
      <c r="TBU44" s="19"/>
      <c r="TCD44" s="19"/>
      <c r="TCE44" s="19"/>
      <c r="TCF44" s="19"/>
      <c r="TCG44" s="19"/>
      <c r="TCH44" s="21"/>
      <c r="TCI44" s="19"/>
      <c r="TCR44" s="19"/>
      <c r="TCS44" s="19"/>
      <c r="TCT44" s="19"/>
      <c r="TCU44" s="19"/>
      <c r="TCV44" s="21"/>
      <c r="TCW44" s="19"/>
      <c r="TDF44" s="19"/>
      <c r="TDG44" s="19"/>
      <c r="TDH44" s="19"/>
      <c r="TDI44" s="19"/>
      <c r="TDJ44" s="21"/>
      <c r="TDK44" s="19"/>
      <c r="TDT44" s="19"/>
      <c r="TDU44" s="19"/>
      <c r="TDV44" s="19"/>
      <c r="TDW44" s="19"/>
      <c r="TDX44" s="21"/>
      <c r="TDY44" s="19"/>
      <c r="TEH44" s="19"/>
      <c r="TEI44" s="19"/>
      <c r="TEJ44" s="19"/>
      <c r="TEK44" s="19"/>
      <c r="TEL44" s="21"/>
      <c r="TEM44" s="19"/>
      <c r="TEV44" s="19"/>
      <c r="TEW44" s="19"/>
      <c r="TEX44" s="19"/>
      <c r="TEY44" s="19"/>
      <c r="TEZ44" s="21"/>
      <c r="TFA44" s="19"/>
      <c r="TFJ44" s="19"/>
      <c r="TFK44" s="19"/>
      <c r="TFL44" s="19"/>
      <c r="TFM44" s="19"/>
      <c r="TFN44" s="21"/>
      <c r="TFO44" s="19"/>
      <c r="TFX44" s="19"/>
      <c r="TFY44" s="19"/>
      <c r="TFZ44" s="19"/>
      <c r="TGA44" s="19"/>
      <c r="TGB44" s="21"/>
      <c r="TGC44" s="19"/>
      <c r="TGL44" s="19"/>
      <c r="TGM44" s="19"/>
      <c r="TGN44" s="19"/>
      <c r="TGO44" s="19"/>
      <c r="TGP44" s="21"/>
      <c r="TGQ44" s="19"/>
      <c r="TGZ44" s="19"/>
      <c r="THA44" s="19"/>
      <c r="THB44" s="19"/>
      <c r="THC44" s="19"/>
      <c r="THD44" s="21"/>
      <c r="THE44" s="19"/>
      <c r="THN44" s="19"/>
      <c r="THO44" s="19"/>
      <c r="THP44" s="19"/>
      <c r="THQ44" s="19"/>
      <c r="THR44" s="21"/>
      <c r="THS44" s="19"/>
      <c r="TIB44" s="19"/>
      <c r="TIC44" s="19"/>
      <c r="TID44" s="19"/>
      <c r="TIE44" s="19"/>
      <c r="TIF44" s="21"/>
      <c r="TIG44" s="19"/>
      <c r="TIP44" s="19"/>
      <c r="TIQ44" s="19"/>
      <c r="TIR44" s="19"/>
      <c r="TIS44" s="19"/>
      <c r="TIT44" s="21"/>
      <c r="TIU44" s="19"/>
      <c r="TJD44" s="19"/>
      <c r="TJE44" s="19"/>
      <c r="TJF44" s="19"/>
      <c r="TJG44" s="19"/>
      <c r="TJH44" s="21"/>
      <c r="TJI44" s="19"/>
      <c r="TJR44" s="19"/>
      <c r="TJS44" s="19"/>
      <c r="TJT44" s="19"/>
      <c r="TJU44" s="19"/>
      <c r="TJV44" s="21"/>
      <c r="TJW44" s="19"/>
      <c r="TKF44" s="19"/>
      <c r="TKG44" s="19"/>
      <c r="TKH44" s="19"/>
      <c r="TKI44" s="19"/>
      <c r="TKJ44" s="21"/>
      <c r="TKK44" s="19"/>
      <c r="TKT44" s="19"/>
      <c r="TKU44" s="19"/>
      <c r="TKV44" s="19"/>
      <c r="TKW44" s="19"/>
      <c r="TKX44" s="21"/>
      <c r="TKY44" s="19"/>
      <c r="TLH44" s="19"/>
      <c r="TLI44" s="19"/>
      <c r="TLJ44" s="19"/>
      <c r="TLK44" s="19"/>
      <c r="TLL44" s="21"/>
      <c r="TLM44" s="19"/>
      <c r="TLV44" s="19"/>
      <c r="TLW44" s="19"/>
      <c r="TLX44" s="19"/>
      <c r="TLY44" s="19"/>
      <c r="TLZ44" s="21"/>
      <c r="TMA44" s="19"/>
      <c r="TMJ44" s="19"/>
      <c r="TMK44" s="19"/>
      <c r="TML44" s="19"/>
      <c r="TMM44" s="19"/>
      <c r="TMN44" s="21"/>
      <c r="TMO44" s="19"/>
      <c r="TMX44" s="19"/>
      <c r="TMY44" s="19"/>
      <c r="TMZ44" s="19"/>
      <c r="TNA44" s="19"/>
      <c r="TNB44" s="21"/>
      <c r="TNC44" s="19"/>
      <c r="TNL44" s="19"/>
      <c r="TNM44" s="19"/>
      <c r="TNN44" s="19"/>
      <c r="TNO44" s="19"/>
      <c r="TNP44" s="21"/>
      <c r="TNQ44" s="19"/>
      <c r="TNZ44" s="19"/>
      <c r="TOA44" s="19"/>
      <c r="TOB44" s="19"/>
      <c r="TOC44" s="19"/>
      <c r="TOD44" s="21"/>
      <c r="TOE44" s="19"/>
      <c r="TON44" s="19"/>
      <c r="TOO44" s="19"/>
      <c r="TOP44" s="19"/>
      <c r="TOQ44" s="19"/>
      <c r="TOR44" s="21"/>
      <c r="TOS44" s="19"/>
      <c r="TPB44" s="19"/>
      <c r="TPC44" s="19"/>
      <c r="TPD44" s="19"/>
      <c r="TPE44" s="19"/>
      <c r="TPF44" s="21"/>
      <c r="TPG44" s="19"/>
      <c r="TPP44" s="19"/>
      <c r="TPQ44" s="19"/>
      <c r="TPR44" s="19"/>
      <c r="TPS44" s="19"/>
      <c r="TPT44" s="21"/>
      <c r="TPU44" s="19"/>
      <c r="TQD44" s="19"/>
      <c r="TQE44" s="19"/>
      <c r="TQF44" s="19"/>
      <c r="TQG44" s="19"/>
      <c r="TQH44" s="21"/>
      <c r="TQI44" s="19"/>
      <c r="TQR44" s="19"/>
      <c r="TQS44" s="19"/>
      <c r="TQT44" s="19"/>
      <c r="TQU44" s="19"/>
      <c r="TQV44" s="21"/>
      <c r="TQW44" s="19"/>
      <c r="TRF44" s="19"/>
      <c r="TRG44" s="19"/>
      <c r="TRH44" s="19"/>
      <c r="TRI44" s="19"/>
      <c r="TRJ44" s="21"/>
      <c r="TRK44" s="19"/>
      <c r="TRT44" s="19"/>
      <c r="TRU44" s="19"/>
      <c r="TRV44" s="19"/>
      <c r="TRW44" s="19"/>
      <c r="TRX44" s="21"/>
      <c r="TRY44" s="19"/>
      <c r="TSH44" s="19"/>
      <c r="TSI44" s="19"/>
      <c r="TSJ44" s="19"/>
      <c r="TSK44" s="19"/>
      <c r="TSL44" s="21"/>
      <c r="TSM44" s="19"/>
      <c r="TSV44" s="19"/>
      <c r="TSW44" s="19"/>
      <c r="TSX44" s="19"/>
      <c r="TSY44" s="19"/>
      <c r="TSZ44" s="21"/>
      <c r="TTA44" s="19"/>
      <c r="TTJ44" s="19"/>
      <c r="TTK44" s="19"/>
      <c r="TTL44" s="19"/>
      <c r="TTM44" s="19"/>
      <c r="TTN44" s="21"/>
      <c r="TTO44" s="19"/>
      <c r="TTX44" s="19"/>
      <c r="TTY44" s="19"/>
      <c r="TTZ44" s="19"/>
      <c r="TUA44" s="19"/>
      <c r="TUB44" s="21"/>
      <c r="TUC44" s="19"/>
      <c r="TUL44" s="19"/>
      <c r="TUM44" s="19"/>
      <c r="TUN44" s="19"/>
      <c r="TUO44" s="19"/>
      <c r="TUP44" s="21"/>
      <c r="TUQ44" s="19"/>
      <c r="TUZ44" s="19"/>
      <c r="TVA44" s="19"/>
      <c r="TVB44" s="19"/>
      <c r="TVC44" s="19"/>
      <c r="TVD44" s="21"/>
      <c r="TVE44" s="19"/>
      <c r="TVN44" s="19"/>
      <c r="TVO44" s="19"/>
      <c r="TVP44" s="19"/>
      <c r="TVQ44" s="19"/>
      <c r="TVR44" s="21"/>
      <c r="TVS44" s="19"/>
      <c r="TWB44" s="19"/>
      <c r="TWC44" s="19"/>
      <c r="TWD44" s="19"/>
      <c r="TWE44" s="19"/>
      <c r="TWF44" s="21"/>
      <c r="TWG44" s="19"/>
      <c r="TWP44" s="19"/>
      <c r="TWQ44" s="19"/>
      <c r="TWR44" s="19"/>
      <c r="TWS44" s="19"/>
      <c r="TWT44" s="21"/>
      <c r="TWU44" s="19"/>
      <c r="TXD44" s="19"/>
      <c r="TXE44" s="19"/>
      <c r="TXF44" s="19"/>
      <c r="TXG44" s="19"/>
      <c r="TXH44" s="21"/>
      <c r="TXI44" s="19"/>
      <c r="TXR44" s="19"/>
      <c r="TXS44" s="19"/>
      <c r="TXT44" s="19"/>
      <c r="TXU44" s="19"/>
      <c r="TXV44" s="21"/>
      <c r="TXW44" s="19"/>
      <c r="TYF44" s="19"/>
      <c r="TYG44" s="19"/>
      <c r="TYH44" s="19"/>
      <c r="TYI44" s="19"/>
      <c r="TYJ44" s="21"/>
      <c r="TYK44" s="19"/>
      <c r="TYT44" s="19"/>
      <c r="TYU44" s="19"/>
      <c r="TYV44" s="19"/>
      <c r="TYW44" s="19"/>
      <c r="TYX44" s="21"/>
      <c r="TYY44" s="19"/>
      <c r="TZH44" s="19"/>
      <c r="TZI44" s="19"/>
      <c r="TZJ44" s="19"/>
      <c r="TZK44" s="19"/>
      <c r="TZL44" s="21"/>
      <c r="TZM44" s="19"/>
      <c r="TZV44" s="19"/>
      <c r="TZW44" s="19"/>
      <c r="TZX44" s="19"/>
      <c r="TZY44" s="19"/>
      <c r="TZZ44" s="21"/>
      <c r="UAA44" s="19"/>
      <c r="UAJ44" s="19"/>
      <c r="UAK44" s="19"/>
      <c r="UAL44" s="19"/>
      <c r="UAM44" s="19"/>
      <c r="UAN44" s="21"/>
      <c r="UAO44" s="19"/>
      <c r="UAX44" s="19"/>
      <c r="UAY44" s="19"/>
      <c r="UAZ44" s="19"/>
      <c r="UBA44" s="19"/>
      <c r="UBB44" s="21"/>
      <c r="UBC44" s="19"/>
      <c r="UBL44" s="19"/>
      <c r="UBM44" s="19"/>
      <c r="UBN44" s="19"/>
      <c r="UBO44" s="19"/>
      <c r="UBP44" s="21"/>
      <c r="UBQ44" s="19"/>
      <c r="UBZ44" s="19"/>
      <c r="UCA44" s="19"/>
      <c r="UCB44" s="19"/>
      <c r="UCC44" s="19"/>
      <c r="UCD44" s="21"/>
      <c r="UCE44" s="19"/>
      <c r="UCN44" s="19"/>
      <c r="UCO44" s="19"/>
      <c r="UCP44" s="19"/>
      <c r="UCQ44" s="19"/>
      <c r="UCR44" s="21"/>
      <c r="UCS44" s="19"/>
      <c r="UDB44" s="19"/>
      <c r="UDC44" s="19"/>
      <c r="UDD44" s="19"/>
      <c r="UDE44" s="19"/>
      <c r="UDF44" s="21"/>
      <c r="UDG44" s="19"/>
      <c r="UDP44" s="19"/>
      <c r="UDQ44" s="19"/>
      <c r="UDR44" s="19"/>
      <c r="UDS44" s="19"/>
      <c r="UDT44" s="21"/>
      <c r="UDU44" s="19"/>
      <c r="UED44" s="19"/>
      <c r="UEE44" s="19"/>
      <c r="UEF44" s="19"/>
      <c r="UEG44" s="19"/>
      <c r="UEH44" s="21"/>
      <c r="UEI44" s="19"/>
      <c r="UER44" s="19"/>
      <c r="UES44" s="19"/>
      <c r="UET44" s="19"/>
      <c r="UEU44" s="19"/>
      <c r="UEV44" s="21"/>
      <c r="UEW44" s="19"/>
      <c r="UFF44" s="19"/>
      <c r="UFG44" s="19"/>
      <c r="UFH44" s="19"/>
      <c r="UFI44" s="19"/>
      <c r="UFJ44" s="21"/>
      <c r="UFK44" s="19"/>
      <c r="UFT44" s="19"/>
      <c r="UFU44" s="19"/>
      <c r="UFV44" s="19"/>
      <c r="UFW44" s="19"/>
      <c r="UFX44" s="21"/>
      <c r="UFY44" s="19"/>
      <c r="UGH44" s="19"/>
      <c r="UGI44" s="19"/>
      <c r="UGJ44" s="19"/>
      <c r="UGK44" s="19"/>
      <c r="UGL44" s="21"/>
      <c r="UGM44" s="19"/>
      <c r="UGV44" s="19"/>
      <c r="UGW44" s="19"/>
      <c r="UGX44" s="19"/>
      <c r="UGY44" s="19"/>
      <c r="UGZ44" s="21"/>
      <c r="UHA44" s="19"/>
      <c r="UHJ44" s="19"/>
      <c r="UHK44" s="19"/>
      <c r="UHL44" s="19"/>
      <c r="UHM44" s="19"/>
      <c r="UHN44" s="21"/>
      <c r="UHO44" s="19"/>
      <c r="UHX44" s="19"/>
      <c r="UHY44" s="19"/>
      <c r="UHZ44" s="19"/>
      <c r="UIA44" s="19"/>
      <c r="UIB44" s="21"/>
      <c r="UIC44" s="19"/>
      <c r="UIL44" s="19"/>
      <c r="UIM44" s="19"/>
      <c r="UIN44" s="19"/>
      <c r="UIO44" s="19"/>
      <c r="UIP44" s="21"/>
      <c r="UIQ44" s="19"/>
      <c r="UIZ44" s="19"/>
      <c r="UJA44" s="19"/>
      <c r="UJB44" s="19"/>
      <c r="UJC44" s="19"/>
      <c r="UJD44" s="21"/>
      <c r="UJE44" s="19"/>
      <c r="UJN44" s="19"/>
      <c r="UJO44" s="19"/>
      <c r="UJP44" s="19"/>
      <c r="UJQ44" s="19"/>
      <c r="UJR44" s="21"/>
      <c r="UJS44" s="19"/>
      <c r="UKB44" s="19"/>
      <c r="UKC44" s="19"/>
      <c r="UKD44" s="19"/>
      <c r="UKE44" s="19"/>
      <c r="UKF44" s="21"/>
      <c r="UKG44" s="19"/>
      <c r="UKP44" s="19"/>
      <c r="UKQ44" s="19"/>
      <c r="UKR44" s="19"/>
      <c r="UKS44" s="19"/>
      <c r="UKT44" s="21"/>
      <c r="UKU44" s="19"/>
      <c r="ULD44" s="19"/>
      <c r="ULE44" s="19"/>
      <c r="ULF44" s="19"/>
      <c r="ULG44" s="19"/>
      <c r="ULH44" s="21"/>
      <c r="ULI44" s="19"/>
      <c r="ULR44" s="19"/>
      <c r="ULS44" s="19"/>
      <c r="ULT44" s="19"/>
      <c r="ULU44" s="19"/>
      <c r="ULV44" s="21"/>
      <c r="ULW44" s="19"/>
      <c r="UMF44" s="19"/>
      <c r="UMG44" s="19"/>
      <c r="UMH44" s="19"/>
      <c r="UMI44" s="19"/>
      <c r="UMJ44" s="21"/>
      <c r="UMK44" s="19"/>
      <c r="UMT44" s="19"/>
      <c r="UMU44" s="19"/>
      <c r="UMV44" s="19"/>
      <c r="UMW44" s="19"/>
      <c r="UMX44" s="21"/>
      <c r="UMY44" s="19"/>
      <c r="UNH44" s="19"/>
      <c r="UNI44" s="19"/>
      <c r="UNJ44" s="19"/>
      <c r="UNK44" s="19"/>
      <c r="UNL44" s="21"/>
      <c r="UNM44" s="19"/>
      <c r="UNV44" s="19"/>
      <c r="UNW44" s="19"/>
      <c r="UNX44" s="19"/>
      <c r="UNY44" s="19"/>
      <c r="UNZ44" s="21"/>
      <c r="UOA44" s="19"/>
      <c r="UOJ44" s="19"/>
      <c r="UOK44" s="19"/>
      <c r="UOL44" s="19"/>
      <c r="UOM44" s="19"/>
      <c r="UON44" s="21"/>
      <c r="UOO44" s="19"/>
      <c r="UOX44" s="19"/>
      <c r="UOY44" s="19"/>
      <c r="UOZ44" s="19"/>
      <c r="UPA44" s="19"/>
      <c r="UPB44" s="21"/>
      <c r="UPC44" s="19"/>
      <c r="UPL44" s="19"/>
      <c r="UPM44" s="19"/>
      <c r="UPN44" s="19"/>
      <c r="UPO44" s="19"/>
      <c r="UPP44" s="21"/>
      <c r="UPQ44" s="19"/>
      <c r="UPZ44" s="19"/>
      <c r="UQA44" s="19"/>
      <c r="UQB44" s="19"/>
      <c r="UQC44" s="19"/>
      <c r="UQD44" s="21"/>
      <c r="UQE44" s="19"/>
      <c r="UQN44" s="19"/>
      <c r="UQO44" s="19"/>
      <c r="UQP44" s="19"/>
      <c r="UQQ44" s="19"/>
      <c r="UQR44" s="21"/>
      <c r="UQS44" s="19"/>
      <c r="URB44" s="19"/>
      <c r="URC44" s="19"/>
      <c r="URD44" s="19"/>
      <c r="URE44" s="19"/>
      <c r="URF44" s="21"/>
      <c r="URG44" s="19"/>
      <c r="URP44" s="19"/>
      <c r="URQ44" s="19"/>
      <c r="URR44" s="19"/>
      <c r="URS44" s="19"/>
      <c r="URT44" s="21"/>
      <c r="URU44" s="19"/>
      <c r="USD44" s="19"/>
      <c r="USE44" s="19"/>
      <c r="USF44" s="19"/>
      <c r="USG44" s="19"/>
      <c r="USH44" s="21"/>
      <c r="USI44" s="19"/>
      <c r="USR44" s="19"/>
      <c r="USS44" s="19"/>
      <c r="UST44" s="19"/>
      <c r="USU44" s="19"/>
      <c r="USV44" s="21"/>
      <c r="USW44" s="19"/>
      <c r="UTF44" s="19"/>
      <c r="UTG44" s="19"/>
      <c r="UTH44" s="19"/>
      <c r="UTI44" s="19"/>
      <c r="UTJ44" s="21"/>
      <c r="UTK44" s="19"/>
      <c r="UTT44" s="19"/>
      <c r="UTU44" s="19"/>
      <c r="UTV44" s="19"/>
      <c r="UTW44" s="19"/>
      <c r="UTX44" s="21"/>
      <c r="UTY44" s="19"/>
      <c r="UUH44" s="19"/>
      <c r="UUI44" s="19"/>
      <c r="UUJ44" s="19"/>
      <c r="UUK44" s="19"/>
      <c r="UUL44" s="21"/>
      <c r="UUM44" s="19"/>
      <c r="UUV44" s="19"/>
      <c r="UUW44" s="19"/>
      <c r="UUX44" s="19"/>
      <c r="UUY44" s="19"/>
      <c r="UUZ44" s="21"/>
      <c r="UVA44" s="19"/>
      <c r="UVJ44" s="19"/>
      <c r="UVK44" s="19"/>
      <c r="UVL44" s="19"/>
      <c r="UVM44" s="19"/>
      <c r="UVN44" s="21"/>
      <c r="UVO44" s="19"/>
      <c r="UVX44" s="19"/>
      <c r="UVY44" s="19"/>
      <c r="UVZ44" s="19"/>
      <c r="UWA44" s="19"/>
      <c r="UWB44" s="21"/>
      <c r="UWC44" s="19"/>
      <c r="UWL44" s="19"/>
      <c r="UWM44" s="19"/>
      <c r="UWN44" s="19"/>
      <c r="UWO44" s="19"/>
      <c r="UWP44" s="21"/>
      <c r="UWQ44" s="19"/>
      <c r="UWZ44" s="19"/>
      <c r="UXA44" s="19"/>
      <c r="UXB44" s="19"/>
      <c r="UXC44" s="19"/>
      <c r="UXD44" s="21"/>
      <c r="UXE44" s="19"/>
      <c r="UXN44" s="19"/>
      <c r="UXO44" s="19"/>
      <c r="UXP44" s="19"/>
      <c r="UXQ44" s="19"/>
      <c r="UXR44" s="21"/>
      <c r="UXS44" s="19"/>
      <c r="UYB44" s="19"/>
      <c r="UYC44" s="19"/>
      <c r="UYD44" s="19"/>
      <c r="UYE44" s="19"/>
      <c r="UYF44" s="21"/>
      <c r="UYG44" s="19"/>
      <c r="UYP44" s="19"/>
      <c r="UYQ44" s="19"/>
      <c r="UYR44" s="19"/>
      <c r="UYS44" s="19"/>
      <c r="UYT44" s="21"/>
      <c r="UYU44" s="19"/>
      <c r="UZD44" s="19"/>
      <c r="UZE44" s="19"/>
      <c r="UZF44" s="19"/>
      <c r="UZG44" s="19"/>
      <c r="UZH44" s="21"/>
      <c r="UZI44" s="19"/>
      <c r="UZR44" s="19"/>
      <c r="UZS44" s="19"/>
      <c r="UZT44" s="19"/>
      <c r="UZU44" s="19"/>
      <c r="UZV44" s="21"/>
      <c r="UZW44" s="19"/>
      <c r="VAF44" s="19"/>
      <c r="VAG44" s="19"/>
      <c r="VAH44" s="19"/>
      <c r="VAI44" s="19"/>
      <c r="VAJ44" s="21"/>
      <c r="VAK44" s="19"/>
      <c r="VAT44" s="19"/>
      <c r="VAU44" s="19"/>
      <c r="VAV44" s="19"/>
      <c r="VAW44" s="19"/>
      <c r="VAX44" s="21"/>
      <c r="VAY44" s="19"/>
      <c r="VBH44" s="19"/>
      <c r="VBI44" s="19"/>
      <c r="VBJ44" s="19"/>
      <c r="VBK44" s="19"/>
      <c r="VBL44" s="21"/>
      <c r="VBM44" s="19"/>
      <c r="VBV44" s="19"/>
      <c r="VBW44" s="19"/>
      <c r="VBX44" s="19"/>
      <c r="VBY44" s="19"/>
      <c r="VBZ44" s="21"/>
      <c r="VCA44" s="19"/>
      <c r="VCJ44" s="19"/>
      <c r="VCK44" s="19"/>
      <c r="VCL44" s="19"/>
      <c r="VCM44" s="19"/>
      <c r="VCN44" s="21"/>
      <c r="VCO44" s="19"/>
      <c r="VCX44" s="19"/>
      <c r="VCY44" s="19"/>
      <c r="VCZ44" s="19"/>
      <c r="VDA44" s="19"/>
      <c r="VDB44" s="21"/>
      <c r="VDC44" s="19"/>
      <c r="VDL44" s="19"/>
      <c r="VDM44" s="19"/>
      <c r="VDN44" s="19"/>
      <c r="VDO44" s="19"/>
      <c r="VDP44" s="21"/>
      <c r="VDQ44" s="19"/>
      <c r="VDZ44" s="19"/>
      <c r="VEA44" s="19"/>
      <c r="VEB44" s="19"/>
      <c r="VEC44" s="19"/>
      <c r="VED44" s="21"/>
      <c r="VEE44" s="19"/>
      <c r="VEN44" s="19"/>
      <c r="VEO44" s="19"/>
      <c r="VEP44" s="19"/>
      <c r="VEQ44" s="19"/>
      <c r="VER44" s="21"/>
      <c r="VES44" s="19"/>
      <c r="VFB44" s="19"/>
      <c r="VFC44" s="19"/>
      <c r="VFD44" s="19"/>
      <c r="VFE44" s="19"/>
      <c r="VFF44" s="21"/>
      <c r="VFG44" s="19"/>
      <c r="VFP44" s="19"/>
      <c r="VFQ44" s="19"/>
      <c r="VFR44" s="19"/>
      <c r="VFS44" s="19"/>
      <c r="VFT44" s="21"/>
      <c r="VFU44" s="19"/>
      <c r="VGD44" s="19"/>
      <c r="VGE44" s="19"/>
      <c r="VGF44" s="19"/>
      <c r="VGG44" s="19"/>
      <c r="VGH44" s="21"/>
      <c r="VGI44" s="19"/>
      <c r="VGR44" s="19"/>
      <c r="VGS44" s="19"/>
      <c r="VGT44" s="19"/>
      <c r="VGU44" s="19"/>
      <c r="VGV44" s="21"/>
      <c r="VGW44" s="19"/>
      <c r="VHF44" s="19"/>
      <c r="VHG44" s="19"/>
      <c r="VHH44" s="19"/>
      <c r="VHI44" s="19"/>
      <c r="VHJ44" s="21"/>
      <c r="VHK44" s="19"/>
      <c r="VHT44" s="19"/>
      <c r="VHU44" s="19"/>
      <c r="VHV44" s="19"/>
      <c r="VHW44" s="19"/>
      <c r="VHX44" s="21"/>
      <c r="VHY44" s="19"/>
      <c r="VIH44" s="19"/>
      <c r="VII44" s="19"/>
      <c r="VIJ44" s="19"/>
      <c r="VIK44" s="19"/>
      <c r="VIL44" s="21"/>
      <c r="VIM44" s="19"/>
      <c r="VIV44" s="19"/>
      <c r="VIW44" s="19"/>
      <c r="VIX44" s="19"/>
      <c r="VIY44" s="19"/>
      <c r="VIZ44" s="21"/>
      <c r="VJA44" s="19"/>
      <c r="VJJ44" s="19"/>
      <c r="VJK44" s="19"/>
      <c r="VJL44" s="19"/>
      <c r="VJM44" s="19"/>
      <c r="VJN44" s="21"/>
      <c r="VJO44" s="19"/>
      <c r="VJX44" s="19"/>
      <c r="VJY44" s="19"/>
      <c r="VJZ44" s="19"/>
      <c r="VKA44" s="19"/>
      <c r="VKB44" s="21"/>
      <c r="VKC44" s="19"/>
      <c r="VKL44" s="19"/>
      <c r="VKM44" s="19"/>
      <c r="VKN44" s="19"/>
      <c r="VKO44" s="19"/>
      <c r="VKP44" s="21"/>
      <c r="VKQ44" s="19"/>
      <c r="VKZ44" s="19"/>
      <c r="VLA44" s="19"/>
      <c r="VLB44" s="19"/>
      <c r="VLC44" s="19"/>
      <c r="VLD44" s="21"/>
      <c r="VLE44" s="19"/>
      <c r="VLN44" s="19"/>
      <c r="VLO44" s="19"/>
      <c r="VLP44" s="19"/>
      <c r="VLQ44" s="19"/>
      <c r="VLR44" s="21"/>
      <c r="VLS44" s="19"/>
      <c r="VMB44" s="19"/>
      <c r="VMC44" s="19"/>
      <c r="VMD44" s="19"/>
      <c r="VME44" s="19"/>
      <c r="VMF44" s="21"/>
      <c r="VMG44" s="19"/>
      <c r="VMP44" s="19"/>
      <c r="VMQ44" s="19"/>
      <c r="VMR44" s="19"/>
      <c r="VMS44" s="19"/>
      <c r="VMT44" s="21"/>
      <c r="VMU44" s="19"/>
      <c r="VND44" s="19"/>
      <c r="VNE44" s="19"/>
      <c r="VNF44" s="19"/>
      <c r="VNG44" s="19"/>
      <c r="VNH44" s="21"/>
      <c r="VNI44" s="19"/>
      <c r="VNR44" s="19"/>
      <c r="VNS44" s="19"/>
      <c r="VNT44" s="19"/>
      <c r="VNU44" s="19"/>
      <c r="VNV44" s="21"/>
      <c r="VNW44" s="19"/>
      <c r="VOF44" s="19"/>
      <c r="VOG44" s="19"/>
      <c r="VOH44" s="19"/>
      <c r="VOI44" s="19"/>
      <c r="VOJ44" s="21"/>
      <c r="VOK44" s="19"/>
      <c r="VOT44" s="19"/>
      <c r="VOU44" s="19"/>
      <c r="VOV44" s="19"/>
      <c r="VOW44" s="19"/>
      <c r="VOX44" s="21"/>
      <c r="VOY44" s="19"/>
      <c r="VPH44" s="19"/>
      <c r="VPI44" s="19"/>
      <c r="VPJ44" s="19"/>
      <c r="VPK44" s="19"/>
      <c r="VPL44" s="21"/>
      <c r="VPM44" s="19"/>
      <c r="VPV44" s="19"/>
      <c r="VPW44" s="19"/>
      <c r="VPX44" s="19"/>
      <c r="VPY44" s="19"/>
      <c r="VPZ44" s="21"/>
      <c r="VQA44" s="19"/>
      <c r="VQJ44" s="19"/>
      <c r="VQK44" s="19"/>
      <c r="VQL44" s="19"/>
      <c r="VQM44" s="19"/>
      <c r="VQN44" s="21"/>
      <c r="VQO44" s="19"/>
      <c r="VQX44" s="19"/>
      <c r="VQY44" s="19"/>
      <c r="VQZ44" s="19"/>
      <c r="VRA44" s="19"/>
      <c r="VRB44" s="21"/>
      <c r="VRC44" s="19"/>
      <c r="VRL44" s="19"/>
      <c r="VRM44" s="19"/>
      <c r="VRN44" s="19"/>
      <c r="VRO44" s="19"/>
      <c r="VRP44" s="21"/>
      <c r="VRQ44" s="19"/>
      <c r="VRZ44" s="19"/>
      <c r="VSA44" s="19"/>
      <c r="VSB44" s="19"/>
      <c r="VSC44" s="19"/>
      <c r="VSD44" s="21"/>
      <c r="VSE44" s="19"/>
      <c r="VSN44" s="19"/>
      <c r="VSO44" s="19"/>
      <c r="VSP44" s="19"/>
      <c r="VSQ44" s="19"/>
      <c r="VSR44" s="21"/>
      <c r="VSS44" s="19"/>
      <c r="VTB44" s="19"/>
      <c r="VTC44" s="19"/>
      <c r="VTD44" s="19"/>
      <c r="VTE44" s="19"/>
      <c r="VTF44" s="21"/>
      <c r="VTG44" s="19"/>
      <c r="VTP44" s="19"/>
      <c r="VTQ44" s="19"/>
      <c r="VTR44" s="19"/>
      <c r="VTS44" s="19"/>
      <c r="VTT44" s="21"/>
      <c r="VTU44" s="19"/>
      <c r="VUD44" s="19"/>
      <c r="VUE44" s="19"/>
      <c r="VUF44" s="19"/>
      <c r="VUG44" s="19"/>
      <c r="VUH44" s="21"/>
      <c r="VUI44" s="19"/>
      <c r="VUR44" s="19"/>
      <c r="VUS44" s="19"/>
      <c r="VUT44" s="19"/>
      <c r="VUU44" s="19"/>
      <c r="VUV44" s="21"/>
      <c r="VUW44" s="19"/>
      <c r="VVF44" s="19"/>
      <c r="VVG44" s="19"/>
      <c r="VVH44" s="19"/>
      <c r="VVI44" s="19"/>
      <c r="VVJ44" s="21"/>
      <c r="VVK44" s="19"/>
      <c r="VVT44" s="19"/>
      <c r="VVU44" s="19"/>
      <c r="VVV44" s="19"/>
      <c r="VVW44" s="19"/>
      <c r="VVX44" s="21"/>
      <c r="VVY44" s="19"/>
      <c r="VWH44" s="19"/>
      <c r="VWI44" s="19"/>
      <c r="VWJ44" s="19"/>
      <c r="VWK44" s="19"/>
      <c r="VWL44" s="21"/>
      <c r="VWM44" s="19"/>
      <c r="VWV44" s="19"/>
      <c r="VWW44" s="19"/>
      <c r="VWX44" s="19"/>
      <c r="VWY44" s="19"/>
      <c r="VWZ44" s="21"/>
      <c r="VXA44" s="19"/>
      <c r="VXJ44" s="19"/>
      <c r="VXK44" s="19"/>
      <c r="VXL44" s="19"/>
      <c r="VXM44" s="19"/>
      <c r="VXN44" s="21"/>
      <c r="VXO44" s="19"/>
      <c r="VXX44" s="19"/>
      <c r="VXY44" s="19"/>
      <c r="VXZ44" s="19"/>
      <c r="VYA44" s="19"/>
      <c r="VYB44" s="21"/>
      <c r="VYC44" s="19"/>
      <c r="VYL44" s="19"/>
      <c r="VYM44" s="19"/>
      <c r="VYN44" s="19"/>
      <c r="VYO44" s="19"/>
      <c r="VYP44" s="21"/>
      <c r="VYQ44" s="19"/>
      <c r="VYZ44" s="19"/>
      <c r="VZA44" s="19"/>
      <c r="VZB44" s="19"/>
      <c r="VZC44" s="19"/>
      <c r="VZD44" s="21"/>
      <c r="VZE44" s="19"/>
      <c r="VZN44" s="19"/>
      <c r="VZO44" s="19"/>
      <c r="VZP44" s="19"/>
      <c r="VZQ44" s="19"/>
      <c r="VZR44" s="21"/>
      <c r="VZS44" s="19"/>
      <c r="WAB44" s="19"/>
      <c r="WAC44" s="19"/>
      <c r="WAD44" s="19"/>
      <c r="WAE44" s="19"/>
      <c r="WAF44" s="21"/>
      <c r="WAG44" s="19"/>
      <c r="WAP44" s="19"/>
      <c r="WAQ44" s="19"/>
      <c r="WAR44" s="19"/>
      <c r="WAS44" s="19"/>
      <c r="WAT44" s="21"/>
      <c r="WAU44" s="19"/>
      <c r="WBD44" s="19"/>
      <c r="WBE44" s="19"/>
      <c r="WBF44" s="19"/>
      <c r="WBG44" s="19"/>
      <c r="WBH44" s="21"/>
      <c r="WBI44" s="19"/>
      <c r="WBR44" s="19"/>
      <c r="WBS44" s="19"/>
      <c r="WBT44" s="19"/>
      <c r="WBU44" s="19"/>
      <c r="WBV44" s="21"/>
      <c r="WBW44" s="19"/>
      <c r="WCF44" s="19"/>
      <c r="WCG44" s="19"/>
      <c r="WCH44" s="19"/>
      <c r="WCI44" s="19"/>
      <c r="WCJ44" s="21"/>
      <c r="WCK44" s="19"/>
      <c r="WCT44" s="19"/>
      <c r="WCU44" s="19"/>
      <c r="WCV44" s="19"/>
      <c r="WCW44" s="19"/>
      <c r="WCX44" s="21"/>
      <c r="WCY44" s="19"/>
      <c r="WDH44" s="19"/>
      <c r="WDI44" s="19"/>
      <c r="WDJ44" s="19"/>
      <c r="WDK44" s="19"/>
      <c r="WDL44" s="21"/>
      <c r="WDM44" s="19"/>
      <c r="WDV44" s="19"/>
      <c r="WDW44" s="19"/>
      <c r="WDX44" s="19"/>
      <c r="WDY44" s="19"/>
      <c r="WDZ44" s="21"/>
      <c r="WEA44" s="19"/>
      <c r="WEJ44" s="19"/>
      <c r="WEK44" s="19"/>
      <c r="WEL44" s="19"/>
      <c r="WEM44" s="19"/>
      <c r="WEN44" s="21"/>
      <c r="WEO44" s="19"/>
      <c r="WEX44" s="19"/>
      <c r="WEY44" s="19"/>
      <c r="WEZ44" s="19"/>
      <c r="WFA44" s="19"/>
      <c r="WFB44" s="21"/>
      <c r="WFC44" s="19"/>
      <c r="WFL44" s="19"/>
      <c r="WFM44" s="19"/>
      <c r="WFN44" s="19"/>
      <c r="WFO44" s="19"/>
      <c r="WFP44" s="21"/>
      <c r="WFQ44" s="19"/>
      <c r="WFZ44" s="19"/>
      <c r="WGA44" s="19"/>
      <c r="WGB44" s="19"/>
      <c r="WGC44" s="19"/>
      <c r="WGD44" s="21"/>
      <c r="WGE44" s="19"/>
      <c r="WGN44" s="19"/>
      <c r="WGO44" s="19"/>
      <c r="WGP44" s="19"/>
      <c r="WGQ44" s="19"/>
      <c r="WGR44" s="21"/>
      <c r="WGS44" s="19"/>
      <c r="WHB44" s="19"/>
      <c r="WHC44" s="19"/>
      <c r="WHD44" s="19"/>
      <c r="WHE44" s="19"/>
      <c r="WHF44" s="21"/>
      <c r="WHG44" s="19"/>
      <c r="WHP44" s="19"/>
      <c r="WHQ44" s="19"/>
      <c r="WHR44" s="19"/>
      <c r="WHS44" s="19"/>
      <c r="WHT44" s="21"/>
      <c r="WHU44" s="19"/>
      <c r="WID44" s="19"/>
      <c r="WIE44" s="19"/>
      <c r="WIF44" s="19"/>
      <c r="WIG44" s="19"/>
      <c r="WIH44" s="21"/>
      <c r="WII44" s="19"/>
      <c r="WIR44" s="19"/>
      <c r="WIS44" s="19"/>
      <c r="WIT44" s="19"/>
      <c r="WIU44" s="19"/>
      <c r="WIV44" s="21"/>
      <c r="WIW44" s="19"/>
      <c r="WJF44" s="19"/>
      <c r="WJG44" s="19"/>
      <c r="WJH44" s="19"/>
      <c r="WJI44" s="19"/>
      <c r="WJJ44" s="21"/>
      <c r="WJK44" s="19"/>
      <c r="WJT44" s="19"/>
      <c r="WJU44" s="19"/>
      <c r="WJV44" s="19"/>
      <c r="WJW44" s="19"/>
      <c r="WJX44" s="21"/>
      <c r="WJY44" s="19"/>
      <c r="WKH44" s="19"/>
      <c r="WKI44" s="19"/>
      <c r="WKJ44" s="19"/>
      <c r="WKK44" s="19"/>
      <c r="WKL44" s="21"/>
      <c r="WKM44" s="19"/>
      <c r="WKV44" s="19"/>
      <c r="WKW44" s="19"/>
      <c r="WKX44" s="19"/>
      <c r="WKY44" s="19"/>
      <c r="WKZ44" s="21"/>
      <c r="WLA44" s="19"/>
      <c r="WLJ44" s="19"/>
      <c r="WLK44" s="19"/>
      <c r="WLL44" s="19"/>
      <c r="WLM44" s="19"/>
      <c r="WLN44" s="21"/>
      <c r="WLO44" s="19"/>
      <c r="WLX44" s="19"/>
      <c r="WLY44" s="19"/>
      <c r="WLZ44" s="19"/>
      <c r="WMA44" s="19"/>
      <c r="WMB44" s="21"/>
      <c r="WMC44" s="19"/>
      <c r="WML44" s="19"/>
      <c r="WMM44" s="19"/>
      <c r="WMN44" s="19"/>
      <c r="WMO44" s="19"/>
      <c r="WMP44" s="21"/>
      <c r="WMQ44" s="19"/>
      <c r="WMZ44" s="19"/>
      <c r="WNA44" s="19"/>
      <c r="WNB44" s="19"/>
      <c r="WNC44" s="19"/>
      <c r="WND44" s="21"/>
      <c r="WNE44" s="19"/>
      <c r="WNN44" s="19"/>
      <c r="WNO44" s="19"/>
      <c r="WNP44" s="19"/>
      <c r="WNQ44" s="19"/>
      <c r="WNR44" s="21"/>
      <c r="WNS44" s="19"/>
      <c r="WOB44" s="19"/>
      <c r="WOC44" s="19"/>
      <c r="WOD44" s="19"/>
      <c r="WOE44" s="19"/>
      <c r="WOF44" s="21"/>
      <c r="WOG44" s="19"/>
      <c r="WOP44" s="19"/>
      <c r="WOQ44" s="19"/>
      <c r="WOR44" s="19"/>
      <c r="WOS44" s="19"/>
      <c r="WOT44" s="21"/>
      <c r="WOU44" s="19"/>
      <c r="WPD44" s="19"/>
      <c r="WPE44" s="19"/>
      <c r="WPF44" s="19"/>
      <c r="WPG44" s="19"/>
      <c r="WPH44" s="21"/>
      <c r="WPI44" s="19"/>
      <c r="WPR44" s="19"/>
      <c r="WPS44" s="19"/>
      <c r="WPT44" s="19"/>
      <c r="WPU44" s="19"/>
      <c r="WPV44" s="21"/>
      <c r="WPW44" s="19"/>
      <c r="WQF44" s="19"/>
      <c r="WQG44" s="19"/>
      <c r="WQH44" s="19"/>
      <c r="WQI44" s="19"/>
      <c r="WQJ44" s="21"/>
      <c r="WQK44" s="19"/>
      <c r="WQT44" s="19"/>
      <c r="WQU44" s="19"/>
      <c r="WQV44" s="19"/>
      <c r="WQW44" s="19"/>
      <c r="WQX44" s="21"/>
      <c r="WQY44" s="19"/>
      <c r="WRH44" s="19"/>
      <c r="WRI44" s="19"/>
      <c r="WRJ44" s="19"/>
      <c r="WRK44" s="19"/>
      <c r="WRL44" s="21"/>
      <c r="WRM44" s="19"/>
      <c r="WRV44" s="19"/>
      <c r="WRW44" s="19"/>
      <c r="WRX44" s="19"/>
      <c r="WRY44" s="19"/>
      <c r="WRZ44" s="21"/>
      <c r="WSA44" s="19"/>
      <c r="WSJ44" s="19"/>
      <c r="WSK44" s="19"/>
      <c r="WSL44" s="19"/>
      <c r="WSM44" s="19"/>
      <c r="WSN44" s="21"/>
      <c r="WSO44" s="19"/>
      <c r="WSX44" s="19"/>
      <c r="WSY44" s="19"/>
      <c r="WSZ44" s="19"/>
      <c r="WTA44" s="19"/>
      <c r="WTB44" s="21"/>
      <c r="WTC44" s="19"/>
      <c r="WTL44" s="19"/>
      <c r="WTM44" s="19"/>
      <c r="WTN44" s="19"/>
      <c r="WTO44" s="19"/>
      <c r="WTP44" s="21"/>
      <c r="WTQ44" s="19"/>
      <c r="WTZ44" s="19"/>
      <c r="WUA44" s="19"/>
      <c r="WUB44" s="19"/>
      <c r="WUC44" s="19"/>
      <c r="WUD44" s="21"/>
      <c r="WUE44" s="19"/>
      <c r="WUN44" s="19"/>
      <c r="WUO44" s="19"/>
      <c r="WUP44" s="19"/>
      <c r="WUQ44" s="19"/>
      <c r="WUR44" s="21"/>
      <c r="WUS44" s="19"/>
      <c r="WVB44" s="19"/>
      <c r="WVC44" s="19"/>
      <c r="WVD44" s="19"/>
      <c r="WVE44" s="19"/>
      <c r="WVF44" s="21"/>
      <c r="WVG44" s="19"/>
      <c r="WVP44" s="19"/>
      <c r="WVQ44" s="19"/>
      <c r="WVR44" s="19"/>
      <c r="WVS44" s="19"/>
      <c r="WVT44" s="21"/>
      <c r="WVU44" s="19"/>
      <c r="WWD44" s="19"/>
      <c r="WWE44" s="19"/>
      <c r="WWF44" s="19"/>
      <c r="WWG44" s="19"/>
      <c r="WWH44" s="21"/>
      <c r="WWI44" s="19"/>
      <c r="WWR44" s="19"/>
      <c r="WWS44" s="19"/>
      <c r="WWT44" s="19"/>
      <c r="WWU44" s="19"/>
      <c r="WWV44" s="21"/>
      <c r="WWW44" s="19"/>
      <c r="WXF44" s="19"/>
      <c r="WXG44" s="19"/>
      <c r="WXH44" s="19"/>
      <c r="WXI44" s="19"/>
      <c r="WXJ44" s="21"/>
      <c r="WXK44" s="19"/>
      <c r="WXT44" s="19"/>
      <c r="WXU44" s="19"/>
      <c r="WXV44" s="19"/>
      <c r="WXW44" s="19"/>
      <c r="WXX44" s="21"/>
      <c r="WXY44" s="19"/>
      <c r="WYH44" s="19"/>
      <c r="WYI44" s="19"/>
      <c r="WYJ44" s="19"/>
      <c r="WYK44" s="19"/>
      <c r="WYL44" s="21"/>
      <c r="WYM44" s="19"/>
      <c r="WYV44" s="19"/>
      <c r="WYW44" s="19"/>
      <c r="WYX44" s="19"/>
      <c r="WYY44" s="19"/>
      <c r="WYZ44" s="21"/>
      <c r="WZA44" s="19"/>
      <c r="WZJ44" s="19"/>
      <c r="WZK44" s="19"/>
      <c r="WZL44" s="19"/>
      <c r="WZM44" s="19"/>
      <c r="WZN44" s="21"/>
      <c r="WZO44" s="19"/>
      <c r="WZX44" s="19"/>
      <c r="WZY44" s="19"/>
      <c r="WZZ44" s="19"/>
      <c r="XAA44" s="19"/>
      <c r="XAB44" s="21"/>
      <c r="XAC44" s="19"/>
      <c r="XAL44" s="19"/>
      <c r="XAM44" s="19"/>
      <c r="XAN44" s="19"/>
      <c r="XAO44" s="19"/>
      <c r="XAP44" s="21"/>
      <c r="XAQ44" s="19"/>
      <c r="XAZ44" s="19"/>
      <c r="XBA44" s="19"/>
      <c r="XBB44" s="19"/>
      <c r="XBC44" s="19"/>
      <c r="XBD44" s="21"/>
      <c r="XBE44" s="19"/>
      <c r="XBN44" s="19"/>
      <c r="XBO44" s="19"/>
      <c r="XBP44" s="19"/>
      <c r="XBQ44" s="19"/>
      <c r="XBR44" s="21"/>
      <c r="XBS44" s="19"/>
      <c r="XCB44" s="19"/>
      <c r="XCC44" s="19"/>
      <c r="XCD44" s="19"/>
      <c r="XCE44" s="19"/>
      <c r="XCF44" s="21"/>
      <c r="XCG44" s="19"/>
      <c r="XCP44" s="19"/>
      <c r="XCQ44" s="19"/>
      <c r="XCR44" s="19"/>
      <c r="XCS44" s="19"/>
      <c r="XCT44" s="21"/>
      <c r="XCU44" s="19"/>
      <c r="XDD44" s="19"/>
      <c r="XDE44" s="19"/>
      <c r="XDF44" s="19"/>
      <c r="XDG44" s="19"/>
      <c r="XDH44" s="21"/>
      <c r="XDI44" s="19"/>
      <c r="XDR44" s="19"/>
      <c r="XDS44" s="19"/>
      <c r="XDT44" s="19"/>
      <c r="XDU44" s="19"/>
      <c r="XDV44" s="21"/>
      <c r="XDW44" s="19"/>
      <c r="XEF44" s="19"/>
      <c r="XEG44" s="19"/>
      <c r="XEH44" s="19"/>
      <c r="XEI44" s="19"/>
      <c r="XEJ44" s="21"/>
      <c r="XEK44" s="19"/>
    </row>
    <row r="45" spans="1:1021 1030:2043 2052:3065 3074:7167 7176:8189 8198:9211 9220:10233 10242:14335 14344:15357 15366:16365" s="20" customFormat="1">
      <c r="A45" s="19">
        <v>3</v>
      </c>
      <c r="B45" s="21">
        <v>12</v>
      </c>
      <c r="C45" s="19" t="s">
        <v>135</v>
      </c>
      <c r="D45" s="20">
        <v>3</v>
      </c>
      <c r="E45" s="20">
        <v>3</v>
      </c>
      <c r="F45" s="20">
        <v>1</v>
      </c>
      <c r="G45" s="20">
        <v>0</v>
      </c>
      <c r="H45" s="20">
        <v>2</v>
      </c>
      <c r="I45" s="20">
        <v>1</v>
      </c>
      <c r="J45" s="20">
        <v>5</v>
      </c>
      <c r="K45" s="20">
        <v>-4</v>
      </c>
      <c r="L45" s="27"/>
      <c r="M45" s="19"/>
      <c r="V45" s="19"/>
      <c r="W45" s="19"/>
      <c r="X45" s="19"/>
      <c r="Y45" s="19"/>
      <c r="Z45" s="21"/>
      <c r="AA45" s="19"/>
      <c r="AJ45" s="19"/>
      <c r="AK45" s="19"/>
      <c r="AL45" s="19"/>
      <c r="AM45" s="19"/>
      <c r="AN45" s="21"/>
      <c r="AO45" s="19"/>
      <c r="AX45" s="19"/>
      <c r="AY45" s="19"/>
      <c r="AZ45" s="19"/>
      <c r="BA45" s="19"/>
      <c r="BB45" s="21"/>
      <c r="BC45" s="19"/>
      <c r="BL45" s="19"/>
      <c r="BM45" s="19"/>
      <c r="BN45" s="19"/>
      <c r="BO45" s="19"/>
      <c r="BP45" s="21"/>
      <c r="BQ45" s="19"/>
      <c r="BZ45" s="19"/>
      <c r="CA45" s="19"/>
      <c r="CB45" s="19"/>
      <c r="CC45" s="19"/>
      <c r="CD45" s="21"/>
      <c r="CE45" s="19"/>
      <c r="CN45" s="19"/>
      <c r="CO45" s="19"/>
      <c r="CP45" s="19"/>
      <c r="CQ45" s="19"/>
      <c r="CR45" s="21"/>
      <c r="CS45" s="19"/>
      <c r="DB45" s="19"/>
      <c r="DC45" s="19"/>
      <c r="DD45" s="19"/>
      <c r="DE45" s="19"/>
      <c r="DF45" s="21"/>
      <c r="DG45" s="19"/>
      <c r="DP45" s="19"/>
      <c r="DQ45" s="19"/>
      <c r="DR45" s="19"/>
      <c r="DS45" s="19"/>
      <c r="DT45" s="21"/>
      <c r="DU45" s="19"/>
      <c r="ED45" s="19"/>
      <c r="EE45" s="19"/>
      <c r="EF45" s="19"/>
      <c r="EG45" s="19"/>
      <c r="EH45" s="21"/>
      <c r="EI45" s="19"/>
      <c r="ER45" s="19"/>
      <c r="ES45" s="19"/>
      <c r="ET45" s="19"/>
      <c r="EU45" s="19"/>
      <c r="EV45" s="21"/>
      <c r="EW45" s="19"/>
      <c r="FF45" s="19"/>
      <c r="FG45" s="19"/>
      <c r="FH45" s="19"/>
      <c r="FI45" s="19"/>
      <c r="FJ45" s="21"/>
      <c r="FK45" s="19"/>
      <c r="FT45" s="19"/>
      <c r="FU45" s="19"/>
      <c r="FV45" s="19"/>
      <c r="FW45" s="19"/>
      <c r="FX45" s="21"/>
      <c r="FY45" s="19"/>
      <c r="GH45" s="19"/>
      <c r="GI45" s="19"/>
      <c r="GJ45" s="19"/>
      <c r="GK45" s="19"/>
      <c r="GL45" s="21"/>
      <c r="GM45" s="19"/>
      <c r="GV45" s="19"/>
      <c r="GW45" s="19"/>
      <c r="GX45" s="19"/>
      <c r="GY45" s="19"/>
      <c r="GZ45" s="21"/>
      <c r="HA45" s="19"/>
      <c r="HJ45" s="19"/>
      <c r="HK45" s="19"/>
      <c r="HL45" s="19"/>
      <c r="HM45" s="19"/>
      <c r="HN45" s="21"/>
      <c r="HO45" s="19"/>
      <c r="HX45" s="19"/>
      <c r="HY45" s="19"/>
      <c r="HZ45" s="19"/>
      <c r="IA45" s="19"/>
      <c r="IB45" s="21"/>
      <c r="IC45" s="19"/>
      <c r="IL45" s="19"/>
      <c r="IM45" s="19"/>
      <c r="IN45" s="19"/>
      <c r="IO45" s="19"/>
      <c r="IP45" s="21"/>
      <c r="IQ45" s="19"/>
      <c r="IZ45" s="19"/>
      <c r="JA45" s="19"/>
      <c r="JB45" s="19"/>
      <c r="JC45" s="19"/>
      <c r="JD45" s="21"/>
      <c r="JE45" s="19"/>
      <c r="JN45" s="19"/>
      <c r="JO45" s="19"/>
      <c r="JP45" s="19"/>
      <c r="JQ45" s="19"/>
      <c r="JR45" s="21"/>
      <c r="JS45" s="19"/>
      <c r="KB45" s="19"/>
      <c r="KC45" s="19"/>
      <c r="KD45" s="19"/>
      <c r="KE45" s="19"/>
      <c r="KF45" s="21"/>
      <c r="KG45" s="19"/>
      <c r="KP45" s="19"/>
      <c r="KQ45" s="19"/>
      <c r="KR45" s="19"/>
      <c r="KS45" s="19"/>
      <c r="KT45" s="21"/>
      <c r="KU45" s="19"/>
      <c r="LD45" s="19"/>
      <c r="LE45" s="19"/>
      <c r="LF45" s="19"/>
      <c r="LG45" s="19"/>
      <c r="LH45" s="21"/>
      <c r="LI45" s="19"/>
      <c r="LR45" s="19"/>
      <c r="LS45" s="19"/>
      <c r="LT45" s="19"/>
      <c r="LU45" s="19"/>
      <c r="LV45" s="21"/>
      <c r="LW45" s="19"/>
      <c r="MF45" s="19"/>
      <c r="MG45" s="19"/>
      <c r="MH45" s="19"/>
      <c r="MI45" s="19"/>
      <c r="MJ45" s="21"/>
      <c r="MK45" s="19"/>
      <c r="MT45" s="19"/>
      <c r="MU45" s="19"/>
      <c r="MV45" s="19"/>
      <c r="MW45" s="19"/>
      <c r="MX45" s="21"/>
      <c r="MY45" s="19"/>
      <c r="NH45" s="19"/>
      <c r="NI45" s="19"/>
      <c r="NJ45" s="19"/>
      <c r="NK45" s="19"/>
      <c r="NL45" s="21"/>
      <c r="NM45" s="19"/>
      <c r="NV45" s="19"/>
      <c r="NW45" s="19"/>
      <c r="NX45" s="19"/>
      <c r="NY45" s="19"/>
      <c r="NZ45" s="21"/>
      <c r="OA45" s="19"/>
      <c r="OJ45" s="19"/>
      <c r="OK45" s="19"/>
      <c r="OL45" s="19"/>
      <c r="OM45" s="19"/>
      <c r="ON45" s="21"/>
      <c r="OO45" s="19"/>
      <c r="OX45" s="19"/>
      <c r="OY45" s="19"/>
      <c r="OZ45" s="19"/>
      <c r="PA45" s="19"/>
      <c r="PB45" s="21"/>
      <c r="PC45" s="19"/>
      <c r="PL45" s="19"/>
      <c r="PM45" s="19"/>
      <c r="PN45" s="19"/>
      <c r="PO45" s="19"/>
      <c r="PP45" s="21"/>
      <c r="PQ45" s="19"/>
      <c r="PZ45" s="19"/>
      <c r="QA45" s="19"/>
      <c r="QB45" s="19"/>
      <c r="QC45" s="19"/>
      <c r="QD45" s="21"/>
      <c r="QE45" s="19"/>
      <c r="QN45" s="19"/>
      <c r="QO45" s="19"/>
      <c r="QP45" s="19"/>
      <c r="QQ45" s="19"/>
      <c r="QR45" s="21"/>
      <c r="QS45" s="19"/>
      <c r="RB45" s="19"/>
      <c r="RC45" s="19"/>
      <c r="RD45" s="19"/>
      <c r="RE45" s="19"/>
      <c r="RF45" s="21"/>
      <c r="RG45" s="19"/>
      <c r="RP45" s="19"/>
      <c r="RQ45" s="19"/>
      <c r="RR45" s="19"/>
      <c r="RS45" s="19"/>
      <c r="RT45" s="21"/>
      <c r="RU45" s="19"/>
      <c r="SD45" s="19"/>
      <c r="SE45" s="19"/>
      <c r="SF45" s="19"/>
      <c r="SG45" s="19"/>
      <c r="SH45" s="21"/>
      <c r="SI45" s="19"/>
      <c r="SR45" s="19"/>
      <c r="SS45" s="19"/>
      <c r="ST45" s="19"/>
      <c r="SU45" s="19"/>
      <c r="SV45" s="21"/>
      <c r="SW45" s="19"/>
      <c r="TF45" s="19"/>
      <c r="TG45" s="19"/>
      <c r="TH45" s="19"/>
      <c r="TI45" s="19"/>
      <c r="TJ45" s="21"/>
      <c r="TK45" s="19"/>
      <c r="TT45" s="19"/>
      <c r="TU45" s="19"/>
      <c r="TV45" s="19"/>
      <c r="TW45" s="19"/>
      <c r="TX45" s="21"/>
      <c r="TY45" s="19"/>
      <c r="UH45" s="19"/>
      <c r="UI45" s="19"/>
      <c r="UJ45" s="19"/>
      <c r="UK45" s="19"/>
      <c r="UL45" s="21"/>
      <c r="UM45" s="19"/>
      <c r="UV45" s="19"/>
      <c r="UW45" s="19"/>
      <c r="UX45" s="19"/>
      <c r="UY45" s="19"/>
      <c r="UZ45" s="21"/>
      <c r="VA45" s="19"/>
      <c r="VJ45" s="19"/>
      <c r="VK45" s="19"/>
      <c r="VL45" s="19"/>
      <c r="VM45" s="19"/>
      <c r="VN45" s="21"/>
      <c r="VO45" s="19"/>
      <c r="VX45" s="19"/>
      <c r="VY45" s="19"/>
      <c r="VZ45" s="19"/>
      <c r="WA45" s="19"/>
      <c r="WB45" s="21"/>
      <c r="WC45" s="19"/>
      <c r="WL45" s="19"/>
      <c r="WM45" s="19"/>
      <c r="WN45" s="19"/>
      <c r="WO45" s="19"/>
      <c r="WP45" s="21"/>
      <c r="WQ45" s="19"/>
      <c r="WZ45" s="19"/>
      <c r="XA45" s="19"/>
      <c r="XB45" s="19"/>
      <c r="XC45" s="19"/>
      <c r="XD45" s="21"/>
      <c r="XE45" s="19"/>
      <c r="XN45" s="19"/>
      <c r="XO45" s="19"/>
      <c r="XP45" s="19"/>
      <c r="XQ45" s="19"/>
      <c r="XR45" s="21"/>
      <c r="XS45" s="19"/>
      <c r="YB45" s="19"/>
      <c r="YC45" s="19"/>
      <c r="YD45" s="19"/>
      <c r="YE45" s="19"/>
      <c r="YF45" s="21"/>
      <c r="YG45" s="19"/>
      <c r="YP45" s="19"/>
      <c r="YQ45" s="19"/>
      <c r="YR45" s="19"/>
      <c r="YS45" s="19"/>
      <c r="YT45" s="21"/>
      <c r="YU45" s="19"/>
      <c r="ZD45" s="19"/>
      <c r="ZE45" s="19"/>
      <c r="ZF45" s="19"/>
      <c r="ZG45" s="19"/>
      <c r="ZH45" s="21"/>
      <c r="ZI45" s="19"/>
      <c r="ZR45" s="19"/>
      <c r="ZS45" s="19"/>
      <c r="ZT45" s="19"/>
      <c r="ZU45" s="19"/>
      <c r="ZV45" s="21"/>
      <c r="ZW45" s="19"/>
      <c r="AAF45" s="19"/>
      <c r="AAG45" s="19"/>
      <c r="AAH45" s="19"/>
      <c r="AAI45" s="19"/>
      <c r="AAJ45" s="21"/>
      <c r="AAK45" s="19"/>
      <c r="AAT45" s="19"/>
      <c r="AAU45" s="19"/>
      <c r="AAV45" s="19"/>
      <c r="AAW45" s="19"/>
      <c r="AAX45" s="21"/>
      <c r="AAY45" s="19"/>
      <c r="ABH45" s="19"/>
      <c r="ABI45" s="19"/>
      <c r="ABJ45" s="19"/>
      <c r="ABK45" s="19"/>
      <c r="ABL45" s="21"/>
      <c r="ABM45" s="19"/>
      <c r="ABV45" s="19"/>
      <c r="ABW45" s="19"/>
      <c r="ABX45" s="19"/>
      <c r="ABY45" s="19"/>
      <c r="ABZ45" s="21"/>
      <c r="ACA45" s="19"/>
      <c r="ACJ45" s="19"/>
      <c r="ACK45" s="19"/>
      <c r="ACL45" s="19"/>
      <c r="ACM45" s="19"/>
      <c r="ACN45" s="21"/>
      <c r="ACO45" s="19"/>
      <c r="ACX45" s="19"/>
      <c r="ACY45" s="19"/>
      <c r="ACZ45" s="19"/>
      <c r="ADA45" s="19"/>
      <c r="ADB45" s="21"/>
      <c r="ADC45" s="19"/>
      <c r="ADL45" s="19"/>
      <c r="ADM45" s="19"/>
      <c r="ADN45" s="19"/>
      <c r="ADO45" s="19"/>
      <c r="ADP45" s="21"/>
      <c r="ADQ45" s="19"/>
      <c r="ADZ45" s="19"/>
      <c r="AEA45" s="19"/>
      <c r="AEB45" s="19"/>
      <c r="AEC45" s="19"/>
      <c r="AED45" s="21"/>
      <c r="AEE45" s="19"/>
      <c r="AEN45" s="19"/>
      <c r="AEO45" s="19"/>
      <c r="AEP45" s="19"/>
      <c r="AEQ45" s="19"/>
      <c r="AER45" s="21"/>
      <c r="AES45" s="19"/>
      <c r="AFB45" s="19"/>
      <c r="AFC45" s="19"/>
      <c r="AFD45" s="19"/>
      <c r="AFE45" s="19"/>
      <c r="AFF45" s="21"/>
      <c r="AFG45" s="19"/>
      <c r="AFP45" s="19"/>
      <c r="AFQ45" s="19"/>
      <c r="AFR45" s="19"/>
      <c r="AFS45" s="19"/>
      <c r="AFT45" s="21"/>
      <c r="AFU45" s="19"/>
      <c r="AGD45" s="19"/>
      <c r="AGE45" s="19"/>
      <c r="AGF45" s="19"/>
      <c r="AGG45" s="19"/>
      <c r="AGH45" s="21"/>
      <c r="AGI45" s="19"/>
      <c r="AGR45" s="19"/>
      <c r="AGS45" s="19"/>
      <c r="AGT45" s="19"/>
      <c r="AGU45" s="19"/>
      <c r="AGV45" s="21"/>
      <c r="AGW45" s="19"/>
      <c r="AHF45" s="19"/>
      <c r="AHG45" s="19"/>
      <c r="AHH45" s="19"/>
      <c r="AHI45" s="19"/>
      <c r="AHJ45" s="21"/>
      <c r="AHK45" s="19"/>
      <c r="AHT45" s="19"/>
      <c r="AHU45" s="19"/>
      <c r="AHV45" s="19"/>
      <c r="AHW45" s="19"/>
      <c r="AHX45" s="21"/>
      <c r="AHY45" s="19"/>
      <c r="AIH45" s="19"/>
      <c r="AII45" s="19"/>
      <c r="AIJ45" s="19"/>
      <c r="AIK45" s="19"/>
      <c r="AIL45" s="21"/>
      <c r="AIM45" s="19"/>
      <c r="AIV45" s="19"/>
      <c r="AIW45" s="19"/>
      <c r="AIX45" s="19"/>
      <c r="AIY45" s="19"/>
      <c r="AIZ45" s="21"/>
      <c r="AJA45" s="19"/>
      <c r="AJJ45" s="19"/>
      <c r="AJK45" s="19"/>
      <c r="AJL45" s="19"/>
      <c r="AJM45" s="19"/>
      <c r="AJN45" s="21"/>
      <c r="AJO45" s="19"/>
      <c r="AJX45" s="19"/>
      <c r="AJY45" s="19"/>
      <c r="AJZ45" s="19"/>
      <c r="AKA45" s="19"/>
      <c r="AKB45" s="21"/>
      <c r="AKC45" s="19"/>
      <c r="AKL45" s="19"/>
      <c r="AKM45" s="19"/>
      <c r="AKN45" s="19"/>
      <c r="AKO45" s="19"/>
      <c r="AKP45" s="21"/>
      <c r="AKQ45" s="19"/>
      <c r="AKZ45" s="19"/>
      <c r="ALA45" s="19"/>
      <c r="ALB45" s="19"/>
      <c r="ALC45" s="19"/>
      <c r="ALD45" s="21"/>
      <c r="ALE45" s="19"/>
      <c r="ALN45" s="19"/>
      <c r="ALO45" s="19"/>
      <c r="ALP45" s="19"/>
      <c r="ALQ45" s="19"/>
      <c r="ALR45" s="21"/>
      <c r="ALS45" s="19"/>
      <c r="AMB45" s="19"/>
      <c r="AMC45" s="19"/>
      <c r="AMD45" s="19"/>
      <c r="AME45" s="19"/>
      <c r="AMF45" s="21"/>
      <c r="AMG45" s="19"/>
      <c r="AMP45" s="19"/>
      <c r="AMQ45" s="19"/>
      <c r="AMR45" s="19"/>
      <c r="AMS45" s="19"/>
      <c r="AMT45" s="21"/>
      <c r="AMU45" s="19"/>
      <c r="AND45" s="19"/>
      <c r="ANE45" s="19"/>
      <c r="ANF45" s="19"/>
      <c r="ANG45" s="19"/>
      <c r="ANH45" s="21"/>
      <c r="ANI45" s="19"/>
      <c r="ANR45" s="19"/>
      <c r="ANS45" s="19"/>
      <c r="ANT45" s="19"/>
      <c r="ANU45" s="19"/>
      <c r="ANV45" s="21"/>
      <c r="ANW45" s="19"/>
      <c r="AOF45" s="19"/>
      <c r="AOG45" s="19"/>
      <c r="AOH45" s="19"/>
      <c r="AOI45" s="19"/>
      <c r="AOJ45" s="21"/>
      <c r="AOK45" s="19"/>
      <c r="AOT45" s="19"/>
      <c r="AOU45" s="19"/>
      <c r="AOV45" s="19"/>
      <c r="AOW45" s="19"/>
      <c r="AOX45" s="21"/>
      <c r="AOY45" s="19"/>
      <c r="APH45" s="19"/>
      <c r="API45" s="19"/>
      <c r="APJ45" s="19"/>
      <c r="APK45" s="19"/>
      <c r="APL45" s="21"/>
      <c r="APM45" s="19"/>
      <c r="APV45" s="19"/>
      <c r="APW45" s="19"/>
      <c r="APX45" s="19"/>
      <c r="APY45" s="19"/>
      <c r="APZ45" s="21"/>
      <c r="AQA45" s="19"/>
      <c r="AQJ45" s="19"/>
      <c r="AQK45" s="19"/>
      <c r="AQL45" s="19"/>
      <c r="AQM45" s="19"/>
      <c r="AQN45" s="21"/>
      <c r="AQO45" s="19"/>
      <c r="AQX45" s="19"/>
      <c r="AQY45" s="19"/>
      <c r="AQZ45" s="19"/>
      <c r="ARA45" s="19"/>
      <c r="ARB45" s="21"/>
      <c r="ARC45" s="19"/>
      <c r="ARL45" s="19"/>
      <c r="ARM45" s="19"/>
      <c r="ARN45" s="19"/>
      <c r="ARO45" s="19"/>
      <c r="ARP45" s="21"/>
      <c r="ARQ45" s="19"/>
      <c r="ARZ45" s="19"/>
      <c r="ASA45" s="19"/>
      <c r="ASB45" s="19"/>
      <c r="ASC45" s="19"/>
      <c r="ASD45" s="21"/>
      <c r="ASE45" s="19"/>
      <c r="ASN45" s="19"/>
      <c r="ASO45" s="19"/>
      <c r="ASP45" s="19"/>
      <c r="ASQ45" s="19"/>
      <c r="ASR45" s="21"/>
      <c r="ASS45" s="19"/>
      <c r="ATB45" s="19"/>
      <c r="ATC45" s="19"/>
      <c r="ATD45" s="19"/>
      <c r="ATE45" s="19"/>
      <c r="ATF45" s="21"/>
      <c r="ATG45" s="19"/>
      <c r="ATP45" s="19"/>
      <c r="ATQ45" s="19"/>
      <c r="ATR45" s="19"/>
      <c r="ATS45" s="19"/>
      <c r="ATT45" s="21"/>
      <c r="ATU45" s="19"/>
      <c r="AUD45" s="19"/>
      <c r="AUE45" s="19"/>
      <c r="AUF45" s="19"/>
      <c r="AUG45" s="19"/>
      <c r="AUH45" s="21"/>
      <c r="AUI45" s="19"/>
      <c r="AUR45" s="19"/>
      <c r="AUS45" s="19"/>
      <c r="AUT45" s="19"/>
      <c r="AUU45" s="19"/>
      <c r="AUV45" s="21"/>
      <c r="AUW45" s="19"/>
      <c r="AVF45" s="19"/>
      <c r="AVG45" s="19"/>
      <c r="AVH45" s="19"/>
      <c r="AVI45" s="19"/>
      <c r="AVJ45" s="21"/>
      <c r="AVK45" s="19"/>
      <c r="AVT45" s="19"/>
      <c r="AVU45" s="19"/>
      <c r="AVV45" s="19"/>
      <c r="AVW45" s="19"/>
      <c r="AVX45" s="21"/>
      <c r="AVY45" s="19"/>
      <c r="AWH45" s="19"/>
      <c r="AWI45" s="19"/>
      <c r="AWJ45" s="19"/>
      <c r="AWK45" s="19"/>
      <c r="AWL45" s="21"/>
      <c r="AWM45" s="19"/>
      <c r="AWV45" s="19"/>
      <c r="AWW45" s="19"/>
      <c r="AWX45" s="19"/>
      <c r="AWY45" s="19"/>
      <c r="AWZ45" s="21"/>
      <c r="AXA45" s="19"/>
      <c r="AXJ45" s="19"/>
      <c r="AXK45" s="19"/>
      <c r="AXL45" s="19"/>
      <c r="AXM45" s="19"/>
      <c r="AXN45" s="21"/>
      <c r="AXO45" s="19"/>
      <c r="AXX45" s="19"/>
      <c r="AXY45" s="19"/>
      <c r="AXZ45" s="19"/>
      <c r="AYA45" s="19"/>
      <c r="AYB45" s="21"/>
      <c r="AYC45" s="19"/>
      <c r="AYL45" s="19"/>
      <c r="AYM45" s="19"/>
      <c r="AYN45" s="19"/>
      <c r="AYO45" s="19"/>
      <c r="AYP45" s="21"/>
      <c r="AYQ45" s="19"/>
      <c r="AYZ45" s="19"/>
      <c r="AZA45" s="19"/>
      <c r="AZB45" s="19"/>
      <c r="AZC45" s="19"/>
      <c r="AZD45" s="21"/>
      <c r="AZE45" s="19"/>
      <c r="AZN45" s="19"/>
      <c r="AZO45" s="19"/>
      <c r="AZP45" s="19"/>
      <c r="AZQ45" s="19"/>
      <c r="AZR45" s="21"/>
      <c r="AZS45" s="19"/>
      <c r="BAB45" s="19"/>
      <c r="BAC45" s="19"/>
      <c r="BAD45" s="19"/>
      <c r="BAE45" s="19"/>
      <c r="BAF45" s="21"/>
      <c r="BAG45" s="19"/>
      <c r="BAP45" s="19"/>
      <c r="BAQ45" s="19"/>
      <c r="BAR45" s="19"/>
      <c r="BAS45" s="19"/>
      <c r="BAT45" s="21"/>
      <c r="BAU45" s="19"/>
      <c r="BBD45" s="19"/>
      <c r="BBE45" s="19"/>
      <c r="BBF45" s="19"/>
      <c r="BBG45" s="19"/>
      <c r="BBH45" s="21"/>
      <c r="BBI45" s="19"/>
      <c r="BBR45" s="19"/>
      <c r="BBS45" s="19"/>
      <c r="BBT45" s="19"/>
      <c r="BBU45" s="19"/>
      <c r="BBV45" s="21"/>
      <c r="BBW45" s="19"/>
      <c r="BCF45" s="19"/>
      <c r="BCG45" s="19"/>
      <c r="BCH45" s="19"/>
      <c r="BCI45" s="19"/>
      <c r="BCJ45" s="21"/>
      <c r="BCK45" s="19"/>
      <c r="BCT45" s="19"/>
      <c r="BCU45" s="19"/>
      <c r="BCV45" s="19"/>
      <c r="BCW45" s="19"/>
      <c r="BCX45" s="21"/>
      <c r="BCY45" s="19"/>
      <c r="BDH45" s="19"/>
      <c r="BDI45" s="19"/>
      <c r="BDJ45" s="19"/>
      <c r="BDK45" s="19"/>
      <c r="BDL45" s="21"/>
      <c r="BDM45" s="19"/>
      <c r="BDV45" s="19"/>
      <c r="BDW45" s="19"/>
      <c r="BDX45" s="19"/>
      <c r="BDY45" s="19"/>
      <c r="BDZ45" s="21"/>
      <c r="BEA45" s="19"/>
      <c r="BEJ45" s="19"/>
      <c r="BEK45" s="19"/>
      <c r="BEL45" s="19"/>
      <c r="BEM45" s="19"/>
      <c r="BEN45" s="21"/>
      <c r="BEO45" s="19"/>
      <c r="BEX45" s="19"/>
      <c r="BEY45" s="19"/>
      <c r="BEZ45" s="19"/>
      <c r="BFA45" s="19"/>
      <c r="BFB45" s="21"/>
      <c r="BFC45" s="19"/>
      <c r="BFL45" s="19"/>
      <c r="BFM45" s="19"/>
      <c r="BFN45" s="19"/>
      <c r="BFO45" s="19"/>
      <c r="BFP45" s="21"/>
      <c r="BFQ45" s="19"/>
      <c r="BFZ45" s="19"/>
      <c r="BGA45" s="19"/>
      <c r="BGB45" s="19"/>
      <c r="BGC45" s="19"/>
      <c r="BGD45" s="21"/>
      <c r="BGE45" s="19"/>
      <c r="BGN45" s="19"/>
      <c r="BGO45" s="19"/>
      <c r="BGP45" s="19"/>
      <c r="BGQ45" s="19"/>
      <c r="BGR45" s="21"/>
      <c r="BGS45" s="19"/>
      <c r="BHB45" s="19"/>
      <c r="BHC45" s="19"/>
      <c r="BHD45" s="19"/>
      <c r="BHE45" s="19"/>
      <c r="BHF45" s="21"/>
      <c r="BHG45" s="19"/>
      <c r="BHP45" s="19"/>
      <c r="BHQ45" s="19"/>
      <c r="BHR45" s="19"/>
      <c r="BHS45" s="19"/>
      <c r="BHT45" s="21"/>
      <c r="BHU45" s="19"/>
      <c r="BID45" s="19"/>
      <c r="BIE45" s="19"/>
      <c r="BIF45" s="19"/>
      <c r="BIG45" s="19"/>
      <c r="BIH45" s="21"/>
      <c r="BII45" s="19"/>
      <c r="BIR45" s="19"/>
      <c r="BIS45" s="19"/>
      <c r="BIT45" s="19"/>
      <c r="BIU45" s="19"/>
      <c r="BIV45" s="21"/>
      <c r="BIW45" s="19"/>
      <c r="BJF45" s="19"/>
      <c r="BJG45" s="19"/>
      <c r="BJH45" s="19"/>
      <c r="BJI45" s="19"/>
      <c r="BJJ45" s="21"/>
      <c r="BJK45" s="19"/>
      <c r="BJT45" s="19"/>
      <c r="BJU45" s="19"/>
      <c r="BJV45" s="19"/>
      <c r="BJW45" s="19"/>
      <c r="BJX45" s="21"/>
      <c r="BJY45" s="19"/>
      <c r="BKH45" s="19"/>
      <c r="BKI45" s="19"/>
      <c r="BKJ45" s="19"/>
      <c r="BKK45" s="19"/>
      <c r="BKL45" s="21"/>
      <c r="BKM45" s="19"/>
      <c r="BKV45" s="19"/>
      <c r="BKW45" s="19"/>
      <c r="BKX45" s="19"/>
      <c r="BKY45" s="19"/>
      <c r="BKZ45" s="21"/>
      <c r="BLA45" s="19"/>
      <c r="BLJ45" s="19"/>
      <c r="BLK45" s="19"/>
      <c r="BLL45" s="19"/>
      <c r="BLM45" s="19"/>
      <c r="BLN45" s="21"/>
      <c r="BLO45" s="19"/>
      <c r="BLX45" s="19"/>
      <c r="BLY45" s="19"/>
      <c r="BLZ45" s="19"/>
      <c r="BMA45" s="19"/>
      <c r="BMB45" s="21"/>
      <c r="BMC45" s="19"/>
      <c r="BML45" s="19"/>
      <c r="BMM45" s="19"/>
      <c r="BMN45" s="19"/>
      <c r="BMO45" s="19"/>
      <c r="BMP45" s="21"/>
      <c r="BMQ45" s="19"/>
      <c r="BMZ45" s="19"/>
      <c r="BNA45" s="19"/>
      <c r="BNB45" s="19"/>
      <c r="BNC45" s="19"/>
      <c r="BND45" s="21"/>
      <c r="BNE45" s="19"/>
      <c r="BNN45" s="19"/>
      <c r="BNO45" s="19"/>
      <c r="BNP45" s="19"/>
      <c r="BNQ45" s="19"/>
      <c r="BNR45" s="21"/>
      <c r="BNS45" s="19"/>
      <c r="BOB45" s="19"/>
      <c r="BOC45" s="19"/>
      <c r="BOD45" s="19"/>
      <c r="BOE45" s="19"/>
      <c r="BOF45" s="21"/>
      <c r="BOG45" s="19"/>
      <c r="BOP45" s="19"/>
      <c r="BOQ45" s="19"/>
      <c r="BOR45" s="19"/>
      <c r="BOS45" s="19"/>
      <c r="BOT45" s="21"/>
      <c r="BOU45" s="19"/>
      <c r="BPD45" s="19"/>
      <c r="BPE45" s="19"/>
      <c r="BPF45" s="19"/>
      <c r="BPG45" s="19"/>
      <c r="BPH45" s="21"/>
      <c r="BPI45" s="19"/>
      <c r="BPR45" s="19"/>
      <c r="BPS45" s="19"/>
      <c r="BPT45" s="19"/>
      <c r="BPU45" s="19"/>
      <c r="BPV45" s="21"/>
      <c r="BPW45" s="19"/>
      <c r="BQF45" s="19"/>
      <c r="BQG45" s="19"/>
      <c r="BQH45" s="19"/>
      <c r="BQI45" s="19"/>
      <c r="BQJ45" s="21"/>
      <c r="BQK45" s="19"/>
      <c r="BQT45" s="19"/>
      <c r="BQU45" s="19"/>
      <c r="BQV45" s="19"/>
      <c r="BQW45" s="19"/>
      <c r="BQX45" s="21"/>
      <c r="BQY45" s="19"/>
      <c r="BRH45" s="19"/>
      <c r="BRI45" s="19"/>
      <c r="BRJ45" s="19"/>
      <c r="BRK45" s="19"/>
      <c r="BRL45" s="21"/>
      <c r="BRM45" s="19"/>
      <c r="BRV45" s="19"/>
      <c r="BRW45" s="19"/>
      <c r="BRX45" s="19"/>
      <c r="BRY45" s="19"/>
      <c r="BRZ45" s="21"/>
      <c r="BSA45" s="19"/>
      <c r="BSJ45" s="19"/>
      <c r="BSK45" s="19"/>
      <c r="BSL45" s="19"/>
      <c r="BSM45" s="19"/>
      <c r="BSN45" s="21"/>
      <c r="BSO45" s="19"/>
      <c r="BSX45" s="19"/>
      <c r="BSY45" s="19"/>
      <c r="BSZ45" s="19"/>
      <c r="BTA45" s="19"/>
      <c r="BTB45" s="21"/>
      <c r="BTC45" s="19"/>
      <c r="BTL45" s="19"/>
      <c r="BTM45" s="19"/>
      <c r="BTN45" s="19"/>
      <c r="BTO45" s="19"/>
      <c r="BTP45" s="21"/>
      <c r="BTQ45" s="19"/>
      <c r="BTZ45" s="19"/>
      <c r="BUA45" s="19"/>
      <c r="BUB45" s="19"/>
      <c r="BUC45" s="19"/>
      <c r="BUD45" s="21"/>
      <c r="BUE45" s="19"/>
      <c r="BUN45" s="19"/>
      <c r="BUO45" s="19"/>
      <c r="BUP45" s="19"/>
      <c r="BUQ45" s="19"/>
      <c r="BUR45" s="21"/>
      <c r="BUS45" s="19"/>
      <c r="BVB45" s="19"/>
      <c r="BVC45" s="19"/>
      <c r="BVD45" s="19"/>
      <c r="BVE45" s="19"/>
      <c r="BVF45" s="21"/>
      <c r="BVG45" s="19"/>
      <c r="BVP45" s="19"/>
      <c r="BVQ45" s="19"/>
      <c r="BVR45" s="19"/>
      <c r="BVS45" s="19"/>
      <c r="BVT45" s="21"/>
      <c r="BVU45" s="19"/>
      <c r="BWD45" s="19"/>
      <c r="BWE45" s="19"/>
      <c r="BWF45" s="19"/>
      <c r="BWG45" s="19"/>
      <c r="BWH45" s="21"/>
      <c r="BWI45" s="19"/>
      <c r="BWR45" s="19"/>
      <c r="BWS45" s="19"/>
      <c r="BWT45" s="19"/>
      <c r="BWU45" s="19"/>
      <c r="BWV45" s="21"/>
      <c r="BWW45" s="19"/>
      <c r="BXF45" s="19"/>
      <c r="BXG45" s="19"/>
      <c r="BXH45" s="19"/>
      <c r="BXI45" s="19"/>
      <c r="BXJ45" s="21"/>
      <c r="BXK45" s="19"/>
      <c r="BXT45" s="19"/>
      <c r="BXU45" s="19"/>
      <c r="BXV45" s="19"/>
      <c r="BXW45" s="19"/>
      <c r="BXX45" s="21"/>
      <c r="BXY45" s="19"/>
      <c r="BYH45" s="19"/>
      <c r="BYI45" s="19"/>
      <c r="BYJ45" s="19"/>
      <c r="BYK45" s="19"/>
      <c r="BYL45" s="21"/>
      <c r="BYM45" s="19"/>
      <c r="BYV45" s="19"/>
      <c r="BYW45" s="19"/>
      <c r="BYX45" s="19"/>
      <c r="BYY45" s="19"/>
      <c r="BYZ45" s="21"/>
      <c r="BZA45" s="19"/>
      <c r="BZJ45" s="19"/>
      <c r="BZK45" s="19"/>
      <c r="BZL45" s="19"/>
      <c r="BZM45" s="19"/>
      <c r="BZN45" s="21"/>
      <c r="BZO45" s="19"/>
      <c r="BZX45" s="19"/>
      <c r="BZY45" s="19"/>
      <c r="BZZ45" s="19"/>
      <c r="CAA45" s="19"/>
      <c r="CAB45" s="21"/>
      <c r="CAC45" s="19"/>
      <c r="CAL45" s="19"/>
      <c r="CAM45" s="19"/>
      <c r="CAN45" s="19"/>
      <c r="CAO45" s="19"/>
      <c r="CAP45" s="21"/>
      <c r="CAQ45" s="19"/>
      <c r="CAZ45" s="19"/>
      <c r="CBA45" s="19"/>
      <c r="CBB45" s="19"/>
      <c r="CBC45" s="19"/>
      <c r="CBD45" s="21"/>
      <c r="CBE45" s="19"/>
      <c r="CBN45" s="19"/>
      <c r="CBO45" s="19"/>
      <c r="CBP45" s="19"/>
      <c r="CBQ45" s="19"/>
      <c r="CBR45" s="21"/>
      <c r="CBS45" s="19"/>
      <c r="CCB45" s="19"/>
      <c r="CCC45" s="19"/>
      <c r="CCD45" s="19"/>
      <c r="CCE45" s="19"/>
      <c r="CCF45" s="21"/>
      <c r="CCG45" s="19"/>
      <c r="CCP45" s="19"/>
      <c r="CCQ45" s="19"/>
      <c r="CCR45" s="19"/>
      <c r="CCS45" s="19"/>
      <c r="CCT45" s="21"/>
      <c r="CCU45" s="19"/>
      <c r="CDD45" s="19"/>
      <c r="CDE45" s="19"/>
      <c r="CDF45" s="19"/>
      <c r="CDG45" s="19"/>
      <c r="CDH45" s="21"/>
      <c r="CDI45" s="19"/>
      <c r="CDR45" s="19"/>
      <c r="CDS45" s="19"/>
      <c r="CDT45" s="19"/>
      <c r="CDU45" s="19"/>
      <c r="CDV45" s="21"/>
      <c r="CDW45" s="19"/>
      <c r="CEF45" s="19"/>
      <c r="CEG45" s="19"/>
      <c r="CEH45" s="19"/>
      <c r="CEI45" s="19"/>
      <c r="CEJ45" s="21"/>
      <c r="CEK45" s="19"/>
      <c r="CET45" s="19"/>
      <c r="CEU45" s="19"/>
      <c r="CEV45" s="19"/>
      <c r="CEW45" s="19"/>
      <c r="CEX45" s="21"/>
      <c r="CEY45" s="19"/>
      <c r="CFH45" s="19"/>
      <c r="CFI45" s="19"/>
      <c r="CFJ45" s="19"/>
      <c r="CFK45" s="19"/>
      <c r="CFL45" s="21"/>
      <c r="CFM45" s="19"/>
      <c r="CFV45" s="19"/>
      <c r="CFW45" s="19"/>
      <c r="CFX45" s="19"/>
      <c r="CFY45" s="19"/>
      <c r="CFZ45" s="21"/>
      <c r="CGA45" s="19"/>
      <c r="CGJ45" s="19"/>
      <c r="CGK45" s="19"/>
      <c r="CGL45" s="19"/>
      <c r="CGM45" s="19"/>
      <c r="CGN45" s="21"/>
      <c r="CGO45" s="19"/>
      <c r="CGX45" s="19"/>
      <c r="CGY45" s="19"/>
      <c r="CGZ45" s="19"/>
      <c r="CHA45" s="19"/>
      <c r="CHB45" s="21"/>
      <c r="CHC45" s="19"/>
      <c r="CHL45" s="19"/>
      <c r="CHM45" s="19"/>
      <c r="CHN45" s="19"/>
      <c r="CHO45" s="19"/>
      <c r="CHP45" s="21"/>
      <c r="CHQ45" s="19"/>
      <c r="CHZ45" s="19"/>
      <c r="CIA45" s="19"/>
      <c r="CIB45" s="19"/>
      <c r="CIC45" s="19"/>
      <c r="CID45" s="21"/>
      <c r="CIE45" s="19"/>
      <c r="CIN45" s="19"/>
      <c r="CIO45" s="19"/>
      <c r="CIP45" s="19"/>
      <c r="CIQ45" s="19"/>
      <c r="CIR45" s="21"/>
      <c r="CIS45" s="19"/>
      <c r="CJB45" s="19"/>
      <c r="CJC45" s="19"/>
      <c r="CJD45" s="19"/>
      <c r="CJE45" s="19"/>
      <c r="CJF45" s="21"/>
      <c r="CJG45" s="19"/>
      <c r="CJP45" s="19"/>
      <c r="CJQ45" s="19"/>
      <c r="CJR45" s="19"/>
      <c r="CJS45" s="19"/>
      <c r="CJT45" s="21"/>
      <c r="CJU45" s="19"/>
      <c r="CKD45" s="19"/>
      <c r="CKE45" s="19"/>
      <c r="CKF45" s="19"/>
      <c r="CKG45" s="19"/>
      <c r="CKH45" s="21"/>
      <c r="CKI45" s="19"/>
      <c r="CKR45" s="19"/>
      <c r="CKS45" s="19"/>
      <c r="CKT45" s="19"/>
      <c r="CKU45" s="19"/>
      <c r="CKV45" s="21"/>
      <c r="CKW45" s="19"/>
      <c r="CLF45" s="19"/>
      <c r="CLG45" s="19"/>
      <c r="CLH45" s="19"/>
      <c r="CLI45" s="19"/>
      <c r="CLJ45" s="21"/>
      <c r="CLK45" s="19"/>
      <c r="CLT45" s="19"/>
      <c r="CLU45" s="19"/>
      <c r="CLV45" s="19"/>
      <c r="CLW45" s="19"/>
      <c r="CLX45" s="21"/>
      <c r="CLY45" s="19"/>
      <c r="CMH45" s="19"/>
      <c r="CMI45" s="19"/>
      <c r="CMJ45" s="19"/>
      <c r="CMK45" s="19"/>
      <c r="CML45" s="21"/>
      <c r="CMM45" s="19"/>
      <c r="CMV45" s="19"/>
      <c r="CMW45" s="19"/>
      <c r="CMX45" s="19"/>
      <c r="CMY45" s="19"/>
      <c r="CMZ45" s="21"/>
      <c r="CNA45" s="19"/>
      <c r="CNJ45" s="19"/>
      <c r="CNK45" s="19"/>
      <c r="CNL45" s="19"/>
      <c r="CNM45" s="19"/>
      <c r="CNN45" s="21"/>
      <c r="CNO45" s="19"/>
      <c r="CNX45" s="19"/>
      <c r="CNY45" s="19"/>
      <c r="CNZ45" s="19"/>
      <c r="COA45" s="19"/>
      <c r="COB45" s="21"/>
      <c r="COC45" s="19"/>
      <c r="COL45" s="19"/>
      <c r="COM45" s="19"/>
      <c r="CON45" s="19"/>
      <c r="COO45" s="19"/>
      <c r="COP45" s="21"/>
      <c r="COQ45" s="19"/>
      <c r="COZ45" s="19"/>
      <c r="CPA45" s="19"/>
      <c r="CPB45" s="19"/>
      <c r="CPC45" s="19"/>
      <c r="CPD45" s="21"/>
      <c r="CPE45" s="19"/>
      <c r="CPN45" s="19"/>
      <c r="CPO45" s="19"/>
      <c r="CPP45" s="19"/>
      <c r="CPQ45" s="19"/>
      <c r="CPR45" s="21"/>
      <c r="CPS45" s="19"/>
      <c r="CQB45" s="19"/>
      <c r="CQC45" s="19"/>
      <c r="CQD45" s="19"/>
      <c r="CQE45" s="19"/>
      <c r="CQF45" s="21"/>
      <c r="CQG45" s="19"/>
      <c r="CQP45" s="19"/>
      <c r="CQQ45" s="19"/>
      <c r="CQR45" s="19"/>
      <c r="CQS45" s="19"/>
      <c r="CQT45" s="21"/>
      <c r="CQU45" s="19"/>
      <c r="CRD45" s="19"/>
      <c r="CRE45" s="19"/>
      <c r="CRF45" s="19"/>
      <c r="CRG45" s="19"/>
      <c r="CRH45" s="21"/>
      <c r="CRI45" s="19"/>
      <c r="CRR45" s="19"/>
      <c r="CRS45" s="19"/>
      <c r="CRT45" s="19"/>
      <c r="CRU45" s="19"/>
      <c r="CRV45" s="21"/>
      <c r="CRW45" s="19"/>
      <c r="CSF45" s="19"/>
      <c r="CSG45" s="19"/>
      <c r="CSH45" s="19"/>
      <c r="CSI45" s="19"/>
      <c r="CSJ45" s="21"/>
      <c r="CSK45" s="19"/>
      <c r="CST45" s="19"/>
      <c r="CSU45" s="19"/>
      <c r="CSV45" s="19"/>
      <c r="CSW45" s="19"/>
      <c r="CSX45" s="21"/>
      <c r="CSY45" s="19"/>
      <c r="CTH45" s="19"/>
      <c r="CTI45" s="19"/>
      <c r="CTJ45" s="19"/>
      <c r="CTK45" s="19"/>
      <c r="CTL45" s="21"/>
      <c r="CTM45" s="19"/>
      <c r="CTV45" s="19"/>
      <c r="CTW45" s="19"/>
      <c r="CTX45" s="19"/>
      <c r="CTY45" s="19"/>
      <c r="CTZ45" s="21"/>
      <c r="CUA45" s="19"/>
      <c r="CUJ45" s="19"/>
      <c r="CUK45" s="19"/>
      <c r="CUL45" s="19"/>
      <c r="CUM45" s="19"/>
      <c r="CUN45" s="21"/>
      <c r="CUO45" s="19"/>
      <c r="CUX45" s="19"/>
      <c r="CUY45" s="19"/>
      <c r="CUZ45" s="19"/>
      <c r="CVA45" s="19"/>
      <c r="CVB45" s="21"/>
      <c r="CVC45" s="19"/>
      <c r="CVL45" s="19"/>
      <c r="CVM45" s="19"/>
      <c r="CVN45" s="19"/>
      <c r="CVO45" s="19"/>
      <c r="CVP45" s="21"/>
      <c r="CVQ45" s="19"/>
      <c r="CVZ45" s="19"/>
      <c r="CWA45" s="19"/>
      <c r="CWB45" s="19"/>
      <c r="CWC45" s="19"/>
      <c r="CWD45" s="21"/>
      <c r="CWE45" s="19"/>
      <c r="CWN45" s="19"/>
      <c r="CWO45" s="19"/>
      <c r="CWP45" s="19"/>
      <c r="CWQ45" s="19"/>
      <c r="CWR45" s="21"/>
      <c r="CWS45" s="19"/>
      <c r="CXB45" s="19"/>
      <c r="CXC45" s="19"/>
      <c r="CXD45" s="19"/>
      <c r="CXE45" s="19"/>
      <c r="CXF45" s="21"/>
      <c r="CXG45" s="19"/>
      <c r="CXP45" s="19"/>
      <c r="CXQ45" s="19"/>
      <c r="CXR45" s="19"/>
      <c r="CXS45" s="19"/>
      <c r="CXT45" s="21"/>
      <c r="CXU45" s="19"/>
      <c r="CYD45" s="19"/>
      <c r="CYE45" s="19"/>
      <c r="CYF45" s="19"/>
      <c r="CYG45" s="19"/>
      <c r="CYH45" s="21"/>
      <c r="CYI45" s="19"/>
      <c r="CYR45" s="19"/>
      <c r="CYS45" s="19"/>
      <c r="CYT45" s="19"/>
      <c r="CYU45" s="19"/>
      <c r="CYV45" s="21"/>
      <c r="CYW45" s="19"/>
      <c r="CZF45" s="19"/>
      <c r="CZG45" s="19"/>
      <c r="CZH45" s="19"/>
      <c r="CZI45" s="19"/>
      <c r="CZJ45" s="21"/>
      <c r="CZK45" s="19"/>
      <c r="CZT45" s="19"/>
      <c r="CZU45" s="19"/>
      <c r="CZV45" s="19"/>
      <c r="CZW45" s="19"/>
      <c r="CZX45" s="21"/>
      <c r="CZY45" s="19"/>
      <c r="DAH45" s="19"/>
      <c r="DAI45" s="19"/>
      <c r="DAJ45" s="19"/>
      <c r="DAK45" s="19"/>
      <c r="DAL45" s="21"/>
      <c r="DAM45" s="19"/>
      <c r="DAV45" s="19"/>
      <c r="DAW45" s="19"/>
      <c r="DAX45" s="19"/>
      <c r="DAY45" s="19"/>
      <c r="DAZ45" s="21"/>
      <c r="DBA45" s="19"/>
      <c r="DBJ45" s="19"/>
      <c r="DBK45" s="19"/>
      <c r="DBL45" s="19"/>
      <c r="DBM45" s="19"/>
      <c r="DBN45" s="21"/>
      <c r="DBO45" s="19"/>
      <c r="DBX45" s="19"/>
      <c r="DBY45" s="19"/>
      <c r="DBZ45" s="19"/>
      <c r="DCA45" s="19"/>
      <c r="DCB45" s="21"/>
      <c r="DCC45" s="19"/>
      <c r="DCL45" s="19"/>
      <c r="DCM45" s="19"/>
      <c r="DCN45" s="19"/>
      <c r="DCO45" s="19"/>
      <c r="DCP45" s="21"/>
      <c r="DCQ45" s="19"/>
      <c r="DCZ45" s="19"/>
      <c r="DDA45" s="19"/>
      <c r="DDB45" s="19"/>
      <c r="DDC45" s="19"/>
      <c r="DDD45" s="21"/>
      <c r="DDE45" s="19"/>
      <c r="DDN45" s="19"/>
      <c r="DDO45" s="19"/>
      <c r="DDP45" s="19"/>
      <c r="DDQ45" s="19"/>
      <c r="DDR45" s="21"/>
      <c r="DDS45" s="19"/>
      <c r="DEB45" s="19"/>
      <c r="DEC45" s="19"/>
      <c r="DED45" s="19"/>
      <c r="DEE45" s="19"/>
      <c r="DEF45" s="21"/>
      <c r="DEG45" s="19"/>
      <c r="DEP45" s="19"/>
      <c r="DEQ45" s="19"/>
      <c r="DER45" s="19"/>
      <c r="DES45" s="19"/>
      <c r="DET45" s="21"/>
      <c r="DEU45" s="19"/>
      <c r="DFD45" s="19"/>
      <c r="DFE45" s="19"/>
      <c r="DFF45" s="19"/>
      <c r="DFG45" s="19"/>
      <c r="DFH45" s="21"/>
      <c r="DFI45" s="19"/>
      <c r="DFR45" s="19"/>
      <c r="DFS45" s="19"/>
      <c r="DFT45" s="19"/>
      <c r="DFU45" s="19"/>
      <c r="DFV45" s="21"/>
      <c r="DFW45" s="19"/>
      <c r="DGF45" s="19"/>
      <c r="DGG45" s="19"/>
      <c r="DGH45" s="19"/>
      <c r="DGI45" s="19"/>
      <c r="DGJ45" s="21"/>
      <c r="DGK45" s="19"/>
      <c r="DGT45" s="19"/>
      <c r="DGU45" s="19"/>
      <c r="DGV45" s="19"/>
      <c r="DGW45" s="19"/>
      <c r="DGX45" s="21"/>
      <c r="DGY45" s="19"/>
      <c r="DHH45" s="19"/>
      <c r="DHI45" s="19"/>
      <c r="DHJ45" s="19"/>
      <c r="DHK45" s="19"/>
      <c r="DHL45" s="21"/>
      <c r="DHM45" s="19"/>
      <c r="DHV45" s="19"/>
      <c r="DHW45" s="19"/>
      <c r="DHX45" s="19"/>
      <c r="DHY45" s="19"/>
      <c r="DHZ45" s="21"/>
      <c r="DIA45" s="19"/>
      <c r="DIJ45" s="19"/>
      <c r="DIK45" s="19"/>
      <c r="DIL45" s="19"/>
      <c r="DIM45" s="19"/>
      <c r="DIN45" s="21"/>
      <c r="DIO45" s="19"/>
      <c r="DIX45" s="19"/>
      <c r="DIY45" s="19"/>
      <c r="DIZ45" s="19"/>
      <c r="DJA45" s="19"/>
      <c r="DJB45" s="21"/>
      <c r="DJC45" s="19"/>
      <c r="DJL45" s="19"/>
      <c r="DJM45" s="19"/>
      <c r="DJN45" s="19"/>
      <c r="DJO45" s="19"/>
      <c r="DJP45" s="21"/>
      <c r="DJQ45" s="19"/>
      <c r="DJZ45" s="19"/>
      <c r="DKA45" s="19"/>
      <c r="DKB45" s="19"/>
      <c r="DKC45" s="19"/>
      <c r="DKD45" s="21"/>
      <c r="DKE45" s="19"/>
      <c r="DKN45" s="19"/>
      <c r="DKO45" s="19"/>
      <c r="DKP45" s="19"/>
      <c r="DKQ45" s="19"/>
      <c r="DKR45" s="21"/>
      <c r="DKS45" s="19"/>
      <c r="DLB45" s="19"/>
      <c r="DLC45" s="19"/>
      <c r="DLD45" s="19"/>
      <c r="DLE45" s="19"/>
      <c r="DLF45" s="21"/>
      <c r="DLG45" s="19"/>
      <c r="DLP45" s="19"/>
      <c r="DLQ45" s="19"/>
      <c r="DLR45" s="19"/>
      <c r="DLS45" s="19"/>
      <c r="DLT45" s="21"/>
      <c r="DLU45" s="19"/>
      <c r="DMD45" s="19"/>
      <c r="DME45" s="19"/>
      <c r="DMF45" s="19"/>
      <c r="DMG45" s="19"/>
      <c r="DMH45" s="21"/>
      <c r="DMI45" s="19"/>
      <c r="DMR45" s="19"/>
      <c r="DMS45" s="19"/>
      <c r="DMT45" s="19"/>
      <c r="DMU45" s="19"/>
      <c r="DMV45" s="21"/>
      <c r="DMW45" s="19"/>
      <c r="DNF45" s="19"/>
      <c r="DNG45" s="19"/>
      <c r="DNH45" s="19"/>
      <c r="DNI45" s="19"/>
      <c r="DNJ45" s="21"/>
      <c r="DNK45" s="19"/>
      <c r="DNT45" s="19"/>
      <c r="DNU45" s="19"/>
      <c r="DNV45" s="19"/>
      <c r="DNW45" s="19"/>
      <c r="DNX45" s="21"/>
      <c r="DNY45" s="19"/>
      <c r="DOH45" s="19"/>
      <c r="DOI45" s="19"/>
      <c r="DOJ45" s="19"/>
      <c r="DOK45" s="19"/>
      <c r="DOL45" s="21"/>
      <c r="DOM45" s="19"/>
      <c r="DOV45" s="19"/>
      <c r="DOW45" s="19"/>
      <c r="DOX45" s="19"/>
      <c r="DOY45" s="19"/>
      <c r="DOZ45" s="21"/>
      <c r="DPA45" s="19"/>
      <c r="DPJ45" s="19"/>
      <c r="DPK45" s="19"/>
      <c r="DPL45" s="19"/>
      <c r="DPM45" s="19"/>
      <c r="DPN45" s="21"/>
      <c r="DPO45" s="19"/>
      <c r="DPX45" s="19"/>
      <c r="DPY45" s="19"/>
      <c r="DPZ45" s="19"/>
      <c r="DQA45" s="19"/>
      <c r="DQB45" s="21"/>
      <c r="DQC45" s="19"/>
      <c r="DQL45" s="19"/>
      <c r="DQM45" s="19"/>
      <c r="DQN45" s="19"/>
      <c r="DQO45" s="19"/>
      <c r="DQP45" s="21"/>
      <c r="DQQ45" s="19"/>
      <c r="DQZ45" s="19"/>
      <c r="DRA45" s="19"/>
      <c r="DRB45" s="19"/>
      <c r="DRC45" s="19"/>
      <c r="DRD45" s="21"/>
      <c r="DRE45" s="19"/>
      <c r="DRN45" s="19"/>
      <c r="DRO45" s="19"/>
      <c r="DRP45" s="19"/>
      <c r="DRQ45" s="19"/>
      <c r="DRR45" s="21"/>
      <c r="DRS45" s="19"/>
      <c r="DSB45" s="19"/>
      <c r="DSC45" s="19"/>
      <c r="DSD45" s="19"/>
      <c r="DSE45" s="19"/>
      <c r="DSF45" s="21"/>
      <c r="DSG45" s="19"/>
      <c r="DSP45" s="19"/>
      <c r="DSQ45" s="19"/>
      <c r="DSR45" s="19"/>
      <c r="DSS45" s="19"/>
      <c r="DST45" s="21"/>
      <c r="DSU45" s="19"/>
      <c r="DTD45" s="19"/>
      <c r="DTE45" s="19"/>
      <c r="DTF45" s="19"/>
      <c r="DTG45" s="19"/>
      <c r="DTH45" s="21"/>
      <c r="DTI45" s="19"/>
      <c r="DTR45" s="19"/>
      <c r="DTS45" s="19"/>
      <c r="DTT45" s="19"/>
      <c r="DTU45" s="19"/>
      <c r="DTV45" s="21"/>
      <c r="DTW45" s="19"/>
      <c r="DUF45" s="19"/>
      <c r="DUG45" s="19"/>
      <c r="DUH45" s="19"/>
      <c r="DUI45" s="19"/>
      <c r="DUJ45" s="21"/>
      <c r="DUK45" s="19"/>
      <c r="DUT45" s="19"/>
      <c r="DUU45" s="19"/>
      <c r="DUV45" s="19"/>
      <c r="DUW45" s="19"/>
      <c r="DUX45" s="21"/>
      <c r="DUY45" s="19"/>
      <c r="DVH45" s="19"/>
      <c r="DVI45" s="19"/>
      <c r="DVJ45" s="19"/>
      <c r="DVK45" s="19"/>
      <c r="DVL45" s="21"/>
      <c r="DVM45" s="19"/>
      <c r="DVV45" s="19"/>
      <c r="DVW45" s="19"/>
      <c r="DVX45" s="19"/>
      <c r="DVY45" s="19"/>
      <c r="DVZ45" s="21"/>
      <c r="DWA45" s="19"/>
      <c r="DWJ45" s="19"/>
      <c r="DWK45" s="19"/>
      <c r="DWL45" s="19"/>
      <c r="DWM45" s="19"/>
      <c r="DWN45" s="21"/>
      <c r="DWO45" s="19"/>
      <c r="DWX45" s="19"/>
      <c r="DWY45" s="19"/>
      <c r="DWZ45" s="19"/>
      <c r="DXA45" s="19"/>
      <c r="DXB45" s="21"/>
      <c r="DXC45" s="19"/>
      <c r="DXL45" s="19"/>
      <c r="DXM45" s="19"/>
      <c r="DXN45" s="19"/>
      <c r="DXO45" s="19"/>
      <c r="DXP45" s="21"/>
      <c r="DXQ45" s="19"/>
      <c r="DXZ45" s="19"/>
      <c r="DYA45" s="19"/>
      <c r="DYB45" s="19"/>
      <c r="DYC45" s="19"/>
      <c r="DYD45" s="21"/>
      <c r="DYE45" s="19"/>
      <c r="DYN45" s="19"/>
      <c r="DYO45" s="19"/>
      <c r="DYP45" s="19"/>
      <c r="DYQ45" s="19"/>
      <c r="DYR45" s="21"/>
      <c r="DYS45" s="19"/>
      <c r="DZB45" s="19"/>
      <c r="DZC45" s="19"/>
      <c r="DZD45" s="19"/>
      <c r="DZE45" s="19"/>
      <c r="DZF45" s="21"/>
      <c r="DZG45" s="19"/>
      <c r="DZP45" s="19"/>
      <c r="DZQ45" s="19"/>
      <c r="DZR45" s="19"/>
      <c r="DZS45" s="19"/>
      <c r="DZT45" s="21"/>
      <c r="DZU45" s="19"/>
      <c r="EAD45" s="19"/>
      <c r="EAE45" s="19"/>
      <c r="EAF45" s="19"/>
      <c r="EAG45" s="19"/>
      <c r="EAH45" s="21"/>
      <c r="EAI45" s="19"/>
      <c r="EAR45" s="19"/>
      <c r="EAS45" s="19"/>
      <c r="EAT45" s="19"/>
      <c r="EAU45" s="19"/>
      <c r="EAV45" s="21"/>
      <c r="EAW45" s="19"/>
      <c r="EBF45" s="19"/>
      <c r="EBG45" s="19"/>
      <c r="EBH45" s="19"/>
      <c r="EBI45" s="19"/>
      <c r="EBJ45" s="21"/>
      <c r="EBK45" s="19"/>
      <c r="EBT45" s="19"/>
      <c r="EBU45" s="19"/>
      <c r="EBV45" s="19"/>
      <c r="EBW45" s="19"/>
      <c r="EBX45" s="21"/>
      <c r="EBY45" s="19"/>
      <c r="ECH45" s="19"/>
      <c r="ECI45" s="19"/>
      <c r="ECJ45" s="19"/>
      <c r="ECK45" s="19"/>
      <c r="ECL45" s="21"/>
      <c r="ECM45" s="19"/>
      <c r="ECV45" s="19"/>
      <c r="ECW45" s="19"/>
      <c r="ECX45" s="19"/>
      <c r="ECY45" s="19"/>
      <c r="ECZ45" s="21"/>
      <c r="EDA45" s="19"/>
      <c r="EDJ45" s="19"/>
      <c r="EDK45" s="19"/>
      <c r="EDL45" s="19"/>
      <c r="EDM45" s="19"/>
      <c r="EDN45" s="21"/>
      <c r="EDO45" s="19"/>
      <c r="EDX45" s="19"/>
      <c r="EDY45" s="19"/>
      <c r="EDZ45" s="19"/>
      <c r="EEA45" s="19"/>
      <c r="EEB45" s="21"/>
      <c r="EEC45" s="19"/>
      <c r="EEL45" s="19"/>
      <c r="EEM45" s="19"/>
      <c r="EEN45" s="19"/>
      <c r="EEO45" s="19"/>
      <c r="EEP45" s="21"/>
      <c r="EEQ45" s="19"/>
      <c r="EEZ45" s="19"/>
      <c r="EFA45" s="19"/>
      <c r="EFB45" s="19"/>
      <c r="EFC45" s="19"/>
      <c r="EFD45" s="21"/>
      <c r="EFE45" s="19"/>
      <c r="EFN45" s="19"/>
      <c r="EFO45" s="19"/>
      <c r="EFP45" s="19"/>
      <c r="EFQ45" s="19"/>
      <c r="EFR45" s="21"/>
      <c r="EFS45" s="19"/>
      <c r="EGB45" s="19"/>
      <c r="EGC45" s="19"/>
      <c r="EGD45" s="19"/>
      <c r="EGE45" s="19"/>
      <c r="EGF45" s="21"/>
      <c r="EGG45" s="19"/>
      <c r="EGP45" s="19"/>
      <c r="EGQ45" s="19"/>
      <c r="EGR45" s="19"/>
      <c r="EGS45" s="19"/>
      <c r="EGT45" s="21"/>
      <c r="EGU45" s="19"/>
      <c r="EHD45" s="19"/>
      <c r="EHE45" s="19"/>
      <c r="EHF45" s="19"/>
      <c r="EHG45" s="19"/>
      <c r="EHH45" s="21"/>
      <c r="EHI45" s="19"/>
      <c r="EHR45" s="19"/>
      <c r="EHS45" s="19"/>
      <c r="EHT45" s="19"/>
      <c r="EHU45" s="19"/>
      <c r="EHV45" s="21"/>
      <c r="EHW45" s="19"/>
      <c r="EIF45" s="19"/>
      <c r="EIG45" s="19"/>
      <c r="EIH45" s="19"/>
      <c r="EII45" s="19"/>
      <c r="EIJ45" s="21"/>
      <c r="EIK45" s="19"/>
      <c r="EIT45" s="19"/>
      <c r="EIU45" s="19"/>
      <c r="EIV45" s="19"/>
      <c r="EIW45" s="19"/>
      <c r="EIX45" s="21"/>
      <c r="EIY45" s="19"/>
      <c r="EJH45" s="19"/>
      <c r="EJI45" s="19"/>
      <c r="EJJ45" s="19"/>
      <c r="EJK45" s="19"/>
      <c r="EJL45" s="21"/>
      <c r="EJM45" s="19"/>
      <c r="EJV45" s="19"/>
      <c r="EJW45" s="19"/>
      <c r="EJX45" s="19"/>
      <c r="EJY45" s="19"/>
      <c r="EJZ45" s="21"/>
      <c r="EKA45" s="19"/>
      <c r="EKJ45" s="19"/>
      <c r="EKK45" s="19"/>
      <c r="EKL45" s="19"/>
      <c r="EKM45" s="19"/>
      <c r="EKN45" s="21"/>
      <c r="EKO45" s="19"/>
      <c r="EKX45" s="19"/>
      <c r="EKY45" s="19"/>
      <c r="EKZ45" s="19"/>
      <c r="ELA45" s="19"/>
      <c r="ELB45" s="21"/>
      <c r="ELC45" s="19"/>
      <c r="ELL45" s="19"/>
      <c r="ELM45" s="19"/>
      <c r="ELN45" s="19"/>
      <c r="ELO45" s="19"/>
      <c r="ELP45" s="21"/>
      <c r="ELQ45" s="19"/>
      <c r="ELZ45" s="19"/>
      <c r="EMA45" s="19"/>
      <c r="EMB45" s="19"/>
      <c r="EMC45" s="19"/>
      <c r="EMD45" s="21"/>
      <c r="EME45" s="19"/>
      <c r="EMN45" s="19"/>
      <c r="EMO45" s="19"/>
      <c r="EMP45" s="19"/>
      <c r="EMQ45" s="19"/>
      <c r="EMR45" s="21"/>
      <c r="EMS45" s="19"/>
      <c r="ENB45" s="19"/>
      <c r="ENC45" s="19"/>
      <c r="END45" s="19"/>
      <c r="ENE45" s="19"/>
      <c r="ENF45" s="21"/>
      <c r="ENG45" s="19"/>
      <c r="ENP45" s="19"/>
      <c r="ENQ45" s="19"/>
      <c r="ENR45" s="19"/>
      <c r="ENS45" s="19"/>
      <c r="ENT45" s="21"/>
      <c r="ENU45" s="19"/>
      <c r="EOD45" s="19"/>
      <c r="EOE45" s="19"/>
      <c r="EOF45" s="19"/>
      <c r="EOG45" s="19"/>
      <c r="EOH45" s="21"/>
      <c r="EOI45" s="19"/>
      <c r="EOR45" s="19"/>
      <c r="EOS45" s="19"/>
      <c r="EOT45" s="19"/>
      <c r="EOU45" s="19"/>
      <c r="EOV45" s="21"/>
      <c r="EOW45" s="19"/>
      <c r="EPF45" s="19"/>
      <c r="EPG45" s="19"/>
      <c r="EPH45" s="19"/>
      <c r="EPI45" s="19"/>
      <c r="EPJ45" s="21"/>
      <c r="EPK45" s="19"/>
      <c r="EPT45" s="19"/>
      <c r="EPU45" s="19"/>
      <c r="EPV45" s="19"/>
      <c r="EPW45" s="19"/>
      <c r="EPX45" s="21"/>
      <c r="EPY45" s="19"/>
      <c r="EQH45" s="19"/>
      <c r="EQI45" s="19"/>
      <c r="EQJ45" s="19"/>
      <c r="EQK45" s="19"/>
      <c r="EQL45" s="21"/>
      <c r="EQM45" s="19"/>
      <c r="EQV45" s="19"/>
      <c r="EQW45" s="19"/>
      <c r="EQX45" s="19"/>
      <c r="EQY45" s="19"/>
      <c r="EQZ45" s="21"/>
      <c r="ERA45" s="19"/>
      <c r="ERJ45" s="19"/>
      <c r="ERK45" s="19"/>
      <c r="ERL45" s="19"/>
      <c r="ERM45" s="19"/>
      <c r="ERN45" s="21"/>
      <c r="ERO45" s="19"/>
      <c r="ERX45" s="19"/>
      <c r="ERY45" s="19"/>
      <c r="ERZ45" s="19"/>
      <c r="ESA45" s="19"/>
      <c r="ESB45" s="21"/>
      <c r="ESC45" s="19"/>
      <c r="ESL45" s="19"/>
      <c r="ESM45" s="19"/>
      <c r="ESN45" s="19"/>
      <c r="ESO45" s="19"/>
      <c r="ESP45" s="21"/>
      <c r="ESQ45" s="19"/>
      <c r="ESZ45" s="19"/>
      <c r="ETA45" s="19"/>
      <c r="ETB45" s="19"/>
      <c r="ETC45" s="19"/>
      <c r="ETD45" s="21"/>
      <c r="ETE45" s="19"/>
      <c r="ETN45" s="19"/>
      <c r="ETO45" s="19"/>
      <c r="ETP45" s="19"/>
      <c r="ETQ45" s="19"/>
      <c r="ETR45" s="21"/>
      <c r="ETS45" s="19"/>
      <c r="EUB45" s="19"/>
      <c r="EUC45" s="19"/>
      <c r="EUD45" s="19"/>
      <c r="EUE45" s="19"/>
      <c r="EUF45" s="21"/>
      <c r="EUG45" s="19"/>
      <c r="EUP45" s="19"/>
      <c r="EUQ45" s="19"/>
      <c r="EUR45" s="19"/>
      <c r="EUS45" s="19"/>
      <c r="EUT45" s="21"/>
      <c r="EUU45" s="19"/>
      <c r="EVD45" s="19"/>
      <c r="EVE45" s="19"/>
      <c r="EVF45" s="19"/>
      <c r="EVG45" s="19"/>
      <c r="EVH45" s="21"/>
      <c r="EVI45" s="19"/>
      <c r="EVR45" s="19"/>
      <c r="EVS45" s="19"/>
      <c r="EVT45" s="19"/>
      <c r="EVU45" s="19"/>
      <c r="EVV45" s="21"/>
      <c r="EVW45" s="19"/>
      <c r="EWF45" s="19"/>
      <c r="EWG45" s="19"/>
      <c r="EWH45" s="19"/>
      <c r="EWI45" s="19"/>
      <c r="EWJ45" s="21"/>
      <c r="EWK45" s="19"/>
      <c r="EWT45" s="19"/>
      <c r="EWU45" s="19"/>
      <c r="EWV45" s="19"/>
      <c r="EWW45" s="19"/>
      <c r="EWX45" s="21"/>
      <c r="EWY45" s="19"/>
      <c r="EXH45" s="19"/>
      <c r="EXI45" s="19"/>
      <c r="EXJ45" s="19"/>
      <c r="EXK45" s="19"/>
      <c r="EXL45" s="21"/>
      <c r="EXM45" s="19"/>
      <c r="EXV45" s="19"/>
      <c r="EXW45" s="19"/>
      <c r="EXX45" s="19"/>
      <c r="EXY45" s="19"/>
      <c r="EXZ45" s="21"/>
      <c r="EYA45" s="19"/>
      <c r="EYJ45" s="19"/>
      <c r="EYK45" s="19"/>
      <c r="EYL45" s="19"/>
      <c r="EYM45" s="19"/>
      <c r="EYN45" s="21"/>
      <c r="EYO45" s="19"/>
      <c r="EYX45" s="19"/>
      <c r="EYY45" s="19"/>
      <c r="EYZ45" s="19"/>
      <c r="EZA45" s="19"/>
      <c r="EZB45" s="21"/>
      <c r="EZC45" s="19"/>
      <c r="EZL45" s="19"/>
      <c r="EZM45" s="19"/>
      <c r="EZN45" s="19"/>
      <c r="EZO45" s="19"/>
      <c r="EZP45" s="21"/>
      <c r="EZQ45" s="19"/>
      <c r="EZZ45" s="19"/>
      <c r="FAA45" s="19"/>
      <c r="FAB45" s="19"/>
      <c r="FAC45" s="19"/>
      <c r="FAD45" s="21"/>
      <c r="FAE45" s="19"/>
      <c r="FAN45" s="19"/>
      <c r="FAO45" s="19"/>
      <c r="FAP45" s="19"/>
      <c r="FAQ45" s="19"/>
      <c r="FAR45" s="21"/>
      <c r="FAS45" s="19"/>
      <c r="FBB45" s="19"/>
      <c r="FBC45" s="19"/>
      <c r="FBD45" s="19"/>
      <c r="FBE45" s="19"/>
      <c r="FBF45" s="21"/>
      <c r="FBG45" s="19"/>
      <c r="FBP45" s="19"/>
      <c r="FBQ45" s="19"/>
      <c r="FBR45" s="19"/>
      <c r="FBS45" s="19"/>
      <c r="FBT45" s="21"/>
      <c r="FBU45" s="19"/>
      <c r="FCD45" s="19"/>
      <c r="FCE45" s="19"/>
      <c r="FCF45" s="19"/>
      <c r="FCG45" s="19"/>
      <c r="FCH45" s="21"/>
      <c r="FCI45" s="19"/>
      <c r="FCR45" s="19"/>
      <c r="FCS45" s="19"/>
      <c r="FCT45" s="19"/>
      <c r="FCU45" s="19"/>
      <c r="FCV45" s="21"/>
      <c r="FCW45" s="19"/>
      <c r="FDF45" s="19"/>
      <c r="FDG45" s="19"/>
      <c r="FDH45" s="19"/>
      <c r="FDI45" s="19"/>
      <c r="FDJ45" s="21"/>
      <c r="FDK45" s="19"/>
      <c r="FDT45" s="19"/>
      <c r="FDU45" s="19"/>
      <c r="FDV45" s="19"/>
      <c r="FDW45" s="19"/>
      <c r="FDX45" s="21"/>
      <c r="FDY45" s="19"/>
      <c r="FEH45" s="19"/>
      <c r="FEI45" s="19"/>
      <c r="FEJ45" s="19"/>
      <c r="FEK45" s="19"/>
      <c r="FEL45" s="21"/>
      <c r="FEM45" s="19"/>
      <c r="FEV45" s="19"/>
      <c r="FEW45" s="19"/>
      <c r="FEX45" s="19"/>
      <c r="FEY45" s="19"/>
      <c r="FEZ45" s="21"/>
      <c r="FFA45" s="19"/>
      <c r="FFJ45" s="19"/>
      <c r="FFK45" s="19"/>
      <c r="FFL45" s="19"/>
      <c r="FFM45" s="19"/>
      <c r="FFN45" s="21"/>
      <c r="FFO45" s="19"/>
      <c r="FFX45" s="19"/>
      <c r="FFY45" s="19"/>
      <c r="FFZ45" s="19"/>
      <c r="FGA45" s="19"/>
      <c r="FGB45" s="21"/>
      <c r="FGC45" s="19"/>
      <c r="FGL45" s="19"/>
      <c r="FGM45" s="19"/>
      <c r="FGN45" s="19"/>
      <c r="FGO45" s="19"/>
      <c r="FGP45" s="21"/>
      <c r="FGQ45" s="19"/>
      <c r="FGZ45" s="19"/>
      <c r="FHA45" s="19"/>
      <c r="FHB45" s="19"/>
      <c r="FHC45" s="19"/>
      <c r="FHD45" s="21"/>
      <c r="FHE45" s="19"/>
      <c r="FHN45" s="19"/>
      <c r="FHO45" s="19"/>
      <c r="FHP45" s="19"/>
      <c r="FHQ45" s="19"/>
      <c r="FHR45" s="21"/>
      <c r="FHS45" s="19"/>
      <c r="FIB45" s="19"/>
      <c r="FIC45" s="19"/>
      <c r="FID45" s="19"/>
      <c r="FIE45" s="19"/>
      <c r="FIF45" s="21"/>
      <c r="FIG45" s="19"/>
      <c r="FIP45" s="19"/>
      <c r="FIQ45" s="19"/>
      <c r="FIR45" s="19"/>
      <c r="FIS45" s="19"/>
      <c r="FIT45" s="21"/>
      <c r="FIU45" s="19"/>
      <c r="FJD45" s="19"/>
      <c r="FJE45" s="19"/>
      <c r="FJF45" s="19"/>
      <c r="FJG45" s="19"/>
      <c r="FJH45" s="21"/>
      <c r="FJI45" s="19"/>
      <c r="FJR45" s="19"/>
      <c r="FJS45" s="19"/>
      <c r="FJT45" s="19"/>
      <c r="FJU45" s="19"/>
      <c r="FJV45" s="21"/>
      <c r="FJW45" s="19"/>
      <c r="FKF45" s="19"/>
      <c r="FKG45" s="19"/>
      <c r="FKH45" s="19"/>
      <c r="FKI45" s="19"/>
      <c r="FKJ45" s="21"/>
      <c r="FKK45" s="19"/>
      <c r="FKT45" s="19"/>
      <c r="FKU45" s="19"/>
      <c r="FKV45" s="19"/>
      <c r="FKW45" s="19"/>
      <c r="FKX45" s="21"/>
      <c r="FKY45" s="19"/>
      <c r="FLH45" s="19"/>
      <c r="FLI45" s="19"/>
      <c r="FLJ45" s="19"/>
      <c r="FLK45" s="19"/>
      <c r="FLL45" s="21"/>
      <c r="FLM45" s="19"/>
      <c r="FLV45" s="19"/>
      <c r="FLW45" s="19"/>
      <c r="FLX45" s="19"/>
      <c r="FLY45" s="19"/>
      <c r="FLZ45" s="21"/>
      <c r="FMA45" s="19"/>
      <c r="FMJ45" s="19"/>
      <c r="FMK45" s="19"/>
      <c r="FML45" s="19"/>
      <c r="FMM45" s="19"/>
      <c r="FMN45" s="21"/>
      <c r="FMO45" s="19"/>
      <c r="FMX45" s="19"/>
      <c r="FMY45" s="19"/>
      <c r="FMZ45" s="19"/>
      <c r="FNA45" s="19"/>
      <c r="FNB45" s="21"/>
      <c r="FNC45" s="19"/>
      <c r="FNL45" s="19"/>
      <c r="FNM45" s="19"/>
      <c r="FNN45" s="19"/>
      <c r="FNO45" s="19"/>
      <c r="FNP45" s="21"/>
      <c r="FNQ45" s="19"/>
      <c r="FNZ45" s="19"/>
      <c r="FOA45" s="19"/>
      <c r="FOB45" s="19"/>
      <c r="FOC45" s="19"/>
      <c r="FOD45" s="21"/>
      <c r="FOE45" s="19"/>
      <c r="FON45" s="19"/>
      <c r="FOO45" s="19"/>
      <c r="FOP45" s="19"/>
      <c r="FOQ45" s="19"/>
      <c r="FOR45" s="21"/>
      <c r="FOS45" s="19"/>
      <c r="FPB45" s="19"/>
      <c r="FPC45" s="19"/>
      <c r="FPD45" s="19"/>
      <c r="FPE45" s="19"/>
      <c r="FPF45" s="21"/>
      <c r="FPG45" s="19"/>
      <c r="FPP45" s="19"/>
      <c r="FPQ45" s="19"/>
      <c r="FPR45" s="19"/>
      <c r="FPS45" s="19"/>
      <c r="FPT45" s="21"/>
      <c r="FPU45" s="19"/>
      <c r="FQD45" s="19"/>
      <c r="FQE45" s="19"/>
      <c r="FQF45" s="19"/>
      <c r="FQG45" s="19"/>
      <c r="FQH45" s="21"/>
      <c r="FQI45" s="19"/>
      <c r="FQR45" s="19"/>
      <c r="FQS45" s="19"/>
      <c r="FQT45" s="19"/>
      <c r="FQU45" s="19"/>
      <c r="FQV45" s="21"/>
      <c r="FQW45" s="19"/>
      <c r="FRF45" s="19"/>
      <c r="FRG45" s="19"/>
      <c r="FRH45" s="19"/>
      <c r="FRI45" s="19"/>
      <c r="FRJ45" s="21"/>
      <c r="FRK45" s="19"/>
      <c r="FRT45" s="19"/>
      <c r="FRU45" s="19"/>
      <c r="FRV45" s="19"/>
      <c r="FRW45" s="19"/>
      <c r="FRX45" s="21"/>
      <c r="FRY45" s="19"/>
      <c r="FSH45" s="19"/>
      <c r="FSI45" s="19"/>
      <c r="FSJ45" s="19"/>
      <c r="FSK45" s="19"/>
      <c r="FSL45" s="21"/>
      <c r="FSM45" s="19"/>
      <c r="FSV45" s="19"/>
      <c r="FSW45" s="19"/>
      <c r="FSX45" s="19"/>
      <c r="FSY45" s="19"/>
      <c r="FSZ45" s="21"/>
      <c r="FTA45" s="19"/>
      <c r="FTJ45" s="19"/>
      <c r="FTK45" s="19"/>
      <c r="FTL45" s="19"/>
      <c r="FTM45" s="19"/>
      <c r="FTN45" s="21"/>
      <c r="FTO45" s="19"/>
      <c r="FTX45" s="19"/>
      <c r="FTY45" s="19"/>
      <c r="FTZ45" s="19"/>
      <c r="FUA45" s="19"/>
      <c r="FUB45" s="21"/>
      <c r="FUC45" s="19"/>
      <c r="FUL45" s="19"/>
      <c r="FUM45" s="19"/>
      <c r="FUN45" s="19"/>
      <c r="FUO45" s="19"/>
      <c r="FUP45" s="21"/>
      <c r="FUQ45" s="19"/>
      <c r="FUZ45" s="19"/>
      <c r="FVA45" s="19"/>
      <c r="FVB45" s="19"/>
      <c r="FVC45" s="19"/>
      <c r="FVD45" s="21"/>
      <c r="FVE45" s="19"/>
      <c r="FVN45" s="19"/>
      <c r="FVO45" s="19"/>
      <c r="FVP45" s="19"/>
      <c r="FVQ45" s="19"/>
      <c r="FVR45" s="21"/>
      <c r="FVS45" s="19"/>
      <c r="FWB45" s="19"/>
      <c r="FWC45" s="19"/>
      <c r="FWD45" s="19"/>
      <c r="FWE45" s="19"/>
      <c r="FWF45" s="21"/>
      <c r="FWG45" s="19"/>
      <c r="FWP45" s="19"/>
      <c r="FWQ45" s="19"/>
      <c r="FWR45" s="19"/>
      <c r="FWS45" s="19"/>
      <c r="FWT45" s="21"/>
      <c r="FWU45" s="19"/>
      <c r="FXD45" s="19"/>
      <c r="FXE45" s="19"/>
      <c r="FXF45" s="19"/>
      <c r="FXG45" s="19"/>
      <c r="FXH45" s="21"/>
      <c r="FXI45" s="19"/>
      <c r="FXR45" s="19"/>
      <c r="FXS45" s="19"/>
      <c r="FXT45" s="19"/>
      <c r="FXU45" s="19"/>
      <c r="FXV45" s="21"/>
      <c r="FXW45" s="19"/>
      <c r="FYF45" s="19"/>
      <c r="FYG45" s="19"/>
      <c r="FYH45" s="19"/>
      <c r="FYI45" s="19"/>
      <c r="FYJ45" s="21"/>
      <c r="FYK45" s="19"/>
      <c r="FYT45" s="19"/>
      <c r="FYU45" s="19"/>
      <c r="FYV45" s="19"/>
      <c r="FYW45" s="19"/>
      <c r="FYX45" s="21"/>
      <c r="FYY45" s="19"/>
      <c r="FZH45" s="19"/>
      <c r="FZI45" s="19"/>
      <c r="FZJ45" s="19"/>
      <c r="FZK45" s="19"/>
      <c r="FZL45" s="21"/>
      <c r="FZM45" s="19"/>
      <c r="FZV45" s="19"/>
      <c r="FZW45" s="19"/>
      <c r="FZX45" s="19"/>
      <c r="FZY45" s="19"/>
      <c r="FZZ45" s="21"/>
      <c r="GAA45" s="19"/>
      <c r="GAJ45" s="19"/>
      <c r="GAK45" s="19"/>
      <c r="GAL45" s="19"/>
      <c r="GAM45" s="19"/>
      <c r="GAN45" s="21"/>
      <c r="GAO45" s="19"/>
      <c r="GAX45" s="19"/>
      <c r="GAY45" s="19"/>
      <c r="GAZ45" s="19"/>
      <c r="GBA45" s="19"/>
      <c r="GBB45" s="21"/>
      <c r="GBC45" s="19"/>
      <c r="GBL45" s="19"/>
      <c r="GBM45" s="19"/>
      <c r="GBN45" s="19"/>
      <c r="GBO45" s="19"/>
      <c r="GBP45" s="21"/>
      <c r="GBQ45" s="19"/>
      <c r="GBZ45" s="19"/>
      <c r="GCA45" s="19"/>
      <c r="GCB45" s="19"/>
      <c r="GCC45" s="19"/>
      <c r="GCD45" s="21"/>
      <c r="GCE45" s="19"/>
      <c r="GCN45" s="19"/>
      <c r="GCO45" s="19"/>
      <c r="GCP45" s="19"/>
      <c r="GCQ45" s="19"/>
      <c r="GCR45" s="21"/>
      <c r="GCS45" s="19"/>
      <c r="GDB45" s="19"/>
      <c r="GDC45" s="19"/>
      <c r="GDD45" s="19"/>
      <c r="GDE45" s="19"/>
      <c r="GDF45" s="21"/>
      <c r="GDG45" s="19"/>
      <c r="GDP45" s="19"/>
      <c r="GDQ45" s="19"/>
      <c r="GDR45" s="19"/>
      <c r="GDS45" s="19"/>
      <c r="GDT45" s="21"/>
      <c r="GDU45" s="19"/>
      <c r="GED45" s="19"/>
      <c r="GEE45" s="19"/>
      <c r="GEF45" s="19"/>
      <c r="GEG45" s="19"/>
      <c r="GEH45" s="21"/>
      <c r="GEI45" s="19"/>
      <c r="GER45" s="19"/>
      <c r="GES45" s="19"/>
      <c r="GET45" s="19"/>
      <c r="GEU45" s="19"/>
      <c r="GEV45" s="21"/>
      <c r="GEW45" s="19"/>
      <c r="GFF45" s="19"/>
      <c r="GFG45" s="19"/>
      <c r="GFH45" s="19"/>
      <c r="GFI45" s="19"/>
      <c r="GFJ45" s="21"/>
      <c r="GFK45" s="19"/>
      <c r="GFT45" s="19"/>
      <c r="GFU45" s="19"/>
      <c r="GFV45" s="19"/>
      <c r="GFW45" s="19"/>
      <c r="GFX45" s="21"/>
      <c r="GFY45" s="19"/>
      <c r="GGH45" s="19"/>
      <c r="GGI45" s="19"/>
      <c r="GGJ45" s="19"/>
      <c r="GGK45" s="19"/>
      <c r="GGL45" s="21"/>
      <c r="GGM45" s="19"/>
      <c r="GGV45" s="19"/>
      <c r="GGW45" s="19"/>
      <c r="GGX45" s="19"/>
      <c r="GGY45" s="19"/>
      <c r="GGZ45" s="21"/>
      <c r="GHA45" s="19"/>
      <c r="GHJ45" s="19"/>
      <c r="GHK45" s="19"/>
      <c r="GHL45" s="19"/>
      <c r="GHM45" s="19"/>
      <c r="GHN45" s="21"/>
      <c r="GHO45" s="19"/>
      <c r="GHX45" s="19"/>
      <c r="GHY45" s="19"/>
      <c r="GHZ45" s="19"/>
      <c r="GIA45" s="19"/>
      <c r="GIB45" s="21"/>
      <c r="GIC45" s="19"/>
      <c r="GIL45" s="19"/>
      <c r="GIM45" s="19"/>
      <c r="GIN45" s="19"/>
      <c r="GIO45" s="19"/>
      <c r="GIP45" s="21"/>
      <c r="GIQ45" s="19"/>
      <c r="GIZ45" s="19"/>
      <c r="GJA45" s="19"/>
      <c r="GJB45" s="19"/>
      <c r="GJC45" s="19"/>
      <c r="GJD45" s="21"/>
      <c r="GJE45" s="19"/>
      <c r="GJN45" s="19"/>
      <c r="GJO45" s="19"/>
      <c r="GJP45" s="19"/>
      <c r="GJQ45" s="19"/>
      <c r="GJR45" s="21"/>
      <c r="GJS45" s="19"/>
      <c r="GKB45" s="19"/>
      <c r="GKC45" s="19"/>
      <c r="GKD45" s="19"/>
      <c r="GKE45" s="19"/>
      <c r="GKF45" s="21"/>
      <c r="GKG45" s="19"/>
      <c r="GKP45" s="19"/>
      <c r="GKQ45" s="19"/>
      <c r="GKR45" s="19"/>
      <c r="GKS45" s="19"/>
      <c r="GKT45" s="21"/>
      <c r="GKU45" s="19"/>
      <c r="GLD45" s="19"/>
      <c r="GLE45" s="19"/>
      <c r="GLF45" s="19"/>
      <c r="GLG45" s="19"/>
      <c r="GLH45" s="21"/>
      <c r="GLI45" s="19"/>
      <c r="GLR45" s="19"/>
      <c r="GLS45" s="19"/>
      <c r="GLT45" s="19"/>
      <c r="GLU45" s="19"/>
      <c r="GLV45" s="21"/>
      <c r="GLW45" s="19"/>
      <c r="GMF45" s="19"/>
      <c r="GMG45" s="19"/>
      <c r="GMH45" s="19"/>
      <c r="GMI45" s="19"/>
      <c r="GMJ45" s="21"/>
      <c r="GMK45" s="19"/>
      <c r="GMT45" s="19"/>
      <c r="GMU45" s="19"/>
      <c r="GMV45" s="19"/>
      <c r="GMW45" s="19"/>
      <c r="GMX45" s="21"/>
      <c r="GMY45" s="19"/>
      <c r="GNH45" s="19"/>
      <c r="GNI45" s="19"/>
      <c r="GNJ45" s="19"/>
      <c r="GNK45" s="19"/>
      <c r="GNL45" s="21"/>
      <c r="GNM45" s="19"/>
      <c r="GNV45" s="19"/>
      <c r="GNW45" s="19"/>
      <c r="GNX45" s="19"/>
      <c r="GNY45" s="19"/>
      <c r="GNZ45" s="21"/>
      <c r="GOA45" s="19"/>
      <c r="GOJ45" s="19"/>
      <c r="GOK45" s="19"/>
      <c r="GOL45" s="19"/>
      <c r="GOM45" s="19"/>
      <c r="GON45" s="21"/>
      <c r="GOO45" s="19"/>
      <c r="GOX45" s="19"/>
      <c r="GOY45" s="19"/>
      <c r="GOZ45" s="19"/>
      <c r="GPA45" s="19"/>
      <c r="GPB45" s="21"/>
      <c r="GPC45" s="19"/>
      <c r="GPL45" s="19"/>
      <c r="GPM45" s="19"/>
      <c r="GPN45" s="19"/>
      <c r="GPO45" s="19"/>
      <c r="GPP45" s="21"/>
      <c r="GPQ45" s="19"/>
      <c r="GPZ45" s="19"/>
      <c r="GQA45" s="19"/>
      <c r="GQB45" s="19"/>
      <c r="GQC45" s="19"/>
      <c r="GQD45" s="21"/>
      <c r="GQE45" s="19"/>
      <c r="GQN45" s="19"/>
      <c r="GQO45" s="19"/>
      <c r="GQP45" s="19"/>
      <c r="GQQ45" s="19"/>
      <c r="GQR45" s="21"/>
      <c r="GQS45" s="19"/>
      <c r="GRB45" s="19"/>
      <c r="GRC45" s="19"/>
      <c r="GRD45" s="19"/>
      <c r="GRE45" s="19"/>
      <c r="GRF45" s="21"/>
      <c r="GRG45" s="19"/>
      <c r="GRP45" s="19"/>
      <c r="GRQ45" s="19"/>
      <c r="GRR45" s="19"/>
      <c r="GRS45" s="19"/>
      <c r="GRT45" s="21"/>
      <c r="GRU45" s="19"/>
      <c r="GSD45" s="19"/>
      <c r="GSE45" s="19"/>
      <c r="GSF45" s="19"/>
      <c r="GSG45" s="19"/>
      <c r="GSH45" s="21"/>
      <c r="GSI45" s="19"/>
      <c r="GSR45" s="19"/>
      <c r="GSS45" s="19"/>
      <c r="GST45" s="19"/>
      <c r="GSU45" s="19"/>
      <c r="GSV45" s="21"/>
      <c r="GSW45" s="19"/>
      <c r="GTF45" s="19"/>
      <c r="GTG45" s="19"/>
      <c r="GTH45" s="19"/>
      <c r="GTI45" s="19"/>
      <c r="GTJ45" s="21"/>
      <c r="GTK45" s="19"/>
      <c r="GTT45" s="19"/>
      <c r="GTU45" s="19"/>
      <c r="GTV45" s="19"/>
      <c r="GTW45" s="19"/>
      <c r="GTX45" s="21"/>
      <c r="GTY45" s="19"/>
      <c r="GUH45" s="19"/>
      <c r="GUI45" s="19"/>
      <c r="GUJ45" s="19"/>
      <c r="GUK45" s="19"/>
      <c r="GUL45" s="21"/>
      <c r="GUM45" s="19"/>
      <c r="GUV45" s="19"/>
      <c r="GUW45" s="19"/>
      <c r="GUX45" s="19"/>
      <c r="GUY45" s="19"/>
      <c r="GUZ45" s="21"/>
      <c r="GVA45" s="19"/>
      <c r="GVJ45" s="19"/>
      <c r="GVK45" s="19"/>
      <c r="GVL45" s="19"/>
      <c r="GVM45" s="19"/>
      <c r="GVN45" s="21"/>
      <c r="GVO45" s="19"/>
      <c r="GVX45" s="19"/>
      <c r="GVY45" s="19"/>
      <c r="GVZ45" s="19"/>
      <c r="GWA45" s="19"/>
      <c r="GWB45" s="21"/>
      <c r="GWC45" s="19"/>
      <c r="GWL45" s="19"/>
      <c r="GWM45" s="19"/>
      <c r="GWN45" s="19"/>
      <c r="GWO45" s="19"/>
      <c r="GWP45" s="21"/>
      <c r="GWQ45" s="19"/>
      <c r="GWZ45" s="19"/>
      <c r="GXA45" s="19"/>
      <c r="GXB45" s="19"/>
      <c r="GXC45" s="19"/>
      <c r="GXD45" s="21"/>
      <c r="GXE45" s="19"/>
      <c r="GXN45" s="19"/>
      <c r="GXO45" s="19"/>
      <c r="GXP45" s="19"/>
      <c r="GXQ45" s="19"/>
      <c r="GXR45" s="21"/>
      <c r="GXS45" s="19"/>
      <c r="GYB45" s="19"/>
      <c r="GYC45" s="19"/>
      <c r="GYD45" s="19"/>
      <c r="GYE45" s="19"/>
      <c r="GYF45" s="21"/>
      <c r="GYG45" s="19"/>
      <c r="GYP45" s="19"/>
      <c r="GYQ45" s="19"/>
      <c r="GYR45" s="19"/>
      <c r="GYS45" s="19"/>
      <c r="GYT45" s="21"/>
      <c r="GYU45" s="19"/>
      <c r="GZD45" s="19"/>
      <c r="GZE45" s="19"/>
      <c r="GZF45" s="19"/>
      <c r="GZG45" s="19"/>
      <c r="GZH45" s="21"/>
      <c r="GZI45" s="19"/>
      <c r="GZR45" s="19"/>
      <c r="GZS45" s="19"/>
      <c r="GZT45" s="19"/>
      <c r="GZU45" s="19"/>
      <c r="GZV45" s="21"/>
      <c r="GZW45" s="19"/>
      <c r="HAF45" s="19"/>
      <c r="HAG45" s="19"/>
      <c r="HAH45" s="19"/>
      <c r="HAI45" s="19"/>
      <c r="HAJ45" s="21"/>
      <c r="HAK45" s="19"/>
      <c r="HAT45" s="19"/>
      <c r="HAU45" s="19"/>
      <c r="HAV45" s="19"/>
      <c r="HAW45" s="19"/>
      <c r="HAX45" s="21"/>
      <c r="HAY45" s="19"/>
      <c r="HBH45" s="19"/>
      <c r="HBI45" s="19"/>
      <c r="HBJ45" s="19"/>
      <c r="HBK45" s="19"/>
      <c r="HBL45" s="21"/>
      <c r="HBM45" s="19"/>
      <c r="HBV45" s="19"/>
      <c r="HBW45" s="19"/>
      <c r="HBX45" s="19"/>
      <c r="HBY45" s="19"/>
      <c r="HBZ45" s="21"/>
      <c r="HCA45" s="19"/>
      <c r="HCJ45" s="19"/>
      <c r="HCK45" s="19"/>
      <c r="HCL45" s="19"/>
      <c r="HCM45" s="19"/>
      <c r="HCN45" s="21"/>
      <c r="HCO45" s="19"/>
      <c r="HCX45" s="19"/>
      <c r="HCY45" s="19"/>
      <c r="HCZ45" s="19"/>
      <c r="HDA45" s="19"/>
      <c r="HDB45" s="21"/>
      <c r="HDC45" s="19"/>
      <c r="HDL45" s="19"/>
      <c r="HDM45" s="19"/>
      <c r="HDN45" s="19"/>
      <c r="HDO45" s="19"/>
      <c r="HDP45" s="21"/>
      <c r="HDQ45" s="19"/>
      <c r="HDZ45" s="19"/>
      <c r="HEA45" s="19"/>
      <c r="HEB45" s="19"/>
      <c r="HEC45" s="19"/>
      <c r="HED45" s="21"/>
      <c r="HEE45" s="19"/>
      <c r="HEN45" s="19"/>
      <c r="HEO45" s="19"/>
      <c r="HEP45" s="19"/>
      <c r="HEQ45" s="19"/>
      <c r="HER45" s="21"/>
      <c r="HES45" s="19"/>
      <c r="HFB45" s="19"/>
      <c r="HFC45" s="19"/>
      <c r="HFD45" s="19"/>
      <c r="HFE45" s="19"/>
      <c r="HFF45" s="21"/>
      <c r="HFG45" s="19"/>
      <c r="HFP45" s="19"/>
      <c r="HFQ45" s="19"/>
      <c r="HFR45" s="19"/>
      <c r="HFS45" s="19"/>
      <c r="HFT45" s="21"/>
      <c r="HFU45" s="19"/>
      <c r="HGD45" s="19"/>
      <c r="HGE45" s="19"/>
      <c r="HGF45" s="19"/>
      <c r="HGG45" s="19"/>
      <c r="HGH45" s="21"/>
      <c r="HGI45" s="19"/>
      <c r="HGR45" s="19"/>
      <c r="HGS45" s="19"/>
      <c r="HGT45" s="19"/>
      <c r="HGU45" s="19"/>
      <c r="HGV45" s="21"/>
      <c r="HGW45" s="19"/>
      <c r="HHF45" s="19"/>
      <c r="HHG45" s="19"/>
      <c r="HHH45" s="19"/>
      <c r="HHI45" s="19"/>
      <c r="HHJ45" s="21"/>
      <c r="HHK45" s="19"/>
      <c r="HHT45" s="19"/>
      <c r="HHU45" s="19"/>
      <c r="HHV45" s="19"/>
      <c r="HHW45" s="19"/>
      <c r="HHX45" s="21"/>
      <c r="HHY45" s="19"/>
      <c r="HIH45" s="19"/>
      <c r="HII45" s="19"/>
      <c r="HIJ45" s="19"/>
      <c r="HIK45" s="19"/>
      <c r="HIL45" s="21"/>
      <c r="HIM45" s="19"/>
      <c r="HIV45" s="19"/>
      <c r="HIW45" s="19"/>
      <c r="HIX45" s="19"/>
      <c r="HIY45" s="19"/>
      <c r="HIZ45" s="21"/>
      <c r="HJA45" s="19"/>
      <c r="HJJ45" s="19"/>
      <c r="HJK45" s="19"/>
      <c r="HJL45" s="19"/>
      <c r="HJM45" s="19"/>
      <c r="HJN45" s="21"/>
      <c r="HJO45" s="19"/>
      <c r="HJX45" s="19"/>
      <c r="HJY45" s="19"/>
      <c r="HJZ45" s="19"/>
      <c r="HKA45" s="19"/>
      <c r="HKB45" s="21"/>
      <c r="HKC45" s="19"/>
      <c r="HKL45" s="19"/>
      <c r="HKM45" s="19"/>
      <c r="HKN45" s="19"/>
      <c r="HKO45" s="19"/>
      <c r="HKP45" s="21"/>
      <c r="HKQ45" s="19"/>
      <c r="HKZ45" s="19"/>
      <c r="HLA45" s="19"/>
      <c r="HLB45" s="19"/>
      <c r="HLC45" s="19"/>
      <c r="HLD45" s="21"/>
      <c r="HLE45" s="19"/>
      <c r="HLN45" s="19"/>
      <c r="HLO45" s="19"/>
      <c r="HLP45" s="19"/>
      <c r="HLQ45" s="19"/>
      <c r="HLR45" s="21"/>
      <c r="HLS45" s="19"/>
      <c r="HMB45" s="19"/>
      <c r="HMC45" s="19"/>
      <c r="HMD45" s="19"/>
      <c r="HME45" s="19"/>
      <c r="HMF45" s="21"/>
      <c r="HMG45" s="19"/>
      <c r="HMP45" s="19"/>
      <c r="HMQ45" s="19"/>
      <c r="HMR45" s="19"/>
      <c r="HMS45" s="19"/>
      <c r="HMT45" s="21"/>
      <c r="HMU45" s="19"/>
      <c r="HND45" s="19"/>
      <c r="HNE45" s="19"/>
      <c r="HNF45" s="19"/>
      <c r="HNG45" s="19"/>
      <c r="HNH45" s="21"/>
      <c r="HNI45" s="19"/>
      <c r="HNR45" s="19"/>
      <c r="HNS45" s="19"/>
      <c r="HNT45" s="19"/>
      <c r="HNU45" s="19"/>
      <c r="HNV45" s="21"/>
      <c r="HNW45" s="19"/>
      <c r="HOF45" s="19"/>
      <c r="HOG45" s="19"/>
      <c r="HOH45" s="19"/>
      <c r="HOI45" s="19"/>
      <c r="HOJ45" s="21"/>
      <c r="HOK45" s="19"/>
      <c r="HOT45" s="19"/>
      <c r="HOU45" s="19"/>
      <c r="HOV45" s="19"/>
      <c r="HOW45" s="19"/>
      <c r="HOX45" s="21"/>
      <c r="HOY45" s="19"/>
      <c r="HPH45" s="19"/>
      <c r="HPI45" s="19"/>
      <c r="HPJ45" s="19"/>
      <c r="HPK45" s="19"/>
      <c r="HPL45" s="21"/>
      <c r="HPM45" s="19"/>
      <c r="HPV45" s="19"/>
      <c r="HPW45" s="19"/>
      <c r="HPX45" s="19"/>
      <c r="HPY45" s="19"/>
      <c r="HPZ45" s="21"/>
      <c r="HQA45" s="19"/>
      <c r="HQJ45" s="19"/>
      <c r="HQK45" s="19"/>
      <c r="HQL45" s="19"/>
      <c r="HQM45" s="19"/>
      <c r="HQN45" s="21"/>
      <c r="HQO45" s="19"/>
      <c r="HQX45" s="19"/>
      <c r="HQY45" s="19"/>
      <c r="HQZ45" s="19"/>
      <c r="HRA45" s="19"/>
      <c r="HRB45" s="21"/>
      <c r="HRC45" s="19"/>
      <c r="HRL45" s="19"/>
      <c r="HRM45" s="19"/>
      <c r="HRN45" s="19"/>
      <c r="HRO45" s="19"/>
      <c r="HRP45" s="21"/>
      <c r="HRQ45" s="19"/>
      <c r="HRZ45" s="19"/>
      <c r="HSA45" s="19"/>
      <c r="HSB45" s="19"/>
      <c r="HSC45" s="19"/>
      <c r="HSD45" s="21"/>
      <c r="HSE45" s="19"/>
      <c r="HSN45" s="19"/>
      <c r="HSO45" s="19"/>
      <c r="HSP45" s="19"/>
      <c r="HSQ45" s="19"/>
      <c r="HSR45" s="21"/>
      <c r="HSS45" s="19"/>
      <c r="HTB45" s="19"/>
      <c r="HTC45" s="19"/>
      <c r="HTD45" s="19"/>
      <c r="HTE45" s="19"/>
      <c r="HTF45" s="21"/>
      <c r="HTG45" s="19"/>
      <c r="HTP45" s="19"/>
      <c r="HTQ45" s="19"/>
      <c r="HTR45" s="19"/>
      <c r="HTS45" s="19"/>
      <c r="HTT45" s="21"/>
      <c r="HTU45" s="19"/>
      <c r="HUD45" s="19"/>
      <c r="HUE45" s="19"/>
      <c r="HUF45" s="19"/>
      <c r="HUG45" s="19"/>
      <c r="HUH45" s="21"/>
      <c r="HUI45" s="19"/>
      <c r="HUR45" s="19"/>
      <c r="HUS45" s="19"/>
      <c r="HUT45" s="19"/>
      <c r="HUU45" s="19"/>
      <c r="HUV45" s="21"/>
      <c r="HUW45" s="19"/>
      <c r="HVF45" s="19"/>
      <c r="HVG45" s="19"/>
      <c r="HVH45" s="19"/>
      <c r="HVI45" s="19"/>
      <c r="HVJ45" s="21"/>
      <c r="HVK45" s="19"/>
      <c r="HVT45" s="19"/>
      <c r="HVU45" s="19"/>
      <c r="HVV45" s="19"/>
      <c r="HVW45" s="19"/>
      <c r="HVX45" s="21"/>
      <c r="HVY45" s="19"/>
      <c r="HWH45" s="19"/>
      <c r="HWI45" s="19"/>
      <c r="HWJ45" s="19"/>
      <c r="HWK45" s="19"/>
      <c r="HWL45" s="21"/>
      <c r="HWM45" s="19"/>
      <c r="HWV45" s="19"/>
      <c r="HWW45" s="19"/>
      <c r="HWX45" s="19"/>
      <c r="HWY45" s="19"/>
      <c r="HWZ45" s="21"/>
      <c r="HXA45" s="19"/>
      <c r="HXJ45" s="19"/>
      <c r="HXK45" s="19"/>
      <c r="HXL45" s="19"/>
      <c r="HXM45" s="19"/>
      <c r="HXN45" s="21"/>
      <c r="HXO45" s="19"/>
      <c r="HXX45" s="19"/>
      <c r="HXY45" s="19"/>
      <c r="HXZ45" s="19"/>
      <c r="HYA45" s="19"/>
      <c r="HYB45" s="21"/>
      <c r="HYC45" s="19"/>
      <c r="HYL45" s="19"/>
      <c r="HYM45" s="19"/>
      <c r="HYN45" s="19"/>
      <c r="HYO45" s="19"/>
      <c r="HYP45" s="21"/>
      <c r="HYQ45" s="19"/>
      <c r="HYZ45" s="19"/>
      <c r="HZA45" s="19"/>
      <c r="HZB45" s="19"/>
      <c r="HZC45" s="19"/>
      <c r="HZD45" s="21"/>
      <c r="HZE45" s="19"/>
      <c r="HZN45" s="19"/>
      <c r="HZO45" s="19"/>
      <c r="HZP45" s="19"/>
      <c r="HZQ45" s="19"/>
      <c r="HZR45" s="21"/>
      <c r="HZS45" s="19"/>
      <c r="IAB45" s="19"/>
      <c r="IAC45" s="19"/>
      <c r="IAD45" s="19"/>
      <c r="IAE45" s="19"/>
      <c r="IAF45" s="21"/>
      <c r="IAG45" s="19"/>
      <c r="IAP45" s="19"/>
      <c r="IAQ45" s="19"/>
      <c r="IAR45" s="19"/>
      <c r="IAS45" s="19"/>
      <c r="IAT45" s="21"/>
      <c r="IAU45" s="19"/>
      <c r="IBD45" s="19"/>
      <c r="IBE45" s="19"/>
      <c r="IBF45" s="19"/>
      <c r="IBG45" s="19"/>
      <c r="IBH45" s="21"/>
      <c r="IBI45" s="19"/>
      <c r="IBR45" s="19"/>
      <c r="IBS45" s="19"/>
      <c r="IBT45" s="19"/>
      <c r="IBU45" s="19"/>
      <c r="IBV45" s="21"/>
      <c r="IBW45" s="19"/>
      <c r="ICF45" s="19"/>
      <c r="ICG45" s="19"/>
      <c r="ICH45" s="19"/>
      <c r="ICI45" s="19"/>
      <c r="ICJ45" s="21"/>
      <c r="ICK45" s="19"/>
      <c r="ICT45" s="19"/>
      <c r="ICU45" s="19"/>
      <c r="ICV45" s="19"/>
      <c r="ICW45" s="19"/>
      <c r="ICX45" s="21"/>
      <c r="ICY45" s="19"/>
      <c r="IDH45" s="19"/>
      <c r="IDI45" s="19"/>
      <c r="IDJ45" s="19"/>
      <c r="IDK45" s="19"/>
      <c r="IDL45" s="21"/>
      <c r="IDM45" s="19"/>
      <c r="IDV45" s="19"/>
      <c r="IDW45" s="19"/>
      <c r="IDX45" s="19"/>
      <c r="IDY45" s="19"/>
      <c r="IDZ45" s="21"/>
      <c r="IEA45" s="19"/>
      <c r="IEJ45" s="19"/>
      <c r="IEK45" s="19"/>
      <c r="IEL45" s="19"/>
      <c r="IEM45" s="19"/>
      <c r="IEN45" s="21"/>
      <c r="IEO45" s="19"/>
      <c r="IEX45" s="19"/>
      <c r="IEY45" s="19"/>
      <c r="IEZ45" s="19"/>
      <c r="IFA45" s="19"/>
      <c r="IFB45" s="21"/>
      <c r="IFC45" s="19"/>
      <c r="IFL45" s="19"/>
      <c r="IFM45" s="19"/>
      <c r="IFN45" s="19"/>
      <c r="IFO45" s="19"/>
      <c r="IFP45" s="21"/>
      <c r="IFQ45" s="19"/>
      <c r="IFZ45" s="19"/>
      <c r="IGA45" s="19"/>
      <c r="IGB45" s="19"/>
      <c r="IGC45" s="19"/>
      <c r="IGD45" s="21"/>
      <c r="IGE45" s="19"/>
      <c r="IGN45" s="19"/>
      <c r="IGO45" s="19"/>
      <c r="IGP45" s="19"/>
      <c r="IGQ45" s="19"/>
      <c r="IGR45" s="21"/>
      <c r="IGS45" s="19"/>
      <c r="IHB45" s="19"/>
      <c r="IHC45" s="19"/>
      <c r="IHD45" s="19"/>
      <c r="IHE45" s="19"/>
      <c r="IHF45" s="21"/>
      <c r="IHG45" s="19"/>
      <c r="IHP45" s="19"/>
      <c r="IHQ45" s="19"/>
      <c r="IHR45" s="19"/>
      <c r="IHS45" s="19"/>
      <c r="IHT45" s="21"/>
      <c r="IHU45" s="19"/>
      <c r="IID45" s="19"/>
      <c r="IIE45" s="19"/>
      <c r="IIF45" s="19"/>
      <c r="IIG45" s="19"/>
      <c r="IIH45" s="21"/>
      <c r="III45" s="19"/>
      <c r="IIR45" s="19"/>
      <c r="IIS45" s="19"/>
      <c r="IIT45" s="19"/>
      <c r="IIU45" s="19"/>
      <c r="IIV45" s="21"/>
      <c r="IIW45" s="19"/>
      <c r="IJF45" s="19"/>
      <c r="IJG45" s="19"/>
      <c r="IJH45" s="19"/>
      <c r="IJI45" s="19"/>
      <c r="IJJ45" s="21"/>
      <c r="IJK45" s="19"/>
      <c r="IJT45" s="19"/>
      <c r="IJU45" s="19"/>
      <c r="IJV45" s="19"/>
      <c r="IJW45" s="19"/>
      <c r="IJX45" s="21"/>
      <c r="IJY45" s="19"/>
      <c r="IKH45" s="19"/>
      <c r="IKI45" s="19"/>
      <c r="IKJ45" s="19"/>
      <c r="IKK45" s="19"/>
      <c r="IKL45" s="21"/>
      <c r="IKM45" s="19"/>
      <c r="IKV45" s="19"/>
      <c r="IKW45" s="19"/>
      <c r="IKX45" s="19"/>
      <c r="IKY45" s="19"/>
      <c r="IKZ45" s="21"/>
      <c r="ILA45" s="19"/>
      <c r="ILJ45" s="19"/>
      <c r="ILK45" s="19"/>
      <c r="ILL45" s="19"/>
      <c r="ILM45" s="19"/>
      <c r="ILN45" s="21"/>
      <c r="ILO45" s="19"/>
      <c r="ILX45" s="19"/>
      <c r="ILY45" s="19"/>
      <c r="ILZ45" s="19"/>
      <c r="IMA45" s="19"/>
      <c r="IMB45" s="21"/>
      <c r="IMC45" s="19"/>
      <c r="IML45" s="19"/>
      <c r="IMM45" s="19"/>
      <c r="IMN45" s="19"/>
      <c r="IMO45" s="19"/>
      <c r="IMP45" s="21"/>
      <c r="IMQ45" s="19"/>
      <c r="IMZ45" s="19"/>
      <c r="INA45" s="19"/>
      <c r="INB45" s="19"/>
      <c r="INC45" s="19"/>
      <c r="IND45" s="21"/>
      <c r="INE45" s="19"/>
      <c r="INN45" s="19"/>
      <c r="INO45" s="19"/>
      <c r="INP45" s="19"/>
      <c r="INQ45" s="19"/>
      <c r="INR45" s="21"/>
      <c r="INS45" s="19"/>
      <c r="IOB45" s="19"/>
      <c r="IOC45" s="19"/>
      <c r="IOD45" s="19"/>
      <c r="IOE45" s="19"/>
      <c r="IOF45" s="21"/>
      <c r="IOG45" s="19"/>
      <c r="IOP45" s="19"/>
      <c r="IOQ45" s="19"/>
      <c r="IOR45" s="19"/>
      <c r="IOS45" s="19"/>
      <c r="IOT45" s="21"/>
      <c r="IOU45" s="19"/>
      <c r="IPD45" s="19"/>
      <c r="IPE45" s="19"/>
      <c r="IPF45" s="19"/>
      <c r="IPG45" s="19"/>
      <c r="IPH45" s="21"/>
      <c r="IPI45" s="19"/>
      <c r="IPR45" s="19"/>
      <c r="IPS45" s="19"/>
      <c r="IPT45" s="19"/>
      <c r="IPU45" s="19"/>
      <c r="IPV45" s="21"/>
      <c r="IPW45" s="19"/>
      <c r="IQF45" s="19"/>
      <c r="IQG45" s="19"/>
      <c r="IQH45" s="19"/>
      <c r="IQI45" s="19"/>
      <c r="IQJ45" s="21"/>
      <c r="IQK45" s="19"/>
      <c r="IQT45" s="19"/>
      <c r="IQU45" s="19"/>
      <c r="IQV45" s="19"/>
      <c r="IQW45" s="19"/>
      <c r="IQX45" s="21"/>
      <c r="IQY45" s="19"/>
      <c r="IRH45" s="19"/>
      <c r="IRI45" s="19"/>
      <c r="IRJ45" s="19"/>
      <c r="IRK45" s="19"/>
      <c r="IRL45" s="21"/>
      <c r="IRM45" s="19"/>
      <c r="IRV45" s="19"/>
      <c r="IRW45" s="19"/>
      <c r="IRX45" s="19"/>
      <c r="IRY45" s="19"/>
      <c r="IRZ45" s="21"/>
      <c r="ISA45" s="19"/>
      <c r="ISJ45" s="19"/>
      <c r="ISK45" s="19"/>
      <c r="ISL45" s="19"/>
      <c r="ISM45" s="19"/>
      <c r="ISN45" s="21"/>
      <c r="ISO45" s="19"/>
      <c r="ISX45" s="19"/>
      <c r="ISY45" s="19"/>
      <c r="ISZ45" s="19"/>
      <c r="ITA45" s="19"/>
      <c r="ITB45" s="21"/>
      <c r="ITC45" s="19"/>
      <c r="ITL45" s="19"/>
      <c r="ITM45" s="19"/>
      <c r="ITN45" s="19"/>
      <c r="ITO45" s="19"/>
      <c r="ITP45" s="21"/>
      <c r="ITQ45" s="19"/>
      <c r="ITZ45" s="19"/>
      <c r="IUA45" s="19"/>
      <c r="IUB45" s="19"/>
      <c r="IUC45" s="19"/>
      <c r="IUD45" s="21"/>
      <c r="IUE45" s="19"/>
      <c r="IUN45" s="19"/>
      <c r="IUO45" s="19"/>
      <c r="IUP45" s="19"/>
      <c r="IUQ45" s="19"/>
      <c r="IUR45" s="21"/>
      <c r="IUS45" s="19"/>
      <c r="IVB45" s="19"/>
      <c r="IVC45" s="19"/>
      <c r="IVD45" s="19"/>
      <c r="IVE45" s="19"/>
      <c r="IVF45" s="21"/>
      <c r="IVG45" s="19"/>
      <c r="IVP45" s="19"/>
      <c r="IVQ45" s="19"/>
      <c r="IVR45" s="19"/>
      <c r="IVS45" s="19"/>
      <c r="IVT45" s="21"/>
      <c r="IVU45" s="19"/>
      <c r="IWD45" s="19"/>
      <c r="IWE45" s="19"/>
      <c r="IWF45" s="19"/>
      <c r="IWG45" s="19"/>
      <c r="IWH45" s="21"/>
      <c r="IWI45" s="19"/>
      <c r="IWR45" s="19"/>
      <c r="IWS45" s="19"/>
      <c r="IWT45" s="19"/>
      <c r="IWU45" s="19"/>
      <c r="IWV45" s="21"/>
      <c r="IWW45" s="19"/>
      <c r="IXF45" s="19"/>
      <c r="IXG45" s="19"/>
      <c r="IXH45" s="19"/>
      <c r="IXI45" s="19"/>
      <c r="IXJ45" s="21"/>
      <c r="IXK45" s="19"/>
      <c r="IXT45" s="19"/>
      <c r="IXU45" s="19"/>
      <c r="IXV45" s="19"/>
      <c r="IXW45" s="19"/>
      <c r="IXX45" s="21"/>
      <c r="IXY45" s="19"/>
      <c r="IYH45" s="19"/>
      <c r="IYI45" s="19"/>
      <c r="IYJ45" s="19"/>
      <c r="IYK45" s="19"/>
      <c r="IYL45" s="21"/>
      <c r="IYM45" s="19"/>
      <c r="IYV45" s="19"/>
      <c r="IYW45" s="19"/>
      <c r="IYX45" s="19"/>
      <c r="IYY45" s="19"/>
      <c r="IYZ45" s="21"/>
      <c r="IZA45" s="19"/>
      <c r="IZJ45" s="19"/>
      <c r="IZK45" s="19"/>
      <c r="IZL45" s="19"/>
      <c r="IZM45" s="19"/>
      <c r="IZN45" s="21"/>
      <c r="IZO45" s="19"/>
      <c r="IZX45" s="19"/>
      <c r="IZY45" s="19"/>
      <c r="IZZ45" s="19"/>
      <c r="JAA45" s="19"/>
      <c r="JAB45" s="21"/>
      <c r="JAC45" s="19"/>
      <c r="JAL45" s="19"/>
      <c r="JAM45" s="19"/>
      <c r="JAN45" s="19"/>
      <c r="JAO45" s="19"/>
      <c r="JAP45" s="21"/>
      <c r="JAQ45" s="19"/>
      <c r="JAZ45" s="19"/>
      <c r="JBA45" s="19"/>
      <c r="JBB45" s="19"/>
      <c r="JBC45" s="19"/>
      <c r="JBD45" s="21"/>
      <c r="JBE45" s="19"/>
      <c r="JBN45" s="19"/>
      <c r="JBO45" s="19"/>
      <c r="JBP45" s="19"/>
      <c r="JBQ45" s="19"/>
      <c r="JBR45" s="21"/>
      <c r="JBS45" s="19"/>
      <c r="JCB45" s="19"/>
      <c r="JCC45" s="19"/>
      <c r="JCD45" s="19"/>
      <c r="JCE45" s="19"/>
      <c r="JCF45" s="21"/>
      <c r="JCG45" s="19"/>
      <c r="JCP45" s="19"/>
      <c r="JCQ45" s="19"/>
      <c r="JCR45" s="19"/>
      <c r="JCS45" s="19"/>
      <c r="JCT45" s="21"/>
      <c r="JCU45" s="19"/>
      <c r="JDD45" s="19"/>
      <c r="JDE45" s="19"/>
      <c r="JDF45" s="19"/>
      <c r="JDG45" s="19"/>
      <c r="JDH45" s="21"/>
      <c r="JDI45" s="19"/>
      <c r="JDR45" s="19"/>
      <c r="JDS45" s="19"/>
      <c r="JDT45" s="19"/>
      <c r="JDU45" s="19"/>
      <c r="JDV45" s="21"/>
      <c r="JDW45" s="19"/>
      <c r="JEF45" s="19"/>
      <c r="JEG45" s="19"/>
      <c r="JEH45" s="19"/>
      <c r="JEI45" s="19"/>
      <c r="JEJ45" s="21"/>
      <c r="JEK45" s="19"/>
      <c r="JET45" s="19"/>
      <c r="JEU45" s="19"/>
      <c r="JEV45" s="19"/>
      <c r="JEW45" s="19"/>
      <c r="JEX45" s="21"/>
      <c r="JEY45" s="19"/>
      <c r="JFH45" s="19"/>
      <c r="JFI45" s="19"/>
      <c r="JFJ45" s="19"/>
      <c r="JFK45" s="19"/>
      <c r="JFL45" s="21"/>
      <c r="JFM45" s="19"/>
      <c r="JFV45" s="19"/>
      <c r="JFW45" s="19"/>
      <c r="JFX45" s="19"/>
      <c r="JFY45" s="19"/>
      <c r="JFZ45" s="21"/>
      <c r="JGA45" s="19"/>
      <c r="JGJ45" s="19"/>
      <c r="JGK45" s="19"/>
      <c r="JGL45" s="19"/>
      <c r="JGM45" s="19"/>
      <c r="JGN45" s="21"/>
      <c r="JGO45" s="19"/>
      <c r="JGX45" s="19"/>
      <c r="JGY45" s="19"/>
      <c r="JGZ45" s="19"/>
      <c r="JHA45" s="19"/>
      <c r="JHB45" s="21"/>
      <c r="JHC45" s="19"/>
      <c r="JHL45" s="19"/>
      <c r="JHM45" s="19"/>
      <c r="JHN45" s="19"/>
      <c r="JHO45" s="19"/>
      <c r="JHP45" s="21"/>
      <c r="JHQ45" s="19"/>
      <c r="JHZ45" s="19"/>
      <c r="JIA45" s="19"/>
      <c r="JIB45" s="19"/>
      <c r="JIC45" s="19"/>
      <c r="JID45" s="21"/>
      <c r="JIE45" s="19"/>
      <c r="JIN45" s="19"/>
      <c r="JIO45" s="19"/>
      <c r="JIP45" s="19"/>
      <c r="JIQ45" s="19"/>
      <c r="JIR45" s="21"/>
      <c r="JIS45" s="19"/>
      <c r="JJB45" s="19"/>
      <c r="JJC45" s="19"/>
      <c r="JJD45" s="19"/>
      <c r="JJE45" s="19"/>
      <c r="JJF45" s="21"/>
      <c r="JJG45" s="19"/>
      <c r="JJP45" s="19"/>
      <c r="JJQ45" s="19"/>
      <c r="JJR45" s="19"/>
      <c r="JJS45" s="19"/>
      <c r="JJT45" s="21"/>
      <c r="JJU45" s="19"/>
      <c r="JKD45" s="19"/>
      <c r="JKE45" s="19"/>
      <c r="JKF45" s="19"/>
      <c r="JKG45" s="19"/>
      <c r="JKH45" s="21"/>
      <c r="JKI45" s="19"/>
      <c r="JKR45" s="19"/>
      <c r="JKS45" s="19"/>
      <c r="JKT45" s="19"/>
      <c r="JKU45" s="19"/>
      <c r="JKV45" s="21"/>
      <c r="JKW45" s="19"/>
      <c r="JLF45" s="19"/>
      <c r="JLG45" s="19"/>
      <c r="JLH45" s="19"/>
      <c r="JLI45" s="19"/>
      <c r="JLJ45" s="21"/>
      <c r="JLK45" s="19"/>
      <c r="JLT45" s="19"/>
      <c r="JLU45" s="19"/>
      <c r="JLV45" s="19"/>
      <c r="JLW45" s="19"/>
      <c r="JLX45" s="21"/>
      <c r="JLY45" s="19"/>
      <c r="JMH45" s="19"/>
      <c r="JMI45" s="19"/>
      <c r="JMJ45" s="19"/>
      <c r="JMK45" s="19"/>
      <c r="JML45" s="21"/>
      <c r="JMM45" s="19"/>
      <c r="JMV45" s="19"/>
      <c r="JMW45" s="19"/>
      <c r="JMX45" s="19"/>
      <c r="JMY45" s="19"/>
      <c r="JMZ45" s="21"/>
      <c r="JNA45" s="19"/>
      <c r="JNJ45" s="19"/>
      <c r="JNK45" s="19"/>
      <c r="JNL45" s="19"/>
      <c r="JNM45" s="19"/>
      <c r="JNN45" s="21"/>
      <c r="JNO45" s="19"/>
      <c r="JNX45" s="19"/>
      <c r="JNY45" s="19"/>
      <c r="JNZ45" s="19"/>
      <c r="JOA45" s="19"/>
      <c r="JOB45" s="21"/>
      <c r="JOC45" s="19"/>
      <c r="JOL45" s="19"/>
      <c r="JOM45" s="19"/>
      <c r="JON45" s="19"/>
      <c r="JOO45" s="19"/>
      <c r="JOP45" s="21"/>
      <c r="JOQ45" s="19"/>
      <c r="JOZ45" s="19"/>
      <c r="JPA45" s="19"/>
      <c r="JPB45" s="19"/>
      <c r="JPC45" s="19"/>
      <c r="JPD45" s="21"/>
      <c r="JPE45" s="19"/>
      <c r="JPN45" s="19"/>
      <c r="JPO45" s="19"/>
      <c r="JPP45" s="19"/>
      <c r="JPQ45" s="19"/>
      <c r="JPR45" s="21"/>
      <c r="JPS45" s="19"/>
      <c r="JQB45" s="19"/>
      <c r="JQC45" s="19"/>
      <c r="JQD45" s="19"/>
      <c r="JQE45" s="19"/>
      <c r="JQF45" s="21"/>
      <c r="JQG45" s="19"/>
      <c r="JQP45" s="19"/>
      <c r="JQQ45" s="19"/>
      <c r="JQR45" s="19"/>
      <c r="JQS45" s="19"/>
      <c r="JQT45" s="21"/>
      <c r="JQU45" s="19"/>
      <c r="JRD45" s="19"/>
      <c r="JRE45" s="19"/>
      <c r="JRF45" s="19"/>
      <c r="JRG45" s="19"/>
      <c r="JRH45" s="21"/>
      <c r="JRI45" s="19"/>
      <c r="JRR45" s="19"/>
      <c r="JRS45" s="19"/>
      <c r="JRT45" s="19"/>
      <c r="JRU45" s="19"/>
      <c r="JRV45" s="21"/>
      <c r="JRW45" s="19"/>
      <c r="JSF45" s="19"/>
      <c r="JSG45" s="19"/>
      <c r="JSH45" s="19"/>
      <c r="JSI45" s="19"/>
      <c r="JSJ45" s="21"/>
      <c r="JSK45" s="19"/>
      <c r="JST45" s="19"/>
      <c r="JSU45" s="19"/>
      <c r="JSV45" s="19"/>
      <c r="JSW45" s="19"/>
      <c r="JSX45" s="21"/>
      <c r="JSY45" s="19"/>
      <c r="JTH45" s="19"/>
      <c r="JTI45" s="19"/>
      <c r="JTJ45" s="19"/>
      <c r="JTK45" s="19"/>
      <c r="JTL45" s="21"/>
      <c r="JTM45" s="19"/>
      <c r="JTV45" s="19"/>
      <c r="JTW45" s="19"/>
      <c r="JTX45" s="19"/>
      <c r="JTY45" s="19"/>
      <c r="JTZ45" s="21"/>
      <c r="JUA45" s="19"/>
      <c r="JUJ45" s="19"/>
      <c r="JUK45" s="19"/>
      <c r="JUL45" s="19"/>
      <c r="JUM45" s="19"/>
      <c r="JUN45" s="21"/>
      <c r="JUO45" s="19"/>
      <c r="JUX45" s="19"/>
      <c r="JUY45" s="19"/>
      <c r="JUZ45" s="19"/>
      <c r="JVA45" s="19"/>
      <c r="JVB45" s="21"/>
      <c r="JVC45" s="19"/>
      <c r="JVL45" s="19"/>
      <c r="JVM45" s="19"/>
      <c r="JVN45" s="19"/>
      <c r="JVO45" s="19"/>
      <c r="JVP45" s="21"/>
      <c r="JVQ45" s="19"/>
      <c r="JVZ45" s="19"/>
      <c r="JWA45" s="19"/>
      <c r="JWB45" s="19"/>
      <c r="JWC45" s="19"/>
      <c r="JWD45" s="21"/>
      <c r="JWE45" s="19"/>
      <c r="JWN45" s="19"/>
      <c r="JWO45" s="19"/>
      <c r="JWP45" s="19"/>
      <c r="JWQ45" s="19"/>
      <c r="JWR45" s="21"/>
      <c r="JWS45" s="19"/>
      <c r="JXB45" s="19"/>
      <c r="JXC45" s="19"/>
      <c r="JXD45" s="19"/>
      <c r="JXE45" s="19"/>
      <c r="JXF45" s="21"/>
      <c r="JXG45" s="19"/>
      <c r="JXP45" s="19"/>
      <c r="JXQ45" s="19"/>
      <c r="JXR45" s="19"/>
      <c r="JXS45" s="19"/>
      <c r="JXT45" s="21"/>
      <c r="JXU45" s="19"/>
      <c r="JYD45" s="19"/>
      <c r="JYE45" s="19"/>
      <c r="JYF45" s="19"/>
      <c r="JYG45" s="19"/>
      <c r="JYH45" s="21"/>
      <c r="JYI45" s="19"/>
      <c r="JYR45" s="19"/>
      <c r="JYS45" s="19"/>
      <c r="JYT45" s="19"/>
      <c r="JYU45" s="19"/>
      <c r="JYV45" s="21"/>
      <c r="JYW45" s="19"/>
      <c r="JZF45" s="19"/>
      <c r="JZG45" s="19"/>
      <c r="JZH45" s="19"/>
      <c r="JZI45" s="19"/>
      <c r="JZJ45" s="21"/>
      <c r="JZK45" s="19"/>
      <c r="JZT45" s="19"/>
      <c r="JZU45" s="19"/>
      <c r="JZV45" s="19"/>
      <c r="JZW45" s="19"/>
      <c r="JZX45" s="21"/>
      <c r="JZY45" s="19"/>
      <c r="KAH45" s="19"/>
      <c r="KAI45" s="19"/>
      <c r="KAJ45" s="19"/>
      <c r="KAK45" s="19"/>
      <c r="KAL45" s="21"/>
      <c r="KAM45" s="19"/>
      <c r="KAV45" s="19"/>
      <c r="KAW45" s="19"/>
      <c r="KAX45" s="19"/>
      <c r="KAY45" s="19"/>
      <c r="KAZ45" s="21"/>
      <c r="KBA45" s="19"/>
      <c r="KBJ45" s="19"/>
      <c r="KBK45" s="19"/>
      <c r="KBL45" s="19"/>
      <c r="KBM45" s="19"/>
      <c r="KBN45" s="21"/>
      <c r="KBO45" s="19"/>
      <c r="KBX45" s="19"/>
      <c r="KBY45" s="19"/>
      <c r="KBZ45" s="19"/>
      <c r="KCA45" s="19"/>
      <c r="KCB45" s="21"/>
      <c r="KCC45" s="19"/>
      <c r="KCL45" s="19"/>
      <c r="KCM45" s="19"/>
      <c r="KCN45" s="19"/>
      <c r="KCO45" s="19"/>
      <c r="KCP45" s="21"/>
      <c r="KCQ45" s="19"/>
      <c r="KCZ45" s="19"/>
      <c r="KDA45" s="19"/>
      <c r="KDB45" s="19"/>
      <c r="KDC45" s="19"/>
      <c r="KDD45" s="21"/>
      <c r="KDE45" s="19"/>
      <c r="KDN45" s="19"/>
      <c r="KDO45" s="19"/>
      <c r="KDP45" s="19"/>
      <c r="KDQ45" s="19"/>
      <c r="KDR45" s="21"/>
      <c r="KDS45" s="19"/>
      <c r="KEB45" s="19"/>
      <c r="KEC45" s="19"/>
      <c r="KED45" s="19"/>
      <c r="KEE45" s="19"/>
      <c r="KEF45" s="21"/>
      <c r="KEG45" s="19"/>
      <c r="KEP45" s="19"/>
      <c r="KEQ45" s="19"/>
      <c r="KER45" s="19"/>
      <c r="KES45" s="19"/>
      <c r="KET45" s="21"/>
      <c r="KEU45" s="19"/>
      <c r="KFD45" s="19"/>
      <c r="KFE45" s="19"/>
      <c r="KFF45" s="19"/>
      <c r="KFG45" s="19"/>
      <c r="KFH45" s="21"/>
      <c r="KFI45" s="19"/>
      <c r="KFR45" s="19"/>
      <c r="KFS45" s="19"/>
      <c r="KFT45" s="19"/>
      <c r="KFU45" s="19"/>
      <c r="KFV45" s="21"/>
      <c r="KFW45" s="19"/>
      <c r="KGF45" s="19"/>
      <c r="KGG45" s="19"/>
      <c r="KGH45" s="19"/>
      <c r="KGI45" s="19"/>
      <c r="KGJ45" s="21"/>
      <c r="KGK45" s="19"/>
      <c r="KGT45" s="19"/>
      <c r="KGU45" s="19"/>
      <c r="KGV45" s="19"/>
      <c r="KGW45" s="19"/>
      <c r="KGX45" s="21"/>
      <c r="KGY45" s="19"/>
      <c r="KHH45" s="19"/>
      <c r="KHI45" s="19"/>
      <c r="KHJ45" s="19"/>
      <c r="KHK45" s="19"/>
      <c r="KHL45" s="21"/>
      <c r="KHM45" s="19"/>
      <c r="KHV45" s="19"/>
      <c r="KHW45" s="19"/>
      <c r="KHX45" s="19"/>
      <c r="KHY45" s="19"/>
      <c r="KHZ45" s="21"/>
      <c r="KIA45" s="19"/>
      <c r="KIJ45" s="19"/>
      <c r="KIK45" s="19"/>
      <c r="KIL45" s="19"/>
      <c r="KIM45" s="19"/>
      <c r="KIN45" s="21"/>
      <c r="KIO45" s="19"/>
      <c r="KIX45" s="19"/>
      <c r="KIY45" s="19"/>
      <c r="KIZ45" s="19"/>
      <c r="KJA45" s="19"/>
      <c r="KJB45" s="21"/>
      <c r="KJC45" s="19"/>
      <c r="KJL45" s="19"/>
      <c r="KJM45" s="19"/>
      <c r="KJN45" s="19"/>
      <c r="KJO45" s="19"/>
      <c r="KJP45" s="21"/>
      <c r="KJQ45" s="19"/>
      <c r="KJZ45" s="19"/>
      <c r="KKA45" s="19"/>
      <c r="KKB45" s="19"/>
      <c r="KKC45" s="19"/>
      <c r="KKD45" s="21"/>
      <c r="KKE45" s="19"/>
      <c r="KKN45" s="19"/>
      <c r="KKO45" s="19"/>
      <c r="KKP45" s="19"/>
      <c r="KKQ45" s="19"/>
      <c r="KKR45" s="21"/>
      <c r="KKS45" s="19"/>
      <c r="KLB45" s="19"/>
      <c r="KLC45" s="19"/>
      <c r="KLD45" s="19"/>
      <c r="KLE45" s="19"/>
      <c r="KLF45" s="21"/>
      <c r="KLG45" s="19"/>
      <c r="KLP45" s="19"/>
      <c r="KLQ45" s="19"/>
      <c r="KLR45" s="19"/>
      <c r="KLS45" s="19"/>
      <c r="KLT45" s="21"/>
      <c r="KLU45" s="19"/>
      <c r="KMD45" s="19"/>
      <c r="KME45" s="19"/>
      <c r="KMF45" s="19"/>
      <c r="KMG45" s="19"/>
      <c r="KMH45" s="21"/>
      <c r="KMI45" s="19"/>
      <c r="KMR45" s="19"/>
      <c r="KMS45" s="19"/>
      <c r="KMT45" s="19"/>
      <c r="KMU45" s="19"/>
      <c r="KMV45" s="21"/>
      <c r="KMW45" s="19"/>
      <c r="KNF45" s="19"/>
      <c r="KNG45" s="19"/>
      <c r="KNH45" s="19"/>
      <c r="KNI45" s="19"/>
      <c r="KNJ45" s="21"/>
      <c r="KNK45" s="19"/>
      <c r="KNT45" s="19"/>
      <c r="KNU45" s="19"/>
      <c r="KNV45" s="19"/>
      <c r="KNW45" s="19"/>
      <c r="KNX45" s="21"/>
      <c r="KNY45" s="19"/>
      <c r="KOH45" s="19"/>
      <c r="KOI45" s="19"/>
      <c r="KOJ45" s="19"/>
      <c r="KOK45" s="19"/>
      <c r="KOL45" s="21"/>
      <c r="KOM45" s="19"/>
      <c r="KOV45" s="19"/>
      <c r="KOW45" s="19"/>
      <c r="KOX45" s="19"/>
      <c r="KOY45" s="19"/>
      <c r="KOZ45" s="21"/>
      <c r="KPA45" s="19"/>
      <c r="KPJ45" s="19"/>
      <c r="KPK45" s="19"/>
      <c r="KPL45" s="19"/>
      <c r="KPM45" s="19"/>
      <c r="KPN45" s="21"/>
      <c r="KPO45" s="19"/>
      <c r="KPX45" s="19"/>
      <c r="KPY45" s="19"/>
      <c r="KPZ45" s="19"/>
      <c r="KQA45" s="19"/>
      <c r="KQB45" s="21"/>
      <c r="KQC45" s="19"/>
      <c r="KQL45" s="19"/>
      <c r="KQM45" s="19"/>
      <c r="KQN45" s="19"/>
      <c r="KQO45" s="19"/>
      <c r="KQP45" s="21"/>
      <c r="KQQ45" s="19"/>
      <c r="KQZ45" s="19"/>
      <c r="KRA45" s="19"/>
      <c r="KRB45" s="19"/>
      <c r="KRC45" s="19"/>
      <c r="KRD45" s="21"/>
      <c r="KRE45" s="19"/>
      <c r="KRN45" s="19"/>
      <c r="KRO45" s="19"/>
      <c r="KRP45" s="19"/>
      <c r="KRQ45" s="19"/>
      <c r="KRR45" s="21"/>
      <c r="KRS45" s="19"/>
      <c r="KSB45" s="19"/>
      <c r="KSC45" s="19"/>
      <c r="KSD45" s="19"/>
      <c r="KSE45" s="19"/>
      <c r="KSF45" s="21"/>
      <c r="KSG45" s="19"/>
      <c r="KSP45" s="19"/>
      <c r="KSQ45" s="19"/>
      <c r="KSR45" s="19"/>
      <c r="KSS45" s="19"/>
      <c r="KST45" s="21"/>
      <c r="KSU45" s="19"/>
      <c r="KTD45" s="19"/>
      <c r="KTE45" s="19"/>
      <c r="KTF45" s="19"/>
      <c r="KTG45" s="19"/>
      <c r="KTH45" s="21"/>
      <c r="KTI45" s="19"/>
      <c r="KTR45" s="19"/>
      <c r="KTS45" s="19"/>
      <c r="KTT45" s="19"/>
      <c r="KTU45" s="19"/>
      <c r="KTV45" s="21"/>
      <c r="KTW45" s="19"/>
      <c r="KUF45" s="19"/>
      <c r="KUG45" s="19"/>
      <c r="KUH45" s="19"/>
      <c r="KUI45" s="19"/>
      <c r="KUJ45" s="21"/>
      <c r="KUK45" s="19"/>
      <c r="KUT45" s="19"/>
      <c r="KUU45" s="19"/>
      <c r="KUV45" s="19"/>
      <c r="KUW45" s="19"/>
      <c r="KUX45" s="21"/>
      <c r="KUY45" s="19"/>
      <c r="KVH45" s="19"/>
      <c r="KVI45" s="19"/>
      <c r="KVJ45" s="19"/>
      <c r="KVK45" s="19"/>
      <c r="KVL45" s="21"/>
      <c r="KVM45" s="19"/>
      <c r="KVV45" s="19"/>
      <c r="KVW45" s="19"/>
      <c r="KVX45" s="19"/>
      <c r="KVY45" s="19"/>
      <c r="KVZ45" s="21"/>
      <c r="KWA45" s="19"/>
      <c r="KWJ45" s="19"/>
      <c r="KWK45" s="19"/>
      <c r="KWL45" s="19"/>
      <c r="KWM45" s="19"/>
      <c r="KWN45" s="21"/>
      <c r="KWO45" s="19"/>
      <c r="KWX45" s="19"/>
      <c r="KWY45" s="19"/>
      <c r="KWZ45" s="19"/>
      <c r="KXA45" s="19"/>
      <c r="KXB45" s="21"/>
      <c r="KXC45" s="19"/>
      <c r="KXL45" s="19"/>
      <c r="KXM45" s="19"/>
      <c r="KXN45" s="19"/>
      <c r="KXO45" s="19"/>
      <c r="KXP45" s="21"/>
      <c r="KXQ45" s="19"/>
      <c r="KXZ45" s="19"/>
      <c r="KYA45" s="19"/>
      <c r="KYB45" s="19"/>
      <c r="KYC45" s="19"/>
      <c r="KYD45" s="21"/>
      <c r="KYE45" s="19"/>
      <c r="KYN45" s="19"/>
      <c r="KYO45" s="19"/>
      <c r="KYP45" s="19"/>
      <c r="KYQ45" s="19"/>
      <c r="KYR45" s="21"/>
      <c r="KYS45" s="19"/>
      <c r="KZB45" s="19"/>
      <c r="KZC45" s="19"/>
      <c r="KZD45" s="19"/>
      <c r="KZE45" s="19"/>
      <c r="KZF45" s="21"/>
      <c r="KZG45" s="19"/>
      <c r="KZP45" s="19"/>
      <c r="KZQ45" s="19"/>
      <c r="KZR45" s="19"/>
      <c r="KZS45" s="19"/>
      <c r="KZT45" s="21"/>
      <c r="KZU45" s="19"/>
      <c r="LAD45" s="19"/>
      <c r="LAE45" s="19"/>
      <c r="LAF45" s="19"/>
      <c r="LAG45" s="19"/>
      <c r="LAH45" s="21"/>
      <c r="LAI45" s="19"/>
      <c r="LAR45" s="19"/>
      <c r="LAS45" s="19"/>
      <c r="LAT45" s="19"/>
      <c r="LAU45" s="19"/>
      <c r="LAV45" s="21"/>
      <c r="LAW45" s="19"/>
      <c r="LBF45" s="19"/>
      <c r="LBG45" s="19"/>
      <c r="LBH45" s="19"/>
      <c r="LBI45" s="19"/>
      <c r="LBJ45" s="21"/>
      <c r="LBK45" s="19"/>
      <c r="LBT45" s="19"/>
      <c r="LBU45" s="19"/>
      <c r="LBV45" s="19"/>
      <c r="LBW45" s="19"/>
      <c r="LBX45" s="21"/>
      <c r="LBY45" s="19"/>
      <c r="LCH45" s="19"/>
      <c r="LCI45" s="19"/>
      <c r="LCJ45" s="19"/>
      <c r="LCK45" s="19"/>
      <c r="LCL45" s="21"/>
      <c r="LCM45" s="19"/>
      <c r="LCV45" s="19"/>
      <c r="LCW45" s="19"/>
      <c r="LCX45" s="19"/>
      <c r="LCY45" s="19"/>
      <c r="LCZ45" s="21"/>
      <c r="LDA45" s="19"/>
      <c r="LDJ45" s="19"/>
      <c r="LDK45" s="19"/>
      <c r="LDL45" s="19"/>
      <c r="LDM45" s="19"/>
      <c r="LDN45" s="21"/>
      <c r="LDO45" s="19"/>
      <c r="LDX45" s="19"/>
      <c r="LDY45" s="19"/>
      <c r="LDZ45" s="19"/>
      <c r="LEA45" s="19"/>
      <c r="LEB45" s="21"/>
      <c r="LEC45" s="19"/>
      <c r="LEL45" s="19"/>
      <c r="LEM45" s="19"/>
      <c r="LEN45" s="19"/>
      <c r="LEO45" s="19"/>
      <c r="LEP45" s="21"/>
      <c r="LEQ45" s="19"/>
      <c r="LEZ45" s="19"/>
      <c r="LFA45" s="19"/>
      <c r="LFB45" s="19"/>
      <c r="LFC45" s="19"/>
      <c r="LFD45" s="21"/>
      <c r="LFE45" s="19"/>
      <c r="LFN45" s="19"/>
      <c r="LFO45" s="19"/>
      <c r="LFP45" s="19"/>
      <c r="LFQ45" s="19"/>
      <c r="LFR45" s="21"/>
      <c r="LFS45" s="19"/>
      <c r="LGB45" s="19"/>
      <c r="LGC45" s="19"/>
      <c r="LGD45" s="19"/>
      <c r="LGE45" s="19"/>
      <c r="LGF45" s="21"/>
      <c r="LGG45" s="19"/>
      <c r="LGP45" s="19"/>
      <c r="LGQ45" s="19"/>
      <c r="LGR45" s="19"/>
      <c r="LGS45" s="19"/>
      <c r="LGT45" s="21"/>
      <c r="LGU45" s="19"/>
      <c r="LHD45" s="19"/>
      <c r="LHE45" s="19"/>
      <c r="LHF45" s="19"/>
      <c r="LHG45" s="19"/>
      <c r="LHH45" s="21"/>
      <c r="LHI45" s="19"/>
      <c r="LHR45" s="19"/>
      <c r="LHS45" s="19"/>
      <c r="LHT45" s="19"/>
      <c r="LHU45" s="19"/>
      <c r="LHV45" s="21"/>
      <c r="LHW45" s="19"/>
      <c r="LIF45" s="19"/>
      <c r="LIG45" s="19"/>
      <c r="LIH45" s="19"/>
      <c r="LII45" s="19"/>
      <c r="LIJ45" s="21"/>
      <c r="LIK45" s="19"/>
      <c r="LIT45" s="19"/>
      <c r="LIU45" s="19"/>
      <c r="LIV45" s="19"/>
      <c r="LIW45" s="19"/>
      <c r="LIX45" s="21"/>
      <c r="LIY45" s="19"/>
      <c r="LJH45" s="19"/>
      <c r="LJI45" s="19"/>
      <c r="LJJ45" s="19"/>
      <c r="LJK45" s="19"/>
      <c r="LJL45" s="21"/>
      <c r="LJM45" s="19"/>
      <c r="LJV45" s="19"/>
      <c r="LJW45" s="19"/>
      <c r="LJX45" s="19"/>
      <c r="LJY45" s="19"/>
      <c r="LJZ45" s="21"/>
      <c r="LKA45" s="19"/>
      <c r="LKJ45" s="19"/>
      <c r="LKK45" s="19"/>
      <c r="LKL45" s="19"/>
      <c r="LKM45" s="19"/>
      <c r="LKN45" s="21"/>
      <c r="LKO45" s="19"/>
      <c r="LKX45" s="19"/>
      <c r="LKY45" s="19"/>
      <c r="LKZ45" s="19"/>
      <c r="LLA45" s="19"/>
      <c r="LLB45" s="21"/>
      <c r="LLC45" s="19"/>
      <c r="LLL45" s="19"/>
      <c r="LLM45" s="19"/>
      <c r="LLN45" s="19"/>
      <c r="LLO45" s="19"/>
      <c r="LLP45" s="21"/>
      <c r="LLQ45" s="19"/>
      <c r="LLZ45" s="19"/>
      <c r="LMA45" s="19"/>
      <c r="LMB45" s="19"/>
      <c r="LMC45" s="19"/>
      <c r="LMD45" s="21"/>
      <c r="LME45" s="19"/>
      <c r="LMN45" s="19"/>
      <c r="LMO45" s="19"/>
      <c r="LMP45" s="19"/>
      <c r="LMQ45" s="19"/>
      <c r="LMR45" s="21"/>
      <c r="LMS45" s="19"/>
      <c r="LNB45" s="19"/>
      <c r="LNC45" s="19"/>
      <c r="LND45" s="19"/>
      <c r="LNE45" s="19"/>
      <c r="LNF45" s="21"/>
      <c r="LNG45" s="19"/>
      <c r="LNP45" s="19"/>
      <c r="LNQ45" s="19"/>
      <c r="LNR45" s="19"/>
      <c r="LNS45" s="19"/>
      <c r="LNT45" s="21"/>
      <c r="LNU45" s="19"/>
      <c r="LOD45" s="19"/>
      <c r="LOE45" s="19"/>
      <c r="LOF45" s="19"/>
      <c r="LOG45" s="19"/>
      <c r="LOH45" s="21"/>
      <c r="LOI45" s="19"/>
      <c r="LOR45" s="19"/>
      <c r="LOS45" s="19"/>
      <c r="LOT45" s="19"/>
      <c r="LOU45" s="19"/>
      <c r="LOV45" s="21"/>
      <c r="LOW45" s="19"/>
      <c r="LPF45" s="19"/>
      <c r="LPG45" s="19"/>
      <c r="LPH45" s="19"/>
      <c r="LPI45" s="19"/>
      <c r="LPJ45" s="21"/>
      <c r="LPK45" s="19"/>
      <c r="LPT45" s="19"/>
      <c r="LPU45" s="19"/>
      <c r="LPV45" s="19"/>
      <c r="LPW45" s="19"/>
      <c r="LPX45" s="21"/>
      <c r="LPY45" s="19"/>
      <c r="LQH45" s="19"/>
      <c r="LQI45" s="19"/>
      <c r="LQJ45" s="19"/>
      <c r="LQK45" s="19"/>
      <c r="LQL45" s="21"/>
      <c r="LQM45" s="19"/>
      <c r="LQV45" s="19"/>
      <c r="LQW45" s="19"/>
      <c r="LQX45" s="19"/>
      <c r="LQY45" s="19"/>
      <c r="LQZ45" s="21"/>
      <c r="LRA45" s="19"/>
      <c r="LRJ45" s="19"/>
      <c r="LRK45" s="19"/>
      <c r="LRL45" s="19"/>
      <c r="LRM45" s="19"/>
      <c r="LRN45" s="21"/>
      <c r="LRO45" s="19"/>
      <c r="LRX45" s="19"/>
      <c r="LRY45" s="19"/>
      <c r="LRZ45" s="19"/>
      <c r="LSA45" s="19"/>
      <c r="LSB45" s="21"/>
      <c r="LSC45" s="19"/>
      <c r="LSL45" s="19"/>
      <c r="LSM45" s="19"/>
      <c r="LSN45" s="19"/>
      <c r="LSO45" s="19"/>
      <c r="LSP45" s="21"/>
      <c r="LSQ45" s="19"/>
      <c r="LSZ45" s="19"/>
      <c r="LTA45" s="19"/>
      <c r="LTB45" s="19"/>
      <c r="LTC45" s="19"/>
      <c r="LTD45" s="21"/>
      <c r="LTE45" s="19"/>
      <c r="LTN45" s="19"/>
      <c r="LTO45" s="19"/>
      <c r="LTP45" s="19"/>
      <c r="LTQ45" s="19"/>
      <c r="LTR45" s="21"/>
      <c r="LTS45" s="19"/>
      <c r="LUB45" s="19"/>
      <c r="LUC45" s="19"/>
      <c r="LUD45" s="19"/>
      <c r="LUE45" s="19"/>
      <c r="LUF45" s="21"/>
      <c r="LUG45" s="19"/>
      <c r="LUP45" s="19"/>
      <c r="LUQ45" s="19"/>
      <c r="LUR45" s="19"/>
      <c r="LUS45" s="19"/>
      <c r="LUT45" s="21"/>
      <c r="LUU45" s="19"/>
      <c r="LVD45" s="19"/>
      <c r="LVE45" s="19"/>
      <c r="LVF45" s="19"/>
      <c r="LVG45" s="19"/>
      <c r="LVH45" s="21"/>
      <c r="LVI45" s="19"/>
      <c r="LVR45" s="19"/>
      <c r="LVS45" s="19"/>
      <c r="LVT45" s="19"/>
      <c r="LVU45" s="19"/>
      <c r="LVV45" s="21"/>
      <c r="LVW45" s="19"/>
      <c r="LWF45" s="19"/>
      <c r="LWG45" s="19"/>
      <c r="LWH45" s="19"/>
      <c r="LWI45" s="19"/>
      <c r="LWJ45" s="21"/>
      <c r="LWK45" s="19"/>
      <c r="LWT45" s="19"/>
      <c r="LWU45" s="19"/>
      <c r="LWV45" s="19"/>
      <c r="LWW45" s="19"/>
      <c r="LWX45" s="21"/>
      <c r="LWY45" s="19"/>
      <c r="LXH45" s="19"/>
      <c r="LXI45" s="19"/>
      <c r="LXJ45" s="19"/>
      <c r="LXK45" s="19"/>
      <c r="LXL45" s="21"/>
      <c r="LXM45" s="19"/>
      <c r="LXV45" s="19"/>
      <c r="LXW45" s="19"/>
      <c r="LXX45" s="19"/>
      <c r="LXY45" s="19"/>
      <c r="LXZ45" s="21"/>
      <c r="LYA45" s="19"/>
      <c r="LYJ45" s="19"/>
      <c r="LYK45" s="19"/>
      <c r="LYL45" s="19"/>
      <c r="LYM45" s="19"/>
      <c r="LYN45" s="21"/>
      <c r="LYO45" s="19"/>
      <c r="LYX45" s="19"/>
      <c r="LYY45" s="19"/>
      <c r="LYZ45" s="19"/>
      <c r="LZA45" s="19"/>
      <c r="LZB45" s="21"/>
      <c r="LZC45" s="19"/>
      <c r="LZL45" s="19"/>
      <c r="LZM45" s="19"/>
      <c r="LZN45" s="19"/>
      <c r="LZO45" s="19"/>
      <c r="LZP45" s="21"/>
      <c r="LZQ45" s="19"/>
      <c r="LZZ45" s="19"/>
      <c r="MAA45" s="19"/>
      <c r="MAB45" s="19"/>
      <c r="MAC45" s="19"/>
      <c r="MAD45" s="21"/>
      <c r="MAE45" s="19"/>
      <c r="MAN45" s="19"/>
      <c r="MAO45" s="19"/>
      <c r="MAP45" s="19"/>
      <c r="MAQ45" s="19"/>
      <c r="MAR45" s="21"/>
      <c r="MAS45" s="19"/>
      <c r="MBB45" s="19"/>
      <c r="MBC45" s="19"/>
      <c r="MBD45" s="19"/>
      <c r="MBE45" s="19"/>
      <c r="MBF45" s="21"/>
      <c r="MBG45" s="19"/>
      <c r="MBP45" s="19"/>
      <c r="MBQ45" s="19"/>
      <c r="MBR45" s="19"/>
      <c r="MBS45" s="19"/>
      <c r="MBT45" s="21"/>
      <c r="MBU45" s="19"/>
      <c r="MCD45" s="19"/>
      <c r="MCE45" s="19"/>
      <c r="MCF45" s="19"/>
      <c r="MCG45" s="19"/>
      <c r="MCH45" s="21"/>
      <c r="MCI45" s="19"/>
      <c r="MCR45" s="19"/>
      <c r="MCS45" s="19"/>
      <c r="MCT45" s="19"/>
      <c r="MCU45" s="19"/>
      <c r="MCV45" s="21"/>
      <c r="MCW45" s="19"/>
      <c r="MDF45" s="19"/>
      <c r="MDG45" s="19"/>
      <c r="MDH45" s="19"/>
      <c r="MDI45" s="19"/>
      <c r="MDJ45" s="21"/>
      <c r="MDK45" s="19"/>
      <c r="MDT45" s="19"/>
      <c r="MDU45" s="19"/>
      <c r="MDV45" s="19"/>
      <c r="MDW45" s="19"/>
      <c r="MDX45" s="21"/>
      <c r="MDY45" s="19"/>
      <c r="MEH45" s="19"/>
      <c r="MEI45" s="19"/>
      <c r="MEJ45" s="19"/>
      <c r="MEK45" s="19"/>
      <c r="MEL45" s="21"/>
      <c r="MEM45" s="19"/>
      <c r="MEV45" s="19"/>
      <c r="MEW45" s="19"/>
      <c r="MEX45" s="19"/>
      <c r="MEY45" s="19"/>
      <c r="MEZ45" s="21"/>
      <c r="MFA45" s="19"/>
      <c r="MFJ45" s="19"/>
      <c r="MFK45" s="19"/>
      <c r="MFL45" s="19"/>
      <c r="MFM45" s="19"/>
      <c r="MFN45" s="21"/>
      <c r="MFO45" s="19"/>
      <c r="MFX45" s="19"/>
      <c r="MFY45" s="19"/>
      <c r="MFZ45" s="19"/>
      <c r="MGA45" s="19"/>
      <c r="MGB45" s="21"/>
      <c r="MGC45" s="19"/>
      <c r="MGL45" s="19"/>
      <c r="MGM45" s="19"/>
      <c r="MGN45" s="19"/>
      <c r="MGO45" s="19"/>
      <c r="MGP45" s="21"/>
      <c r="MGQ45" s="19"/>
      <c r="MGZ45" s="19"/>
      <c r="MHA45" s="19"/>
      <c r="MHB45" s="19"/>
      <c r="MHC45" s="19"/>
      <c r="MHD45" s="21"/>
      <c r="MHE45" s="19"/>
      <c r="MHN45" s="19"/>
      <c r="MHO45" s="19"/>
      <c r="MHP45" s="19"/>
      <c r="MHQ45" s="19"/>
      <c r="MHR45" s="21"/>
      <c r="MHS45" s="19"/>
      <c r="MIB45" s="19"/>
      <c r="MIC45" s="19"/>
      <c r="MID45" s="19"/>
      <c r="MIE45" s="19"/>
      <c r="MIF45" s="21"/>
      <c r="MIG45" s="19"/>
      <c r="MIP45" s="19"/>
      <c r="MIQ45" s="19"/>
      <c r="MIR45" s="19"/>
      <c r="MIS45" s="19"/>
      <c r="MIT45" s="21"/>
      <c r="MIU45" s="19"/>
      <c r="MJD45" s="19"/>
      <c r="MJE45" s="19"/>
      <c r="MJF45" s="19"/>
      <c r="MJG45" s="19"/>
      <c r="MJH45" s="21"/>
      <c r="MJI45" s="19"/>
      <c r="MJR45" s="19"/>
      <c r="MJS45" s="19"/>
      <c r="MJT45" s="19"/>
      <c r="MJU45" s="19"/>
      <c r="MJV45" s="21"/>
      <c r="MJW45" s="19"/>
      <c r="MKF45" s="19"/>
      <c r="MKG45" s="19"/>
      <c r="MKH45" s="19"/>
      <c r="MKI45" s="19"/>
      <c r="MKJ45" s="21"/>
      <c r="MKK45" s="19"/>
      <c r="MKT45" s="19"/>
      <c r="MKU45" s="19"/>
      <c r="MKV45" s="19"/>
      <c r="MKW45" s="19"/>
      <c r="MKX45" s="21"/>
      <c r="MKY45" s="19"/>
      <c r="MLH45" s="19"/>
      <c r="MLI45" s="19"/>
      <c r="MLJ45" s="19"/>
      <c r="MLK45" s="19"/>
      <c r="MLL45" s="21"/>
      <c r="MLM45" s="19"/>
      <c r="MLV45" s="19"/>
      <c r="MLW45" s="19"/>
      <c r="MLX45" s="19"/>
      <c r="MLY45" s="19"/>
      <c r="MLZ45" s="21"/>
      <c r="MMA45" s="19"/>
      <c r="MMJ45" s="19"/>
      <c r="MMK45" s="19"/>
      <c r="MML45" s="19"/>
      <c r="MMM45" s="19"/>
      <c r="MMN45" s="21"/>
      <c r="MMO45" s="19"/>
      <c r="MMX45" s="19"/>
      <c r="MMY45" s="19"/>
      <c r="MMZ45" s="19"/>
      <c r="MNA45" s="19"/>
      <c r="MNB45" s="21"/>
      <c r="MNC45" s="19"/>
      <c r="MNL45" s="19"/>
      <c r="MNM45" s="19"/>
      <c r="MNN45" s="19"/>
      <c r="MNO45" s="19"/>
      <c r="MNP45" s="21"/>
      <c r="MNQ45" s="19"/>
      <c r="MNZ45" s="19"/>
      <c r="MOA45" s="19"/>
      <c r="MOB45" s="19"/>
      <c r="MOC45" s="19"/>
      <c r="MOD45" s="21"/>
      <c r="MOE45" s="19"/>
      <c r="MON45" s="19"/>
      <c r="MOO45" s="19"/>
      <c r="MOP45" s="19"/>
      <c r="MOQ45" s="19"/>
      <c r="MOR45" s="21"/>
      <c r="MOS45" s="19"/>
      <c r="MPB45" s="19"/>
      <c r="MPC45" s="19"/>
      <c r="MPD45" s="19"/>
      <c r="MPE45" s="19"/>
      <c r="MPF45" s="21"/>
      <c r="MPG45" s="19"/>
      <c r="MPP45" s="19"/>
      <c r="MPQ45" s="19"/>
      <c r="MPR45" s="19"/>
      <c r="MPS45" s="19"/>
      <c r="MPT45" s="21"/>
      <c r="MPU45" s="19"/>
      <c r="MQD45" s="19"/>
      <c r="MQE45" s="19"/>
      <c r="MQF45" s="19"/>
      <c r="MQG45" s="19"/>
      <c r="MQH45" s="21"/>
      <c r="MQI45" s="19"/>
      <c r="MQR45" s="19"/>
      <c r="MQS45" s="19"/>
      <c r="MQT45" s="19"/>
      <c r="MQU45" s="19"/>
      <c r="MQV45" s="21"/>
      <c r="MQW45" s="19"/>
      <c r="MRF45" s="19"/>
      <c r="MRG45" s="19"/>
      <c r="MRH45" s="19"/>
      <c r="MRI45" s="19"/>
      <c r="MRJ45" s="21"/>
      <c r="MRK45" s="19"/>
      <c r="MRT45" s="19"/>
      <c r="MRU45" s="19"/>
      <c r="MRV45" s="19"/>
      <c r="MRW45" s="19"/>
      <c r="MRX45" s="21"/>
      <c r="MRY45" s="19"/>
      <c r="MSH45" s="19"/>
      <c r="MSI45" s="19"/>
      <c r="MSJ45" s="19"/>
      <c r="MSK45" s="19"/>
      <c r="MSL45" s="21"/>
      <c r="MSM45" s="19"/>
      <c r="MSV45" s="19"/>
      <c r="MSW45" s="19"/>
      <c r="MSX45" s="19"/>
      <c r="MSY45" s="19"/>
      <c r="MSZ45" s="21"/>
      <c r="MTA45" s="19"/>
      <c r="MTJ45" s="19"/>
      <c r="MTK45" s="19"/>
      <c r="MTL45" s="19"/>
      <c r="MTM45" s="19"/>
      <c r="MTN45" s="21"/>
      <c r="MTO45" s="19"/>
      <c r="MTX45" s="19"/>
      <c r="MTY45" s="19"/>
      <c r="MTZ45" s="19"/>
      <c r="MUA45" s="19"/>
      <c r="MUB45" s="21"/>
      <c r="MUC45" s="19"/>
      <c r="MUL45" s="19"/>
      <c r="MUM45" s="19"/>
      <c r="MUN45" s="19"/>
      <c r="MUO45" s="19"/>
      <c r="MUP45" s="21"/>
      <c r="MUQ45" s="19"/>
      <c r="MUZ45" s="19"/>
      <c r="MVA45" s="19"/>
      <c r="MVB45" s="19"/>
      <c r="MVC45" s="19"/>
      <c r="MVD45" s="21"/>
      <c r="MVE45" s="19"/>
      <c r="MVN45" s="19"/>
      <c r="MVO45" s="19"/>
      <c r="MVP45" s="19"/>
      <c r="MVQ45" s="19"/>
      <c r="MVR45" s="21"/>
      <c r="MVS45" s="19"/>
      <c r="MWB45" s="19"/>
      <c r="MWC45" s="19"/>
      <c r="MWD45" s="19"/>
      <c r="MWE45" s="19"/>
      <c r="MWF45" s="21"/>
      <c r="MWG45" s="19"/>
      <c r="MWP45" s="19"/>
      <c r="MWQ45" s="19"/>
      <c r="MWR45" s="19"/>
      <c r="MWS45" s="19"/>
      <c r="MWT45" s="21"/>
      <c r="MWU45" s="19"/>
      <c r="MXD45" s="19"/>
      <c r="MXE45" s="19"/>
      <c r="MXF45" s="19"/>
      <c r="MXG45" s="19"/>
      <c r="MXH45" s="21"/>
      <c r="MXI45" s="19"/>
      <c r="MXR45" s="19"/>
      <c r="MXS45" s="19"/>
      <c r="MXT45" s="19"/>
      <c r="MXU45" s="19"/>
      <c r="MXV45" s="21"/>
      <c r="MXW45" s="19"/>
      <c r="MYF45" s="19"/>
      <c r="MYG45" s="19"/>
      <c r="MYH45" s="19"/>
      <c r="MYI45" s="19"/>
      <c r="MYJ45" s="21"/>
      <c r="MYK45" s="19"/>
      <c r="MYT45" s="19"/>
      <c r="MYU45" s="19"/>
      <c r="MYV45" s="19"/>
      <c r="MYW45" s="19"/>
      <c r="MYX45" s="21"/>
      <c r="MYY45" s="19"/>
      <c r="MZH45" s="19"/>
      <c r="MZI45" s="19"/>
      <c r="MZJ45" s="19"/>
      <c r="MZK45" s="19"/>
      <c r="MZL45" s="21"/>
      <c r="MZM45" s="19"/>
      <c r="MZV45" s="19"/>
      <c r="MZW45" s="19"/>
      <c r="MZX45" s="19"/>
      <c r="MZY45" s="19"/>
      <c r="MZZ45" s="21"/>
      <c r="NAA45" s="19"/>
      <c r="NAJ45" s="19"/>
      <c r="NAK45" s="19"/>
      <c r="NAL45" s="19"/>
      <c r="NAM45" s="19"/>
      <c r="NAN45" s="21"/>
      <c r="NAO45" s="19"/>
      <c r="NAX45" s="19"/>
      <c r="NAY45" s="19"/>
      <c r="NAZ45" s="19"/>
      <c r="NBA45" s="19"/>
      <c r="NBB45" s="21"/>
      <c r="NBC45" s="19"/>
      <c r="NBL45" s="19"/>
      <c r="NBM45" s="19"/>
      <c r="NBN45" s="19"/>
      <c r="NBO45" s="19"/>
      <c r="NBP45" s="21"/>
      <c r="NBQ45" s="19"/>
      <c r="NBZ45" s="19"/>
      <c r="NCA45" s="19"/>
      <c r="NCB45" s="19"/>
      <c r="NCC45" s="19"/>
      <c r="NCD45" s="21"/>
      <c r="NCE45" s="19"/>
      <c r="NCN45" s="19"/>
      <c r="NCO45" s="19"/>
      <c r="NCP45" s="19"/>
      <c r="NCQ45" s="19"/>
      <c r="NCR45" s="21"/>
      <c r="NCS45" s="19"/>
      <c r="NDB45" s="19"/>
      <c r="NDC45" s="19"/>
      <c r="NDD45" s="19"/>
      <c r="NDE45" s="19"/>
      <c r="NDF45" s="21"/>
      <c r="NDG45" s="19"/>
      <c r="NDP45" s="19"/>
      <c r="NDQ45" s="19"/>
      <c r="NDR45" s="19"/>
      <c r="NDS45" s="19"/>
      <c r="NDT45" s="21"/>
      <c r="NDU45" s="19"/>
      <c r="NED45" s="19"/>
      <c r="NEE45" s="19"/>
      <c r="NEF45" s="19"/>
      <c r="NEG45" s="19"/>
      <c r="NEH45" s="21"/>
      <c r="NEI45" s="19"/>
      <c r="NER45" s="19"/>
      <c r="NES45" s="19"/>
      <c r="NET45" s="19"/>
      <c r="NEU45" s="19"/>
      <c r="NEV45" s="21"/>
      <c r="NEW45" s="19"/>
      <c r="NFF45" s="19"/>
      <c r="NFG45" s="19"/>
      <c r="NFH45" s="19"/>
      <c r="NFI45" s="19"/>
      <c r="NFJ45" s="21"/>
      <c r="NFK45" s="19"/>
      <c r="NFT45" s="19"/>
      <c r="NFU45" s="19"/>
      <c r="NFV45" s="19"/>
      <c r="NFW45" s="19"/>
      <c r="NFX45" s="21"/>
      <c r="NFY45" s="19"/>
      <c r="NGH45" s="19"/>
      <c r="NGI45" s="19"/>
      <c r="NGJ45" s="19"/>
      <c r="NGK45" s="19"/>
      <c r="NGL45" s="21"/>
      <c r="NGM45" s="19"/>
      <c r="NGV45" s="19"/>
      <c r="NGW45" s="19"/>
      <c r="NGX45" s="19"/>
      <c r="NGY45" s="19"/>
      <c r="NGZ45" s="21"/>
      <c r="NHA45" s="19"/>
      <c r="NHJ45" s="19"/>
      <c r="NHK45" s="19"/>
      <c r="NHL45" s="19"/>
      <c r="NHM45" s="19"/>
      <c r="NHN45" s="21"/>
      <c r="NHO45" s="19"/>
      <c r="NHX45" s="19"/>
      <c r="NHY45" s="19"/>
      <c r="NHZ45" s="19"/>
      <c r="NIA45" s="19"/>
      <c r="NIB45" s="21"/>
      <c r="NIC45" s="19"/>
      <c r="NIL45" s="19"/>
      <c r="NIM45" s="19"/>
      <c r="NIN45" s="19"/>
      <c r="NIO45" s="19"/>
      <c r="NIP45" s="21"/>
      <c r="NIQ45" s="19"/>
      <c r="NIZ45" s="19"/>
      <c r="NJA45" s="19"/>
      <c r="NJB45" s="19"/>
      <c r="NJC45" s="19"/>
      <c r="NJD45" s="21"/>
      <c r="NJE45" s="19"/>
      <c r="NJN45" s="19"/>
      <c r="NJO45" s="19"/>
      <c r="NJP45" s="19"/>
      <c r="NJQ45" s="19"/>
      <c r="NJR45" s="21"/>
      <c r="NJS45" s="19"/>
      <c r="NKB45" s="19"/>
      <c r="NKC45" s="19"/>
      <c r="NKD45" s="19"/>
      <c r="NKE45" s="19"/>
      <c r="NKF45" s="21"/>
      <c r="NKG45" s="19"/>
      <c r="NKP45" s="19"/>
      <c r="NKQ45" s="19"/>
      <c r="NKR45" s="19"/>
      <c r="NKS45" s="19"/>
      <c r="NKT45" s="21"/>
      <c r="NKU45" s="19"/>
      <c r="NLD45" s="19"/>
      <c r="NLE45" s="19"/>
      <c r="NLF45" s="19"/>
      <c r="NLG45" s="19"/>
      <c r="NLH45" s="21"/>
      <c r="NLI45" s="19"/>
      <c r="NLR45" s="19"/>
      <c r="NLS45" s="19"/>
      <c r="NLT45" s="19"/>
      <c r="NLU45" s="19"/>
      <c r="NLV45" s="21"/>
      <c r="NLW45" s="19"/>
      <c r="NMF45" s="19"/>
      <c r="NMG45" s="19"/>
      <c r="NMH45" s="19"/>
      <c r="NMI45" s="19"/>
      <c r="NMJ45" s="21"/>
      <c r="NMK45" s="19"/>
      <c r="NMT45" s="19"/>
      <c r="NMU45" s="19"/>
      <c r="NMV45" s="19"/>
      <c r="NMW45" s="19"/>
      <c r="NMX45" s="21"/>
      <c r="NMY45" s="19"/>
      <c r="NNH45" s="19"/>
      <c r="NNI45" s="19"/>
      <c r="NNJ45" s="19"/>
      <c r="NNK45" s="19"/>
      <c r="NNL45" s="21"/>
      <c r="NNM45" s="19"/>
      <c r="NNV45" s="19"/>
      <c r="NNW45" s="19"/>
      <c r="NNX45" s="19"/>
      <c r="NNY45" s="19"/>
      <c r="NNZ45" s="21"/>
      <c r="NOA45" s="19"/>
      <c r="NOJ45" s="19"/>
      <c r="NOK45" s="19"/>
      <c r="NOL45" s="19"/>
      <c r="NOM45" s="19"/>
      <c r="NON45" s="21"/>
      <c r="NOO45" s="19"/>
      <c r="NOX45" s="19"/>
      <c r="NOY45" s="19"/>
      <c r="NOZ45" s="19"/>
      <c r="NPA45" s="19"/>
      <c r="NPB45" s="21"/>
      <c r="NPC45" s="19"/>
      <c r="NPL45" s="19"/>
      <c r="NPM45" s="19"/>
      <c r="NPN45" s="19"/>
      <c r="NPO45" s="19"/>
      <c r="NPP45" s="21"/>
      <c r="NPQ45" s="19"/>
      <c r="NPZ45" s="19"/>
      <c r="NQA45" s="19"/>
      <c r="NQB45" s="19"/>
      <c r="NQC45" s="19"/>
      <c r="NQD45" s="21"/>
      <c r="NQE45" s="19"/>
      <c r="NQN45" s="19"/>
      <c r="NQO45" s="19"/>
      <c r="NQP45" s="19"/>
      <c r="NQQ45" s="19"/>
      <c r="NQR45" s="21"/>
      <c r="NQS45" s="19"/>
      <c r="NRB45" s="19"/>
      <c r="NRC45" s="19"/>
      <c r="NRD45" s="19"/>
      <c r="NRE45" s="19"/>
      <c r="NRF45" s="21"/>
      <c r="NRG45" s="19"/>
      <c r="NRP45" s="19"/>
      <c r="NRQ45" s="19"/>
      <c r="NRR45" s="19"/>
      <c r="NRS45" s="19"/>
      <c r="NRT45" s="21"/>
      <c r="NRU45" s="19"/>
      <c r="NSD45" s="19"/>
      <c r="NSE45" s="19"/>
      <c r="NSF45" s="19"/>
      <c r="NSG45" s="19"/>
      <c r="NSH45" s="21"/>
      <c r="NSI45" s="19"/>
      <c r="NSR45" s="19"/>
      <c r="NSS45" s="19"/>
      <c r="NST45" s="19"/>
      <c r="NSU45" s="19"/>
      <c r="NSV45" s="21"/>
      <c r="NSW45" s="19"/>
      <c r="NTF45" s="19"/>
      <c r="NTG45" s="19"/>
      <c r="NTH45" s="19"/>
      <c r="NTI45" s="19"/>
      <c r="NTJ45" s="21"/>
      <c r="NTK45" s="19"/>
      <c r="NTT45" s="19"/>
      <c r="NTU45" s="19"/>
      <c r="NTV45" s="19"/>
      <c r="NTW45" s="19"/>
      <c r="NTX45" s="21"/>
      <c r="NTY45" s="19"/>
      <c r="NUH45" s="19"/>
      <c r="NUI45" s="19"/>
      <c r="NUJ45" s="19"/>
      <c r="NUK45" s="19"/>
      <c r="NUL45" s="21"/>
      <c r="NUM45" s="19"/>
      <c r="NUV45" s="19"/>
      <c r="NUW45" s="19"/>
      <c r="NUX45" s="19"/>
      <c r="NUY45" s="19"/>
      <c r="NUZ45" s="21"/>
      <c r="NVA45" s="19"/>
      <c r="NVJ45" s="19"/>
      <c r="NVK45" s="19"/>
      <c r="NVL45" s="19"/>
      <c r="NVM45" s="19"/>
      <c r="NVN45" s="21"/>
      <c r="NVO45" s="19"/>
      <c r="NVX45" s="19"/>
      <c r="NVY45" s="19"/>
      <c r="NVZ45" s="19"/>
      <c r="NWA45" s="19"/>
      <c r="NWB45" s="21"/>
      <c r="NWC45" s="19"/>
      <c r="NWL45" s="19"/>
      <c r="NWM45" s="19"/>
      <c r="NWN45" s="19"/>
      <c r="NWO45" s="19"/>
      <c r="NWP45" s="21"/>
      <c r="NWQ45" s="19"/>
      <c r="NWZ45" s="19"/>
      <c r="NXA45" s="19"/>
      <c r="NXB45" s="19"/>
      <c r="NXC45" s="19"/>
      <c r="NXD45" s="21"/>
      <c r="NXE45" s="19"/>
      <c r="NXN45" s="19"/>
      <c r="NXO45" s="19"/>
      <c r="NXP45" s="19"/>
      <c r="NXQ45" s="19"/>
      <c r="NXR45" s="21"/>
      <c r="NXS45" s="19"/>
      <c r="NYB45" s="19"/>
      <c r="NYC45" s="19"/>
      <c r="NYD45" s="19"/>
      <c r="NYE45" s="19"/>
      <c r="NYF45" s="21"/>
      <c r="NYG45" s="19"/>
      <c r="NYP45" s="19"/>
      <c r="NYQ45" s="19"/>
      <c r="NYR45" s="19"/>
      <c r="NYS45" s="19"/>
      <c r="NYT45" s="21"/>
      <c r="NYU45" s="19"/>
      <c r="NZD45" s="19"/>
      <c r="NZE45" s="19"/>
      <c r="NZF45" s="19"/>
      <c r="NZG45" s="19"/>
      <c r="NZH45" s="21"/>
      <c r="NZI45" s="19"/>
      <c r="NZR45" s="19"/>
      <c r="NZS45" s="19"/>
      <c r="NZT45" s="19"/>
      <c r="NZU45" s="19"/>
      <c r="NZV45" s="21"/>
      <c r="NZW45" s="19"/>
      <c r="OAF45" s="19"/>
      <c r="OAG45" s="19"/>
      <c r="OAH45" s="19"/>
      <c r="OAI45" s="19"/>
      <c r="OAJ45" s="21"/>
      <c r="OAK45" s="19"/>
      <c r="OAT45" s="19"/>
      <c r="OAU45" s="19"/>
      <c r="OAV45" s="19"/>
      <c r="OAW45" s="19"/>
      <c r="OAX45" s="21"/>
      <c r="OAY45" s="19"/>
      <c r="OBH45" s="19"/>
      <c r="OBI45" s="19"/>
      <c r="OBJ45" s="19"/>
      <c r="OBK45" s="19"/>
      <c r="OBL45" s="21"/>
      <c r="OBM45" s="19"/>
      <c r="OBV45" s="19"/>
      <c r="OBW45" s="19"/>
      <c r="OBX45" s="19"/>
      <c r="OBY45" s="19"/>
      <c r="OBZ45" s="21"/>
      <c r="OCA45" s="19"/>
      <c r="OCJ45" s="19"/>
      <c r="OCK45" s="19"/>
      <c r="OCL45" s="19"/>
      <c r="OCM45" s="19"/>
      <c r="OCN45" s="21"/>
      <c r="OCO45" s="19"/>
      <c r="OCX45" s="19"/>
      <c r="OCY45" s="19"/>
      <c r="OCZ45" s="19"/>
      <c r="ODA45" s="19"/>
      <c r="ODB45" s="21"/>
      <c r="ODC45" s="19"/>
      <c r="ODL45" s="19"/>
      <c r="ODM45" s="19"/>
      <c r="ODN45" s="19"/>
      <c r="ODO45" s="19"/>
      <c r="ODP45" s="21"/>
      <c r="ODQ45" s="19"/>
      <c r="ODZ45" s="19"/>
      <c r="OEA45" s="19"/>
      <c r="OEB45" s="19"/>
      <c r="OEC45" s="19"/>
      <c r="OED45" s="21"/>
      <c r="OEE45" s="19"/>
      <c r="OEN45" s="19"/>
      <c r="OEO45" s="19"/>
      <c r="OEP45" s="19"/>
      <c r="OEQ45" s="19"/>
      <c r="OER45" s="21"/>
      <c r="OES45" s="19"/>
      <c r="OFB45" s="19"/>
      <c r="OFC45" s="19"/>
      <c r="OFD45" s="19"/>
      <c r="OFE45" s="19"/>
      <c r="OFF45" s="21"/>
      <c r="OFG45" s="19"/>
      <c r="OFP45" s="19"/>
      <c r="OFQ45" s="19"/>
      <c r="OFR45" s="19"/>
      <c r="OFS45" s="19"/>
      <c r="OFT45" s="21"/>
      <c r="OFU45" s="19"/>
      <c r="OGD45" s="19"/>
      <c r="OGE45" s="19"/>
      <c r="OGF45" s="19"/>
      <c r="OGG45" s="19"/>
      <c r="OGH45" s="21"/>
      <c r="OGI45" s="19"/>
      <c r="OGR45" s="19"/>
      <c r="OGS45" s="19"/>
      <c r="OGT45" s="19"/>
      <c r="OGU45" s="19"/>
      <c r="OGV45" s="21"/>
      <c r="OGW45" s="19"/>
      <c r="OHF45" s="19"/>
      <c r="OHG45" s="19"/>
      <c r="OHH45" s="19"/>
      <c r="OHI45" s="19"/>
      <c r="OHJ45" s="21"/>
      <c r="OHK45" s="19"/>
      <c r="OHT45" s="19"/>
      <c r="OHU45" s="19"/>
      <c r="OHV45" s="19"/>
      <c r="OHW45" s="19"/>
      <c r="OHX45" s="21"/>
      <c r="OHY45" s="19"/>
      <c r="OIH45" s="19"/>
      <c r="OII45" s="19"/>
      <c r="OIJ45" s="19"/>
      <c r="OIK45" s="19"/>
      <c r="OIL45" s="21"/>
      <c r="OIM45" s="19"/>
      <c r="OIV45" s="19"/>
      <c r="OIW45" s="19"/>
      <c r="OIX45" s="19"/>
      <c r="OIY45" s="19"/>
      <c r="OIZ45" s="21"/>
      <c r="OJA45" s="19"/>
      <c r="OJJ45" s="19"/>
      <c r="OJK45" s="19"/>
      <c r="OJL45" s="19"/>
      <c r="OJM45" s="19"/>
      <c r="OJN45" s="21"/>
      <c r="OJO45" s="19"/>
      <c r="OJX45" s="19"/>
      <c r="OJY45" s="19"/>
      <c r="OJZ45" s="19"/>
      <c r="OKA45" s="19"/>
      <c r="OKB45" s="21"/>
      <c r="OKC45" s="19"/>
      <c r="OKL45" s="19"/>
      <c r="OKM45" s="19"/>
      <c r="OKN45" s="19"/>
      <c r="OKO45" s="19"/>
      <c r="OKP45" s="21"/>
      <c r="OKQ45" s="19"/>
      <c r="OKZ45" s="19"/>
      <c r="OLA45" s="19"/>
      <c r="OLB45" s="19"/>
      <c r="OLC45" s="19"/>
      <c r="OLD45" s="21"/>
      <c r="OLE45" s="19"/>
      <c r="OLN45" s="19"/>
      <c r="OLO45" s="19"/>
      <c r="OLP45" s="19"/>
      <c r="OLQ45" s="19"/>
      <c r="OLR45" s="21"/>
      <c r="OLS45" s="19"/>
      <c r="OMB45" s="19"/>
      <c r="OMC45" s="19"/>
      <c r="OMD45" s="19"/>
      <c r="OME45" s="19"/>
      <c r="OMF45" s="21"/>
      <c r="OMG45" s="19"/>
      <c r="OMP45" s="19"/>
      <c r="OMQ45" s="19"/>
      <c r="OMR45" s="19"/>
      <c r="OMS45" s="19"/>
      <c r="OMT45" s="21"/>
      <c r="OMU45" s="19"/>
      <c r="OND45" s="19"/>
      <c r="ONE45" s="19"/>
      <c r="ONF45" s="19"/>
      <c r="ONG45" s="19"/>
      <c r="ONH45" s="21"/>
      <c r="ONI45" s="19"/>
      <c r="ONR45" s="19"/>
      <c r="ONS45" s="19"/>
      <c r="ONT45" s="19"/>
      <c r="ONU45" s="19"/>
      <c r="ONV45" s="21"/>
      <c r="ONW45" s="19"/>
      <c r="OOF45" s="19"/>
      <c r="OOG45" s="19"/>
      <c r="OOH45" s="19"/>
      <c r="OOI45" s="19"/>
      <c r="OOJ45" s="21"/>
      <c r="OOK45" s="19"/>
      <c r="OOT45" s="19"/>
      <c r="OOU45" s="19"/>
      <c r="OOV45" s="19"/>
      <c r="OOW45" s="19"/>
      <c r="OOX45" s="21"/>
      <c r="OOY45" s="19"/>
      <c r="OPH45" s="19"/>
      <c r="OPI45" s="19"/>
      <c r="OPJ45" s="19"/>
      <c r="OPK45" s="19"/>
      <c r="OPL45" s="21"/>
      <c r="OPM45" s="19"/>
      <c r="OPV45" s="19"/>
      <c r="OPW45" s="19"/>
      <c r="OPX45" s="19"/>
      <c r="OPY45" s="19"/>
      <c r="OPZ45" s="21"/>
      <c r="OQA45" s="19"/>
      <c r="OQJ45" s="19"/>
      <c r="OQK45" s="19"/>
      <c r="OQL45" s="19"/>
      <c r="OQM45" s="19"/>
      <c r="OQN45" s="21"/>
      <c r="OQO45" s="19"/>
      <c r="OQX45" s="19"/>
      <c r="OQY45" s="19"/>
      <c r="OQZ45" s="19"/>
      <c r="ORA45" s="19"/>
      <c r="ORB45" s="21"/>
      <c r="ORC45" s="19"/>
      <c r="ORL45" s="19"/>
      <c r="ORM45" s="19"/>
      <c r="ORN45" s="19"/>
      <c r="ORO45" s="19"/>
      <c r="ORP45" s="21"/>
      <c r="ORQ45" s="19"/>
      <c r="ORZ45" s="19"/>
      <c r="OSA45" s="19"/>
      <c r="OSB45" s="19"/>
      <c r="OSC45" s="19"/>
      <c r="OSD45" s="21"/>
      <c r="OSE45" s="19"/>
      <c r="OSN45" s="19"/>
      <c r="OSO45" s="19"/>
      <c r="OSP45" s="19"/>
      <c r="OSQ45" s="19"/>
      <c r="OSR45" s="21"/>
      <c r="OSS45" s="19"/>
      <c r="OTB45" s="19"/>
      <c r="OTC45" s="19"/>
      <c r="OTD45" s="19"/>
      <c r="OTE45" s="19"/>
      <c r="OTF45" s="21"/>
      <c r="OTG45" s="19"/>
      <c r="OTP45" s="19"/>
      <c r="OTQ45" s="19"/>
      <c r="OTR45" s="19"/>
      <c r="OTS45" s="19"/>
      <c r="OTT45" s="21"/>
      <c r="OTU45" s="19"/>
      <c r="OUD45" s="19"/>
      <c r="OUE45" s="19"/>
      <c r="OUF45" s="19"/>
      <c r="OUG45" s="19"/>
      <c r="OUH45" s="21"/>
      <c r="OUI45" s="19"/>
      <c r="OUR45" s="19"/>
      <c r="OUS45" s="19"/>
      <c r="OUT45" s="19"/>
      <c r="OUU45" s="19"/>
      <c r="OUV45" s="21"/>
      <c r="OUW45" s="19"/>
      <c r="OVF45" s="19"/>
      <c r="OVG45" s="19"/>
      <c r="OVH45" s="19"/>
      <c r="OVI45" s="19"/>
      <c r="OVJ45" s="21"/>
      <c r="OVK45" s="19"/>
      <c r="OVT45" s="19"/>
      <c r="OVU45" s="19"/>
      <c r="OVV45" s="19"/>
      <c r="OVW45" s="19"/>
      <c r="OVX45" s="21"/>
      <c r="OVY45" s="19"/>
      <c r="OWH45" s="19"/>
      <c r="OWI45" s="19"/>
      <c r="OWJ45" s="19"/>
      <c r="OWK45" s="19"/>
      <c r="OWL45" s="21"/>
      <c r="OWM45" s="19"/>
      <c r="OWV45" s="19"/>
      <c r="OWW45" s="19"/>
      <c r="OWX45" s="19"/>
      <c r="OWY45" s="19"/>
      <c r="OWZ45" s="21"/>
      <c r="OXA45" s="19"/>
      <c r="OXJ45" s="19"/>
      <c r="OXK45" s="19"/>
      <c r="OXL45" s="19"/>
      <c r="OXM45" s="19"/>
      <c r="OXN45" s="21"/>
      <c r="OXO45" s="19"/>
      <c r="OXX45" s="19"/>
      <c r="OXY45" s="19"/>
      <c r="OXZ45" s="19"/>
      <c r="OYA45" s="19"/>
      <c r="OYB45" s="21"/>
      <c r="OYC45" s="19"/>
      <c r="OYL45" s="19"/>
      <c r="OYM45" s="19"/>
      <c r="OYN45" s="19"/>
      <c r="OYO45" s="19"/>
      <c r="OYP45" s="21"/>
      <c r="OYQ45" s="19"/>
      <c r="OYZ45" s="19"/>
      <c r="OZA45" s="19"/>
      <c r="OZB45" s="19"/>
      <c r="OZC45" s="19"/>
      <c r="OZD45" s="21"/>
      <c r="OZE45" s="19"/>
      <c r="OZN45" s="19"/>
      <c r="OZO45" s="19"/>
      <c r="OZP45" s="19"/>
      <c r="OZQ45" s="19"/>
      <c r="OZR45" s="21"/>
      <c r="OZS45" s="19"/>
      <c r="PAB45" s="19"/>
      <c r="PAC45" s="19"/>
      <c r="PAD45" s="19"/>
      <c r="PAE45" s="19"/>
      <c r="PAF45" s="21"/>
      <c r="PAG45" s="19"/>
      <c r="PAP45" s="19"/>
      <c r="PAQ45" s="19"/>
      <c r="PAR45" s="19"/>
      <c r="PAS45" s="19"/>
      <c r="PAT45" s="21"/>
      <c r="PAU45" s="19"/>
      <c r="PBD45" s="19"/>
      <c r="PBE45" s="19"/>
      <c r="PBF45" s="19"/>
      <c r="PBG45" s="19"/>
      <c r="PBH45" s="21"/>
      <c r="PBI45" s="19"/>
      <c r="PBR45" s="19"/>
      <c r="PBS45" s="19"/>
      <c r="PBT45" s="19"/>
      <c r="PBU45" s="19"/>
      <c r="PBV45" s="21"/>
      <c r="PBW45" s="19"/>
      <c r="PCF45" s="19"/>
      <c r="PCG45" s="19"/>
      <c r="PCH45" s="19"/>
      <c r="PCI45" s="19"/>
      <c r="PCJ45" s="21"/>
      <c r="PCK45" s="19"/>
      <c r="PCT45" s="19"/>
      <c r="PCU45" s="19"/>
      <c r="PCV45" s="19"/>
      <c r="PCW45" s="19"/>
      <c r="PCX45" s="21"/>
      <c r="PCY45" s="19"/>
      <c r="PDH45" s="19"/>
      <c r="PDI45" s="19"/>
      <c r="PDJ45" s="19"/>
      <c r="PDK45" s="19"/>
      <c r="PDL45" s="21"/>
      <c r="PDM45" s="19"/>
      <c r="PDV45" s="19"/>
      <c r="PDW45" s="19"/>
      <c r="PDX45" s="19"/>
      <c r="PDY45" s="19"/>
      <c r="PDZ45" s="21"/>
      <c r="PEA45" s="19"/>
      <c r="PEJ45" s="19"/>
      <c r="PEK45" s="19"/>
      <c r="PEL45" s="19"/>
      <c r="PEM45" s="19"/>
      <c r="PEN45" s="21"/>
      <c r="PEO45" s="19"/>
      <c r="PEX45" s="19"/>
      <c r="PEY45" s="19"/>
      <c r="PEZ45" s="19"/>
      <c r="PFA45" s="19"/>
      <c r="PFB45" s="21"/>
      <c r="PFC45" s="19"/>
      <c r="PFL45" s="19"/>
      <c r="PFM45" s="19"/>
      <c r="PFN45" s="19"/>
      <c r="PFO45" s="19"/>
      <c r="PFP45" s="21"/>
      <c r="PFQ45" s="19"/>
      <c r="PFZ45" s="19"/>
      <c r="PGA45" s="19"/>
      <c r="PGB45" s="19"/>
      <c r="PGC45" s="19"/>
      <c r="PGD45" s="21"/>
      <c r="PGE45" s="19"/>
      <c r="PGN45" s="19"/>
      <c r="PGO45" s="19"/>
      <c r="PGP45" s="19"/>
      <c r="PGQ45" s="19"/>
      <c r="PGR45" s="21"/>
      <c r="PGS45" s="19"/>
      <c r="PHB45" s="19"/>
      <c r="PHC45" s="19"/>
      <c r="PHD45" s="19"/>
      <c r="PHE45" s="19"/>
      <c r="PHF45" s="21"/>
      <c r="PHG45" s="19"/>
      <c r="PHP45" s="19"/>
      <c r="PHQ45" s="19"/>
      <c r="PHR45" s="19"/>
      <c r="PHS45" s="19"/>
      <c r="PHT45" s="21"/>
      <c r="PHU45" s="19"/>
      <c r="PID45" s="19"/>
      <c r="PIE45" s="19"/>
      <c r="PIF45" s="19"/>
      <c r="PIG45" s="19"/>
      <c r="PIH45" s="21"/>
      <c r="PII45" s="19"/>
      <c r="PIR45" s="19"/>
      <c r="PIS45" s="19"/>
      <c r="PIT45" s="19"/>
      <c r="PIU45" s="19"/>
      <c r="PIV45" s="21"/>
      <c r="PIW45" s="19"/>
      <c r="PJF45" s="19"/>
      <c r="PJG45" s="19"/>
      <c r="PJH45" s="19"/>
      <c r="PJI45" s="19"/>
      <c r="PJJ45" s="21"/>
      <c r="PJK45" s="19"/>
      <c r="PJT45" s="19"/>
      <c r="PJU45" s="19"/>
      <c r="PJV45" s="19"/>
      <c r="PJW45" s="19"/>
      <c r="PJX45" s="21"/>
      <c r="PJY45" s="19"/>
      <c r="PKH45" s="19"/>
      <c r="PKI45" s="19"/>
      <c r="PKJ45" s="19"/>
      <c r="PKK45" s="19"/>
      <c r="PKL45" s="21"/>
      <c r="PKM45" s="19"/>
      <c r="PKV45" s="19"/>
      <c r="PKW45" s="19"/>
      <c r="PKX45" s="19"/>
      <c r="PKY45" s="19"/>
      <c r="PKZ45" s="21"/>
      <c r="PLA45" s="19"/>
      <c r="PLJ45" s="19"/>
      <c r="PLK45" s="19"/>
      <c r="PLL45" s="19"/>
      <c r="PLM45" s="19"/>
      <c r="PLN45" s="21"/>
      <c r="PLO45" s="19"/>
      <c r="PLX45" s="19"/>
      <c r="PLY45" s="19"/>
      <c r="PLZ45" s="19"/>
      <c r="PMA45" s="19"/>
      <c r="PMB45" s="21"/>
      <c r="PMC45" s="19"/>
      <c r="PML45" s="19"/>
      <c r="PMM45" s="19"/>
      <c r="PMN45" s="19"/>
      <c r="PMO45" s="19"/>
      <c r="PMP45" s="21"/>
      <c r="PMQ45" s="19"/>
      <c r="PMZ45" s="19"/>
      <c r="PNA45" s="19"/>
      <c r="PNB45" s="19"/>
      <c r="PNC45" s="19"/>
      <c r="PND45" s="21"/>
      <c r="PNE45" s="19"/>
      <c r="PNN45" s="19"/>
      <c r="PNO45" s="19"/>
      <c r="PNP45" s="19"/>
      <c r="PNQ45" s="19"/>
      <c r="PNR45" s="21"/>
      <c r="PNS45" s="19"/>
      <c r="POB45" s="19"/>
      <c r="POC45" s="19"/>
      <c r="POD45" s="19"/>
      <c r="POE45" s="19"/>
      <c r="POF45" s="21"/>
      <c r="POG45" s="19"/>
      <c r="POP45" s="19"/>
      <c r="POQ45" s="19"/>
      <c r="POR45" s="19"/>
      <c r="POS45" s="19"/>
      <c r="POT45" s="21"/>
      <c r="POU45" s="19"/>
      <c r="PPD45" s="19"/>
      <c r="PPE45" s="19"/>
      <c r="PPF45" s="19"/>
      <c r="PPG45" s="19"/>
      <c r="PPH45" s="21"/>
      <c r="PPI45" s="19"/>
      <c r="PPR45" s="19"/>
      <c r="PPS45" s="19"/>
      <c r="PPT45" s="19"/>
      <c r="PPU45" s="19"/>
      <c r="PPV45" s="21"/>
      <c r="PPW45" s="19"/>
      <c r="PQF45" s="19"/>
      <c r="PQG45" s="19"/>
      <c r="PQH45" s="19"/>
      <c r="PQI45" s="19"/>
      <c r="PQJ45" s="21"/>
      <c r="PQK45" s="19"/>
      <c r="PQT45" s="19"/>
      <c r="PQU45" s="19"/>
      <c r="PQV45" s="19"/>
      <c r="PQW45" s="19"/>
      <c r="PQX45" s="21"/>
      <c r="PQY45" s="19"/>
      <c r="PRH45" s="19"/>
      <c r="PRI45" s="19"/>
      <c r="PRJ45" s="19"/>
      <c r="PRK45" s="19"/>
      <c r="PRL45" s="21"/>
      <c r="PRM45" s="19"/>
      <c r="PRV45" s="19"/>
      <c r="PRW45" s="19"/>
      <c r="PRX45" s="19"/>
      <c r="PRY45" s="19"/>
      <c r="PRZ45" s="21"/>
      <c r="PSA45" s="19"/>
      <c r="PSJ45" s="19"/>
      <c r="PSK45" s="19"/>
      <c r="PSL45" s="19"/>
      <c r="PSM45" s="19"/>
      <c r="PSN45" s="21"/>
      <c r="PSO45" s="19"/>
      <c r="PSX45" s="19"/>
      <c r="PSY45" s="19"/>
      <c r="PSZ45" s="19"/>
      <c r="PTA45" s="19"/>
      <c r="PTB45" s="21"/>
      <c r="PTC45" s="19"/>
      <c r="PTL45" s="19"/>
      <c r="PTM45" s="19"/>
      <c r="PTN45" s="19"/>
      <c r="PTO45" s="19"/>
      <c r="PTP45" s="21"/>
      <c r="PTQ45" s="19"/>
      <c r="PTZ45" s="19"/>
      <c r="PUA45" s="19"/>
      <c r="PUB45" s="19"/>
      <c r="PUC45" s="19"/>
      <c r="PUD45" s="21"/>
      <c r="PUE45" s="19"/>
      <c r="PUN45" s="19"/>
      <c r="PUO45" s="19"/>
      <c r="PUP45" s="19"/>
      <c r="PUQ45" s="19"/>
      <c r="PUR45" s="21"/>
      <c r="PUS45" s="19"/>
      <c r="PVB45" s="19"/>
      <c r="PVC45" s="19"/>
      <c r="PVD45" s="19"/>
      <c r="PVE45" s="19"/>
      <c r="PVF45" s="21"/>
      <c r="PVG45" s="19"/>
      <c r="PVP45" s="19"/>
      <c r="PVQ45" s="19"/>
      <c r="PVR45" s="19"/>
      <c r="PVS45" s="19"/>
      <c r="PVT45" s="21"/>
      <c r="PVU45" s="19"/>
      <c r="PWD45" s="19"/>
      <c r="PWE45" s="19"/>
      <c r="PWF45" s="19"/>
      <c r="PWG45" s="19"/>
      <c r="PWH45" s="21"/>
      <c r="PWI45" s="19"/>
      <c r="PWR45" s="19"/>
      <c r="PWS45" s="19"/>
      <c r="PWT45" s="19"/>
      <c r="PWU45" s="19"/>
      <c r="PWV45" s="21"/>
      <c r="PWW45" s="19"/>
      <c r="PXF45" s="19"/>
      <c r="PXG45" s="19"/>
      <c r="PXH45" s="19"/>
      <c r="PXI45" s="19"/>
      <c r="PXJ45" s="21"/>
      <c r="PXK45" s="19"/>
      <c r="PXT45" s="19"/>
      <c r="PXU45" s="19"/>
      <c r="PXV45" s="19"/>
      <c r="PXW45" s="19"/>
      <c r="PXX45" s="21"/>
      <c r="PXY45" s="19"/>
      <c r="PYH45" s="19"/>
      <c r="PYI45" s="19"/>
      <c r="PYJ45" s="19"/>
      <c r="PYK45" s="19"/>
      <c r="PYL45" s="21"/>
      <c r="PYM45" s="19"/>
      <c r="PYV45" s="19"/>
      <c r="PYW45" s="19"/>
      <c r="PYX45" s="19"/>
      <c r="PYY45" s="19"/>
      <c r="PYZ45" s="21"/>
      <c r="PZA45" s="19"/>
      <c r="PZJ45" s="19"/>
      <c r="PZK45" s="19"/>
      <c r="PZL45" s="19"/>
      <c r="PZM45" s="19"/>
      <c r="PZN45" s="21"/>
      <c r="PZO45" s="19"/>
      <c r="PZX45" s="19"/>
      <c r="PZY45" s="19"/>
      <c r="PZZ45" s="19"/>
      <c r="QAA45" s="19"/>
      <c r="QAB45" s="21"/>
      <c r="QAC45" s="19"/>
      <c r="QAL45" s="19"/>
      <c r="QAM45" s="19"/>
      <c r="QAN45" s="19"/>
      <c r="QAO45" s="19"/>
      <c r="QAP45" s="21"/>
      <c r="QAQ45" s="19"/>
      <c r="QAZ45" s="19"/>
      <c r="QBA45" s="19"/>
      <c r="QBB45" s="19"/>
      <c r="QBC45" s="19"/>
      <c r="QBD45" s="21"/>
      <c r="QBE45" s="19"/>
      <c r="QBN45" s="19"/>
      <c r="QBO45" s="19"/>
      <c r="QBP45" s="19"/>
      <c r="QBQ45" s="19"/>
      <c r="QBR45" s="21"/>
      <c r="QBS45" s="19"/>
      <c r="QCB45" s="19"/>
      <c r="QCC45" s="19"/>
      <c r="QCD45" s="19"/>
      <c r="QCE45" s="19"/>
      <c r="QCF45" s="21"/>
      <c r="QCG45" s="19"/>
      <c r="QCP45" s="19"/>
      <c r="QCQ45" s="19"/>
      <c r="QCR45" s="19"/>
      <c r="QCS45" s="19"/>
      <c r="QCT45" s="21"/>
      <c r="QCU45" s="19"/>
      <c r="QDD45" s="19"/>
      <c r="QDE45" s="19"/>
      <c r="QDF45" s="19"/>
      <c r="QDG45" s="19"/>
      <c r="QDH45" s="21"/>
      <c r="QDI45" s="19"/>
      <c r="QDR45" s="19"/>
      <c r="QDS45" s="19"/>
      <c r="QDT45" s="19"/>
      <c r="QDU45" s="19"/>
      <c r="QDV45" s="21"/>
      <c r="QDW45" s="19"/>
      <c r="QEF45" s="19"/>
      <c r="QEG45" s="19"/>
      <c r="QEH45" s="19"/>
      <c r="QEI45" s="19"/>
      <c r="QEJ45" s="21"/>
      <c r="QEK45" s="19"/>
      <c r="QET45" s="19"/>
      <c r="QEU45" s="19"/>
      <c r="QEV45" s="19"/>
      <c r="QEW45" s="19"/>
      <c r="QEX45" s="21"/>
      <c r="QEY45" s="19"/>
      <c r="QFH45" s="19"/>
      <c r="QFI45" s="19"/>
      <c r="QFJ45" s="19"/>
      <c r="QFK45" s="19"/>
      <c r="QFL45" s="21"/>
      <c r="QFM45" s="19"/>
      <c r="QFV45" s="19"/>
      <c r="QFW45" s="19"/>
      <c r="QFX45" s="19"/>
      <c r="QFY45" s="19"/>
      <c r="QFZ45" s="21"/>
      <c r="QGA45" s="19"/>
      <c r="QGJ45" s="19"/>
      <c r="QGK45" s="19"/>
      <c r="QGL45" s="19"/>
      <c r="QGM45" s="19"/>
      <c r="QGN45" s="21"/>
      <c r="QGO45" s="19"/>
      <c r="QGX45" s="19"/>
      <c r="QGY45" s="19"/>
      <c r="QGZ45" s="19"/>
      <c r="QHA45" s="19"/>
      <c r="QHB45" s="21"/>
      <c r="QHC45" s="19"/>
      <c r="QHL45" s="19"/>
      <c r="QHM45" s="19"/>
      <c r="QHN45" s="19"/>
      <c r="QHO45" s="19"/>
      <c r="QHP45" s="21"/>
      <c r="QHQ45" s="19"/>
      <c r="QHZ45" s="19"/>
      <c r="QIA45" s="19"/>
      <c r="QIB45" s="19"/>
      <c r="QIC45" s="19"/>
      <c r="QID45" s="21"/>
      <c r="QIE45" s="19"/>
      <c r="QIN45" s="19"/>
      <c r="QIO45" s="19"/>
      <c r="QIP45" s="19"/>
      <c r="QIQ45" s="19"/>
      <c r="QIR45" s="21"/>
      <c r="QIS45" s="19"/>
      <c r="QJB45" s="19"/>
      <c r="QJC45" s="19"/>
      <c r="QJD45" s="19"/>
      <c r="QJE45" s="19"/>
      <c r="QJF45" s="21"/>
      <c r="QJG45" s="19"/>
      <c r="QJP45" s="19"/>
      <c r="QJQ45" s="19"/>
      <c r="QJR45" s="19"/>
      <c r="QJS45" s="19"/>
      <c r="QJT45" s="21"/>
      <c r="QJU45" s="19"/>
      <c r="QKD45" s="19"/>
      <c r="QKE45" s="19"/>
      <c r="QKF45" s="19"/>
      <c r="QKG45" s="19"/>
      <c r="QKH45" s="21"/>
      <c r="QKI45" s="19"/>
      <c r="QKR45" s="19"/>
      <c r="QKS45" s="19"/>
      <c r="QKT45" s="19"/>
      <c r="QKU45" s="19"/>
      <c r="QKV45" s="21"/>
      <c r="QKW45" s="19"/>
      <c r="QLF45" s="19"/>
      <c r="QLG45" s="19"/>
      <c r="QLH45" s="19"/>
      <c r="QLI45" s="19"/>
      <c r="QLJ45" s="21"/>
      <c r="QLK45" s="19"/>
      <c r="QLT45" s="19"/>
      <c r="QLU45" s="19"/>
      <c r="QLV45" s="19"/>
      <c r="QLW45" s="19"/>
      <c r="QLX45" s="21"/>
      <c r="QLY45" s="19"/>
      <c r="QMH45" s="19"/>
      <c r="QMI45" s="19"/>
      <c r="QMJ45" s="19"/>
      <c r="QMK45" s="19"/>
      <c r="QML45" s="21"/>
      <c r="QMM45" s="19"/>
      <c r="QMV45" s="19"/>
      <c r="QMW45" s="19"/>
      <c r="QMX45" s="19"/>
      <c r="QMY45" s="19"/>
      <c r="QMZ45" s="21"/>
      <c r="QNA45" s="19"/>
      <c r="QNJ45" s="19"/>
      <c r="QNK45" s="19"/>
      <c r="QNL45" s="19"/>
      <c r="QNM45" s="19"/>
      <c r="QNN45" s="21"/>
      <c r="QNO45" s="19"/>
      <c r="QNX45" s="19"/>
      <c r="QNY45" s="19"/>
      <c r="QNZ45" s="19"/>
      <c r="QOA45" s="19"/>
      <c r="QOB45" s="21"/>
      <c r="QOC45" s="19"/>
      <c r="QOL45" s="19"/>
      <c r="QOM45" s="19"/>
      <c r="QON45" s="19"/>
      <c r="QOO45" s="19"/>
      <c r="QOP45" s="21"/>
      <c r="QOQ45" s="19"/>
      <c r="QOZ45" s="19"/>
      <c r="QPA45" s="19"/>
      <c r="QPB45" s="19"/>
      <c r="QPC45" s="19"/>
      <c r="QPD45" s="21"/>
      <c r="QPE45" s="19"/>
      <c r="QPN45" s="19"/>
      <c r="QPO45" s="19"/>
      <c r="QPP45" s="19"/>
      <c r="QPQ45" s="19"/>
      <c r="QPR45" s="21"/>
      <c r="QPS45" s="19"/>
      <c r="QQB45" s="19"/>
      <c r="QQC45" s="19"/>
      <c r="QQD45" s="19"/>
      <c r="QQE45" s="19"/>
      <c r="QQF45" s="21"/>
      <c r="QQG45" s="19"/>
      <c r="QQP45" s="19"/>
      <c r="QQQ45" s="19"/>
      <c r="QQR45" s="19"/>
      <c r="QQS45" s="19"/>
      <c r="QQT45" s="21"/>
      <c r="QQU45" s="19"/>
      <c r="QRD45" s="19"/>
      <c r="QRE45" s="19"/>
      <c r="QRF45" s="19"/>
      <c r="QRG45" s="19"/>
      <c r="QRH45" s="21"/>
      <c r="QRI45" s="19"/>
      <c r="QRR45" s="19"/>
      <c r="QRS45" s="19"/>
      <c r="QRT45" s="19"/>
      <c r="QRU45" s="19"/>
      <c r="QRV45" s="21"/>
      <c r="QRW45" s="19"/>
      <c r="QSF45" s="19"/>
      <c r="QSG45" s="19"/>
      <c r="QSH45" s="19"/>
      <c r="QSI45" s="19"/>
      <c r="QSJ45" s="21"/>
      <c r="QSK45" s="19"/>
      <c r="QST45" s="19"/>
      <c r="QSU45" s="19"/>
      <c r="QSV45" s="19"/>
      <c r="QSW45" s="19"/>
      <c r="QSX45" s="21"/>
      <c r="QSY45" s="19"/>
      <c r="QTH45" s="19"/>
      <c r="QTI45" s="19"/>
      <c r="QTJ45" s="19"/>
      <c r="QTK45" s="19"/>
      <c r="QTL45" s="21"/>
      <c r="QTM45" s="19"/>
      <c r="QTV45" s="19"/>
      <c r="QTW45" s="19"/>
      <c r="QTX45" s="19"/>
      <c r="QTY45" s="19"/>
      <c r="QTZ45" s="21"/>
      <c r="QUA45" s="19"/>
      <c r="QUJ45" s="19"/>
      <c r="QUK45" s="19"/>
      <c r="QUL45" s="19"/>
      <c r="QUM45" s="19"/>
      <c r="QUN45" s="21"/>
      <c r="QUO45" s="19"/>
      <c r="QUX45" s="19"/>
      <c r="QUY45" s="19"/>
      <c r="QUZ45" s="19"/>
      <c r="QVA45" s="19"/>
      <c r="QVB45" s="21"/>
      <c r="QVC45" s="19"/>
      <c r="QVL45" s="19"/>
      <c r="QVM45" s="19"/>
      <c r="QVN45" s="19"/>
      <c r="QVO45" s="19"/>
      <c r="QVP45" s="21"/>
      <c r="QVQ45" s="19"/>
      <c r="QVZ45" s="19"/>
      <c r="QWA45" s="19"/>
      <c r="QWB45" s="19"/>
      <c r="QWC45" s="19"/>
      <c r="QWD45" s="21"/>
      <c r="QWE45" s="19"/>
      <c r="QWN45" s="19"/>
      <c r="QWO45" s="19"/>
      <c r="QWP45" s="19"/>
      <c r="QWQ45" s="19"/>
      <c r="QWR45" s="21"/>
      <c r="QWS45" s="19"/>
      <c r="QXB45" s="19"/>
      <c r="QXC45" s="19"/>
      <c r="QXD45" s="19"/>
      <c r="QXE45" s="19"/>
      <c r="QXF45" s="21"/>
      <c r="QXG45" s="19"/>
      <c r="QXP45" s="19"/>
      <c r="QXQ45" s="19"/>
      <c r="QXR45" s="19"/>
      <c r="QXS45" s="19"/>
      <c r="QXT45" s="21"/>
      <c r="QXU45" s="19"/>
      <c r="QYD45" s="19"/>
      <c r="QYE45" s="19"/>
      <c r="QYF45" s="19"/>
      <c r="QYG45" s="19"/>
      <c r="QYH45" s="21"/>
      <c r="QYI45" s="19"/>
      <c r="QYR45" s="19"/>
      <c r="QYS45" s="19"/>
      <c r="QYT45" s="19"/>
      <c r="QYU45" s="19"/>
      <c r="QYV45" s="21"/>
      <c r="QYW45" s="19"/>
      <c r="QZF45" s="19"/>
      <c r="QZG45" s="19"/>
      <c r="QZH45" s="19"/>
      <c r="QZI45" s="19"/>
      <c r="QZJ45" s="21"/>
      <c r="QZK45" s="19"/>
      <c r="QZT45" s="19"/>
      <c r="QZU45" s="19"/>
      <c r="QZV45" s="19"/>
      <c r="QZW45" s="19"/>
      <c r="QZX45" s="21"/>
      <c r="QZY45" s="19"/>
      <c r="RAH45" s="19"/>
      <c r="RAI45" s="19"/>
      <c r="RAJ45" s="19"/>
      <c r="RAK45" s="19"/>
      <c r="RAL45" s="21"/>
      <c r="RAM45" s="19"/>
      <c r="RAV45" s="19"/>
      <c r="RAW45" s="19"/>
      <c r="RAX45" s="19"/>
      <c r="RAY45" s="19"/>
      <c r="RAZ45" s="21"/>
      <c r="RBA45" s="19"/>
      <c r="RBJ45" s="19"/>
      <c r="RBK45" s="19"/>
      <c r="RBL45" s="19"/>
      <c r="RBM45" s="19"/>
      <c r="RBN45" s="21"/>
      <c r="RBO45" s="19"/>
      <c r="RBX45" s="19"/>
      <c r="RBY45" s="19"/>
      <c r="RBZ45" s="19"/>
      <c r="RCA45" s="19"/>
      <c r="RCB45" s="21"/>
      <c r="RCC45" s="19"/>
      <c r="RCL45" s="19"/>
      <c r="RCM45" s="19"/>
      <c r="RCN45" s="19"/>
      <c r="RCO45" s="19"/>
      <c r="RCP45" s="21"/>
      <c r="RCQ45" s="19"/>
      <c r="RCZ45" s="19"/>
      <c r="RDA45" s="19"/>
      <c r="RDB45" s="19"/>
      <c r="RDC45" s="19"/>
      <c r="RDD45" s="21"/>
      <c r="RDE45" s="19"/>
      <c r="RDN45" s="19"/>
      <c r="RDO45" s="19"/>
      <c r="RDP45" s="19"/>
      <c r="RDQ45" s="19"/>
      <c r="RDR45" s="21"/>
      <c r="RDS45" s="19"/>
      <c r="REB45" s="19"/>
      <c r="REC45" s="19"/>
      <c r="RED45" s="19"/>
      <c r="REE45" s="19"/>
      <c r="REF45" s="21"/>
      <c r="REG45" s="19"/>
      <c r="REP45" s="19"/>
      <c r="REQ45" s="19"/>
      <c r="RER45" s="19"/>
      <c r="RES45" s="19"/>
      <c r="RET45" s="21"/>
      <c r="REU45" s="19"/>
      <c r="RFD45" s="19"/>
      <c r="RFE45" s="19"/>
      <c r="RFF45" s="19"/>
      <c r="RFG45" s="19"/>
      <c r="RFH45" s="21"/>
      <c r="RFI45" s="19"/>
      <c r="RFR45" s="19"/>
      <c r="RFS45" s="19"/>
      <c r="RFT45" s="19"/>
      <c r="RFU45" s="19"/>
      <c r="RFV45" s="21"/>
      <c r="RFW45" s="19"/>
      <c r="RGF45" s="19"/>
      <c r="RGG45" s="19"/>
      <c r="RGH45" s="19"/>
      <c r="RGI45" s="19"/>
      <c r="RGJ45" s="21"/>
      <c r="RGK45" s="19"/>
      <c r="RGT45" s="19"/>
      <c r="RGU45" s="19"/>
      <c r="RGV45" s="19"/>
      <c r="RGW45" s="19"/>
      <c r="RGX45" s="21"/>
      <c r="RGY45" s="19"/>
      <c r="RHH45" s="19"/>
      <c r="RHI45" s="19"/>
      <c r="RHJ45" s="19"/>
      <c r="RHK45" s="19"/>
      <c r="RHL45" s="21"/>
      <c r="RHM45" s="19"/>
      <c r="RHV45" s="19"/>
      <c r="RHW45" s="19"/>
      <c r="RHX45" s="19"/>
      <c r="RHY45" s="19"/>
      <c r="RHZ45" s="21"/>
      <c r="RIA45" s="19"/>
      <c r="RIJ45" s="19"/>
      <c r="RIK45" s="19"/>
      <c r="RIL45" s="19"/>
      <c r="RIM45" s="19"/>
      <c r="RIN45" s="21"/>
      <c r="RIO45" s="19"/>
      <c r="RIX45" s="19"/>
      <c r="RIY45" s="19"/>
      <c r="RIZ45" s="19"/>
      <c r="RJA45" s="19"/>
      <c r="RJB45" s="21"/>
      <c r="RJC45" s="19"/>
      <c r="RJL45" s="19"/>
      <c r="RJM45" s="19"/>
      <c r="RJN45" s="19"/>
      <c r="RJO45" s="19"/>
      <c r="RJP45" s="21"/>
      <c r="RJQ45" s="19"/>
      <c r="RJZ45" s="19"/>
      <c r="RKA45" s="19"/>
      <c r="RKB45" s="19"/>
      <c r="RKC45" s="19"/>
      <c r="RKD45" s="21"/>
      <c r="RKE45" s="19"/>
      <c r="RKN45" s="19"/>
      <c r="RKO45" s="19"/>
      <c r="RKP45" s="19"/>
      <c r="RKQ45" s="19"/>
      <c r="RKR45" s="21"/>
      <c r="RKS45" s="19"/>
      <c r="RLB45" s="19"/>
      <c r="RLC45" s="19"/>
      <c r="RLD45" s="19"/>
      <c r="RLE45" s="19"/>
      <c r="RLF45" s="21"/>
      <c r="RLG45" s="19"/>
      <c r="RLP45" s="19"/>
      <c r="RLQ45" s="19"/>
      <c r="RLR45" s="19"/>
      <c r="RLS45" s="19"/>
      <c r="RLT45" s="21"/>
      <c r="RLU45" s="19"/>
      <c r="RMD45" s="19"/>
      <c r="RME45" s="19"/>
      <c r="RMF45" s="19"/>
      <c r="RMG45" s="19"/>
      <c r="RMH45" s="21"/>
      <c r="RMI45" s="19"/>
      <c r="RMR45" s="19"/>
      <c r="RMS45" s="19"/>
      <c r="RMT45" s="19"/>
      <c r="RMU45" s="19"/>
      <c r="RMV45" s="21"/>
      <c r="RMW45" s="19"/>
      <c r="RNF45" s="19"/>
      <c r="RNG45" s="19"/>
      <c r="RNH45" s="19"/>
      <c r="RNI45" s="19"/>
      <c r="RNJ45" s="21"/>
      <c r="RNK45" s="19"/>
      <c r="RNT45" s="19"/>
      <c r="RNU45" s="19"/>
      <c r="RNV45" s="19"/>
      <c r="RNW45" s="19"/>
      <c r="RNX45" s="21"/>
      <c r="RNY45" s="19"/>
      <c r="ROH45" s="19"/>
      <c r="ROI45" s="19"/>
      <c r="ROJ45" s="19"/>
      <c r="ROK45" s="19"/>
      <c r="ROL45" s="21"/>
      <c r="ROM45" s="19"/>
      <c r="ROV45" s="19"/>
      <c r="ROW45" s="19"/>
      <c r="ROX45" s="19"/>
      <c r="ROY45" s="19"/>
      <c r="ROZ45" s="21"/>
      <c r="RPA45" s="19"/>
      <c r="RPJ45" s="19"/>
      <c r="RPK45" s="19"/>
      <c r="RPL45" s="19"/>
      <c r="RPM45" s="19"/>
      <c r="RPN45" s="21"/>
      <c r="RPO45" s="19"/>
      <c r="RPX45" s="19"/>
      <c r="RPY45" s="19"/>
      <c r="RPZ45" s="19"/>
      <c r="RQA45" s="19"/>
      <c r="RQB45" s="21"/>
      <c r="RQC45" s="19"/>
      <c r="RQL45" s="19"/>
      <c r="RQM45" s="19"/>
      <c r="RQN45" s="19"/>
      <c r="RQO45" s="19"/>
      <c r="RQP45" s="21"/>
      <c r="RQQ45" s="19"/>
      <c r="RQZ45" s="19"/>
      <c r="RRA45" s="19"/>
      <c r="RRB45" s="19"/>
      <c r="RRC45" s="19"/>
      <c r="RRD45" s="21"/>
      <c r="RRE45" s="19"/>
      <c r="RRN45" s="19"/>
      <c r="RRO45" s="19"/>
      <c r="RRP45" s="19"/>
      <c r="RRQ45" s="19"/>
      <c r="RRR45" s="21"/>
      <c r="RRS45" s="19"/>
      <c r="RSB45" s="19"/>
      <c r="RSC45" s="19"/>
      <c r="RSD45" s="19"/>
      <c r="RSE45" s="19"/>
      <c r="RSF45" s="21"/>
      <c r="RSG45" s="19"/>
      <c r="RSP45" s="19"/>
      <c r="RSQ45" s="19"/>
      <c r="RSR45" s="19"/>
      <c r="RSS45" s="19"/>
      <c r="RST45" s="21"/>
      <c r="RSU45" s="19"/>
      <c r="RTD45" s="19"/>
      <c r="RTE45" s="19"/>
      <c r="RTF45" s="19"/>
      <c r="RTG45" s="19"/>
      <c r="RTH45" s="21"/>
      <c r="RTI45" s="19"/>
      <c r="RTR45" s="19"/>
      <c r="RTS45" s="19"/>
      <c r="RTT45" s="19"/>
      <c r="RTU45" s="19"/>
      <c r="RTV45" s="21"/>
      <c r="RTW45" s="19"/>
      <c r="RUF45" s="19"/>
      <c r="RUG45" s="19"/>
      <c r="RUH45" s="19"/>
      <c r="RUI45" s="19"/>
      <c r="RUJ45" s="21"/>
      <c r="RUK45" s="19"/>
      <c r="RUT45" s="19"/>
      <c r="RUU45" s="19"/>
      <c r="RUV45" s="19"/>
      <c r="RUW45" s="19"/>
      <c r="RUX45" s="21"/>
      <c r="RUY45" s="19"/>
      <c r="RVH45" s="19"/>
      <c r="RVI45" s="19"/>
      <c r="RVJ45" s="19"/>
      <c r="RVK45" s="19"/>
      <c r="RVL45" s="21"/>
      <c r="RVM45" s="19"/>
      <c r="RVV45" s="19"/>
      <c r="RVW45" s="19"/>
      <c r="RVX45" s="19"/>
      <c r="RVY45" s="19"/>
      <c r="RVZ45" s="21"/>
      <c r="RWA45" s="19"/>
      <c r="RWJ45" s="19"/>
      <c r="RWK45" s="19"/>
      <c r="RWL45" s="19"/>
      <c r="RWM45" s="19"/>
      <c r="RWN45" s="21"/>
      <c r="RWO45" s="19"/>
      <c r="RWX45" s="19"/>
      <c r="RWY45" s="19"/>
      <c r="RWZ45" s="19"/>
      <c r="RXA45" s="19"/>
      <c r="RXB45" s="21"/>
      <c r="RXC45" s="19"/>
      <c r="RXL45" s="19"/>
      <c r="RXM45" s="19"/>
      <c r="RXN45" s="19"/>
      <c r="RXO45" s="19"/>
      <c r="RXP45" s="21"/>
      <c r="RXQ45" s="19"/>
      <c r="RXZ45" s="19"/>
      <c r="RYA45" s="19"/>
      <c r="RYB45" s="19"/>
      <c r="RYC45" s="19"/>
      <c r="RYD45" s="21"/>
      <c r="RYE45" s="19"/>
      <c r="RYN45" s="19"/>
      <c r="RYO45" s="19"/>
      <c r="RYP45" s="19"/>
      <c r="RYQ45" s="19"/>
      <c r="RYR45" s="21"/>
      <c r="RYS45" s="19"/>
      <c r="RZB45" s="19"/>
      <c r="RZC45" s="19"/>
      <c r="RZD45" s="19"/>
      <c r="RZE45" s="19"/>
      <c r="RZF45" s="21"/>
      <c r="RZG45" s="19"/>
      <c r="RZP45" s="19"/>
      <c r="RZQ45" s="19"/>
      <c r="RZR45" s="19"/>
      <c r="RZS45" s="19"/>
      <c r="RZT45" s="21"/>
      <c r="RZU45" s="19"/>
      <c r="SAD45" s="19"/>
      <c r="SAE45" s="19"/>
      <c r="SAF45" s="19"/>
      <c r="SAG45" s="19"/>
      <c r="SAH45" s="21"/>
      <c r="SAI45" s="19"/>
      <c r="SAR45" s="19"/>
      <c r="SAS45" s="19"/>
      <c r="SAT45" s="19"/>
      <c r="SAU45" s="19"/>
      <c r="SAV45" s="21"/>
      <c r="SAW45" s="19"/>
      <c r="SBF45" s="19"/>
      <c r="SBG45" s="19"/>
      <c r="SBH45" s="19"/>
      <c r="SBI45" s="19"/>
      <c r="SBJ45" s="21"/>
      <c r="SBK45" s="19"/>
      <c r="SBT45" s="19"/>
      <c r="SBU45" s="19"/>
      <c r="SBV45" s="19"/>
      <c r="SBW45" s="19"/>
      <c r="SBX45" s="21"/>
      <c r="SBY45" s="19"/>
      <c r="SCH45" s="19"/>
      <c r="SCI45" s="19"/>
      <c r="SCJ45" s="19"/>
      <c r="SCK45" s="19"/>
      <c r="SCL45" s="21"/>
      <c r="SCM45" s="19"/>
      <c r="SCV45" s="19"/>
      <c r="SCW45" s="19"/>
      <c r="SCX45" s="19"/>
      <c r="SCY45" s="19"/>
      <c r="SCZ45" s="21"/>
      <c r="SDA45" s="19"/>
      <c r="SDJ45" s="19"/>
      <c r="SDK45" s="19"/>
      <c r="SDL45" s="19"/>
      <c r="SDM45" s="19"/>
      <c r="SDN45" s="21"/>
      <c r="SDO45" s="19"/>
      <c r="SDX45" s="19"/>
      <c r="SDY45" s="19"/>
      <c r="SDZ45" s="19"/>
      <c r="SEA45" s="19"/>
      <c r="SEB45" s="21"/>
      <c r="SEC45" s="19"/>
      <c r="SEL45" s="19"/>
      <c r="SEM45" s="19"/>
      <c r="SEN45" s="19"/>
      <c r="SEO45" s="19"/>
      <c r="SEP45" s="21"/>
      <c r="SEQ45" s="19"/>
      <c r="SEZ45" s="19"/>
      <c r="SFA45" s="19"/>
      <c r="SFB45" s="19"/>
      <c r="SFC45" s="19"/>
      <c r="SFD45" s="21"/>
      <c r="SFE45" s="19"/>
      <c r="SFN45" s="19"/>
      <c r="SFO45" s="19"/>
      <c r="SFP45" s="19"/>
      <c r="SFQ45" s="19"/>
      <c r="SFR45" s="21"/>
      <c r="SFS45" s="19"/>
      <c r="SGB45" s="19"/>
      <c r="SGC45" s="19"/>
      <c r="SGD45" s="19"/>
      <c r="SGE45" s="19"/>
      <c r="SGF45" s="21"/>
      <c r="SGG45" s="19"/>
      <c r="SGP45" s="19"/>
      <c r="SGQ45" s="19"/>
      <c r="SGR45" s="19"/>
      <c r="SGS45" s="19"/>
      <c r="SGT45" s="21"/>
      <c r="SGU45" s="19"/>
      <c r="SHD45" s="19"/>
      <c r="SHE45" s="19"/>
      <c r="SHF45" s="19"/>
      <c r="SHG45" s="19"/>
      <c r="SHH45" s="21"/>
      <c r="SHI45" s="19"/>
      <c r="SHR45" s="19"/>
      <c r="SHS45" s="19"/>
      <c r="SHT45" s="19"/>
      <c r="SHU45" s="19"/>
      <c r="SHV45" s="21"/>
      <c r="SHW45" s="19"/>
      <c r="SIF45" s="19"/>
      <c r="SIG45" s="19"/>
      <c r="SIH45" s="19"/>
      <c r="SII45" s="19"/>
      <c r="SIJ45" s="21"/>
      <c r="SIK45" s="19"/>
      <c r="SIT45" s="19"/>
      <c r="SIU45" s="19"/>
      <c r="SIV45" s="19"/>
      <c r="SIW45" s="19"/>
      <c r="SIX45" s="21"/>
      <c r="SIY45" s="19"/>
      <c r="SJH45" s="19"/>
      <c r="SJI45" s="19"/>
      <c r="SJJ45" s="19"/>
      <c r="SJK45" s="19"/>
      <c r="SJL45" s="21"/>
      <c r="SJM45" s="19"/>
      <c r="SJV45" s="19"/>
      <c r="SJW45" s="19"/>
      <c r="SJX45" s="19"/>
      <c r="SJY45" s="19"/>
      <c r="SJZ45" s="21"/>
      <c r="SKA45" s="19"/>
      <c r="SKJ45" s="19"/>
      <c r="SKK45" s="19"/>
      <c r="SKL45" s="19"/>
      <c r="SKM45" s="19"/>
      <c r="SKN45" s="21"/>
      <c r="SKO45" s="19"/>
      <c r="SKX45" s="19"/>
      <c r="SKY45" s="19"/>
      <c r="SKZ45" s="19"/>
      <c r="SLA45" s="19"/>
      <c r="SLB45" s="21"/>
      <c r="SLC45" s="19"/>
      <c r="SLL45" s="19"/>
      <c r="SLM45" s="19"/>
      <c r="SLN45" s="19"/>
      <c r="SLO45" s="19"/>
      <c r="SLP45" s="21"/>
      <c r="SLQ45" s="19"/>
      <c r="SLZ45" s="19"/>
      <c r="SMA45" s="19"/>
      <c r="SMB45" s="19"/>
      <c r="SMC45" s="19"/>
      <c r="SMD45" s="21"/>
      <c r="SME45" s="19"/>
      <c r="SMN45" s="19"/>
      <c r="SMO45" s="19"/>
      <c r="SMP45" s="19"/>
      <c r="SMQ45" s="19"/>
      <c r="SMR45" s="21"/>
      <c r="SMS45" s="19"/>
      <c r="SNB45" s="19"/>
      <c r="SNC45" s="19"/>
      <c r="SND45" s="19"/>
      <c r="SNE45" s="19"/>
      <c r="SNF45" s="21"/>
      <c r="SNG45" s="19"/>
      <c r="SNP45" s="19"/>
      <c r="SNQ45" s="19"/>
      <c r="SNR45" s="19"/>
      <c r="SNS45" s="19"/>
      <c r="SNT45" s="21"/>
      <c r="SNU45" s="19"/>
      <c r="SOD45" s="19"/>
      <c r="SOE45" s="19"/>
      <c r="SOF45" s="19"/>
      <c r="SOG45" s="19"/>
      <c r="SOH45" s="21"/>
      <c r="SOI45" s="19"/>
      <c r="SOR45" s="19"/>
      <c r="SOS45" s="19"/>
      <c r="SOT45" s="19"/>
      <c r="SOU45" s="19"/>
      <c r="SOV45" s="21"/>
      <c r="SOW45" s="19"/>
      <c r="SPF45" s="19"/>
      <c r="SPG45" s="19"/>
      <c r="SPH45" s="19"/>
      <c r="SPI45" s="19"/>
      <c r="SPJ45" s="21"/>
      <c r="SPK45" s="19"/>
      <c r="SPT45" s="19"/>
      <c r="SPU45" s="19"/>
      <c r="SPV45" s="19"/>
      <c r="SPW45" s="19"/>
      <c r="SPX45" s="21"/>
      <c r="SPY45" s="19"/>
      <c r="SQH45" s="19"/>
      <c r="SQI45" s="19"/>
      <c r="SQJ45" s="19"/>
      <c r="SQK45" s="19"/>
      <c r="SQL45" s="21"/>
      <c r="SQM45" s="19"/>
      <c r="SQV45" s="19"/>
      <c r="SQW45" s="19"/>
      <c r="SQX45" s="19"/>
      <c r="SQY45" s="19"/>
      <c r="SQZ45" s="21"/>
      <c r="SRA45" s="19"/>
      <c r="SRJ45" s="19"/>
      <c r="SRK45" s="19"/>
      <c r="SRL45" s="19"/>
      <c r="SRM45" s="19"/>
      <c r="SRN45" s="21"/>
      <c r="SRO45" s="19"/>
      <c r="SRX45" s="19"/>
      <c r="SRY45" s="19"/>
      <c r="SRZ45" s="19"/>
      <c r="SSA45" s="19"/>
      <c r="SSB45" s="21"/>
      <c r="SSC45" s="19"/>
      <c r="SSL45" s="19"/>
      <c r="SSM45" s="19"/>
      <c r="SSN45" s="19"/>
      <c r="SSO45" s="19"/>
      <c r="SSP45" s="21"/>
      <c r="SSQ45" s="19"/>
      <c r="SSZ45" s="19"/>
      <c r="STA45" s="19"/>
      <c r="STB45" s="19"/>
      <c r="STC45" s="19"/>
      <c r="STD45" s="21"/>
      <c r="STE45" s="19"/>
      <c r="STN45" s="19"/>
      <c r="STO45" s="19"/>
      <c r="STP45" s="19"/>
      <c r="STQ45" s="19"/>
      <c r="STR45" s="21"/>
      <c r="STS45" s="19"/>
      <c r="SUB45" s="19"/>
      <c r="SUC45" s="19"/>
      <c r="SUD45" s="19"/>
      <c r="SUE45" s="19"/>
      <c r="SUF45" s="21"/>
      <c r="SUG45" s="19"/>
      <c r="SUP45" s="19"/>
      <c r="SUQ45" s="19"/>
      <c r="SUR45" s="19"/>
      <c r="SUS45" s="19"/>
      <c r="SUT45" s="21"/>
      <c r="SUU45" s="19"/>
      <c r="SVD45" s="19"/>
      <c r="SVE45" s="19"/>
      <c r="SVF45" s="19"/>
      <c r="SVG45" s="19"/>
      <c r="SVH45" s="21"/>
      <c r="SVI45" s="19"/>
      <c r="SVR45" s="19"/>
      <c r="SVS45" s="19"/>
      <c r="SVT45" s="19"/>
      <c r="SVU45" s="19"/>
      <c r="SVV45" s="21"/>
      <c r="SVW45" s="19"/>
      <c r="SWF45" s="19"/>
      <c r="SWG45" s="19"/>
      <c r="SWH45" s="19"/>
      <c r="SWI45" s="19"/>
      <c r="SWJ45" s="21"/>
      <c r="SWK45" s="19"/>
      <c r="SWT45" s="19"/>
      <c r="SWU45" s="19"/>
      <c r="SWV45" s="19"/>
      <c r="SWW45" s="19"/>
      <c r="SWX45" s="21"/>
      <c r="SWY45" s="19"/>
      <c r="SXH45" s="19"/>
      <c r="SXI45" s="19"/>
      <c r="SXJ45" s="19"/>
      <c r="SXK45" s="19"/>
      <c r="SXL45" s="21"/>
      <c r="SXM45" s="19"/>
      <c r="SXV45" s="19"/>
      <c r="SXW45" s="19"/>
      <c r="SXX45" s="19"/>
      <c r="SXY45" s="19"/>
      <c r="SXZ45" s="21"/>
      <c r="SYA45" s="19"/>
      <c r="SYJ45" s="19"/>
      <c r="SYK45" s="19"/>
      <c r="SYL45" s="19"/>
      <c r="SYM45" s="19"/>
      <c r="SYN45" s="21"/>
      <c r="SYO45" s="19"/>
      <c r="SYX45" s="19"/>
      <c r="SYY45" s="19"/>
      <c r="SYZ45" s="19"/>
      <c r="SZA45" s="19"/>
      <c r="SZB45" s="21"/>
      <c r="SZC45" s="19"/>
      <c r="SZL45" s="19"/>
      <c r="SZM45" s="19"/>
      <c r="SZN45" s="19"/>
      <c r="SZO45" s="19"/>
      <c r="SZP45" s="21"/>
      <c r="SZQ45" s="19"/>
      <c r="SZZ45" s="19"/>
      <c r="TAA45" s="19"/>
      <c r="TAB45" s="19"/>
      <c r="TAC45" s="19"/>
      <c r="TAD45" s="21"/>
      <c r="TAE45" s="19"/>
      <c r="TAN45" s="19"/>
      <c r="TAO45" s="19"/>
      <c r="TAP45" s="19"/>
      <c r="TAQ45" s="19"/>
      <c r="TAR45" s="21"/>
      <c r="TAS45" s="19"/>
      <c r="TBB45" s="19"/>
      <c r="TBC45" s="19"/>
      <c r="TBD45" s="19"/>
      <c r="TBE45" s="19"/>
      <c r="TBF45" s="21"/>
      <c r="TBG45" s="19"/>
      <c r="TBP45" s="19"/>
      <c r="TBQ45" s="19"/>
      <c r="TBR45" s="19"/>
      <c r="TBS45" s="19"/>
      <c r="TBT45" s="21"/>
      <c r="TBU45" s="19"/>
      <c r="TCD45" s="19"/>
      <c r="TCE45" s="19"/>
      <c r="TCF45" s="19"/>
      <c r="TCG45" s="19"/>
      <c r="TCH45" s="21"/>
      <c r="TCI45" s="19"/>
      <c r="TCR45" s="19"/>
      <c r="TCS45" s="19"/>
      <c r="TCT45" s="19"/>
      <c r="TCU45" s="19"/>
      <c r="TCV45" s="21"/>
      <c r="TCW45" s="19"/>
      <c r="TDF45" s="19"/>
      <c r="TDG45" s="19"/>
      <c r="TDH45" s="19"/>
      <c r="TDI45" s="19"/>
      <c r="TDJ45" s="21"/>
      <c r="TDK45" s="19"/>
      <c r="TDT45" s="19"/>
      <c r="TDU45" s="19"/>
      <c r="TDV45" s="19"/>
      <c r="TDW45" s="19"/>
      <c r="TDX45" s="21"/>
      <c r="TDY45" s="19"/>
      <c r="TEH45" s="19"/>
      <c r="TEI45" s="19"/>
      <c r="TEJ45" s="19"/>
      <c r="TEK45" s="19"/>
      <c r="TEL45" s="21"/>
      <c r="TEM45" s="19"/>
      <c r="TEV45" s="19"/>
      <c r="TEW45" s="19"/>
      <c r="TEX45" s="19"/>
      <c r="TEY45" s="19"/>
      <c r="TEZ45" s="21"/>
      <c r="TFA45" s="19"/>
      <c r="TFJ45" s="19"/>
      <c r="TFK45" s="19"/>
      <c r="TFL45" s="19"/>
      <c r="TFM45" s="19"/>
      <c r="TFN45" s="21"/>
      <c r="TFO45" s="19"/>
      <c r="TFX45" s="19"/>
      <c r="TFY45" s="19"/>
      <c r="TFZ45" s="19"/>
      <c r="TGA45" s="19"/>
      <c r="TGB45" s="21"/>
      <c r="TGC45" s="19"/>
      <c r="TGL45" s="19"/>
      <c r="TGM45" s="19"/>
      <c r="TGN45" s="19"/>
      <c r="TGO45" s="19"/>
      <c r="TGP45" s="21"/>
      <c r="TGQ45" s="19"/>
      <c r="TGZ45" s="19"/>
      <c r="THA45" s="19"/>
      <c r="THB45" s="19"/>
      <c r="THC45" s="19"/>
      <c r="THD45" s="21"/>
      <c r="THE45" s="19"/>
      <c r="THN45" s="19"/>
      <c r="THO45" s="19"/>
      <c r="THP45" s="19"/>
      <c r="THQ45" s="19"/>
      <c r="THR45" s="21"/>
      <c r="THS45" s="19"/>
      <c r="TIB45" s="19"/>
      <c r="TIC45" s="19"/>
      <c r="TID45" s="19"/>
      <c r="TIE45" s="19"/>
      <c r="TIF45" s="21"/>
      <c r="TIG45" s="19"/>
      <c r="TIP45" s="19"/>
      <c r="TIQ45" s="19"/>
      <c r="TIR45" s="19"/>
      <c r="TIS45" s="19"/>
      <c r="TIT45" s="21"/>
      <c r="TIU45" s="19"/>
      <c r="TJD45" s="19"/>
      <c r="TJE45" s="19"/>
      <c r="TJF45" s="19"/>
      <c r="TJG45" s="19"/>
      <c r="TJH45" s="21"/>
      <c r="TJI45" s="19"/>
      <c r="TJR45" s="19"/>
      <c r="TJS45" s="19"/>
      <c r="TJT45" s="19"/>
      <c r="TJU45" s="19"/>
      <c r="TJV45" s="21"/>
      <c r="TJW45" s="19"/>
      <c r="TKF45" s="19"/>
      <c r="TKG45" s="19"/>
      <c r="TKH45" s="19"/>
      <c r="TKI45" s="19"/>
      <c r="TKJ45" s="21"/>
      <c r="TKK45" s="19"/>
      <c r="TKT45" s="19"/>
      <c r="TKU45" s="19"/>
      <c r="TKV45" s="19"/>
      <c r="TKW45" s="19"/>
      <c r="TKX45" s="21"/>
      <c r="TKY45" s="19"/>
      <c r="TLH45" s="19"/>
      <c r="TLI45" s="19"/>
      <c r="TLJ45" s="19"/>
      <c r="TLK45" s="19"/>
      <c r="TLL45" s="21"/>
      <c r="TLM45" s="19"/>
      <c r="TLV45" s="19"/>
      <c r="TLW45" s="19"/>
      <c r="TLX45" s="19"/>
      <c r="TLY45" s="19"/>
      <c r="TLZ45" s="21"/>
      <c r="TMA45" s="19"/>
      <c r="TMJ45" s="19"/>
      <c r="TMK45" s="19"/>
      <c r="TML45" s="19"/>
      <c r="TMM45" s="19"/>
      <c r="TMN45" s="21"/>
      <c r="TMO45" s="19"/>
      <c r="TMX45" s="19"/>
      <c r="TMY45" s="19"/>
      <c r="TMZ45" s="19"/>
      <c r="TNA45" s="19"/>
      <c r="TNB45" s="21"/>
      <c r="TNC45" s="19"/>
      <c r="TNL45" s="19"/>
      <c r="TNM45" s="19"/>
      <c r="TNN45" s="19"/>
      <c r="TNO45" s="19"/>
      <c r="TNP45" s="21"/>
      <c r="TNQ45" s="19"/>
      <c r="TNZ45" s="19"/>
      <c r="TOA45" s="19"/>
      <c r="TOB45" s="19"/>
      <c r="TOC45" s="19"/>
      <c r="TOD45" s="21"/>
      <c r="TOE45" s="19"/>
      <c r="TON45" s="19"/>
      <c r="TOO45" s="19"/>
      <c r="TOP45" s="19"/>
      <c r="TOQ45" s="19"/>
      <c r="TOR45" s="21"/>
      <c r="TOS45" s="19"/>
      <c r="TPB45" s="19"/>
      <c r="TPC45" s="19"/>
      <c r="TPD45" s="19"/>
      <c r="TPE45" s="19"/>
      <c r="TPF45" s="21"/>
      <c r="TPG45" s="19"/>
      <c r="TPP45" s="19"/>
      <c r="TPQ45" s="19"/>
      <c r="TPR45" s="19"/>
      <c r="TPS45" s="19"/>
      <c r="TPT45" s="21"/>
      <c r="TPU45" s="19"/>
      <c r="TQD45" s="19"/>
      <c r="TQE45" s="19"/>
      <c r="TQF45" s="19"/>
      <c r="TQG45" s="19"/>
      <c r="TQH45" s="21"/>
      <c r="TQI45" s="19"/>
      <c r="TQR45" s="19"/>
      <c r="TQS45" s="19"/>
      <c r="TQT45" s="19"/>
      <c r="TQU45" s="19"/>
      <c r="TQV45" s="21"/>
      <c r="TQW45" s="19"/>
      <c r="TRF45" s="19"/>
      <c r="TRG45" s="19"/>
      <c r="TRH45" s="19"/>
      <c r="TRI45" s="19"/>
      <c r="TRJ45" s="21"/>
      <c r="TRK45" s="19"/>
      <c r="TRT45" s="19"/>
      <c r="TRU45" s="19"/>
      <c r="TRV45" s="19"/>
      <c r="TRW45" s="19"/>
      <c r="TRX45" s="21"/>
      <c r="TRY45" s="19"/>
      <c r="TSH45" s="19"/>
      <c r="TSI45" s="19"/>
      <c r="TSJ45" s="19"/>
      <c r="TSK45" s="19"/>
      <c r="TSL45" s="21"/>
      <c r="TSM45" s="19"/>
      <c r="TSV45" s="19"/>
      <c r="TSW45" s="19"/>
      <c r="TSX45" s="19"/>
      <c r="TSY45" s="19"/>
      <c r="TSZ45" s="21"/>
      <c r="TTA45" s="19"/>
      <c r="TTJ45" s="19"/>
      <c r="TTK45" s="19"/>
      <c r="TTL45" s="19"/>
      <c r="TTM45" s="19"/>
      <c r="TTN45" s="21"/>
      <c r="TTO45" s="19"/>
      <c r="TTX45" s="19"/>
      <c r="TTY45" s="19"/>
      <c r="TTZ45" s="19"/>
      <c r="TUA45" s="19"/>
      <c r="TUB45" s="21"/>
      <c r="TUC45" s="19"/>
      <c r="TUL45" s="19"/>
      <c r="TUM45" s="19"/>
      <c r="TUN45" s="19"/>
      <c r="TUO45" s="19"/>
      <c r="TUP45" s="21"/>
      <c r="TUQ45" s="19"/>
      <c r="TUZ45" s="19"/>
      <c r="TVA45" s="19"/>
      <c r="TVB45" s="19"/>
      <c r="TVC45" s="19"/>
      <c r="TVD45" s="21"/>
      <c r="TVE45" s="19"/>
      <c r="TVN45" s="19"/>
      <c r="TVO45" s="19"/>
      <c r="TVP45" s="19"/>
      <c r="TVQ45" s="19"/>
      <c r="TVR45" s="21"/>
      <c r="TVS45" s="19"/>
      <c r="TWB45" s="19"/>
      <c r="TWC45" s="19"/>
      <c r="TWD45" s="19"/>
      <c r="TWE45" s="19"/>
      <c r="TWF45" s="21"/>
      <c r="TWG45" s="19"/>
      <c r="TWP45" s="19"/>
      <c r="TWQ45" s="19"/>
      <c r="TWR45" s="19"/>
      <c r="TWS45" s="19"/>
      <c r="TWT45" s="21"/>
      <c r="TWU45" s="19"/>
      <c r="TXD45" s="19"/>
      <c r="TXE45" s="19"/>
      <c r="TXF45" s="19"/>
      <c r="TXG45" s="19"/>
      <c r="TXH45" s="21"/>
      <c r="TXI45" s="19"/>
      <c r="TXR45" s="19"/>
      <c r="TXS45" s="19"/>
      <c r="TXT45" s="19"/>
      <c r="TXU45" s="19"/>
      <c r="TXV45" s="21"/>
      <c r="TXW45" s="19"/>
      <c r="TYF45" s="19"/>
      <c r="TYG45" s="19"/>
      <c r="TYH45" s="19"/>
      <c r="TYI45" s="19"/>
      <c r="TYJ45" s="21"/>
      <c r="TYK45" s="19"/>
      <c r="TYT45" s="19"/>
      <c r="TYU45" s="19"/>
      <c r="TYV45" s="19"/>
      <c r="TYW45" s="19"/>
      <c r="TYX45" s="21"/>
      <c r="TYY45" s="19"/>
      <c r="TZH45" s="19"/>
      <c r="TZI45" s="19"/>
      <c r="TZJ45" s="19"/>
      <c r="TZK45" s="19"/>
      <c r="TZL45" s="21"/>
      <c r="TZM45" s="19"/>
      <c r="TZV45" s="19"/>
      <c r="TZW45" s="19"/>
      <c r="TZX45" s="19"/>
      <c r="TZY45" s="19"/>
      <c r="TZZ45" s="21"/>
      <c r="UAA45" s="19"/>
      <c r="UAJ45" s="19"/>
      <c r="UAK45" s="19"/>
      <c r="UAL45" s="19"/>
      <c r="UAM45" s="19"/>
      <c r="UAN45" s="21"/>
      <c r="UAO45" s="19"/>
      <c r="UAX45" s="19"/>
      <c r="UAY45" s="19"/>
      <c r="UAZ45" s="19"/>
      <c r="UBA45" s="19"/>
      <c r="UBB45" s="21"/>
      <c r="UBC45" s="19"/>
      <c r="UBL45" s="19"/>
      <c r="UBM45" s="19"/>
      <c r="UBN45" s="19"/>
      <c r="UBO45" s="19"/>
      <c r="UBP45" s="21"/>
      <c r="UBQ45" s="19"/>
      <c r="UBZ45" s="19"/>
      <c r="UCA45" s="19"/>
      <c r="UCB45" s="19"/>
      <c r="UCC45" s="19"/>
      <c r="UCD45" s="21"/>
      <c r="UCE45" s="19"/>
      <c r="UCN45" s="19"/>
      <c r="UCO45" s="19"/>
      <c r="UCP45" s="19"/>
      <c r="UCQ45" s="19"/>
      <c r="UCR45" s="21"/>
      <c r="UCS45" s="19"/>
      <c r="UDB45" s="19"/>
      <c r="UDC45" s="19"/>
      <c r="UDD45" s="19"/>
      <c r="UDE45" s="19"/>
      <c r="UDF45" s="21"/>
      <c r="UDG45" s="19"/>
      <c r="UDP45" s="19"/>
      <c r="UDQ45" s="19"/>
      <c r="UDR45" s="19"/>
      <c r="UDS45" s="19"/>
      <c r="UDT45" s="21"/>
      <c r="UDU45" s="19"/>
      <c r="UED45" s="19"/>
      <c r="UEE45" s="19"/>
      <c r="UEF45" s="19"/>
      <c r="UEG45" s="19"/>
      <c r="UEH45" s="21"/>
      <c r="UEI45" s="19"/>
      <c r="UER45" s="19"/>
      <c r="UES45" s="19"/>
      <c r="UET45" s="19"/>
      <c r="UEU45" s="19"/>
      <c r="UEV45" s="21"/>
      <c r="UEW45" s="19"/>
      <c r="UFF45" s="19"/>
      <c r="UFG45" s="19"/>
      <c r="UFH45" s="19"/>
      <c r="UFI45" s="19"/>
      <c r="UFJ45" s="21"/>
      <c r="UFK45" s="19"/>
      <c r="UFT45" s="19"/>
      <c r="UFU45" s="19"/>
      <c r="UFV45" s="19"/>
      <c r="UFW45" s="19"/>
      <c r="UFX45" s="21"/>
      <c r="UFY45" s="19"/>
      <c r="UGH45" s="19"/>
      <c r="UGI45" s="19"/>
      <c r="UGJ45" s="19"/>
      <c r="UGK45" s="19"/>
      <c r="UGL45" s="21"/>
      <c r="UGM45" s="19"/>
      <c r="UGV45" s="19"/>
      <c r="UGW45" s="19"/>
      <c r="UGX45" s="19"/>
      <c r="UGY45" s="19"/>
      <c r="UGZ45" s="21"/>
      <c r="UHA45" s="19"/>
      <c r="UHJ45" s="19"/>
      <c r="UHK45" s="19"/>
      <c r="UHL45" s="19"/>
      <c r="UHM45" s="19"/>
      <c r="UHN45" s="21"/>
      <c r="UHO45" s="19"/>
      <c r="UHX45" s="19"/>
      <c r="UHY45" s="19"/>
      <c r="UHZ45" s="19"/>
      <c r="UIA45" s="19"/>
      <c r="UIB45" s="21"/>
      <c r="UIC45" s="19"/>
      <c r="UIL45" s="19"/>
      <c r="UIM45" s="19"/>
      <c r="UIN45" s="19"/>
      <c r="UIO45" s="19"/>
      <c r="UIP45" s="21"/>
      <c r="UIQ45" s="19"/>
      <c r="UIZ45" s="19"/>
      <c r="UJA45" s="19"/>
      <c r="UJB45" s="19"/>
      <c r="UJC45" s="19"/>
      <c r="UJD45" s="21"/>
      <c r="UJE45" s="19"/>
      <c r="UJN45" s="19"/>
      <c r="UJO45" s="19"/>
      <c r="UJP45" s="19"/>
      <c r="UJQ45" s="19"/>
      <c r="UJR45" s="21"/>
      <c r="UJS45" s="19"/>
      <c r="UKB45" s="19"/>
      <c r="UKC45" s="19"/>
      <c r="UKD45" s="19"/>
      <c r="UKE45" s="19"/>
      <c r="UKF45" s="21"/>
      <c r="UKG45" s="19"/>
      <c r="UKP45" s="19"/>
      <c r="UKQ45" s="19"/>
      <c r="UKR45" s="19"/>
      <c r="UKS45" s="19"/>
      <c r="UKT45" s="21"/>
      <c r="UKU45" s="19"/>
      <c r="ULD45" s="19"/>
      <c r="ULE45" s="19"/>
      <c r="ULF45" s="19"/>
      <c r="ULG45" s="19"/>
      <c r="ULH45" s="21"/>
      <c r="ULI45" s="19"/>
      <c r="ULR45" s="19"/>
      <c r="ULS45" s="19"/>
      <c r="ULT45" s="19"/>
      <c r="ULU45" s="19"/>
      <c r="ULV45" s="21"/>
      <c r="ULW45" s="19"/>
      <c r="UMF45" s="19"/>
      <c r="UMG45" s="19"/>
      <c r="UMH45" s="19"/>
      <c r="UMI45" s="19"/>
      <c r="UMJ45" s="21"/>
      <c r="UMK45" s="19"/>
      <c r="UMT45" s="19"/>
      <c r="UMU45" s="19"/>
      <c r="UMV45" s="19"/>
      <c r="UMW45" s="19"/>
      <c r="UMX45" s="21"/>
      <c r="UMY45" s="19"/>
      <c r="UNH45" s="19"/>
      <c r="UNI45" s="19"/>
      <c r="UNJ45" s="19"/>
      <c r="UNK45" s="19"/>
      <c r="UNL45" s="21"/>
      <c r="UNM45" s="19"/>
      <c r="UNV45" s="19"/>
      <c r="UNW45" s="19"/>
      <c r="UNX45" s="19"/>
      <c r="UNY45" s="19"/>
      <c r="UNZ45" s="21"/>
      <c r="UOA45" s="19"/>
      <c r="UOJ45" s="19"/>
      <c r="UOK45" s="19"/>
      <c r="UOL45" s="19"/>
      <c r="UOM45" s="19"/>
      <c r="UON45" s="21"/>
      <c r="UOO45" s="19"/>
      <c r="UOX45" s="19"/>
      <c r="UOY45" s="19"/>
      <c r="UOZ45" s="19"/>
      <c r="UPA45" s="19"/>
      <c r="UPB45" s="21"/>
      <c r="UPC45" s="19"/>
      <c r="UPL45" s="19"/>
      <c r="UPM45" s="19"/>
      <c r="UPN45" s="19"/>
      <c r="UPO45" s="19"/>
      <c r="UPP45" s="21"/>
      <c r="UPQ45" s="19"/>
      <c r="UPZ45" s="19"/>
      <c r="UQA45" s="19"/>
      <c r="UQB45" s="19"/>
      <c r="UQC45" s="19"/>
      <c r="UQD45" s="21"/>
      <c r="UQE45" s="19"/>
      <c r="UQN45" s="19"/>
      <c r="UQO45" s="19"/>
      <c r="UQP45" s="19"/>
      <c r="UQQ45" s="19"/>
      <c r="UQR45" s="21"/>
      <c r="UQS45" s="19"/>
      <c r="URB45" s="19"/>
      <c r="URC45" s="19"/>
      <c r="URD45" s="19"/>
      <c r="URE45" s="19"/>
      <c r="URF45" s="21"/>
      <c r="URG45" s="19"/>
      <c r="URP45" s="19"/>
      <c r="URQ45" s="19"/>
      <c r="URR45" s="19"/>
      <c r="URS45" s="19"/>
      <c r="URT45" s="21"/>
      <c r="URU45" s="19"/>
      <c r="USD45" s="19"/>
      <c r="USE45" s="19"/>
      <c r="USF45" s="19"/>
      <c r="USG45" s="19"/>
      <c r="USH45" s="21"/>
      <c r="USI45" s="19"/>
      <c r="USR45" s="19"/>
      <c r="USS45" s="19"/>
      <c r="UST45" s="19"/>
      <c r="USU45" s="19"/>
      <c r="USV45" s="21"/>
      <c r="USW45" s="19"/>
      <c r="UTF45" s="19"/>
      <c r="UTG45" s="19"/>
      <c r="UTH45" s="19"/>
      <c r="UTI45" s="19"/>
      <c r="UTJ45" s="21"/>
      <c r="UTK45" s="19"/>
      <c r="UTT45" s="19"/>
      <c r="UTU45" s="19"/>
      <c r="UTV45" s="19"/>
      <c r="UTW45" s="19"/>
      <c r="UTX45" s="21"/>
      <c r="UTY45" s="19"/>
      <c r="UUH45" s="19"/>
      <c r="UUI45" s="19"/>
      <c r="UUJ45" s="19"/>
      <c r="UUK45" s="19"/>
      <c r="UUL45" s="21"/>
      <c r="UUM45" s="19"/>
      <c r="UUV45" s="19"/>
      <c r="UUW45" s="19"/>
      <c r="UUX45" s="19"/>
      <c r="UUY45" s="19"/>
      <c r="UUZ45" s="21"/>
      <c r="UVA45" s="19"/>
      <c r="UVJ45" s="19"/>
      <c r="UVK45" s="19"/>
      <c r="UVL45" s="19"/>
      <c r="UVM45" s="19"/>
      <c r="UVN45" s="21"/>
      <c r="UVO45" s="19"/>
      <c r="UVX45" s="19"/>
      <c r="UVY45" s="19"/>
      <c r="UVZ45" s="19"/>
      <c r="UWA45" s="19"/>
      <c r="UWB45" s="21"/>
      <c r="UWC45" s="19"/>
      <c r="UWL45" s="19"/>
      <c r="UWM45" s="19"/>
      <c r="UWN45" s="19"/>
      <c r="UWO45" s="19"/>
      <c r="UWP45" s="21"/>
      <c r="UWQ45" s="19"/>
      <c r="UWZ45" s="19"/>
      <c r="UXA45" s="19"/>
      <c r="UXB45" s="19"/>
      <c r="UXC45" s="19"/>
      <c r="UXD45" s="21"/>
      <c r="UXE45" s="19"/>
      <c r="UXN45" s="19"/>
      <c r="UXO45" s="19"/>
      <c r="UXP45" s="19"/>
      <c r="UXQ45" s="19"/>
      <c r="UXR45" s="21"/>
      <c r="UXS45" s="19"/>
      <c r="UYB45" s="19"/>
      <c r="UYC45" s="19"/>
      <c r="UYD45" s="19"/>
      <c r="UYE45" s="19"/>
      <c r="UYF45" s="21"/>
      <c r="UYG45" s="19"/>
      <c r="UYP45" s="19"/>
      <c r="UYQ45" s="19"/>
      <c r="UYR45" s="19"/>
      <c r="UYS45" s="19"/>
      <c r="UYT45" s="21"/>
      <c r="UYU45" s="19"/>
      <c r="UZD45" s="19"/>
      <c r="UZE45" s="19"/>
      <c r="UZF45" s="19"/>
      <c r="UZG45" s="19"/>
      <c r="UZH45" s="21"/>
      <c r="UZI45" s="19"/>
      <c r="UZR45" s="19"/>
      <c r="UZS45" s="19"/>
      <c r="UZT45" s="19"/>
      <c r="UZU45" s="19"/>
      <c r="UZV45" s="21"/>
      <c r="UZW45" s="19"/>
      <c r="VAF45" s="19"/>
      <c r="VAG45" s="19"/>
      <c r="VAH45" s="19"/>
      <c r="VAI45" s="19"/>
      <c r="VAJ45" s="21"/>
      <c r="VAK45" s="19"/>
      <c r="VAT45" s="19"/>
      <c r="VAU45" s="19"/>
      <c r="VAV45" s="19"/>
      <c r="VAW45" s="19"/>
      <c r="VAX45" s="21"/>
      <c r="VAY45" s="19"/>
      <c r="VBH45" s="19"/>
      <c r="VBI45" s="19"/>
      <c r="VBJ45" s="19"/>
      <c r="VBK45" s="19"/>
      <c r="VBL45" s="21"/>
      <c r="VBM45" s="19"/>
      <c r="VBV45" s="19"/>
      <c r="VBW45" s="19"/>
      <c r="VBX45" s="19"/>
      <c r="VBY45" s="19"/>
      <c r="VBZ45" s="21"/>
      <c r="VCA45" s="19"/>
      <c r="VCJ45" s="19"/>
      <c r="VCK45" s="19"/>
      <c r="VCL45" s="19"/>
      <c r="VCM45" s="19"/>
      <c r="VCN45" s="21"/>
      <c r="VCO45" s="19"/>
      <c r="VCX45" s="19"/>
      <c r="VCY45" s="19"/>
      <c r="VCZ45" s="19"/>
      <c r="VDA45" s="19"/>
      <c r="VDB45" s="21"/>
      <c r="VDC45" s="19"/>
      <c r="VDL45" s="19"/>
      <c r="VDM45" s="19"/>
      <c r="VDN45" s="19"/>
      <c r="VDO45" s="19"/>
      <c r="VDP45" s="21"/>
      <c r="VDQ45" s="19"/>
      <c r="VDZ45" s="19"/>
      <c r="VEA45" s="19"/>
      <c r="VEB45" s="19"/>
      <c r="VEC45" s="19"/>
      <c r="VED45" s="21"/>
      <c r="VEE45" s="19"/>
      <c r="VEN45" s="19"/>
      <c r="VEO45" s="19"/>
      <c r="VEP45" s="19"/>
      <c r="VEQ45" s="19"/>
      <c r="VER45" s="21"/>
      <c r="VES45" s="19"/>
      <c r="VFB45" s="19"/>
      <c r="VFC45" s="19"/>
      <c r="VFD45" s="19"/>
      <c r="VFE45" s="19"/>
      <c r="VFF45" s="21"/>
      <c r="VFG45" s="19"/>
      <c r="VFP45" s="19"/>
      <c r="VFQ45" s="19"/>
      <c r="VFR45" s="19"/>
      <c r="VFS45" s="19"/>
      <c r="VFT45" s="21"/>
      <c r="VFU45" s="19"/>
      <c r="VGD45" s="19"/>
      <c r="VGE45" s="19"/>
      <c r="VGF45" s="19"/>
      <c r="VGG45" s="19"/>
      <c r="VGH45" s="21"/>
      <c r="VGI45" s="19"/>
      <c r="VGR45" s="19"/>
      <c r="VGS45" s="19"/>
      <c r="VGT45" s="19"/>
      <c r="VGU45" s="19"/>
      <c r="VGV45" s="21"/>
      <c r="VGW45" s="19"/>
      <c r="VHF45" s="19"/>
      <c r="VHG45" s="19"/>
      <c r="VHH45" s="19"/>
      <c r="VHI45" s="19"/>
      <c r="VHJ45" s="21"/>
      <c r="VHK45" s="19"/>
      <c r="VHT45" s="19"/>
      <c r="VHU45" s="19"/>
      <c r="VHV45" s="19"/>
      <c r="VHW45" s="19"/>
      <c r="VHX45" s="21"/>
      <c r="VHY45" s="19"/>
      <c r="VIH45" s="19"/>
      <c r="VII45" s="19"/>
      <c r="VIJ45" s="19"/>
      <c r="VIK45" s="19"/>
      <c r="VIL45" s="21"/>
      <c r="VIM45" s="19"/>
      <c r="VIV45" s="19"/>
      <c r="VIW45" s="19"/>
      <c r="VIX45" s="19"/>
      <c r="VIY45" s="19"/>
      <c r="VIZ45" s="21"/>
      <c r="VJA45" s="19"/>
      <c r="VJJ45" s="19"/>
      <c r="VJK45" s="19"/>
      <c r="VJL45" s="19"/>
      <c r="VJM45" s="19"/>
      <c r="VJN45" s="21"/>
      <c r="VJO45" s="19"/>
      <c r="VJX45" s="19"/>
      <c r="VJY45" s="19"/>
      <c r="VJZ45" s="19"/>
      <c r="VKA45" s="19"/>
      <c r="VKB45" s="21"/>
      <c r="VKC45" s="19"/>
      <c r="VKL45" s="19"/>
      <c r="VKM45" s="19"/>
      <c r="VKN45" s="19"/>
      <c r="VKO45" s="19"/>
      <c r="VKP45" s="21"/>
      <c r="VKQ45" s="19"/>
      <c r="VKZ45" s="19"/>
      <c r="VLA45" s="19"/>
      <c r="VLB45" s="19"/>
      <c r="VLC45" s="19"/>
      <c r="VLD45" s="21"/>
      <c r="VLE45" s="19"/>
      <c r="VLN45" s="19"/>
      <c r="VLO45" s="19"/>
      <c r="VLP45" s="19"/>
      <c r="VLQ45" s="19"/>
      <c r="VLR45" s="21"/>
      <c r="VLS45" s="19"/>
      <c r="VMB45" s="19"/>
      <c r="VMC45" s="19"/>
      <c r="VMD45" s="19"/>
      <c r="VME45" s="19"/>
      <c r="VMF45" s="21"/>
      <c r="VMG45" s="19"/>
      <c r="VMP45" s="19"/>
      <c r="VMQ45" s="19"/>
      <c r="VMR45" s="19"/>
      <c r="VMS45" s="19"/>
      <c r="VMT45" s="21"/>
      <c r="VMU45" s="19"/>
      <c r="VND45" s="19"/>
      <c r="VNE45" s="19"/>
      <c r="VNF45" s="19"/>
      <c r="VNG45" s="19"/>
      <c r="VNH45" s="21"/>
      <c r="VNI45" s="19"/>
      <c r="VNR45" s="19"/>
      <c r="VNS45" s="19"/>
      <c r="VNT45" s="19"/>
      <c r="VNU45" s="19"/>
      <c r="VNV45" s="21"/>
      <c r="VNW45" s="19"/>
      <c r="VOF45" s="19"/>
      <c r="VOG45" s="19"/>
      <c r="VOH45" s="19"/>
      <c r="VOI45" s="19"/>
      <c r="VOJ45" s="21"/>
      <c r="VOK45" s="19"/>
      <c r="VOT45" s="19"/>
      <c r="VOU45" s="19"/>
      <c r="VOV45" s="19"/>
      <c r="VOW45" s="19"/>
      <c r="VOX45" s="21"/>
      <c r="VOY45" s="19"/>
      <c r="VPH45" s="19"/>
      <c r="VPI45" s="19"/>
      <c r="VPJ45" s="19"/>
      <c r="VPK45" s="19"/>
      <c r="VPL45" s="21"/>
      <c r="VPM45" s="19"/>
      <c r="VPV45" s="19"/>
      <c r="VPW45" s="19"/>
      <c r="VPX45" s="19"/>
      <c r="VPY45" s="19"/>
      <c r="VPZ45" s="21"/>
      <c r="VQA45" s="19"/>
      <c r="VQJ45" s="19"/>
      <c r="VQK45" s="19"/>
      <c r="VQL45" s="19"/>
      <c r="VQM45" s="19"/>
      <c r="VQN45" s="21"/>
      <c r="VQO45" s="19"/>
      <c r="VQX45" s="19"/>
      <c r="VQY45" s="19"/>
      <c r="VQZ45" s="19"/>
      <c r="VRA45" s="19"/>
      <c r="VRB45" s="21"/>
      <c r="VRC45" s="19"/>
      <c r="VRL45" s="19"/>
      <c r="VRM45" s="19"/>
      <c r="VRN45" s="19"/>
      <c r="VRO45" s="19"/>
      <c r="VRP45" s="21"/>
      <c r="VRQ45" s="19"/>
      <c r="VRZ45" s="19"/>
      <c r="VSA45" s="19"/>
      <c r="VSB45" s="19"/>
      <c r="VSC45" s="19"/>
      <c r="VSD45" s="21"/>
      <c r="VSE45" s="19"/>
      <c r="VSN45" s="19"/>
      <c r="VSO45" s="19"/>
      <c r="VSP45" s="19"/>
      <c r="VSQ45" s="19"/>
      <c r="VSR45" s="21"/>
      <c r="VSS45" s="19"/>
      <c r="VTB45" s="19"/>
      <c r="VTC45" s="19"/>
      <c r="VTD45" s="19"/>
      <c r="VTE45" s="19"/>
      <c r="VTF45" s="21"/>
      <c r="VTG45" s="19"/>
      <c r="VTP45" s="19"/>
      <c r="VTQ45" s="19"/>
      <c r="VTR45" s="19"/>
      <c r="VTS45" s="19"/>
      <c r="VTT45" s="21"/>
      <c r="VTU45" s="19"/>
      <c r="VUD45" s="19"/>
      <c r="VUE45" s="19"/>
      <c r="VUF45" s="19"/>
      <c r="VUG45" s="19"/>
      <c r="VUH45" s="21"/>
      <c r="VUI45" s="19"/>
      <c r="VUR45" s="19"/>
      <c r="VUS45" s="19"/>
      <c r="VUT45" s="19"/>
      <c r="VUU45" s="19"/>
      <c r="VUV45" s="21"/>
      <c r="VUW45" s="19"/>
      <c r="VVF45" s="19"/>
      <c r="VVG45" s="19"/>
      <c r="VVH45" s="19"/>
      <c r="VVI45" s="19"/>
      <c r="VVJ45" s="21"/>
      <c r="VVK45" s="19"/>
      <c r="VVT45" s="19"/>
      <c r="VVU45" s="19"/>
      <c r="VVV45" s="19"/>
      <c r="VVW45" s="19"/>
      <c r="VVX45" s="21"/>
      <c r="VVY45" s="19"/>
      <c r="VWH45" s="19"/>
      <c r="VWI45" s="19"/>
      <c r="VWJ45" s="19"/>
      <c r="VWK45" s="19"/>
      <c r="VWL45" s="21"/>
      <c r="VWM45" s="19"/>
      <c r="VWV45" s="19"/>
      <c r="VWW45" s="19"/>
      <c r="VWX45" s="19"/>
      <c r="VWY45" s="19"/>
      <c r="VWZ45" s="21"/>
      <c r="VXA45" s="19"/>
      <c r="VXJ45" s="19"/>
      <c r="VXK45" s="19"/>
      <c r="VXL45" s="19"/>
      <c r="VXM45" s="19"/>
      <c r="VXN45" s="21"/>
      <c r="VXO45" s="19"/>
      <c r="VXX45" s="19"/>
      <c r="VXY45" s="19"/>
      <c r="VXZ45" s="19"/>
      <c r="VYA45" s="19"/>
      <c r="VYB45" s="21"/>
      <c r="VYC45" s="19"/>
      <c r="VYL45" s="19"/>
      <c r="VYM45" s="19"/>
      <c r="VYN45" s="19"/>
      <c r="VYO45" s="19"/>
      <c r="VYP45" s="21"/>
      <c r="VYQ45" s="19"/>
      <c r="VYZ45" s="19"/>
      <c r="VZA45" s="19"/>
      <c r="VZB45" s="19"/>
      <c r="VZC45" s="19"/>
      <c r="VZD45" s="21"/>
      <c r="VZE45" s="19"/>
      <c r="VZN45" s="19"/>
      <c r="VZO45" s="19"/>
      <c r="VZP45" s="19"/>
      <c r="VZQ45" s="19"/>
      <c r="VZR45" s="21"/>
      <c r="VZS45" s="19"/>
      <c r="WAB45" s="19"/>
      <c r="WAC45" s="19"/>
      <c r="WAD45" s="19"/>
      <c r="WAE45" s="19"/>
      <c r="WAF45" s="21"/>
      <c r="WAG45" s="19"/>
      <c r="WAP45" s="19"/>
      <c r="WAQ45" s="19"/>
      <c r="WAR45" s="19"/>
      <c r="WAS45" s="19"/>
      <c r="WAT45" s="21"/>
      <c r="WAU45" s="19"/>
      <c r="WBD45" s="19"/>
      <c r="WBE45" s="19"/>
      <c r="WBF45" s="19"/>
      <c r="WBG45" s="19"/>
      <c r="WBH45" s="21"/>
      <c r="WBI45" s="19"/>
      <c r="WBR45" s="19"/>
      <c r="WBS45" s="19"/>
      <c r="WBT45" s="19"/>
      <c r="WBU45" s="19"/>
      <c r="WBV45" s="21"/>
      <c r="WBW45" s="19"/>
      <c r="WCF45" s="19"/>
      <c r="WCG45" s="19"/>
      <c r="WCH45" s="19"/>
      <c r="WCI45" s="19"/>
      <c r="WCJ45" s="21"/>
      <c r="WCK45" s="19"/>
      <c r="WCT45" s="19"/>
      <c r="WCU45" s="19"/>
      <c r="WCV45" s="19"/>
      <c r="WCW45" s="19"/>
      <c r="WCX45" s="21"/>
      <c r="WCY45" s="19"/>
      <c r="WDH45" s="19"/>
      <c r="WDI45" s="19"/>
      <c r="WDJ45" s="19"/>
      <c r="WDK45" s="19"/>
      <c r="WDL45" s="21"/>
      <c r="WDM45" s="19"/>
      <c r="WDV45" s="19"/>
      <c r="WDW45" s="19"/>
      <c r="WDX45" s="19"/>
      <c r="WDY45" s="19"/>
      <c r="WDZ45" s="21"/>
      <c r="WEA45" s="19"/>
      <c r="WEJ45" s="19"/>
      <c r="WEK45" s="19"/>
      <c r="WEL45" s="19"/>
      <c r="WEM45" s="19"/>
      <c r="WEN45" s="21"/>
      <c r="WEO45" s="19"/>
      <c r="WEX45" s="19"/>
      <c r="WEY45" s="19"/>
      <c r="WEZ45" s="19"/>
      <c r="WFA45" s="19"/>
      <c r="WFB45" s="21"/>
      <c r="WFC45" s="19"/>
      <c r="WFL45" s="19"/>
      <c r="WFM45" s="19"/>
      <c r="WFN45" s="19"/>
      <c r="WFO45" s="19"/>
      <c r="WFP45" s="21"/>
      <c r="WFQ45" s="19"/>
      <c r="WFZ45" s="19"/>
      <c r="WGA45" s="19"/>
      <c r="WGB45" s="19"/>
      <c r="WGC45" s="19"/>
      <c r="WGD45" s="21"/>
      <c r="WGE45" s="19"/>
      <c r="WGN45" s="19"/>
      <c r="WGO45" s="19"/>
      <c r="WGP45" s="19"/>
      <c r="WGQ45" s="19"/>
      <c r="WGR45" s="21"/>
      <c r="WGS45" s="19"/>
      <c r="WHB45" s="19"/>
      <c r="WHC45" s="19"/>
      <c r="WHD45" s="19"/>
      <c r="WHE45" s="19"/>
      <c r="WHF45" s="21"/>
      <c r="WHG45" s="19"/>
      <c r="WHP45" s="19"/>
      <c r="WHQ45" s="19"/>
      <c r="WHR45" s="19"/>
      <c r="WHS45" s="19"/>
      <c r="WHT45" s="21"/>
      <c r="WHU45" s="19"/>
      <c r="WID45" s="19"/>
      <c r="WIE45" s="19"/>
      <c r="WIF45" s="19"/>
      <c r="WIG45" s="19"/>
      <c r="WIH45" s="21"/>
      <c r="WII45" s="19"/>
      <c r="WIR45" s="19"/>
      <c r="WIS45" s="19"/>
      <c r="WIT45" s="19"/>
      <c r="WIU45" s="19"/>
      <c r="WIV45" s="21"/>
      <c r="WIW45" s="19"/>
      <c r="WJF45" s="19"/>
      <c r="WJG45" s="19"/>
      <c r="WJH45" s="19"/>
      <c r="WJI45" s="19"/>
      <c r="WJJ45" s="21"/>
      <c r="WJK45" s="19"/>
      <c r="WJT45" s="19"/>
      <c r="WJU45" s="19"/>
      <c r="WJV45" s="19"/>
      <c r="WJW45" s="19"/>
      <c r="WJX45" s="21"/>
      <c r="WJY45" s="19"/>
      <c r="WKH45" s="19"/>
      <c r="WKI45" s="19"/>
      <c r="WKJ45" s="19"/>
      <c r="WKK45" s="19"/>
      <c r="WKL45" s="21"/>
      <c r="WKM45" s="19"/>
      <c r="WKV45" s="19"/>
      <c r="WKW45" s="19"/>
      <c r="WKX45" s="19"/>
      <c r="WKY45" s="19"/>
      <c r="WKZ45" s="21"/>
      <c r="WLA45" s="19"/>
      <c r="WLJ45" s="19"/>
      <c r="WLK45" s="19"/>
      <c r="WLL45" s="19"/>
      <c r="WLM45" s="19"/>
      <c r="WLN45" s="21"/>
      <c r="WLO45" s="19"/>
      <c r="WLX45" s="19"/>
      <c r="WLY45" s="19"/>
      <c r="WLZ45" s="19"/>
      <c r="WMA45" s="19"/>
      <c r="WMB45" s="21"/>
      <c r="WMC45" s="19"/>
      <c r="WML45" s="19"/>
      <c r="WMM45" s="19"/>
      <c r="WMN45" s="19"/>
      <c r="WMO45" s="19"/>
      <c r="WMP45" s="21"/>
      <c r="WMQ45" s="19"/>
      <c r="WMZ45" s="19"/>
      <c r="WNA45" s="19"/>
      <c r="WNB45" s="19"/>
      <c r="WNC45" s="19"/>
      <c r="WND45" s="21"/>
      <c r="WNE45" s="19"/>
      <c r="WNN45" s="19"/>
      <c r="WNO45" s="19"/>
      <c r="WNP45" s="19"/>
      <c r="WNQ45" s="19"/>
      <c r="WNR45" s="21"/>
      <c r="WNS45" s="19"/>
      <c r="WOB45" s="19"/>
      <c r="WOC45" s="19"/>
      <c r="WOD45" s="19"/>
      <c r="WOE45" s="19"/>
      <c r="WOF45" s="21"/>
      <c r="WOG45" s="19"/>
      <c r="WOP45" s="19"/>
      <c r="WOQ45" s="19"/>
      <c r="WOR45" s="19"/>
      <c r="WOS45" s="19"/>
      <c r="WOT45" s="21"/>
      <c r="WOU45" s="19"/>
      <c r="WPD45" s="19"/>
      <c r="WPE45" s="19"/>
      <c r="WPF45" s="19"/>
      <c r="WPG45" s="19"/>
      <c r="WPH45" s="21"/>
      <c r="WPI45" s="19"/>
      <c r="WPR45" s="19"/>
      <c r="WPS45" s="19"/>
      <c r="WPT45" s="19"/>
      <c r="WPU45" s="19"/>
      <c r="WPV45" s="21"/>
      <c r="WPW45" s="19"/>
      <c r="WQF45" s="19"/>
      <c r="WQG45" s="19"/>
      <c r="WQH45" s="19"/>
      <c r="WQI45" s="19"/>
      <c r="WQJ45" s="21"/>
      <c r="WQK45" s="19"/>
      <c r="WQT45" s="19"/>
      <c r="WQU45" s="19"/>
      <c r="WQV45" s="19"/>
      <c r="WQW45" s="19"/>
      <c r="WQX45" s="21"/>
      <c r="WQY45" s="19"/>
      <c r="WRH45" s="19"/>
      <c r="WRI45" s="19"/>
      <c r="WRJ45" s="19"/>
      <c r="WRK45" s="19"/>
      <c r="WRL45" s="21"/>
      <c r="WRM45" s="19"/>
      <c r="WRV45" s="19"/>
      <c r="WRW45" s="19"/>
      <c r="WRX45" s="19"/>
      <c r="WRY45" s="19"/>
      <c r="WRZ45" s="21"/>
      <c r="WSA45" s="19"/>
      <c r="WSJ45" s="19"/>
      <c r="WSK45" s="19"/>
      <c r="WSL45" s="19"/>
      <c r="WSM45" s="19"/>
      <c r="WSN45" s="21"/>
      <c r="WSO45" s="19"/>
      <c r="WSX45" s="19"/>
      <c r="WSY45" s="19"/>
      <c r="WSZ45" s="19"/>
      <c r="WTA45" s="19"/>
      <c r="WTB45" s="21"/>
      <c r="WTC45" s="19"/>
      <c r="WTL45" s="19"/>
      <c r="WTM45" s="19"/>
      <c r="WTN45" s="19"/>
      <c r="WTO45" s="19"/>
      <c r="WTP45" s="21"/>
      <c r="WTQ45" s="19"/>
      <c r="WTZ45" s="19"/>
      <c r="WUA45" s="19"/>
      <c r="WUB45" s="19"/>
      <c r="WUC45" s="19"/>
      <c r="WUD45" s="21"/>
      <c r="WUE45" s="19"/>
      <c r="WUN45" s="19"/>
      <c r="WUO45" s="19"/>
      <c r="WUP45" s="19"/>
      <c r="WUQ45" s="19"/>
      <c r="WUR45" s="21"/>
      <c r="WUS45" s="19"/>
      <c r="WVB45" s="19"/>
      <c r="WVC45" s="19"/>
      <c r="WVD45" s="19"/>
      <c r="WVE45" s="19"/>
      <c r="WVF45" s="21"/>
      <c r="WVG45" s="19"/>
      <c r="WVP45" s="19"/>
      <c r="WVQ45" s="19"/>
      <c r="WVR45" s="19"/>
      <c r="WVS45" s="19"/>
      <c r="WVT45" s="21"/>
      <c r="WVU45" s="19"/>
      <c r="WWD45" s="19"/>
      <c r="WWE45" s="19"/>
      <c r="WWF45" s="19"/>
      <c r="WWG45" s="19"/>
      <c r="WWH45" s="21"/>
      <c r="WWI45" s="19"/>
      <c r="WWR45" s="19"/>
      <c r="WWS45" s="19"/>
      <c r="WWT45" s="19"/>
      <c r="WWU45" s="19"/>
      <c r="WWV45" s="21"/>
      <c r="WWW45" s="19"/>
      <c r="WXF45" s="19"/>
      <c r="WXG45" s="19"/>
      <c r="WXH45" s="19"/>
      <c r="WXI45" s="19"/>
      <c r="WXJ45" s="21"/>
      <c r="WXK45" s="19"/>
      <c r="WXT45" s="19"/>
      <c r="WXU45" s="19"/>
      <c r="WXV45" s="19"/>
      <c r="WXW45" s="19"/>
      <c r="WXX45" s="21"/>
      <c r="WXY45" s="19"/>
      <c r="WYH45" s="19"/>
      <c r="WYI45" s="19"/>
      <c r="WYJ45" s="19"/>
      <c r="WYK45" s="19"/>
      <c r="WYL45" s="21"/>
      <c r="WYM45" s="19"/>
      <c r="WYV45" s="19"/>
      <c r="WYW45" s="19"/>
      <c r="WYX45" s="19"/>
      <c r="WYY45" s="19"/>
      <c r="WYZ45" s="21"/>
      <c r="WZA45" s="19"/>
      <c r="WZJ45" s="19"/>
      <c r="WZK45" s="19"/>
      <c r="WZL45" s="19"/>
      <c r="WZM45" s="19"/>
      <c r="WZN45" s="21"/>
      <c r="WZO45" s="19"/>
      <c r="WZX45" s="19"/>
      <c r="WZY45" s="19"/>
      <c r="WZZ45" s="19"/>
      <c r="XAA45" s="19"/>
      <c r="XAB45" s="21"/>
      <c r="XAC45" s="19"/>
      <c r="XAL45" s="19"/>
      <c r="XAM45" s="19"/>
      <c r="XAN45" s="19"/>
      <c r="XAO45" s="19"/>
      <c r="XAP45" s="21"/>
      <c r="XAQ45" s="19"/>
      <c r="XAZ45" s="19"/>
      <c r="XBA45" s="19"/>
      <c r="XBB45" s="19"/>
      <c r="XBC45" s="19"/>
      <c r="XBD45" s="21"/>
      <c r="XBE45" s="19"/>
      <c r="XBN45" s="19"/>
      <c r="XBO45" s="19"/>
      <c r="XBP45" s="19"/>
      <c r="XBQ45" s="19"/>
      <c r="XBR45" s="21"/>
      <c r="XBS45" s="19"/>
      <c r="XCB45" s="19"/>
      <c r="XCC45" s="19"/>
      <c r="XCD45" s="19"/>
      <c r="XCE45" s="19"/>
      <c r="XCF45" s="21"/>
      <c r="XCG45" s="19"/>
      <c r="XCP45" s="19"/>
      <c r="XCQ45" s="19"/>
      <c r="XCR45" s="19"/>
      <c r="XCS45" s="19"/>
      <c r="XCT45" s="21"/>
      <c r="XCU45" s="19"/>
      <c r="XDD45" s="19"/>
      <c r="XDE45" s="19"/>
      <c r="XDF45" s="19"/>
      <c r="XDG45" s="19"/>
      <c r="XDH45" s="21"/>
      <c r="XDI45" s="19"/>
      <c r="XDR45" s="19"/>
      <c r="XDS45" s="19"/>
      <c r="XDT45" s="19"/>
      <c r="XDU45" s="19"/>
      <c r="XDV45" s="21"/>
      <c r="XDW45" s="19"/>
      <c r="XEF45" s="19"/>
      <c r="XEG45" s="19"/>
      <c r="XEH45" s="19"/>
      <c r="XEI45" s="19"/>
      <c r="XEJ45" s="21"/>
      <c r="XEK45" s="19"/>
    </row>
    <row r="46" spans="1:1021 1030:2043 2052:3065 3074:7167 7176:8189 8198:9211 9220:10233 10242:14335 14344:15357 15366:16365" s="20" customFormat="1">
      <c r="A46" s="19">
        <v>3</v>
      </c>
      <c r="B46" s="21">
        <v>13</v>
      </c>
      <c r="C46" s="19" t="s">
        <v>127</v>
      </c>
      <c r="D46" s="20">
        <v>2</v>
      </c>
      <c r="E46" s="20">
        <v>3</v>
      </c>
      <c r="F46" s="20">
        <v>0</v>
      </c>
      <c r="G46" s="20">
        <v>2</v>
      </c>
      <c r="H46" s="20">
        <v>1</v>
      </c>
      <c r="I46" s="20">
        <v>3</v>
      </c>
      <c r="J46" s="20">
        <v>7</v>
      </c>
      <c r="K46" s="20">
        <v>-4</v>
      </c>
      <c r="L46" s="27"/>
      <c r="M46" s="19"/>
      <c r="V46" s="19"/>
      <c r="W46" s="19"/>
      <c r="X46" s="19"/>
      <c r="Y46" s="19"/>
      <c r="Z46" s="21"/>
      <c r="AA46" s="19"/>
      <c r="AJ46" s="19"/>
      <c r="AK46" s="19"/>
      <c r="AL46" s="19"/>
      <c r="AM46" s="19"/>
      <c r="AN46" s="21"/>
      <c r="AO46" s="19"/>
      <c r="AX46" s="19"/>
      <c r="AY46" s="19"/>
      <c r="AZ46" s="19"/>
      <c r="BA46" s="19"/>
      <c r="BB46" s="21"/>
      <c r="BC46" s="19"/>
      <c r="BL46" s="19"/>
      <c r="BM46" s="19"/>
      <c r="BN46" s="19"/>
      <c r="BO46" s="19"/>
      <c r="BP46" s="21"/>
      <c r="BQ46" s="19"/>
      <c r="BZ46" s="19"/>
      <c r="CA46" s="19"/>
      <c r="CB46" s="19"/>
      <c r="CC46" s="19"/>
      <c r="CD46" s="21"/>
      <c r="CE46" s="19"/>
      <c r="CN46" s="19"/>
      <c r="CO46" s="19"/>
      <c r="CP46" s="19"/>
      <c r="CQ46" s="19"/>
      <c r="CR46" s="21"/>
      <c r="CS46" s="19"/>
      <c r="DB46" s="19"/>
      <c r="DC46" s="19"/>
      <c r="DD46" s="19"/>
      <c r="DE46" s="19"/>
      <c r="DF46" s="21"/>
      <c r="DG46" s="19"/>
      <c r="DP46" s="19"/>
      <c r="DQ46" s="19"/>
      <c r="DR46" s="19"/>
      <c r="DS46" s="19"/>
      <c r="DT46" s="21"/>
      <c r="DU46" s="19"/>
      <c r="ED46" s="19"/>
      <c r="EE46" s="19"/>
      <c r="EF46" s="19"/>
      <c r="EG46" s="19"/>
      <c r="EH46" s="21"/>
      <c r="EI46" s="19"/>
      <c r="ER46" s="19"/>
      <c r="ES46" s="19"/>
      <c r="ET46" s="19"/>
      <c r="EU46" s="19"/>
      <c r="EV46" s="21"/>
      <c r="EW46" s="19"/>
      <c r="FF46" s="19"/>
      <c r="FG46" s="19"/>
      <c r="FH46" s="19"/>
      <c r="FI46" s="19"/>
      <c r="FJ46" s="21"/>
      <c r="FK46" s="19"/>
      <c r="FT46" s="19"/>
      <c r="FU46" s="19"/>
      <c r="FV46" s="19"/>
      <c r="FW46" s="19"/>
      <c r="FX46" s="21"/>
      <c r="FY46" s="19"/>
      <c r="GH46" s="19"/>
      <c r="GI46" s="19"/>
      <c r="GJ46" s="19"/>
      <c r="GK46" s="19"/>
      <c r="GL46" s="21"/>
      <c r="GM46" s="19"/>
      <c r="GV46" s="19"/>
      <c r="GW46" s="19"/>
      <c r="GX46" s="19"/>
      <c r="GY46" s="19"/>
      <c r="GZ46" s="21"/>
      <c r="HA46" s="19"/>
      <c r="HJ46" s="19"/>
      <c r="HK46" s="19"/>
      <c r="HL46" s="19"/>
      <c r="HM46" s="19"/>
      <c r="HN46" s="21"/>
      <c r="HO46" s="19"/>
      <c r="HX46" s="19"/>
      <c r="HY46" s="19"/>
      <c r="HZ46" s="19"/>
      <c r="IA46" s="19"/>
      <c r="IB46" s="21"/>
      <c r="IC46" s="19"/>
      <c r="IL46" s="19"/>
      <c r="IM46" s="19"/>
      <c r="IN46" s="19"/>
      <c r="IO46" s="19"/>
      <c r="IP46" s="21"/>
      <c r="IQ46" s="19"/>
      <c r="IZ46" s="19"/>
      <c r="JA46" s="19"/>
      <c r="JB46" s="19"/>
      <c r="JC46" s="19"/>
      <c r="JD46" s="21"/>
      <c r="JE46" s="19"/>
      <c r="JN46" s="19"/>
      <c r="JO46" s="19"/>
      <c r="JP46" s="19"/>
      <c r="JQ46" s="19"/>
      <c r="JR46" s="21"/>
      <c r="JS46" s="19"/>
      <c r="KB46" s="19"/>
      <c r="KC46" s="19"/>
      <c r="KD46" s="19"/>
      <c r="KE46" s="19"/>
      <c r="KF46" s="21"/>
      <c r="KG46" s="19"/>
      <c r="KP46" s="19"/>
      <c r="KQ46" s="19"/>
      <c r="KR46" s="19"/>
      <c r="KS46" s="19"/>
      <c r="KT46" s="21"/>
      <c r="KU46" s="19"/>
      <c r="LD46" s="19"/>
      <c r="LE46" s="19"/>
      <c r="LF46" s="19"/>
      <c r="LG46" s="19"/>
      <c r="LH46" s="21"/>
      <c r="LI46" s="19"/>
      <c r="LR46" s="19"/>
      <c r="LS46" s="19"/>
      <c r="LT46" s="19"/>
      <c r="LU46" s="19"/>
      <c r="LV46" s="21"/>
      <c r="LW46" s="19"/>
      <c r="MF46" s="19"/>
      <c r="MG46" s="19"/>
      <c r="MH46" s="19"/>
      <c r="MI46" s="19"/>
      <c r="MJ46" s="21"/>
      <c r="MK46" s="19"/>
      <c r="MT46" s="19"/>
      <c r="MU46" s="19"/>
      <c r="MV46" s="19"/>
      <c r="MW46" s="19"/>
      <c r="MX46" s="21"/>
      <c r="MY46" s="19"/>
      <c r="NH46" s="19"/>
      <c r="NI46" s="19"/>
      <c r="NJ46" s="19"/>
      <c r="NK46" s="19"/>
      <c r="NL46" s="21"/>
      <c r="NM46" s="19"/>
      <c r="NV46" s="19"/>
      <c r="NW46" s="19"/>
      <c r="NX46" s="19"/>
      <c r="NY46" s="19"/>
      <c r="NZ46" s="21"/>
      <c r="OA46" s="19"/>
      <c r="OJ46" s="19"/>
      <c r="OK46" s="19"/>
      <c r="OL46" s="19"/>
      <c r="OM46" s="19"/>
      <c r="ON46" s="21"/>
      <c r="OO46" s="19"/>
      <c r="OX46" s="19"/>
      <c r="OY46" s="19"/>
      <c r="OZ46" s="19"/>
      <c r="PA46" s="19"/>
      <c r="PB46" s="21"/>
      <c r="PC46" s="19"/>
      <c r="PL46" s="19"/>
      <c r="PM46" s="19"/>
      <c r="PN46" s="19"/>
      <c r="PO46" s="19"/>
      <c r="PP46" s="21"/>
      <c r="PQ46" s="19"/>
      <c r="PZ46" s="19"/>
      <c r="QA46" s="19"/>
      <c r="QB46" s="19"/>
      <c r="QC46" s="19"/>
      <c r="QD46" s="21"/>
      <c r="QE46" s="19"/>
      <c r="QN46" s="19"/>
      <c r="QO46" s="19"/>
      <c r="QP46" s="19"/>
      <c r="QQ46" s="19"/>
      <c r="QR46" s="21"/>
      <c r="QS46" s="19"/>
      <c r="RB46" s="19"/>
      <c r="RC46" s="19"/>
      <c r="RD46" s="19"/>
      <c r="RE46" s="19"/>
      <c r="RF46" s="21"/>
      <c r="RG46" s="19"/>
      <c r="RP46" s="19"/>
      <c r="RQ46" s="19"/>
      <c r="RR46" s="19"/>
      <c r="RS46" s="19"/>
      <c r="RT46" s="21"/>
      <c r="RU46" s="19"/>
      <c r="SD46" s="19"/>
      <c r="SE46" s="19"/>
      <c r="SF46" s="19"/>
      <c r="SG46" s="19"/>
      <c r="SH46" s="21"/>
      <c r="SI46" s="19"/>
      <c r="SR46" s="19"/>
      <c r="SS46" s="19"/>
      <c r="ST46" s="19"/>
      <c r="SU46" s="19"/>
      <c r="SV46" s="21"/>
      <c r="SW46" s="19"/>
      <c r="TF46" s="19"/>
      <c r="TG46" s="19"/>
      <c r="TH46" s="19"/>
      <c r="TI46" s="19"/>
      <c r="TJ46" s="21"/>
      <c r="TK46" s="19"/>
      <c r="TT46" s="19"/>
      <c r="TU46" s="19"/>
      <c r="TV46" s="19"/>
      <c r="TW46" s="19"/>
      <c r="TX46" s="21"/>
      <c r="TY46" s="19"/>
      <c r="UH46" s="19"/>
      <c r="UI46" s="19"/>
      <c r="UJ46" s="19"/>
      <c r="UK46" s="19"/>
      <c r="UL46" s="21"/>
      <c r="UM46" s="19"/>
      <c r="UV46" s="19"/>
      <c r="UW46" s="19"/>
      <c r="UX46" s="19"/>
      <c r="UY46" s="19"/>
      <c r="UZ46" s="21"/>
      <c r="VA46" s="19"/>
      <c r="VJ46" s="19"/>
      <c r="VK46" s="19"/>
      <c r="VL46" s="19"/>
      <c r="VM46" s="19"/>
      <c r="VN46" s="21"/>
      <c r="VO46" s="19"/>
      <c r="VX46" s="19"/>
      <c r="VY46" s="19"/>
      <c r="VZ46" s="19"/>
      <c r="WA46" s="19"/>
      <c r="WB46" s="21"/>
      <c r="WC46" s="19"/>
      <c r="WL46" s="19"/>
      <c r="WM46" s="19"/>
      <c r="WN46" s="19"/>
      <c r="WO46" s="19"/>
      <c r="WP46" s="21"/>
      <c r="WQ46" s="19"/>
      <c r="WZ46" s="19"/>
      <c r="XA46" s="19"/>
      <c r="XB46" s="19"/>
      <c r="XC46" s="19"/>
      <c r="XD46" s="21"/>
      <c r="XE46" s="19"/>
      <c r="XN46" s="19"/>
      <c r="XO46" s="19"/>
      <c r="XP46" s="19"/>
      <c r="XQ46" s="19"/>
      <c r="XR46" s="21"/>
      <c r="XS46" s="19"/>
      <c r="YB46" s="19"/>
      <c r="YC46" s="19"/>
      <c r="YD46" s="19"/>
      <c r="YE46" s="19"/>
      <c r="YF46" s="21"/>
      <c r="YG46" s="19"/>
      <c r="YP46" s="19"/>
      <c r="YQ46" s="19"/>
      <c r="YR46" s="19"/>
      <c r="YS46" s="19"/>
      <c r="YT46" s="21"/>
      <c r="YU46" s="19"/>
      <c r="ZD46" s="19"/>
      <c r="ZE46" s="19"/>
      <c r="ZF46" s="19"/>
      <c r="ZG46" s="19"/>
      <c r="ZH46" s="21"/>
      <c r="ZI46" s="19"/>
      <c r="ZR46" s="19"/>
      <c r="ZS46" s="19"/>
      <c r="ZT46" s="19"/>
      <c r="ZU46" s="19"/>
      <c r="ZV46" s="21"/>
      <c r="ZW46" s="19"/>
      <c r="AAF46" s="19"/>
      <c r="AAG46" s="19"/>
      <c r="AAH46" s="19"/>
      <c r="AAI46" s="19"/>
      <c r="AAJ46" s="21"/>
      <c r="AAK46" s="19"/>
      <c r="AAT46" s="19"/>
      <c r="AAU46" s="19"/>
      <c r="AAV46" s="19"/>
      <c r="AAW46" s="19"/>
      <c r="AAX46" s="21"/>
      <c r="AAY46" s="19"/>
      <c r="ABH46" s="19"/>
      <c r="ABI46" s="19"/>
      <c r="ABJ46" s="19"/>
      <c r="ABK46" s="19"/>
      <c r="ABL46" s="21"/>
      <c r="ABM46" s="19"/>
      <c r="ABV46" s="19"/>
      <c r="ABW46" s="19"/>
      <c r="ABX46" s="19"/>
      <c r="ABY46" s="19"/>
      <c r="ABZ46" s="21"/>
      <c r="ACA46" s="19"/>
      <c r="ACJ46" s="19"/>
      <c r="ACK46" s="19"/>
      <c r="ACL46" s="19"/>
      <c r="ACM46" s="19"/>
      <c r="ACN46" s="21"/>
      <c r="ACO46" s="19"/>
      <c r="ACX46" s="19"/>
      <c r="ACY46" s="19"/>
      <c r="ACZ46" s="19"/>
      <c r="ADA46" s="19"/>
      <c r="ADB46" s="21"/>
      <c r="ADC46" s="19"/>
      <c r="ADL46" s="19"/>
      <c r="ADM46" s="19"/>
      <c r="ADN46" s="19"/>
      <c r="ADO46" s="19"/>
      <c r="ADP46" s="21"/>
      <c r="ADQ46" s="19"/>
      <c r="ADZ46" s="19"/>
      <c r="AEA46" s="19"/>
      <c r="AEB46" s="19"/>
      <c r="AEC46" s="19"/>
      <c r="AED46" s="21"/>
      <c r="AEE46" s="19"/>
      <c r="AEN46" s="19"/>
      <c r="AEO46" s="19"/>
      <c r="AEP46" s="19"/>
      <c r="AEQ46" s="19"/>
      <c r="AER46" s="21"/>
      <c r="AES46" s="19"/>
      <c r="AFB46" s="19"/>
      <c r="AFC46" s="19"/>
      <c r="AFD46" s="19"/>
      <c r="AFE46" s="19"/>
      <c r="AFF46" s="21"/>
      <c r="AFG46" s="19"/>
      <c r="AFP46" s="19"/>
      <c r="AFQ46" s="19"/>
      <c r="AFR46" s="19"/>
      <c r="AFS46" s="19"/>
      <c r="AFT46" s="21"/>
      <c r="AFU46" s="19"/>
      <c r="AGD46" s="19"/>
      <c r="AGE46" s="19"/>
      <c r="AGF46" s="19"/>
      <c r="AGG46" s="19"/>
      <c r="AGH46" s="21"/>
      <c r="AGI46" s="19"/>
      <c r="AGR46" s="19"/>
      <c r="AGS46" s="19"/>
      <c r="AGT46" s="19"/>
      <c r="AGU46" s="19"/>
      <c r="AGV46" s="21"/>
      <c r="AGW46" s="19"/>
      <c r="AHF46" s="19"/>
      <c r="AHG46" s="19"/>
      <c r="AHH46" s="19"/>
      <c r="AHI46" s="19"/>
      <c r="AHJ46" s="21"/>
      <c r="AHK46" s="19"/>
      <c r="AHT46" s="19"/>
      <c r="AHU46" s="19"/>
      <c r="AHV46" s="19"/>
      <c r="AHW46" s="19"/>
      <c r="AHX46" s="21"/>
      <c r="AHY46" s="19"/>
      <c r="AIH46" s="19"/>
      <c r="AII46" s="19"/>
      <c r="AIJ46" s="19"/>
      <c r="AIK46" s="19"/>
      <c r="AIL46" s="21"/>
      <c r="AIM46" s="19"/>
      <c r="AIV46" s="19"/>
      <c r="AIW46" s="19"/>
      <c r="AIX46" s="19"/>
      <c r="AIY46" s="19"/>
      <c r="AIZ46" s="21"/>
      <c r="AJA46" s="19"/>
      <c r="AJJ46" s="19"/>
      <c r="AJK46" s="19"/>
      <c r="AJL46" s="19"/>
      <c r="AJM46" s="19"/>
      <c r="AJN46" s="21"/>
      <c r="AJO46" s="19"/>
      <c r="AJX46" s="19"/>
      <c r="AJY46" s="19"/>
      <c r="AJZ46" s="19"/>
      <c r="AKA46" s="19"/>
      <c r="AKB46" s="21"/>
      <c r="AKC46" s="19"/>
      <c r="AKL46" s="19"/>
      <c r="AKM46" s="19"/>
      <c r="AKN46" s="19"/>
      <c r="AKO46" s="19"/>
      <c r="AKP46" s="21"/>
      <c r="AKQ46" s="19"/>
      <c r="AKZ46" s="19"/>
      <c r="ALA46" s="19"/>
      <c r="ALB46" s="19"/>
      <c r="ALC46" s="19"/>
      <c r="ALD46" s="21"/>
      <c r="ALE46" s="19"/>
      <c r="ALN46" s="19"/>
      <c r="ALO46" s="19"/>
      <c r="ALP46" s="19"/>
      <c r="ALQ46" s="19"/>
      <c r="ALR46" s="21"/>
      <c r="ALS46" s="19"/>
      <c r="AMB46" s="19"/>
      <c r="AMC46" s="19"/>
      <c r="AMD46" s="19"/>
      <c r="AME46" s="19"/>
      <c r="AMF46" s="21"/>
      <c r="AMG46" s="19"/>
      <c r="AMP46" s="19"/>
      <c r="AMQ46" s="19"/>
      <c r="AMR46" s="19"/>
      <c r="AMS46" s="19"/>
      <c r="AMT46" s="21"/>
      <c r="AMU46" s="19"/>
      <c r="AND46" s="19"/>
      <c r="ANE46" s="19"/>
      <c r="ANF46" s="19"/>
      <c r="ANG46" s="19"/>
      <c r="ANH46" s="21"/>
      <c r="ANI46" s="19"/>
      <c r="ANR46" s="19"/>
      <c r="ANS46" s="19"/>
      <c r="ANT46" s="19"/>
      <c r="ANU46" s="19"/>
      <c r="ANV46" s="21"/>
      <c r="ANW46" s="19"/>
      <c r="AOF46" s="19"/>
      <c r="AOG46" s="19"/>
      <c r="AOH46" s="19"/>
      <c r="AOI46" s="19"/>
      <c r="AOJ46" s="21"/>
      <c r="AOK46" s="19"/>
      <c r="AOT46" s="19"/>
      <c r="AOU46" s="19"/>
      <c r="AOV46" s="19"/>
      <c r="AOW46" s="19"/>
      <c r="AOX46" s="21"/>
      <c r="AOY46" s="19"/>
      <c r="APH46" s="19"/>
      <c r="API46" s="19"/>
      <c r="APJ46" s="19"/>
      <c r="APK46" s="19"/>
      <c r="APL46" s="21"/>
      <c r="APM46" s="19"/>
      <c r="APV46" s="19"/>
      <c r="APW46" s="19"/>
      <c r="APX46" s="19"/>
      <c r="APY46" s="19"/>
      <c r="APZ46" s="21"/>
      <c r="AQA46" s="19"/>
      <c r="AQJ46" s="19"/>
      <c r="AQK46" s="19"/>
      <c r="AQL46" s="19"/>
      <c r="AQM46" s="19"/>
      <c r="AQN46" s="21"/>
      <c r="AQO46" s="19"/>
      <c r="AQX46" s="19"/>
      <c r="AQY46" s="19"/>
      <c r="AQZ46" s="19"/>
      <c r="ARA46" s="19"/>
      <c r="ARB46" s="21"/>
      <c r="ARC46" s="19"/>
      <c r="ARL46" s="19"/>
      <c r="ARM46" s="19"/>
      <c r="ARN46" s="19"/>
      <c r="ARO46" s="19"/>
      <c r="ARP46" s="21"/>
      <c r="ARQ46" s="19"/>
      <c r="ARZ46" s="19"/>
      <c r="ASA46" s="19"/>
      <c r="ASB46" s="19"/>
      <c r="ASC46" s="19"/>
      <c r="ASD46" s="21"/>
      <c r="ASE46" s="19"/>
      <c r="ASN46" s="19"/>
      <c r="ASO46" s="19"/>
      <c r="ASP46" s="19"/>
      <c r="ASQ46" s="19"/>
      <c r="ASR46" s="21"/>
      <c r="ASS46" s="19"/>
      <c r="ATB46" s="19"/>
      <c r="ATC46" s="19"/>
      <c r="ATD46" s="19"/>
      <c r="ATE46" s="19"/>
      <c r="ATF46" s="21"/>
      <c r="ATG46" s="19"/>
      <c r="ATP46" s="19"/>
      <c r="ATQ46" s="19"/>
      <c r="ATR46" s="19"/>
      <c r="ATS46" s="19"/>
      <c r="ATT46" s="21"/>
      <c r="ATU46" s="19"/>
      <c r="AUD46" s="19"/>
      <c r="AUE46" s="19"/>
      <c r="AUF46" s="19"/>
      <c r="AUG46" s="19"/>
      <c r="AUH46" s="21"/>
      <c r="AUI46" s="19"/>
      <c r="AUR46" s="19"/>
      <c r="AUS46" s="19"/>
      <c r="AUT46" s="19"/>
      <c r="AUU46" s="19"/>
      <c r="AUV46" s="21"/>
      <c r="AUW46" s="19"/>
      <c r="AVF46" s="19"/>
      <c r="AVG46" s="19"/>
      <c r="AVH46" s="19"/>
      <c r="AVI46" s="19"/>
      <c r="AVJ46" s="21"/>
      <c r="AVK46" s="19"/>
      <c r="AVT46" s="19"/>
      <c r="AVU46" s="19"/>
      <c r="AVV46" s="19"/>
      <c r="AVW46" s="19"/>
      <c r="AVX46" s="21"/>
      <c r="AVY46" s="19"/>
      <c r="AWH46" s="19"/>
      <c r="AWI46" s="19"/>
      <c r="AWJ46" s="19"/>
      <c r="AWK46" s="19"/>
      <c r="AWL46" s="21"/>
      <c r="AWM46" s="19"/>
      <c r="AWV46" s="19"/>
      <c r="AWW46" s="19"/>
      <c r="AWX46" s="19"/>
      <c r="AWY46" s="19"/>
      <c r="AWZ46" s="21"/>
      <c r="AXA46" s="19"/>
      <c r="AXJ46" s="19"/>
      <c r="AXK46" s="19"/>
      <c r="AXL46" s="19"/>
      <c r="AXM46" s="19"/>
      <c r="AXN46" s="21"/>
      <c r="AXO46" s="19"/>
      <c r="AXX46" s="19"/>
      <c r="AXY46" s="19"/>
      <c r="AXZ46" s="19"/>
      <c r="AYA46" s="19"/>
      <c r="AYB46" s="21"/>
      <c r="AYC46" s="19"/>
      <c r="AYL46" s="19"/>
      <c r="AYM46" s="19"/>
      <c r="AYN46" s="19"/>
      <c r="AYO46" s="19"/>
      <c r="AYP46" s="21"/>
      <c r="AYQ46" s="19"/>
      <c r="AYZ46" s="19"/>
      <c r="AZA46" s="19"/>
      <c r="AZB46" s="19"/>
      <c r="AZC46" s="19"/>
      <c r="AZD46" s="21"/>
      <c r="AZE46" s="19"/>
      <c r="AZN46" s="19"/>
      <c r="AZO46" s="19"/>
      <c r="AZP46" s="19"/>
      <c r="AZQ46" s="19"/>
      <c r="AZR46" s="21"/>
      <c r="AZS46" s="19"/>
      <c r="BAB46" s="19"/>
      <c r="BAC46" s="19"/>
      <c r="BAD46" s="19"/>
      <c r="BAE46" s="19"/>
      <c r="BAF46" s="21"/>
      <c r="BAG46" s="19"/>
      <c r="BAP46" s="19"/>
      <c r="BAQ46" s="19"/>
      <c r="BAR46" s="19"/>
      <c r="BAS46" s="19"/>
      <c r="BAT46" s="21"/>
      <c r="BAU46" s="19"/>
      <c r="BBD46" s="19"/>
      <c r="BBE46" s="19"/>
      <c r="BBF46" s="19"/>
      <c r="BBG46" s="19"/>
      <c r="BBH46" s="21"/>
      <c r="BBI46" s="19"/>
      <c r="BBR46" s="19"/>
      <c r="BBS46" s="19"/>
      <c r="BBT46" s="19"/>
      <c r="BBU46" s="19"/>
      <c r="BBV46" s="21"/>
      <c r="BBW46" s="19"/>
      <c r="BCF46" s="19"/>
      <c r="BCG46" s="19"/>
      <c r="BCH46" s="19"/>
      <c r="BCI46" s="19"/>
      <c r="BCJ46" s="21"/>
      <c r="BCK46" s="19"/>
      <c r="BCT46" s="19"/>
      <c r="BCU46" s="19"/>
      <c r="BCV46" s="19"/>
      <c r="BCW46" s="19"/>
      <c r="BCX46" s="21"/>
      <c r="BCY46" s="19"/>
      <c r="BDH46" s="19"/>
      <c r="BDI46" s="19"/>
      <c r="BDJ46" s="19"/>
      <c r="BDK46" s="19"/>
      <c r="BDL46" s="21"/>
      <c r="BDM46" s="19"/>
      <c r="BDV46" s="19"/>
      <c r="BDW46" s="19"/>
      <c r="BDX46" s="19"/>
      <c r="BDY46" s="19"/>
      <c r="BDZ46" s="21"/>
      <c r="BEA46" s="19"/>
      <c r="BEJ46" s="19"/>
      <c r="BEK46" s="19"/>
      <c r="BEL46" s="19"/>
      <c r="BEM46" s="19"/>
      <c r="BEN46" s="21"/>
      <c r="BEO46" s="19"/>
      <c r="BEX46" s="19"/>
      <c r="BEY46" s="19"/>
      <c r="BEZ46" s="19"/>
      <c r="BFA46" s="19"/>
      <c r="BFB46" s="21"/>
      <c r="BFC46" s="19"/>
      <c r="BFL46" s="19"/>
      <c r="BFM46" s="19"/>
      <c r="BFN46" s="19"/>
      <c r="BFO46" s="19"/>
      <c r="BFP46" s="21"/>
      <c r="BFQ46" s="19"/>
      <c r="BFZ46" s="19"/>
      <c r="BGA46" s="19"/>
      <c r="BGB46" s="19"/>
      <c r="BGC46" s="19"/>
      <c r="BGD46" s="21"/>
      <c r="BGE46" s="19"/>
      <c r="BGN46" s="19"/>
      <c r="BGO46" s="19"/>
      <c r="BGP46" s="19"/>
      <c r="BGQ46" s="19"/>
      <c r="BGR46" s="21"/>
      <c r="BGS46" s="19"/>
      <c r="BHB46" s="19"/>
      <c r="BHC46" s="19"/>
      <c r="BHD46" s="19"/>
      <c r="BHE46" s="19"/>
      <c r="BHF46" s="21"/>
      <c r="BHG46" s="19"/>
      <c r="BHP46" s="19"/>
      <c r="BHQ46" s="19"/>
      <c r="BHR46" s="19"/>
      <c r="BHS46" s="19"/>
      <c r="BHT46" s="21"/>
      <c r="BHU46" s="19"/>
      <c r="BID46" s="19"/>
      <c r="BIE46" s="19"/>
      <c r="BIF46" s="19"/>
      <c r="BIG46" s="19"/>
      <c r="BIH46" s="21"/>
      <c r="BII46" s="19"/>
      <c r="BIR46" s="19"/>
      <c r="BIS46" s="19"/>
      <c r="BIT46" s="19"/>
      <c r="BIU46" s="19"/>
      <c r="BIV46" s="21"/>
      <c r="BIW46" s="19"/>
      <c r="BJF46" s="19"/>
      <c r="BJG46" s="19"/>
      <c r="BJH46" s="19"/>
      <c r="BJI46" s="19"/>
      <c r="BJJ46" s="21"/>
      <c r="BJK46" s="19"/>
      <c r="BJT46" s="19"/>
      <c r="BJU46" s="19"/>
      <c r="BJV46" s="19"/>
      <c r="BJW46" s="19"/>
      <c r="BJX46" s="21"/>
      <c r="BJY46" s="19"/>
      <c r="BKH46" s="19"/>
      <c r="BKI46" s="19"/>
      <c r="BKJ46" s="19"/>
      <c r="BKK46" s="19"/>
      <c r="BKL46" s="21"/>
      <c r="BKM46" s="19"/>
      <c r="BKV46" s="19"/>
      <c r="BKW46" s="19"/>
      <c r="BKX46" s="19"/>
      <c r="BKY46" s="19"/>
      <c r="BKZ46" s="21"/>
      <c r="BLA46" s="19"/>
      <c r="BLJ46" s="19"/>
      <c r="BLK46" s="19"/>
      <c r="BLL46" s="19"/>
      <c r="BLM46" s="19"/>
      <c r="BLN46" s="21"/>
      <c r="BLO46" s="19"/>
      <c r="BLX46" s="19"/>
      <c r="BLY46" s="19"/>
      <c r="BLZ46" s="19"/>
      <c r="BMA46" s="19"/>
      <c r="BMB46" s="21"/>
      <c r="BMC46" s="19"/>
      <c r="BML46" s="19"/>
      <c r="BMM46" s="19"/>
      <c r="BMN46" s="19"/>
      <c r="BMO46" s="19"/>
      <c r="BMP46" s="21"/>
      <c r="BMQ46" s="19"/>
      <c r="BMZ46" s="19"/>
      <c r="BNA46" s="19"/>
      <c r="BNB46" s="19"/>
      <c r="BNC46" s="19"/>
      <c r="BND46" s="21"/>
      <c r="BNE46" s="19"/>
      <c r="BNN46" s="19"/>
      <c r="BNO46" s="19"/>
      <c r="BNP46" s="19"/>
      <c r="BNQ46" s="19"/>
      <c r="BNR46" s="21"/>
      <c r="BNS46" s="19"/>
      <c r="BOB46" s="19"/>
      <c r="BOC46" s="19"/>
      <c r="BOD46" s="19"/>
      <c r="BOE46" s="19"/>
      <c r="BOF46" s="21"/>
      <c r="BOG46" s="19"/>
      <c r="BOP46" s="19"/>
      <c r="BOQ46" s="19"/>
      <c r="BOR46" s="19"/>
      <c r="BOS46" s="19"/>
      <c r="BOT46" s="21"/>
      <c r="BOU46" s="19"/>
      <c r="BPD46" s="19"/>
      <c r="BPE46" s="19"/>
      <c r="BPF46" s="19"/>
      <c r="BPG46" s="19"/>
      <c r="BPH46" s="21"/>
      <c r="BPI46" s="19"/>
      <c r="BPR46" s="19"/>
      <c r="BPS46" s="19"/>
      <c r="BPT46" s="19"/>
      <c r="BPU46" s="19"/>
      <c r="BPV46" s="21"/>
      <c r="BPW46" s="19"/>
      <c r="BQF46" s="19"/>
      <c r="BQG46" s="19"/>
      <c r="BQH46" s="19"/>
      <c r="BQI46" s="19"/>
      <c r="BQJ46" s="21"/>
      <c r="BQK46" s="19"/>
      <c r="BQT46" s="19"/>
      <c r="BQU46" s="19"/>
      <c r="BQV46" s="19"/>
      <c r="BQW46" s="19"/>
      <c r="BQX46" s="21"/>
      <c r="BQY46" s="19"/>
      <c r="BRH46" s="19"/>
      <c r="BRI46" s="19"/>
      <c r="BRJ46" s="19"/>
      <c r="BRK46" s="19"/>
      <c r="BRL46" s="21"/>
      <c r="BRM46" s="19"/>
      <c r="BRV46" s="19"/>
      <c r="BRW46" s="19"/>
      <c r="BRX46" s="19"/>
      <c r="BRY46" s="19"/>
      <c r="BRZ46" s="21"/>
      <c r="BSA46" s="19"/>
      <c r="BSJ46" s="19"/>
      <c r="BSK46" s="19"/>
      <c r="BSL46" s="19"/>
      <c r="BSM46" s="19"/>
      <c r="BSN46" s="21"/>
      <c r="BSO46" s="19"/>
      <c r="BSX46" s="19"/>
      <c r="BSY46" s="19"/>
      <c r="BSZ46" s="19"/>
      <c r="BTA46" s="19"/>
      <c r="BTB46" s="21"/>
      <c r="BTC46" s="19"/>
      <c r="BTL46" s="19"/>
      <c r="BTM46" s="19"/>
      <c r="BTN46" s="19"/>
      <c r="BTO46" s="19"/>
      <c r="BTP46" s="21"/>
      <c r="BTQ46" s="19"/>
      <c r="BTZ46" s="19"/>
      <c r="BUA46" s="19"/>
      <c r="BUB46" s="19"/>
      <c r="BUC46" s="19"/>
      <c r="BUD46" s="21"/>
      <c r="BUE46" s="19"/>
      <c r="BUN46" s="19"/>
      <c r="BUO46" s="19"/>
      <c r="BUP46" s="19"/>
      <c r="BUQ46" s="19"/>
      <c r="BUR46" s="21"/>
      <c r="BUS46" s="19"/>
      <c r="BVB46" s="19"/>
      <c r="BVC46" s="19"/>
      <c r="BVD46" s="19"/>
      <c r="BVE46" s="19"/>
      <c r="BVF46" s="21"/>
      <c r="BVG46" s="19"/>
      <c r="BVP46" s="19"/>
      <c r="BVQ46" s="19"/>
      <c r="BVR46" s="19"/>
      <c r="BVS46" s="19"/>
      <c r="BVT46" s="21"/>
      <c r="BVU46" s="19"/>
      <c r="BWD46" s="19"/>
      <c r="BWE46" s="19"/>
      <c r="BWF46" s="19"/>
      <c r="BWG46" s="19"/>
      <c r="BWH46" s="21"/>
      <c r="BWI46" s="19"/>
      <c r="BWR46" s="19"/>
      <c r="BWS46" s="19"/>
      <c r="BWT46" s="19"/>
      <c r="BWU46" s="19"/>
      <c r="BWV46" s="21"/>
      <c r="BWW46" s="19"/>
      <c r="BXF46" s="19"/>
      <c r="BXG46" s="19"/>
      <c r="BXH46" s="19"/>
      <c r="BXI46" s="19"/>
      <c r="BXJ46" s="21"/>
      <c r="BXK46" s="19"/>
      <c r="BXT46" s="19"/>
      <c r="BXU46" s="19"/>
      <c r="BXV46" s="19"/>
      <c r="BXW46" s="19"/>
      <c r="BXX46" s="21"/>
      <c r="BXY46" s="19"/>
      <c r="BYH46" s="19"/>
      <c r="BYI46" s="19"/>
      <c r="BYJ46" s="19"/>
      <c r="BYK46" s="19"/>
      <c r="BYL46" s="21"/>
      <c r="BYM46" s="19"/>
      <c r="BYV46" s="19"/>
      <c r="BYW46" s="19"/>
      <c r="BYX46" s="19"/>
      <c r="BYY46" s="19"/>
      <c r="BYZ46" s="21"/>
      <c r="BZA46" s="19"/>
      <c r="BZJ46" s="19"/>
      <c r="BZK46" s="19"/>
      <c r="BZL46" s="19"/>
      <c r="BZM46" s="19"/>
      <c r="BZN46" s="21"/>
      <c r="BZO46" s="19"/>
      <c r="BZX46" s="19"/>
      <c r="BZY46" s="19"/>
      <c r="BZZ46" s="19"/>
      <c r="CAA46" s="19"/>
      <c r="CAB46" s="21"/>
      <c r="CAC46" s="19"/>
      <c r="CAL46" s="19"/>
      <c r="CAM46" s="19"/>
      <c r="CAN46" s="19"/>
      <c r="CAO46" s="19"/>
      <c r="CAP46" s="21"/>
      <c r="CAQ46" s="19"/>
      <c r="CAZ46" s="19"/>
      <c r="CBA46" s="19"/>
      <c r="CBB46" s="19"/>
      <c r="CBC46" s="19"/>
      <c r="CBD46" s="21"/>
      <c r="CBE46" s="19"/>
      <c r="CBN46" s="19"/>
      <c r="CBO46" s="19"/>
      <c r="CBP46" s="19"/>
      <c r="CBQ46" s="19"/>
      <c r="CBR46" s="21"/>
      <c r="CBS46" s="19"/>
      <c r="CCB46" s="19"/>
      <c r="CCC46" s="19"/>
      <c r="CCD46" s="19"/>
      <c r="CCE46" s="19"/>
      <c r="CCF46" s="21"/>
      <c r="CCG46" s="19"/>
      <c r="CCP46" s="19"/>
      <c r="CCQ46" s="19"/>
      <c r="CCR46" s="19"/>
      <c r="CCS46" s="19"/>
      <c r="CCT46" s="21"/>
      <c r="CCU46" s="19"/>
      <c r="CDD46" s="19"/>
      <c r="CDE46" s="19"/>
      <c r="CDF46" s="19"/>
      <c r="CDG46" s="19"/>
      <c r="CDH46" s="21"/>
      <c r="CDI46" s="19"/>
      <c r="CDR46" s="19"/>
      <c r="CDS46" s="19"/>
      <c r="CDT46" s="19"/>
      <c r="CDU46" s="19"/>
      <c r="CDV46" s="21"/>
      <c r="CDW46" s="19"/>
      <c r="CEF46" s="19"/>
      <c r="CEG46" s="19"/>
      <c r="CEH46" s="19"/>
      <c r="CEI46" s="19"/>
      <c r="CEJ46" s="21"/>
      <c r="CEK46" s="19"/>
      <c r="CET46" s="19"/>
      <c r="CEU46" s="19"/>
      <c r="CEV46" s="19"/>
      <c r="CEW46" s="19"/>
      <c r="CEX46" s="21"/>
      <c r="CEY46" s="19"/>
      <c r="CFH46" s="19"/>
      <c r="CFI46" s="19"/>
      <c r="CFJ46" s="19"/>
      <c r="CFK46" s="19"/>
      <c r="CFL46" s="21"/>
      <c r="CFM46" s="19"/>
      <c r="CFV46" s="19"/>
      <c r="CFW46" s="19"/>
      <c r="CFX46" s="19"/>
      <c r="CFY46" s="19"/>
      <c r="CFZ46" s="21"/>
      <c r="CGA46" s="19"/>
      <c r="CGJ46" s="19"/>
      <c r="CGK46" s="19"/>
      <c r="CGL46" s="19"/>
      <c r="CGM46" s="19"/>
      <c r="CGN46" s="21"/>
      <c r="CGO46" s="19"/>
      <c r="CGX46" s="19"/>
      <c r="CGY46" s="19"/>
      <c r="CGZ46" s="19"/>
      <c r="CHA46" s="19"/>
      <c r="CHB46" s="21"/>
      <c r="CHC46" s="19"/>
      <c r="CHL46" s="19"/>
      <c r="CHM46" s="19"/>
      <c r="CHN46" s="19"/>
      <c r="CHO46" s="19"/>
      <c r="CHP46" s="21"/>
      <c r="CHQ46" s="19"/>
      <c r="CHZ46" s="19"/>
      <c r="CIA46" s="19"/>
      <c r="CIB46" s="19"/>
      <c r="CIC46" s="19"/>
      <c r="CID46" s="21"/>
      <c r="CIE46" s="19"/>
      <c r="CIN46" s="19"/>
      <c r="CIO46" s="19"/>
      <c r="CIP46" s="19"/>
      <c r="CIQ46" s="19"/>
      <c r="CIR46" s="21"/>
      <c r="CIS46" s="19"/>
      <c r="CJB46" s="19"/>
      <c r="CJC46" s="19"/>
      <c r="CJD46" s="19"/>
      <c r="CJE46" s="19"/>
      <c r="CJF46" s="21"/>
      <c r="CJG46" s="19"/>
      <c r="CJP46" s="19"/>
      <c r="CJQ46" s="19"/>
      <c r="CJR46" s="19"/>
      <c r="CJS46" s="19"/>
      <c r="CJT46" s="21"/>
      <c r="CJU46" s="19"/>
      <c r="CKD46" s="19"/>
      <c r="CKE46" s="19"/>
      <c r="CKF46" s="19"/>
      <c r="CKG46" s="19"/>
      <c r="CKH46" s="21"/>
      <c r="CKI46" s="19"/>
      <c r="CKR46" s="19"/>
      <c r="CKS46" s="19"/>
      <c r="CKT46" s="19"/>
      <c r="CKU46" s="19"/>
      <c r="CKV46" s="21"/>
      <c r="CKW46" s="19"/>
      <c r="CLF46" s="19"/>
      <c r="CLG46" s="19"/>
      <c r="CLH46" s="19"/>
      <c r="CLI46" s="19"/>
      <c r="CLJ46" s="21"/>
      <c r="CLK46" s="19"/>
      <c r="CLT46" s="19"/>
      <c r="CLU46" s="19"/>
      <c r="CLV46" s="19"/>
      <c r="CLW46" s="19"/>
      <c r="CLX46" s="21"/>
      <c r="CLY46" s="19"/>
      <c r="CMH46" s="19"/>
      <c r="CMI46" s="19"/>
      <c r="CMJ46" s="19"/>
      <c r="CMK46" s="19"/>
      <c r="CML46" s="21"/>
      <c r="CMM46" s="19"/>
      <c r="CMV46" s="19"/>
      <c r="CMW46" s="19"/>
      <c r="CMX46" s="19"/>
      <c r="CMY46" s="19"/>
      <c r="CMZ46" s="21"/>
      <c r="CNA46" s="19"/>
      <c r="CNJ46" s="19"/>
      <c r="CNK46" s="19"/>
      <c r="CNL46" s="19"/>
      <c r="CNM46" s="19"/>
      <c r="CNN46" s="21"/>
      <c r="CNO46" s="19"/>
      <c r="CNX46" s="19"/>
      <c r="CNY46" s="19"/>
      <c r="CNZ46" s="19"/>
      <c r="COA46" s="19"/>
      <c r="COB46" s="21"/>
      <c r="COC46" s="19"/>
      <c r="COL46" s="19"/>
      <c r="COM46" s="19"/>
      <c r="CON46" s="19"/>
      <c r="COO46" s="19"/>
      <c r="COP46" s="21"/>
      <c r="COQ46" s="19"/>
      <c r="COZ46" s="19"/>
      <c r="CPA46" s="19"/>
      <c r="CPB46" s="19"/>
      <c r="CPC46" s="19"/>
      <c r="CPD46" s="21"/>
      <c r="CPE46" s="19"/>
      <c r="CPN46" s="19"/>
      <c r="CPO46" s="19"/>
      <c r="CPP46" s="19"/>
      <c r="CPQ46" s="19"/>
      <c r="CPR46" s="21"/>
      <c r="CPS46" s="19"/>
      <c r="CQB46" s="19"/>
      <c r="CQC46" s="19"/>
      <c r="CQD46" s="19"/>
      <c r="CQE46" s="19"/>
      <c r="CQF46" s="21"/>
      <c r="CQG46" s="19"/>
      <c r="CQP46" s="19"/>
      <c r="CQQ46" s="19"/>
      <c r="CQR46" s="19"/>
      <c r="CQS46" s="19"/>
      <c r="CQT46" s="21"/>
      <c r="CQU46" s="19"/>
      <c r="CRD46" s="19"/>
      <c r="CRE46" s="19"/>
      <c r="CRF46" s="19"/>
      <c r="CRG46" s="19"/>
      <c r="CRH46" s="21"/>
      <c r="CRI46" s="19"/>
      <c r="CRR46" s="19"/>
      <c r="CRS46" s="19"/>
      <c r="CRT46" s="19"/>
      <c r="CRU46" s="19"/>
      <c r="CRV46" s="21"/>
      <c r="CRW46" s="19"/>
      <c r="CSF46" s="19"/>
      <c r="CSG46" s="19"/>
      <c r="CSH46" s="19"/>
      <c r="CSI46" s="19"/>
      <c r="CSJ46" s="21"/>
      <c r="CSK46" s="19"/>
      <c r="CST46" s="19"/>
      <c r="CSU46" s="19"/>
      <c r="CSV46" s="19"/>
      <c r="CSW46" s="19"/>
      <c r="CSX46" s="21"/>
      <c r="CSY46" s="19"/>
      <c r="CTH46" s="19"/>
      <c r="CTI46" s="19"/>
      <c r="CTJ46" s="19"/>
      <c r="CTK46" s="19"/>
      <c r="CTL46" s="21"/>
      <c r="CTM46" s="19"/>
      <c r="CTV46" s="19"/>
      <c r="CTW46" s="19"/>
      <c r="CTX46" s="19"/>
      <c r="CTY46" s="19"/>
      <c r="CTZ46" s="21"/>
      <c r="CUA46" s="19"/>
      <c r="CUJ46" s="19"/>
      <c r="CUK46" s="19"/>
      <c r="CUL46" s="19"/>
      <c r="CUM46" s="19"/>
      <c r="CUN46" s="21"/>
      <c r="CUO46" s="19"/>
      <c r="CUX46" s="19"/>
      <c r="CUY46" s="19"/>
      <c r="CUZ46" s="19"/>
      <c r="CVA46" s="19"/>
      <c r="CVB46" s="21"/>
      <c r="CVC46" s="19"/>
      <c r="CVL46" s="19"/>
      <c r="CVM46" s="19"/>
      <c r="CVN46" s="19"/>
      <c r="CVO46" s="19"/>
      <c r="CVP46" s="21"/>
      <c r="CVQ46" s="19"/>
      <c r="CVZ46" s="19"/>
      <c r="CWA46" s="19"/>
      <c r="CWB46" s="19"/>
      <c r="CWC46" s="19"/>
      <c r="CWD46" s="21"/>
      <c r="CWE46" s="19"/>
      <c r="CWN46" s="19"/>
      <c r="CWO46" s="19"/>
      <c r="CWP46" s="19"/>
      <c r="CWQ46" s="19"/>
      <c r="CWR46" s="21"/>
      <c r="CWS46" s="19"/>
      <c r="CXB46" s="19"/>
      <c r="CXC46" s="19"/>
      <c r="CXD46" s="19"/>
      <c r="CXE46" s="19"/>
      <c r="CXF46" s="21"/>
      <c r="CXG46" s="19"/>
      <c r="CXP46" s="19"/>
      <c r="CXQ46" s="19"/>
      <c r="CXR46" s="19"/>
      <c r="CXS46" s="19"/>
      <c r="CXT46" s="21"/>
      <c r="CXU46" s="19"/>
      <c r="CYD46" s="19"/>
      <c r="CYE46" s="19"/>
      <c r="CYF46" s="19"/>
      <c r="CYG46" s="19"/>
      <c r="CYH46" s="21"/>
      <c r="CYI46" s="19"/>
      <c r="CYR46" s="19"/>
      <c r="CYS46" s="19"/>
      <c r="CYT46" s="19"/>
      <c r="CYU46" s="19"/>
      <c r="CYV46" s="21"/>
      <c r="CYW46" s="19"/>
      <c r="CZF46" s="19"/>
      <c r="CZG46" s="19"/>
      <c r="CZH46" s="19"/>
      <c r="CZI46" s="19"/>
      <c r="CZJ46" s="21"/>
      <c r="CZK46" s="19"/>
      <c r="CZT46" s="19"/>
      <c r="CZU46" s="19"/>
      <c r="CZV46" s="19"/>
      <c r="CZW46" s="19"/>
      <c r="CZX46" s="21"/>
      <c r="CZY46" s="19"/>
      <c r="DAH46" s="19"/>
      <c r="DAI46" s="19"/>
      <c r="DAJ46" s="19"/>
      <c r="DAK46" s="19"/>
      <c r="DAL46" s="21"/>
      <c r="DAM46" s="19"/>
      <c r="DAV46" s="19"/>
      <c r="DAW46" s="19"/>
      <c r="DAX46" s="19"/>
      <c r="DAY46" s="19"/>
      <c r="DAZ46" s="21"/>
      <c r="DBA46" s="19"/>
      <c r="DBJ46" s="19"/>
      <c r="DBK46" s="19"/>
      <c r="DBL46" s="19"/>
      <c r="DBM46" s="19"/>
      <c r="DBN46" s="21"/>
      <c r="DBO46" s="19"/>
      <c r="DBX46" s="19"/>
      <c r="DBY46" s="19"/>
      <c r="DBZ46" s="19"/>
      <c r="DCA46" s="19"/>
      <c r="DCB46" s="21"/>
      <c r="DCC46" s="19"/>
      <c r="DCL46" s="19"/>
      <c r="DCM46" s="19"/>
      <c r="DCN46" s="19"/>
      <c r="DCO46" s="19"/>
      <c r="DCP46" s="21"/>
      <c r="DCQ46" s="19"/>
      <c r="DCZ46" s="19"/>
      <c r="DDA46" s="19"/>
      <c r="DDB46" s="19"/>
      <c r="DDC46" s="19"/>
      <c r="DDD46" s="21"/>
      <c r="DDE46" s="19"/>
      <c r="DDN46" s="19"/>
      <c r="DDO46" s="19"/>
      <c r="DDP46" s="19"/>
      <c r="DDQ46" s="19"/>
      <c r="DDR46" s="21"/>
      <c r="DDS46" s="19"/>
      <c r="DEB46" s="19"/>
      <c r="DEC46" s="19"/>
      <c r="DED46" s="19"/>
      <c r="DEE46" s="19"/>
      <c r="DEF46" s="21"/>
      <c r="DEG46" s="19"/>
      <c r="DEP46" s="19"/>
      <c r="DEQ46" s="19"/>
      <c r="DER46" s="19"/>
      <c r="DES46" s="19"/>
      <c r="DET46" s="21"/>
      <c r="DEU46" s="19"/>
      <c r="DFD46" s="19"/>
      <c r="DFE46" s="19"/>
      <c r="DFF46" s="19"/>
      <c r="DFG46" s="19"/>
      <c r="DFH46" s="21"/>
      <c r="DFI46" s="19"/>
      <c r="DFR46" s="19"/>
      <c r="DFS46" s="19"/>
      <c r="DFT46" s="19"/>
      <c r="DFU46" s="19"/>
      <c r="DFV46" s="21"/>
      <c r="DFW46" s="19"/>
      <c r="DGF46" s="19"/>
      <c r="DGG46" s="19"/>
      <c r="DGH46" s="19"/>
      <c r="DGI46" s="19"/>
      <c r="DGJ46" s="21"/>
      <c r="DGK46" s="19"/>
      <c r="DGT46" s="19"/>
      <c r="DGU46" s="19"/>
      <c r="DGV46" s="19"/>
      <c r="DGW46" s="19"/>
      <c r="DGX46" s="21"/>
      <c r="DGY46" s="19"/>
      <c r="DHH46" s="19"/>
      <c r="DHI46" s="19"/>
      <c r="DHJ46" s="19"/>
      <c r="DHK46" s="19"/>
      <c r="DHL46" s="21"/>
      <c r="DHM46" s="19"/>
      <c r="DHV46" s="19"/>
      <c r="DHW46" s="19"/>
      <c r="DHX46" s="19"/>
      <c r="DHY46" s="19"/>
      <c r="DHZ46" s="21"/>
      <c r="DIA46" s="19"/>
      <c r="DIJ46" s="19"/>
      <c r="DIK46" s="19"/>
      <c r="DIL46" s="19"/>
      <c r="DIM46" s="19"/>
      <c r="DIN46" s="21"/>
      <c r="DIO46" s="19"/>
      <c r="DIX46" s="19"/>
      <c r="DIY46" s="19"/>
      <c r="DIZ46" s="19"/>
      <c r="DJA46" s="19"/>
      <c r="DJB46" s="21"/>
      <c r="DJC46" s="19"/>
      <c r="DJL46" s="19"/>
      <c r="DJM46" s="19"/>
      <c r="DJN46" s="19"/>
      <c r="DJO46" s="19"/>
      <c r="DJP46" s="21"/>
      <c r="DJQ46" s="19"/>
      <c r="DJZ46" s="19"/>
      <c r="DKA46" s="19"/>
      <c r="DKB46" s="19"/>
      <c r="DKC46" s="19"/>
      <c r="DKD46" s="21"/>
      <c r="DKE46" s="19"/>
      <c r="DKN46" s="19"/>
      <c r="DKO46" s="19"/>
      <c r="DKP46" s="19"/>
      <c r="DKQ46" s="19"/>
      <c r="DKR46" s="21"/>
      <c r="DKS46" s="19"/>
      <c r="DLB46" s="19"/>
      <c r="DLC46" s="19"/>
      <c r="DLD46" s="19"/>
      <c r="DLE46" s="19"/>
      <c r="DLF46" s="21"/>
      <c r="DLG46" s="19"/>
      <c r="DLP46" s="19"/>
      <c r="DLQ46" s="19"/>
      <c r="DLR46" s="19"/>
      <c r="DLS46" s="19"/>
      <c r="DLT46" s="21"/>
      <c r="DLU46" s="19"/>
      <c r="DMD46" s="19"/>
      <c r="DME46" s="19"/>
      <c r="DMF46" s="19"/>
      <c r="DMG46" s="19"/>
      <c r="DMH46" s="21"/>
      <c r="DMI46" s="19"/>
      <c r="DMR46" s="19"/>
      <c r="DMS46" s="19"/>
      <c r="DMT46" s="19"/>
      <c r="DMU46" s="19"/>
      <c r="DMV46" s="21"/>
      <c r="DMW46" s="19"/>
      <c r="DNF46" s="19"/>
      <c r="DNG46" s="19"/>
      <c r="DNH46" s="19"/>
      <c r="DNI46" s="19"/>
      <c r="DNJ46" s="21"/>
      <c r="DNK46" s="19"/>
      <c r="DNT46" s="19"/>
      <c r="DNU46" s="19"/>
      <c r="DNV46" s="19"/>
      <c r="DNW46" s="19"/>
      <c r="DNX46" s="21"/>
      <c r="DNY46" s="19"/>
      <c r="DOH46" s="19"/>
      <c r="DOI46" s="19"/>
      <c r="DOJ46" s="19"/>
      <c r="DOK46" s="19"/>
      <c r="DOL46" s="21"/>
      <c r="DOM46" s="19"/>
      <c r="DOV46" s="19"/>
      <c r="DOW46" s="19"/>
      <c r="DOX46" s="19"/>
      <c r="DOY46" s="19"/>
      <c r="DOZ46" s="21"/>
      <c r="DPA46" s="19"/>
      <c r="DPJ46" s="19"/>
      <c r="DPK46" s="19"/>
      <c r="DPL46" s="19"/>
      <c r="DPM46" s="19"/>
      <c r="DPN46" s="21"/>
      <c r="DPO46" s="19"/>
      <c r="DPX46" s="19"/>
      <c r="DPY46" s="19"/>
      <c r="DPZ46" s="19"/>
      <c r="DQA46" s="19"/>
      <c r="DQB46" s="21"/>
      <c r="DQC46" s="19"/>
      <c r="DQL46" s="19"/>
      <c r="DQM46" s="19"/>
      <c r="DQN46" s="19"/>
      <c r="DQO46" s="19"/>
      <c r="DQP46" s="21"/>
      <c r="DQQ46" s="19"/>
      <c r="DQZ46" s="19"/>
      <c r="DRA46" s="19"/>
      <c r="DRB46" s="19"/>
      <c r="DRC46" s="19"/>
      <c r="DRD46" s="21"/>
      <c r="DRE46" s="19"/>
      <c r="DRN46" s="19"/>
      <c r="DRO46" s="19"/>
      <c r="DRP46" s="19"/>
      <c r="DRQ46" s="19"/>
      <c r="DRR46" s="21"/>
      <c r="DRS46" s="19"/>
      <c r="DSB46" s="19"/>
      <c r="DSC46" s="19"/>
      <c r="DSD46" s="19"/>
      <c r="DSE46" s="19"/>
      <c r="DSF46" s="21"/>
      <c r="DSG46" s="19"/>
      <c r="DSP46" s="19"/>
      <c r="DSQ46" s="19"/>
      <c r="DSR46" s="19"/>
      <c r="DSS46" s="19"/>
      <c r="DST46" s="21"/>
      <c r="DSU46" s="19"/>
      <c r="DTD46" s="19"/>
      <c r="DTE46" s="19"/>
      <c r="DTF46" s="19"/>
      <c r="DTG46" s="19"/>
      <c r="DTH46" s="21"/>
      <c r="DTI46" s="19"/>
      <c r="DTR46" s="19"/>
      <c r="DTS46" s="19"/>
      <c r="DTT46" s="19"/>
      <c r="DTU46" s="19"/>
      <c r="DTV46" s="21"/>
      <c r="DTW46" s="19"/>
      <c r="DUF46" s="19"/>
      <c r="DUG46" s="19"/>
      <c r="DUH46" s="19"/>
      <c r="DUI46" s="19"/>
      <c r="DUJ46" s="21"/>
      <c r="DUK46" s="19"/>
      <c r="DUT46" s="19"/>
      <c r="DUU46" s="19"/>
      <c r="DUV46" s="19"/>
      <c r="DUW46" s="19"/>
      <c r="DUX46" s="21"/>
      <c r="DUY46" s="19"/>
      <c r="DVH46" s="19"/>
      <c r="DVI46" s="19"/>
      <c r="DVJ46" s="19"/>
      <c r="DVK46" s="19"/>
      <c r="DVL46" s="21"/>
      <c r="DVM46" s="19"/>
      <c r="DVV46" s="19"/>
      <c r="DVW46" s="19"/>
      <c r="DVX46" s="19"/>
      <c r="DVY46" s="19"/>
      <c r="DVZ46" s="21"/>
      <c r="DWA46" s="19"/>
      <c r="DWJ46" s="19"/>
      <c r="DWK46" s="19"/>
      <c r="DWL46" s="19"/>
      <c r="DWM46" s="19"/>
      <c r="DWN46" s="21"/>
      <c r="DWO46" s="19"/>
      <c r="DWX46" s="19"/>
      <c r="DWY46" s="19"/>
      <c r="DWZ46" s="19"/>
      <c r="DXA46" s="19"/>
      <c r="DXB46" s="21"/>
      <c r="DXC46" s="19"/>
      <c r="DXL46" s="19"/>
      <c r="DXM46" s="19"/>
      <c r="DXN46" s="19"/>
      <c r="DXO46" s="19"/>
      <c r="DXP46" s="21"/>
      <c r="DXQ46" s="19"/>
      <c r="DXZ46" s="19"/>
      <c r="DYA46" s="19"/>
      <c r="DYB46" s="19"/>
      <c r="DYC46" s="19"/>
      <c r="DYD46" s="21"/>
      <c r="DYE46" s="19"/>
      <c r="DYN46" s="19"/>
      <c r="DYO46" s="19"/>
      <c r="DYP46" s="19"/>
      <c r="DYQ46" s="19"/>
      <c r="DYR46" s="21"/>
      <c r="DYS46" s="19"/>
      <c r="DZB46" s="19"/>
      <c r="DZC46" s="19"/>
      <c r="DZD46" s="19"/>
      <c r="DZE46" s="19"/>
      <c r="DZF46" s="21"/>
      <c r="DZG46" s="19"/>
      <c r="DZP46" s="19"/>
      <c r="DZQ46" s="19"/>
      <c r="DZR46" s="19"/>
      <c r="DZS46" s="19"/>
      <c r="DZT46" s="21"/>
      <c r="DZU46" s="19"/>
      <c r="EAD46" s="19"/>
      <c r="EAE46" s="19"/>
      <c r="EAF46" s="19"/>
      <c r="EAG46" s="19"/>
      <c r="EAH46" s="21"/>
      <c r="EAI46" s="19"/>
      <c r="EAR46" s="19"/>
      <c r="EAS46" s="19"/>
      <c r="EAT46" s="19"/>
      <c r="EAU46" s="19"/>
      <c r="EAV46" s="21"/>
      <c r="EAW46" s="19"/>
      <c r="EBF46" s="19"/>
      <c r="EBG46" s="19"/>
      <c r="EBH46" s="19"/>
      <c r="EBI46" s="19"/>
      <c r="EBJ46" s="21"/>
      <c r="EBK46" s="19"/>
      <c r="EBT46" s="19"/>
      <c r="EBU46" s="19"/>
      <c r="EBV46" s="19"/>
      <c r="EBW46" s="19"/>
      <c r="EBX46" s="21"/>
      <c r="EBY46" s="19"/>
      <c r="ECH46" s="19"/>
      <c r="ECI46" s="19"/>
      <c r="ECJ46" s="19"/>
      <c r="ECK46" s="19"/>
      <c r="ECL46" s="21"/>
      <c r="ECM46" s="19"/>
      <c r="ECV46" s="19"/>
      <c r="ECW46" s="19"/>
      <c r="ECX46" s="19"/>
      <c r="ECY46" s="19"/>
      <c r="ECZ46" s="21"/>
      <c r="EDA46" s="19"/>
      <c r="EDJ46" s="19"/>
      <c r="EDK46" s="19"/>
      <c r="EDL46" s="19"/>
      <c r="EDM46" s="19"/>
      <c r="EDN46" s="21"/>
      <c r="EDO46" s="19"/>
      <c r="EDX46" s="19"/>
      <c r="EDY46" s="19"/>
      <c r="EDZ46" s="19"/>
      <c r="EEA46" s="19"/>
      <c r="EEB46" s="21"/>
      <c r="EEC46" s="19"/>
      <c r="EEL46" s="19"/>
      <c r="EEM46" s="19"/>
      <c r="EEN46" s="19"/>
      <c r="EEO46" s="19"/>
      <c r="EEP46" s="21"/>
      <c r="EEQ46" s="19"/>
      <c r="EEZ46" s="19"/>
      <c r="EFA46" s="19"/>
      <c r="EFB46" s="19"/>
      <c r="EFC46" s="19"/>
      <c r="EFD46" s="21"/>
      <c r="EFE46" s="19"/>
      <c r="EFN46" s="19"/>
      <c r="EFO46" s="19"/>
      <c r="EFP46" s="19"/>
      <c r="EFQ46" s="19"/>
      <c r="EFR46" s="21"/>
      <c r="EFS46" s="19"/>
      <c r="EGB46" s="19"/>
      <c r="EGC46" s="19"/>
      <c r="EGD46" s="19"/>
      <c r="EGE46" s="19"/>
      <c r="EGF46" s="21"/>
      <c r="EGG46" s="19"/>
      <c r="EGP46" s="19"/>
      <c r="EGQ46" s="19"/>
      <c r="EGR46" s="19"/>
      <c r="EGS46" s="19"/>
      <c r="EGT46" s="21"/>
      <c r="EGU46" s="19"/>
      <c r="EHD46" s="19"/>
      <c r="EHE46" s="19"/>
      <c r="EHF46" s="19"/>
      <c r="EHG46" s="19"/>
      <c r="EHH46" s="21"/>
      <c r="EHI46" s="19"/>
      <c r="EHR46" s="19"/>
      <c r="EHS46" s="19"/>
      <c r="EHT46" s="19"/>
      <c r="EHU46" s="19"/>
      <c r="EHV46" s="21"/>
      <c r="EHW46" s="19"/>
      <c r="EIF46" s="19"/>
      <c r="EIG46" s="19"/>
      <c r="EIH46" s="19"/>
      <c r="EII46" s="19"/>
      <c r="EIJ46" s="21"/>
      <c r="EIK46" s="19"/>
      <c r="EIT46" s="19"/>
      <c r="EIU46" s="19"/>
      <c r="EIV46" s="19"/>
      <c r="EIW46" s="19"/>
      <c r="EIX46" s="21"/>
      <c r="EIY46" s="19"/>
      <c r="EJH46" s="19"/>
      <c r="EJI46" s="19"/>
      <c r="EJJ46" s="19"/>
      <c r="EJK46" s="19"/>
      <c r="EJL46" s="21"/>
      <c r="EJM46" s="19"/>
      <c r="EJV46" s="19"/>
      <c r="EJW46" s="19"/>
      <c r="EJX46" s="19"/>
      <c r="EJY46" s="19"/>
      <c r="EJZ46" s="21"/>
      <c r="EKA46" s="19"/>
      <c r="EKJ46" s="19"/>
      <c r="EKK46" s="19"/>
      <c r="EKL46" s="19"/>
      <c r="EKM46" s="19"/>
      <c r="EKN46" s="21"/>
      <c r="EKO46" s="19"/>
      <c r="EKX46" s="19"/>
      <c r="EKY46" s="19"/>
      <c r="EKZ46" s="19"/>
      <c r="ELA46" s="19"/>
      <c r="ELB46" s="21"/>
      <c r="ELC46" s="19"/>
      <c r="ELL46" s="19"/>
      <c r="ELM46" s="19"/>
      <c r="ELN46" s="19"/>
      <c r="ELO46" s="19"/>
      <c r="ELP46" s="21"/>
      <c r="ELQ46" s="19"/>
      <c r="ELZ46" s="19"/>
      <c r="EMA46" s="19"/>
      <c r="EMB46" s="19"/>
      <c r="EMC46" s="19"/>
      <c r="EMD46" s="21"/>
      <c r="EME46" s="19"/>
      <c r="EMN46" s="19"/>
      <c r="EMO46" s="19"/>
      <c r="EMP46" s="19"/>
      <c r="EMQ46" s="19"/>
      <c r="EMR46" s="21"/>
      <c r="EMS46" s="19"/>
      <c r="ENB46" s="19"/>
      <c r="ENC46" s="19"/>
      <c r="END46" s="19"/>
      <c r="ENE46" s="19"/>
      <c r="ENF46" s="21"/>
      <c r="ENG46" s="19"/>
      <c r="ENP46" s="19"/>
      <c r="ENQ46" s="19"/>
      <c r="ENR46" s="19"/>
      <c r="ENS46" s="19"/>
      <c r="ENT46" s="21"/>
      <c r="ENU46" s="19"/>
      <c r="EOD46" s="19"/>
      <c r="EOE46" s="19"/>
      <c r="EOF46" s="19"/>
      <c r="EOG46" s="19"/>
      <c r="EOH46" s="21"/>
      <c r="EOI46" s="19"/>
      <c r="EOR46" s="19"/>
      <c r="EOS46" s="19"/>
      <c r="EOT46" s="19"/>
      <c r="EOU46" s="19"/>
      <c r="EOV46" s="21"/>
      <c r="EOW46" s="19"/>
      <c r="EPF46" s="19"/>
      <c r="EPG46" s="19"/>
      <c r="EPH46" s="19"/>
      <c r="EPI46" s="19"/>
      <c r="EPJ46" s="21"/>
      <c r="EPK46" s="19"/>
      <c r="EPT46" s="19"/>
      <c r="EPU46" s="19"/>
      <c r="EPV46" s="19"/>
      <c r="EPW46" s="19"/>
      <c r="EPX46" s="21"/>
      <c r="EPY46" s="19"/>
      <c r="EQH46" s="19"/>
      <c r="EQI46" s="19"/>
      <c r="EQJ46" s="19"/>
      <c r="EQK46" s="19"/>
      <c r="EQL46" s="21"/>
      <c r="EQM46" s="19"/>
      <c r="EQV46" s="19"/>
      <c r="EQW46" s="19"/>
      <c r="EQX46" s="19"/>
      <c r="EQY46" s="19"/>
      <c r="EQZ46" s="21"/>
      <c r="ERA46" s="19"/>
      <c r="ERJ46" s="19"/>
      <c r="ERK46" s="19"/>
      <c r="ERL46" s="19"/>
      <c r="ERM46" s="19"/>
      <c r="ERN46" s="21"/>
      <c r="ERO46" s="19"/>
      <c r="ERX46" s="19"/>
      <c r="ERY46" s="19"/>
      <c r="ERZ46" s="19"/>
      <c r="ESA46" s="19"/>
      <c r="ESB46" s="21"/>
      <c r="ESC46" s="19"/>
      <c r="ESL46" s="19"/>
      <c r="ESM46" s="19"/>
      <c r="ESN46" s="19"/>
      <c r="ESO46" s="19"/>
      <c r="ESP46" s="21"/>
      <c r="ESQ46" s="19"/>
      <c r="ESZ46" s="19"/>
      <c r="ETA46" s="19"/>
      <c r="ETB46" s="19"/>
      <c r="ETC46" s="19"/>
      <c r="ETD46" s="21"/>
      <c r="ETE46" s="19"/>
      <c r="ETN46" s="19"/>
      <c r="ETO46" s="19"/>
      <c r="ETP46" s="19"/>
      <c r="ETQ46" s="19"/>
      <c r="ETR46" s="21"/>
      <c r="ETS46" s="19"/>
      <c r="EUB46" s="19"/>
      <c r="EUC46" s="19"/>
      <c r="EUD46" s="19"/>
      <c r="EUE46" s="19"/>
      <c r="EUF46" s="21"/>
      <c r="EUG46" s="19"/>
      <c r="EUP46" s="19"/>
      <c r="EUQ46" s="19"/>
      <c r="EUR46" s="19"/>
      <c r="EUS46" s="19"/>
      <c r="EUT46" s="21"/>
      <c r="EUU46" s="19"/>
      <c r="EVD46" s="19"/>
      <c r="EVE46" s="19"/>
      <c r="EVF46" s="19"/>
      <c r="EVG46" s="19"/>
      <c r="EVH46" s="21"/>
      <c r="EVI46" s="19"/>
      <c r="EVR46" s="19"/>
      <c r="EVS46" s="19"/>
      <c r="EVT46" s="19"/>
      <c r="EVU46" s="19"/>
      <c r="EVV46" s="21"/>
      <c r="EVW46" s="19"/>
      <c r="EWF46" s="19"/>
      <c r="EWG46" s="19"/>
      <c r="EWH46" s="19"/>
      <c r="EWI46" s="19"/>
      <c r="EWJ46" s="21"/>
      <c r="EWK46" s="19"/>
      <c r="EWT46" s="19"/>
      <c r="EWU46" s="19"/>
      <c r="EWV46" s="19"/>
      <c r="EWW46" s="19"/>
      <c r="EWX46" s="21"/>
      <c r="EWY46" s="19"/>
      <c r="EXH46" s="19"/>
      <c r="EXI46" s="19"/>
      <c r="EXJ46" s="19"/>
      <c r="EXK46" s="19"/>
      <c r="EXL46" s="21"/>
      <c r="EXM46" s="19"/>
      <c r="EXV46" s="19"/>
      <c r="EXW46" s="19"/>
      <c r="EXX46" s="19"/>
      <c r="EXY46" s="19"/>
      <c r="EXZ46" s="21"/>
      <c r="EYA46" s="19"/>
      <c r="EYJ46" s="19"/>
      <c r="EYK46" s="19"/>
      <c r="EYL46" s="19"/>
      <c r="EYM46" s="19"/>
      <c r="EYN46" s="21"/>
      <c r="EYO46" s="19"/>
      <c r="EYX46" s="19"/>
      <c r="EYY46" s="19"/>
      <c r="EYZ46" s="19"/>
      <c r="EZA46" s="19"/>
      <c r="EZB46" s="21"/>
      <c r="EZC46" s="19"/>
      <c r="EZL46" s="19"/>
      <c r="EZM46" s="19"/>
      <c r="EZN46" s="19"/>
      <c r="EZO46" s="19"/>
      <c r="EZP46" s="21"/>
      <c r="EZQ46" s="19"/>
      <c r="EZZ46" s="19"/>
      <c r="FAA46" s="19"/>
      <c r="FAB46" s="19"/>
      <c r="FAC46" s="19"/>
      <c r="FAD46" s="21"/>
      <c r="FAE46" s="19"/>
      <c r="FAN46" s="19"/>
      <c r="FAO46" s="19"/>
      <c r="FAP46" s="19"/>
      <c r="FAQ46" s="19"/>
      <c r="FAR46" s="21"/>
      <c r="FAS46" s="19"/>
      <c r="FBB46" s="19"/>
      <c r="FBC46" s="19"/>
      <c r="FBD46" s="19"/>
      <c r="FBE46" s="19"/>
      <c r="FBF46" s="21"/>
      <c r="FBG46" s="19"/>
      <c r="FBP46" s="19"/>
      <c r="FBQ46" s="19"/>
      <c r="FBR46" s="19"/>
      <c r="FBS46" s="19"/>
      <c r="FBT46" s="21"/>
      <c r="FBU46" s="19"/>
      <c r="FCD46" s="19"/>
      <c r="FCE46" s="19"/>
      <c r="FCF46" s="19"/>
      <c r="FCG46" s="19"/>
      <c r="FCH46" s="21"/>
      <c r="FCI46" s="19"/>
      <c r="FCR46" s="19"/>
      <c r="FCS46" s="19"/>
      <c r="FCT46" s="19"/>
      <c r="FCU46" s="19"/>
      <c r="FCV46" s="21"/>
      <c r="FCW46" s="19"/>
      <c r="FDF46" s="19"/>
      <c r="FDG46" s="19"/>
      <c r="FDH46" s="19"/>
      <c r="FDI46" s="19"/>
      <c r="FDJ46" s="21"/>
      <c r="FDK46" s="19"/>
      <c r="FDT46" s="19"/>
      <c r="FDU46" s="19"/>
      <c r="FDV46" s="19"/>
      <c r="FDW46" s="19"/>
      <c r="FDX46" s="21"/>
      <c r="FDY46" s="19"/>
      <c r="FEH46" s="19"/>
      <c r="FEI46" s="19"/>
      <c r="FEJ46" s="19"/>
      <c r="FEK46" s="19"/>
      <c r="FEL46" s="21"/>
      <c r="FEM46" s="19"/>
      <c r="FEV46" s="19"/>
      <c r="FEW46" s="19"/>
      <c r="FEX46" s="19"/>
      <c r="FEY46" s="19"/>
      <c r="FEZ46" s="21"/>
      <c r="FFA46" s="19"/>
      <c r="FFJ46" s="19"/>
      <c r="FFK46" s="19"/>
      <c r="FFL46" s="19"/>
      <c r="FFM46" s="19"/>
      <c r="FFN46" s="21"/>
      <c r="FFO46" s="19"/>
      <c r="FFX46" s="19"/>
      <c r="FFY46" s="19"/>
      <c r="FFZ46" s="19"/>
      <c r="FGA46" s="19"/>
      <c r="FGB46" s="21"/>
      <c r="FGC46" s="19"/>
      <c r="FGL46" s="19"/>
      <c r="FGM46" s="19"/>
      <c r="FGN46" s="19"/>
      <c r="FGO46" s="19"/>
      <c r="FGP46" s="21"/>
      <c r="FGQ46" s="19"/>
      <c r="FGZ46" s="19"/>
      <c r="FHA46" s="19"/>
      <c r="FHB46" s="19"/>
      <c r="FHC46" s="19"/>
      <c r="FHD46" s="21"/>
      <c r="FHE46" s="19"/>
      <c r="FHN46" s="19"/>
      <c r="FHO46" s="19"/>
      <c r="FHP46" s="19"/>
      <c r="FHQ46" s="19"/>
      <c r="FHR46" s="21"/>
      <c r="FHS46" s="19"/>
      <c r="FIB46" s="19"/>
      <c r="FIC46" s="19"/>
      <c r="FID46" s="19"/>
      <c r="FIE46" s="19"/>
      <c r="FIF46" s="21"/>
      <c r="FIG46" s="19"/>
      <c r="FIP46" s="19"/>
      <c r="FIQ46" s="19"/>
      <c r="FIR46" s="19"/>
      <c r="FIS46" s="19"/>
      <c r="FIT46" s="21"/>
      <c r="FIU46" s="19"/>
      <c r="FJD46" s="19"/>
      <c r="FJE46" s="19"/>
      <c r="FJF46" s="19"/>
      <c r="FJG46" s="19"/>
      <c r="FJH46" s="21"/>
      <c r="FJI46" s="19"/>
      <c r="FJR46" s="19"/>
      <c r="FJS46" s="19"/>
      <c r="FJT46" s="19"/>
      <c r="FJU46" s="19"/>
      <c r="FJV46" s="21"/>
      <c r="FJW46" s="19"/>
      <c r="FKF46" s="19"/>
      <c r="FKG46" s="19"/>
      <c r="FKH46" s="19"/>
      <c r="FKI46" s="19"/>
      <c r="FKJ46" s="21"/>
      <c r="FKK46" s="19"/>
      <c r="FKT46" s="19"/>
      <c r="FKU46" s="19"/>
      <c r="FKV46" s="19"/>
      <c r="FKW46" s="19"/>
      <c r="FKX46" s="21"/>
      <c r="FKY46" s="19"/>
      <c r="FLH46" s="19"/>
      <c r="FLI46" s="19"/>
      <c r="FLJ46" s="19"/>
      <c r="FLK46" s="19"/>
      <c r="FLL46" s="21"/>
      <c r="FLM46" s="19"/>
      <c r="FLV46" s="19"/>
      <c r="FLW46" s="19"/>
      <c r="FLX46" s="19"/>
      <c r="FLY46" s="19"/>
      <c r="FLZ46" s="21"/>
      <c r="FMA46" s="19"/>
      <c r="FMJ46" s="19"/>
      <c r="FMK46" s="19"/>
      <c r="FML46" s="19"/>
      <c r="FMM46" s="19"/>
      <c r="FMN46" s="21"/>
      <c r="FMO46" s="19"/>
      <c r="FMX46" s="19"/>
      <c r="FMY46" s="19"/>
      <c r="FMZ46" s="19"/>
      <c r="FNA46" s="19"/>
      <c r="FNB46" s="21"/>
      <c r="FNC46" s="19"/>
      <c r="FNL46" s="19"/>
      <c r="FNM46" s="19"/>
      <c r="FNN46" s="19"/>
      <c r="FNO46" s="19"/>
      <c r="FNP46" s="21"/>
      <c r="FNQ46" s="19"/>
      <c r="FNZ46" s="19"/>
      <c r="FOA46" s="19"/>
      <c r="FOB46" s="19"/>
      <c r="FOC46" s="19"/>
      <c r="FOD46" s="21"/>
      <c r="FOE46" s="19"/>
      <c r="FON46" s="19"/>
      <c r="FOO46" s="19"/>
      <c r="FOP46" s="19"/>
      <c r="FOQ46" s="19"/>
      <c r="FOR46" s="21"/>
      <c r="FOS46" s="19"/>
      <c r="FPB46" s="19"/>
      <c r="FPC46" s="19"/>
      <c r="FPD46" s="19"/>
      <c r="FPE46" s="19"/>
      <c r="FPF46" s="21"/>
      <c r="FPG46" s="19"/>
      <c r="FPP46" s="19"/>
      <c r="FPQ46" s="19"/>
      <c r="FPR46" s="19"/>
      <c r="FPS46" s="19"/>
      <c r="FPT46" s="21"/>
      <c r="FPU46" s="19"/>
      <c r="FQD46" s="19"/>
      <c r="FQE46" s="19"/>
      <c r="FQF46" s="19"/>
      <c r="FQG46" s="19"/>
      <c r="FQH46" s="21"/>
      <c r="FQI46" s="19"/>
      <c r="FQR46" s="19"/>
      <c r="FQS46" s="19"/>
      <c r="FQT46" s="19"/>
      <c r="FQU46" s="19"/>
      <c r="FQV46" s="21"/>
      <c r="FQW46" s="19"/>
      <c r="FRF46" s="19"/>
      <c r="FRG46" s="19"/>
      <c r="FRH46" s="19"/>
      <c r="FRI46" s="19"/>
      <c r="FRJ46" s="21"/>
      <c r="FRK46" s="19"/>
      <c r="FRT46" s="19"/>
      <c r="FRU46" s="19"/>
      <c r="FRV46" s="19"/>
      <c r="FRW46" s="19"/>
      <c r="FRX46" s="21"/>
      <c r="FRY46" s="19"/>
      <c r="FSH46" s="19"/>
      <c r="FSI46" s="19"/>
      <c r="FSJ46" s="19"/>
      <c r="FSK46" s="19"/>
      <c r="FSL46" s="21"/>
      <c r="FSM46" s="19"/>
      <c r="FSV46" s="19"/>
      <c r="FSW46" s="19"/>
      <c r="FSX46" s="19"/>
      <c r="FSY46" s="19"/>
      <c r="FSZ46" s="21"/>
      <c r="FTA46" s="19"/>
      <c r="FTJ46" s="19"/>
      <c r="FTK46" s="19"/>
      <c r="FTL46" s="19"/>
      <c r="FTM46" s="19"/>
      <c r="FTN46" s="21"/>
      <c r="FTO46" s="19"/>
      <c r="FTX46" s="19"/>
      <c r="FTY46" s="19"/>
      <c r="FTZ46" s="19"/>
      <c r="FUA46" s="19"/>
      <c r="FUB46" s="21"/>
      <c r="FUC46" s="19"/>
      <c r="FUL46" s="19"/>
      <c r="FUM46" s="19"/>
      <c r="FUN46" s="19"/>
      <c r="FUO46" s="19"/>
      <c r="FUP46" s="21"/>
      <c r="FUQ46" s="19"/>
      <c r="FUZ46" s="19"/>
      <c r="FVA46" s="19"/>
      <c r="FVB46" s="19"/>
      <c r="FVC46" s="19"/>
      <c r="FVD46" s="21"/>
      <c r="FVE46" s="19"/>
      <c r="FVN46" s="19"/>
      <c r="FVO46" s="19"/>
      <c r="FVP46" s="19"/>
      <c r="FVQ46" s="19"/>
      <c r="FVR46" s="21"/>
      <c r="FVS46" s="19"/>
      <c r="FWB46" s="19"/>
      <c r="FWC46" s="19"/>
      <c r="FWD46" s="19"/>
      <c r="FWE46" s="19"/>
      <c r="FWF46" s="21"/>
      <c r="FWG46" s="19"/>
      <c r="FWP46" s="19"/>
      <c r="FWQ46" s="19"/>
      <c r="FWR46" s="19"/>
      <c r="FWS46" s="19"/>
      <c r="FWT46" s="21"/>
      <c r="FWU46" s="19"/>
      <c r="FXD46" s="19"/>
      <c r="FXE46" s="19"/>
      <c r="FXF46" s="19"/>
      <c r="FXG46" s="19"/>
      <c r="FXH46" s="21"/>
      <c r="FXI46" s="19"/>
      <c r="FXR46" s="19"/>
      <c r="FXS46" s="19"/>
      <c r="FXT46" s="19"/>
      <c r="FXU46" s="19"/>
      <c r="FXV46" s="21"/>
      <c r="FXW46" s="19"/>
      <c r="FYF46" s="19"/>
      <c r="FYG46" s="19"/>
      <c r="FYH46" s="19"/>
      <c r="FYI46" s="19"/>
      <c r="FYJ46" s="21"/>
      <c r="FYK46" s="19"/>
      <c r="FYT46" s="19"/>
      <c r="FYU46" s="19"/>
      <c r="FYV46" s="19"/>
      <c r="FYW46" s="19"/>
      <c r="FYX46" s="21"/>
      <c r="FYY46" s="19"/>
      <c r="FZH46" s="19"/>
      <c r="FZI46" s="19"/>
      <c r="FZJ46" s="19"/>
      <c r="FZK46" s="19"/>
      <c r="FZL46" s="21"/>
      <c r="FZM46" s="19"/>
      <c r="FZV46" s="19"/>
      <c r="FZW46" s="19"/>
      <c r="FZX46" s="19"/>
      <c r="FZY46" s="19"/>
      <c r="FZZ46" s="21"/>
      <c r="GAA46" s="19"/>
      <c r="GAJ46" s="19"/>
      <c r="GAK46" s="19"/>
      <c r="GAL46" s="19"/>
      <c r="GAM46" s="19"/>
      <c r="GAN46" s="21"/>
      <c r="GAO46" s="19"/>
      <c r="GAX46" s="19"/>
      <c r="GAY46" s="19"/>
      <c r="GAZ46" s="19"/>
      <c r="GBA46" s="19"/>
      <c r="GBB46" s="21"/>
      <c r="GBC46" s="19"/>
      <c r="GBL46" s="19"/>
      <c r="GBM46" s="19"/>
      <c r="GBN46" s="19"/>
      <c r="GBO46" s="19"/>
      <c r="GBP46" s="21"/>
      <c r="GBQ46" s="19"/>
      <c r="GBZ46" s="19"/>
      <c r="GCA46" s="19"/>
      <c r="GCB46" s="19"/>
      <c r="GCC46" s="19"/>
      <c r="GCD46" s="21"/>
      <c r="GCE46" s="19"/>
      <c r="GCN46" s="19"/>
      <c r="GCO46" s="19"/>
      <c r="GCP46" s="19"/>
      <c r="GCQ46" s="19"/>
      <c r="GCR46" s="21"/>
      <c r="GCS46" s="19"/>
      <c r="GDB46" s="19"/>
      <c r="GDC46" s="19"/>
      <c r="GDD46" s="19"/>
      <c r="GDE46" s="19"/>
      <c r="GDF46" s="21"/>
      <c r="GDG46" s="19"/>
      <c r="GDP46" s="19"/>
      <c r="GDQ46" s="19"/>
      <c r="GDR46" s="19"/>
      <c r="GDS46" s="19"/>
      <c r="GDT46" s="21"/>
      <c r="GDU46" s="19"/>
      <c r="GED46" s="19"/>
      <c r="GEE46" s="19"/>
      <c r="GEF46" s="19"/>
      <c r="GEG46" s="19"/>
      <c r="GEH46" s="21"/>
      <c r="GEI46" s="19"/>
      <c r="GER46" s="19"/>
      <c r="GES46" s="19"/>
      <c r="GET46" s="19"/>
      <c r="GEU46" s="19"/>
      <c r="GEV46" s="21"/>
      <c r="GEW46" s="19"/>
      <c r="GFF46" s="19"/>
      <c r="GFG46" s="19"/>
      <c r="GFH46" s="19"/>
      <c r="GFI46" s="19"/>
      <c r="GFJ46" s="21"/>
      <c r="GFK46" s="19"/>
      <c r="GFT46" s="19"/>
      <c r="GFU46" s="19"/>
      <c r="GFV46" s="19"/>
      <c r="GFW46" s="19"/>
      <c r="GFX46" s="21"/>
      <c r="GFY46" s="19"/>
      <c r="GGH46" s="19"/>
      <c r="GGI46" s="19"/>
      <c r="GGJ46" s="19"/>
      <c r="GGK46" s="19"/>
      <c r="GGL46" s="21"/>
      <c r="GGM46" s="19"/>
      <c r="GGV46" s="19"/>
      <c r="GGW46" s="19"/>
      <c r="GGX46" s="19"/>
      <c r="GGY46" s="19"/>
      <c r="GGZ46" s="21"/>
      <c r="GHA46" s="19"/>
      <c r="GHJ46" s="19"/>
      <c r="GHK46" s="19"/>
      <c r="GHL46" s="19"/>
      <c r="GHM46" s="19"/>
      <c r="GHN46" s="21"/>
      <c r="GHO46" s="19"/>
      <c r="GHX46" s="19"/>
      <c r="GHY46" s="19"/>
      <c r="GHZ46" s="19"/>
      <c r="GIA46" s="19"/>
      <c r="GIB46" s="21"/>
      <c r="GIC46" s="19"/>
      <c r="GIL46" s="19"/>
      <c r="GIM46" s="19"/>
      <c r="GIN46" s="19"/>
      <c r="GIO46" s="19"/>
      <c r="GIP46" s="21"/>
      <c r="GIQ46" s="19"/>
      <c r="GIZ46" s="19"/>
      <c r="GJA46" s="19"/>
      <c r="GJB46" s="19"/>
      <c r="GJC46" s="19"/>
      <c r="GJD46" s="21"/>
      <c r="GJE46" s="19"/>
      <c r="GJN46" s="19"/>
      <c r="GJO46" s="19"/>
      <c r="GJP46" s="19"/>
      <c r="GJQ46" s="19"/>
      <c r="GJR46" s="21"/>
      <c r="GJS46" s="19"/>
      <c r="GKB46" s="19"/>
      <c r="GKC46" s="19"/>
      <c r="GKD46" s="19"/>
      <c r="GKE46" s="19"/>
      <c r="GKF46" s="21"/>
      <c r="GKG46" s="19"/>
      <c r="GKP46" s="19"/>
      <c r="GKQ46" s="19"/>
      <c r="GKR46" s="19"/>
      <c r="GKS46" s="19"/>
      <c r="GKT46" s="21"/>
      <c r="GKU46" s="19"/>
      <c r="GLD46" s="19"/>
      <c r="GLE46" s="19"/>
      <c r="GLF46" s="19"/>
      <c r="GLG46" s="19"/>
      <c r="GLH46" s="21"/>
      <c r="GLI46" s="19"/>
      <c r="GLR46" s="19"/>
      <c r="GLS46" s="19"/>
      <c r="GLT46" s="19"/>
      <c r="GLU46" s="19"/>
      <c r="GLV46" s="21"/>
      <c r="GLW46" s="19"/>
      <c r="GMF46" s="19"/>
      <c r="GMG46" s="19"/>
      <c r="GMH46" s="19"/>
      <c r="GMI46" s="19"/>
      <c r="GMJ46" s="21"/>
      <c r="GMK46" s="19"/>
      <c r="GMT46" s="19"/>
      <c r="GMU46" s="19"/>
      <c r="GMV46" s="19"/>
      <c r="GMW46" s="19"/>
      <c r="GMX46" s="21"/>
      <c r="GMY46" s="19"/>
      <c r="GNH46" s="19"/>
      <c r="GNI46" s="19"/>
      <c r="GNJ46" s="19"/>
      <c r="GNK46" s="19"/>
      <c r="GNL46" s="21"/>
      <c r="GNM46" s="19"/>
      <c r="GNV46" s="19"/>
      <c r="GNW46" s="19"/>
      <c r="GNX46" s="19"/>
      <c r="GNY46" s="19"/>
      <c r="GNZ46" s="21"/>
      <c r="GOA46" s="19"/>
      <c r="GOJ46" s="19"/>
      <c r="GOK46" s="19"/>
      <c r="GOL46" s="19"/>
      <c r="GOM46" s="19"/>
      <c r="GON46" s="21"/>
      <c r="GOO46" s="19"/>
      <c r="GOX46" s="19"/>
      <c r="GOY46" s="19"/>
      <c r="GOZ46" s="19"/>
      <c r="GPA46" s="19"/>
      <c r="GPB46" s="21"/>
      <c r="GPC46" s="19"/>
      <c r="GPL46" s="19"/>
      <c r="GPM46" s="19"/>
      <c r="GPN46" s="19"/>
      <c r="GPO46" s="19"/>
      <c r="GPP46" s="21"/>
      <c r="GPQ46" s="19"/>
      <c r="GPZ46" s="19"/>
      <c r="GQA46" s="19"/>
      <c r="GQB46" s="19"/>
      <c r="GQC46" s="19"/>
      <c r="GQD46" s="21"/>
      <c r="GQE46" s="19"/>
      <c r="GQN46" s="19"/>
      <c r="GQO46" s="19"/>
      <c r="GQP46" s="19"/>
      <c r="GQQ46" s="19"/>
      <c r="GQR46" s="21"/>
      <c r="GQS46" s="19"/>
      <c r="GRB46" s="19"/>
      <c r="GRC46" s="19"/>
      <c r="GRD46" s="19"/>
      <c r="GRE46" s="19"/>
      <c r="GRF46" s="21"/>
      <c r="GRG46" s="19"/>
      <c r="GRP46" s="19"/>
      <c r="GRQ46" s="19"/>
      <c r="GRR46" s="19"/>
      <c r="GRS46" s="19"/>
      <c r="GRT46" s="21"/>
      <c r="GRU46" s="19"/>
      <c r="GSD46" s="19"/>
      <c r="GSE46" s="19"/>
      <c r="GSF46" s="19"/>
      <c r="GSG46" s="19"/>
      <c r="GSH46" s="21"/>
      <c r="GSI46" s="19"/>
      <c r="GSR46" s="19"/>
      <c r="GSS46" s="19"/>
      <c r="GST46" s="19"/>
      <c r="GSU46" s="19"/>
      <c r="GSV46" s="21"/>
      <c r="GSW46" s="19"/>
      <c r="GTF46" s="19"/>
      <c r="GTG46" s="19"/>
      <c r="GTH46" s="19"/>
      <c r="GTI46" s="19"/>
      <c r="GTJ46" s="21"/>
      <c r="GTK46" s="19"/>
      <c r="GTT46" s="19"/>
      <c r="GTU46" s="19"/>
      <c r="GTV46" s="19"/>
      <c r="GTW46" s="19"/>
      <c r="GTX46" s="21"/>
      <c r="GTY46" s="19"/>
      <c r="GUH46" s="19"/>
      <c r="GUI46" s="19"/>
      <c r="GUJ46" s="19"/>
      <c r="GUK46" s="19"/>
      <c r="GUL46" s="21"/>
      <c r="GUM46" s="19"/>
      <c r="GUV46" s="19"/>
      <c r="GUW46" s="19"/>
      <c r="GUX46" s="19"/>
      <c r="GUY46" s="19"/>
      <c r="GUZ46" s="21"/>
      <c r="GVA46" s="19"/>
      <c r="GVJ46" s="19"/>
      <c r="GVK46" s="19"/>
      <c r="GVL46" s="19"/>
      <c r="GVM46" s="19"/>
      <c r="GVN46" s="21"/>
      <c r="GVO46" s="19"/>
      <c r="GVX46" s="19"/>
      <c r="GVY46" s="19"/>
      <c r="GVZ46" s="19"/>
      <c r="GWA46" s="19"/>
      <c r="GWB46" s="21"/>
      <c r="GWC46" s="19"/>
      <c r="GWL46" s="19"/>
      <c r="GWM46" s="19"/>
      <c r="GWN46" s="19"/>
      <c r="GWO46" s="19"/>
      <c r="GWP46" s="21"/>
      <c r="GWQ46" s="19"/>
      <c r="GWZ46" s="19"/>
      <c r="GXA46" s="19"/>
      <c r="GXB46" s="19"/>
      <c r="GXC46" s="19"/>
      <c r="GXD46" s="21"/>
      <c r="GXE46" s="19"/>
      <c r="GXN46" s="19"/>
      <c r="GXO46" s="19"/>
      <c r="GXP46" s="19"/>
      <c r="GXQ46" s="19"/>
      <c r="GXR46" s="21"/>
      <c r="GXS46" s="19"/>
      <c r="GYB46" s="19"/>
      <c r="GYC46" s="19"/>
      <c r="GYD46" s="19"/>
      <c r="GYE46" s="19"/>
      <c r="GYF46" s="21"/>
      <c r="GYG46" s="19"/>
      <c r="GYP46" s="19"/>
      <c r="GYQ46" s="19"/>
      <c r="GYR46" s="19"/>
      <c r="GYS46" s="19"/>
      <c r="GYT46" s="21"/>
      <c r="GYU46" s="19"/>
      <c r="GZD46" s="19"/>
      <c r="GZE46" s="19"/>
      <c r="GZF46" s="19"/>
      <c r="GZG46" s="19"/>
      <c r="GZH46" s="21"/>
      <c r="GZI46" s="19"/>
      <c r="GZR46" s="19"/>
      <c r="GZS46" s="19"/>
      <c r="GZT46" s="19"/>
      <c r="GZU46" s="19"/>
      <c r="GZV46" s="21"/>
      <c r="GZW46" s="19"/>
      <c r="HAF46" s="19"/>
      <c r="HAG46" s="19"/>
      <c r="HAH46" s="19"/>
      <c r="HAI46" s="19"/>
      <c r="HAJ46" s="21"/>
      <c r="HAK46" s="19"/>
      <c r="HAT46" s="19"/>
      <c r="HAU46" s="19"/>
      <c r="HAV46" s="19"/>
      <c r="HAW46" s="19"/>
      <c r="HAX46" s="21"/>
      <c r="HAY46" s="19"/>
      <c r="HBH46" s="19"/>
      <c r="HBI46" s="19"/>
      <c r="HBJ46" s="19"/>
      <c r="HBK46" s="19"/>
      <c r="HBL46" s="21"/>
      <c r="HBM46" s="19"/>
      <c r="HBV46" s="19"/>
      <c r="HBW46" s="19"/>
      <c r="HBX46" s="19"/>
      <c r="HBY46" s="19"/>
      <c r="HBZ46" s="21"/>
      <c r="HCA46" s="19"/>
      <c r="HCJ46" s="19"/>
      <c r="HCK46" s="19"/>
      <c r="HCL46" s="19"/>
      <c r="HCM46" s="19"/>
      <c r="HCN46" s="21"/>
      <c r="HCO46" s="19"/>
      <c r="HCX46" s="19"/>
      <c r="HCY46" s="19"/>
      <c r="HCZ46" s="19"/>
      <c r="HDA46" s="19"/>
      <c r="HDB46" s="21"/>
      <c r="HDC46" s="19"/>
      <c r="HDL46" s="19"/>
      <c r="HDM46" s="19"/>
      <c r="HDN46" s="19"/>
      <c r="HDO46" s="19"/>
      <c r="HDP46" s="21"/>
      <c r="HDQ46" s="19"/>
      <c r="HDZ46" s="19"/>
      <c r="HEA46" s="19"/>
      <c r="HEB46" s="19"/>
      <c r="HEC46" s="19"/>
      <c r="HED46" s="21"/>
      <c r="HEE46" s="19"/>
      <c r="HEN46" s="19"/>
      <c r="HEO46" s="19"/>
      <c r="HEP46" s="19"/>
      <c r="HEQ46" s="19"/>
      <c r="HER46" s="21"/>
      <c r="HES46" s="19"/>
      <c r="HFB46" s="19"/>
      <c r="HFC46" s="19"/>
      <c r="HFD46" s="19"/>
      <c r="HFE46" s="19"/>
      <c r="HFF46" s="21"/>
      <c r="HFG46" s="19"/>
      <c r="HFP46" s="19"/>
      <c r="HFQ46" s="19"/>
      <c r="HFR46" s="19"/>
      <c r="HFS46" s="19"/>
      <c r="HFT46" s="21"/>
      <c r="HFU46" s="19"/>
      <c r="HGD46" s="19"/>
      <c r="HGE46" s="19"/>
      <c r="HGF46" s="19"/>
      <c r="HGG46" s="19"/>
      <c r="HGH46" s="21"/>
      <c r="HGI46" s="19"/>
      <c r="HGR46" s="19"/>
      <c r="HGS46" s="19"/>
      <c r="HGT46" s="19"/>
      <c r="HGU46" s="19"/>
      <c r="HGV46" s="21"/>
      <c r="HGW46" s="19"/>
      <c r="HHF46" s="19"/>
      <c r="HHG46" s="19"/>
      <c r="HHH46" s="19"/>
      <c r="HHI46" s="19"/>
      <c r="HHJ46" s="21"/>
      <c r="HHK46" s="19"/>
      <c r="HHT46" s="19"/>
      <c r="HHU46" s="19"/>
      <c r="HHV46" s="19"/>
      <c r="HHW46" s="19"/>
      <c r="HHX46" s="21"/>
      <c r="HHY46" s="19"/>
      <c r="HIH46" s="19"/>
      <c r="HII46" s="19"/>
      <c r="HIJ46" s="19"/>
      <c r="HIK46" s="19"/>
      <c r="HIL46" s="21"/>
      <c r="HIM46" s="19"/>
      <c r="HIV46" s="19"/>
      <c r="HIW46" s="19"/>
      <c r="HIX46" s="19"/>
      <c r="HIY46" s="19"/>
      <c r="HIZ46" s="21"/>
      <c r="HJA46" s="19"/>
      <c r="HJJ46" s="19"/>
      <c r="HJK46" s="19"/>
      <c r="HJL46" s="19"/>
      <c r="HJM46" s="19"/>
      <c r="HJN46" s="21"/>
      <c r="HJO46" s="19"/>
      <c r="HJX46" s="19"/>
      <c r="HJY46" s="19"/>
      <c r="HJZ46" s="19"/>
      <c r="HKA46" s="19"/>
      <c r="HKB46" s="21"/>
      <c r="HKC46" s="19"/>
      <c r="HKL46" s="19"/>
      <c r="HKM46" s="19"/>
      <c r="HKN46" s="19"/>
      <c r="HKO46" s="19"/>
      <c r="HKP46" s="21"/>
      <c r="HKQ46" s="19"/>
      <c r="HKZ46" s="19"/>
      <c r="HLA46" s="19"/>
      <c r="HLB46" s="19"/>
      <c r="HLC46" s="19"/>
      <c r="HLD46" s="21"/>
      <c r="HLE46" s="19"/>
      <c r="HLN46" s="19"/>
      <c r="HLO46" s="19"/>
      <c r="HLP46" s="19"/>
      <c r="HLQ46" s="19"/>
      <c r="HLR46" s="21"/>
      <c r="HLS46" s="19"/>
      <c r="HMB46" s="19"/>
      <c r="HMC46" s="19"/>
      <c r="HMD46" s="19"/>
      <c r="HME46" s="19"/>
      <c r="HMF46" s="21"/>
      <c r="HMG46" s="19"/>
      <c r="HMP46" s="19"/>
      <c r="HMQ46" s="19"/>
      <c r="HMR46" s="19"/>
      <c r="HMS46" s="19"/>
      <c r="HMT46" s="21"/>
      <c r="HMU46" s="19"/>
      <c r="HND46" s="19"/>
      <c r="HNE46" s="19"/>
      <c r="HNF46" s="19"/>
      <c r="HNG46" s="19"/>
      <c r="HNH46" s="21"/>
      <c r="HNI46" s="19"/>
      <c r="HNR46" s="19"/>
      <c r="HNS46" s="19"/>
      <c r="HNT46" s="19"/>
      <c r="HNU46" s="19"/>
      <c r="HNV46" s="21"/>
      <c r="HNW46" s="19"/>
      <c r="HOF46" s="19"/>
      <c r="HOG46" s="19"/>
      <c r="HOH46" s="19"/>
      <c r="HOI46" s="19"/>
      <c r="HOJ46" s="21"/>
      <c r="HOK46" s="19"/>
      <c r="HOT46" s="19"/>
      <c r="HOU46" s="19"/>
      <c r="HOV46" s="19"/>
      <c r="HOW46" s="19"/>
      <c r="HOX46" s="21"/>
      <c r="HOY46" s="19"/>
      <c r="HPH46" s="19"/>
      <c r="HPI46" s="19"/>
      <c r="HPJ46" s="19"/>
      <c r="HPK46" s="19"/>
      <c r="HPL46" s="21"/>
      <c r="HPM46" s="19"/>
      <c r="HPV46" s="19"/>
      <c r="HPW46" s="19"/>
      <c r="HPX46" s="19"/>
      <c r="HPY46" s="19"/>
      <c r="HPZ46" s="21"/>
      <c r="HQA46" s="19"/>
      <c r="HQJ46" s="19"/>
      <c r="HQK46" s="19"/>
      <c r="HQL46" s="19"/>
      <c r="HQM46" s="19"/>
      <c r="HQN46" s="21"/>
      <c r="HQO46" s="19"/>
      <c r="HQX46" s="19"/>
      <c r="HQY46" s="19"/>
      <c r="HQZ46" s="19"/>
      <c r="HRA46" s="19"/>
      <c r="HRB46" s="21"/>
      <c r="HRC46" s="19"/>
      <c r="HRL46" s="19"/>
      <c r="HRM46" s="19"/>
      <c r="HRN46" s="19"/>
      <c r="HRO46" s="19"/>
      <c r="HRP46" s="21"/>
      <c r="HRQ46" s="19"/>
      <c r="HRZ46" s="19"/>
      <c r="HSA46" s="19"/>
      <c r="HSB46" s="19"/>
      <c r="HSC46" s="19"/>
      <c r="HSD46" s="21"/>
      <c r="HSE46" s="19"/>
      <c r="HSN46" s="19"/>
      <c r="HSO46" s="19"/>
      <c r="HSP46" s="19"/>
      <c r="HSQ46" s="19"/>
      <c r="HSR46" s="21"/>
      <c r="HSS46" s="19"/>
      <c r="HTB46" s="19"/>
      <c r="HTC46" s="19"/>
      <c r="HTD46" s="19"/>
      <c r="HTE46" s="19"/>
      <c r="HTF46" s="21"/>
      <c r="HTG46" s="19"/>
      <c r="HTP46" s="19"/>
      <c r="HTQ46" s="19"/>
      <c r="HTR46" s="19"/>
      <c r="HTS46" s="19"/>
      <c r="HTT46" s="21"/>
      <c r="HTU46" s="19"/>
      <c r="HUD46" s="19"/>
      <c r="HUE46" s="19"/>
      <c r="HUF46" s="19"/>
      <c r="HUG46" s="19"/>
      <c r="HUH46" s="21"/>
      <c r="HUI46" s="19"/>
      <c r="HUR46" s="19"/>
      <c r="HUS46" s="19"/>
      <c r="HUT46" s="19"/>
      <c r="HUU46" s="19"/>
      <c r="HUV46" s="21"/>
      <c r="HUW46" s="19"/>
      <c r="HVF46" s="19"/>
      <c r="HVG46" s="19"/>
      <c r="HVH46" s="19"/>
      <c r="HVI46" s="19"/>
      <c r="HVJ46" s="21"/>
      <c r="HVK46" s="19"/>
      <c r="HVT46" s="19"/>
      <c r="HVU46" s="19"/>
      <c r="HVV46" s="19"/>
      <c r="HVW46" s="19"/>
      <c r="HVX46" s="21"/>
      <c r="HVY46" s="19"/>
      <c r="HWH46" s="19"/>
      <c r="HWI46" s="19"/>
      <c r="HWJ46" s="19"/>
      <c r="HWK46" s="19"/>
      <c r="HWL46" s="21"/>
      <c r="HWM46" s="19"/>
      <c r="HWV46" s="19"/>
      <c r="HWW46" s="19"/>
      <c r="HWX46" s="19"/>
      <c r="HWY46" s="19"/>
      <c r="HWZ46" s="21"/>
      <c r="HXA46" s="19"/>
      <c r="HXJ46" s="19"/>
      <c r="HXK46" s="19"/>
      <c r="HXL46" s="19"/>
      <c r="HXM46" s="19"/>
      <c r="HXN46" s="21"/>
      <c r="HXO46" s="19"/>
      <c r="HXX46" s="19"/>
      <c r="HXY46" s="19"/>
      <c r="HXZ46" s="19"/>
      <c r="HYA46" s="19"/>
      <c r="HYB46" s="21"/>
      <c r="HYC46" s="19"/>
      <c r="HYL46" s="19"/>
      <c r="HYM46" s="19"/>
      <c r="HYN46" s="19"/>
      <c r="HYO46" s="19"/>
      <c r="HYP46" s="21"/>
      <c r="HYQ46" s="19"/>
      <c r="HYZ46" s="19"/>
      <c r="HZA46" s="19"/>
      <c r="HZB46" s="19"/>
      <c r="HZC46" s="19"/>
      <c r="HZD46" s="21"/>
      <c r="HZE46" s="19"/>
      <c r="HZN46" s="19"/>
      <c r="HZO46" s="19"/>
      <c r="HZP46" s="19"/>
      <c r="HZQ46" s="19"/>
      <c r="HZR46" s="21"/>
      <c r="HZS46" s="19"/>
      <c r="IAB46" s="19"/>
      <c r="IAC46" s="19"/>
      <c r="IAD46" s="19"/>
      <c r="IAE46" s="19"/>
      <c r="IAF46" s="21"/>
      <c r="IAG46" s="19"/>
      <c r="IAP46" s="19"/>
      <c r="IAQ46" s="19"/>
      <c r="IAR46" s="19"/>
      <c r="IAS46" s="19"/>
      <c r="IAT46" s="21"/>
      <c r="IAU46" s="19"/>
      <c r="IBD46" s="19"/>
      <c r="IBE46" s="19"/>
      <c r="IBF46" s="19"/>
      <c r="IBG46" s="19"/>
      <c r="IBH46" s="21"/>
      <c r="IBI46" s="19"/>
      <c r="IBR46" s="19"/>
      <c r="IBS46" s="19"/>
      <c r="IBT46" s="19"/>
      <c r="IBU46" s="19"/>
      <c r="IBV46" s="21"/>
      <c r="IBW46" s="19"/>
      <c r="ICF46" s="19"/>
      <c r="ICG46" s="19"/>
      <c r="ICH46" s="19"/>
      <c r="ICI46" s="19"/>
      <c r="ICJ46" s="21"/>
      <c r="ICK46" s="19"/>
      <c r="ICT46" s="19"/>
      <c r="ICU46" s="19"/>
      <c r="ICV46" s="19"/>
      <c r="ICW46" s="19"/>
      <c r="ICX46" s="21"/>
      <c r="ICY46" s="19"/>
      <c r="IDH46" s="19"/>
      <c r="IDI46" s="19"/>
      <c r="IDJ46" s="19"/>
      <c r="IDK46" s="19"/>
      <c r="IDL46" s="21"/>
      <c r="IDM46" s="19"/>
      <c r="IDV46" s="19"/>
      <c r="IDW46" s="19"/>
      <c r="IDX46" s="19"/>
      <c r="IDY46" s="19"/>
      <c r="IDZ46" s="21"/>
      <c r="IEA46" s="19"/>
      <c r="IEJ46" s="19"/>
      <c r="IEK46" s="19"/>
      <c r="IEL46" s="19"/>
      <c r="IEM46" s="19"/>
      <c r="IEN46" s="21"/>
      <c r="IEO46" s="19"/>
      <c r="IEX46" s="19"/>
      <c r="IEY46" s="19"/>
      <c r="IEZ46" s="19"/>
      <c r="IFA46" s="19"/>
      <c r="IFB46" s="21"/>
      <c r="IFC46" s="19"/>
      <c r="IFL46" s="19"/>
      <c r="IFM46" s="19"/>
      <c r="IFN46" s="19"/>
      <c r="IFO46" s="19"/>
      <c r="IFP46" s="21"/>
      <c r="IFQ46" s="19"/>
      <c r="IFZ46" s="19"/>
      <c r="IGA46" s="19"/>
      <c r="IGB46" s="19"/>
      <c r="IGC46" s="19"/>
      <c r="IGD46" s="21"/>
      <c r="IGE46" s="19"/>
      <c r="IGN46" s="19"/>
      <c r="IGO46" s="19"/>
      <c r="IGP46" s="19"/>
      <c r="IGQ46" s="19"/>
      <c r="IGR46" s="21"/>
      <c r="IGS46" s="19"/>
      <c r="IHB46" s="19"/>
      <c r="IHC46" s="19"/>
      <c r="IHD46" s="19"/>
      <c r="IHE46" s="19"/>
      <c r="IHF46" s="21"/>
      <c r="IHG46" s="19"/>
      <c r="IHP46" s="19"/>
      <c r="IHQ46" s="19"/>
      <c r="IHR46" s="19"/>
      <c r="IHS46" s="19"/>
      <c r="IHT46" s="21"/>
      <c r="IHU46" s="19"/>
      <c r="IID46" s="19"/>
      <c r="IIE46" s="19"/>
      <c r="IIF46" s="19"/>
      <c r="IIG46" s="19"/>
      <c r="IIH46" s="21"/>
      <c r="III46" s="19"/>
      <c r="IIR46" s="19"/>
      <c r="IIS46" s="19"/>
      <c r="IIT46" s="19"/>
      <c r="IIU46" s="19"/>
      <c r="IIV46" s="21"/>
      <c r="IIW46" s="19"/>
      <c r="IJF46" s="19"/>
      <c r="IJG46" s="19"/>
      <c r="IJH46" s="19"/>
      <c r="IJI46" s="19"/>
      <c r="IJJ46" s="21"/>
      <c r="IJK46" s="19"/>
      <c r="IJT46" s="19"/>
      <c r="IJU46" s="19"/>
      <c r="IJV46" s="19"/>
      <c r="IJW46" s="19"/>
      <c r="IJX46" s="21"/>
      <c r="IJY46" s="19"/>
      <c r="IKH46" s="19"/>
      <c r="IKI46" s="19"/>
      <c r="IKJ46" s="19"/>
      <c r="IKK46" s="19"/>
      <c r="IKL46" s="21"/>
      <c r="IKM46" s="19"/>
      <c r="IKV46" s="19"/>
      <c r="IKW46" s="19"/>
      <c r="IKX46" s="19"/>
      <c r="IKY46" s="19"/>
      <c r="IKZ46" s="21"/>
      <c r="ILA46" s="19"/>
      <c r="ILJ46" s="19"/>
      <c r="ILK46" s="19"/>
      <c r="ILL46" s="19"/>
      <c r="ILM46" s="19"/>
      <c r="ILN46" s="21"/>
      <c r="ILO46" s="19"/>
      <c r="ILX46" s="19"/>
      <c r="ILY46" s="19"/>
      <c r="ILZ46" s="19"/>
      <c r="IMA46" s="19"/>
      <c r="IMB46" s="21"/>
      <c r="IMC46" s="19"/>
      <c r="IML46" s="19"/>
      <c r="IMM46" s="19"/>
      <c r="IMN46" s="19"/>
      <c r="IMO46" s="19"/>
      <c r="IMP46" s="21"/>
      <c r="IMQ46" s="19"/>
      <c r="IMZ46" s="19"/>
      <c r="INA46" s="19"/>
      <c r="INB46" s="19"/>
      <c r="INC46" s="19"/>
      <c r="IND46" s="21"/>
      <c r="INE46" s="19"/>
      <c r="INN46" s="19"/>
      <c r="INO46" s="19"/>
      <c r="INP46" s="19"/>
      <c r="INQ46" s="19"/>
      <c r="INR46" s="21"/>
      <c r="INS46" s="19"/>
      <c r="IOB46" s="19"/>
      <c r="IOC46" s="19"/>
      <c r="IOD46" s="19"/>
      <c r="IOE46" s="19"/>
      <c r="IOF46" s="21"/>
      <c r="IOG46" s="19"/>
      <c r="IOP46" s="19"/>
      <c r="IOQ46" s="19"/>
      <c r="IOR46" s="19"/>
      <c r="IOS46" s="19"/>
      <c r="IOT46" s="21"/>
      <c r="IOU46" s="19"/>
      <c r="IPD46" s="19"/>
      <c r="IPE46" s="19"/>
      <c r="IPF46" s="19"/>
      <c r="IPG46" s="19"/>
      <c r="IPH46" s="21"/>
      <c r="IPI46" s="19"/>
      <c r="IPR46" s="19"/>
      <c r="IPS46" s="19"/>
      <c r="IPT46" s="19"/>
      <c r="IPU46" s="19"/>
      <c r="IPV46" s="21"/>
      <c r="IPW46" s="19"/>
      <c r="IQF46" s="19"/>
      <c r="IQG46" s="19"/>
      <c r="IQH46" s="19"/>
      <c r="IQI46" s="19"/>
      <c r="IQJ46" s="21"/>
      <c r="IQK46" s="19"/>
      <c r="IQT46" s="19"/>
      <c r="IQU46" s="19"/>
      <c r="IQV46" s="19"/>
      <c r="IQW46" s="19"/>
      <c r="IQX46" s="21"/>
      <c r="IQY46" s="19"/>
      <c r="IRH46" s="19"/>
      <c r="IRI46" s="19"/>
      <c r="IRJ46" s="19"/>
      <c r="IRK46" s="19"/>
      <c r="IRL46" s="21"/>
      <c r="IRM46" s="19"/>
      <c r="IRV46" s="19"/>
      <c r="IRW46" s="19"/>
      <c r="IRX46" s="19"/>
      <c r="IRY46" s="19"/>
      <c r="IRZ46" s="21"/>
      <c r="ISA46" s="19"/>
      <c r="ISJ46" s="19"/>
      <c r="ISK46" s="19"/>
      <c r="ISL46" s="19"/>
      <c r="ISM46" s="19"/>
      <c r="ISN46" s="21"/>
      <c r="ISO46" s="19"/>
      <c r="ISX46" s="19"/>
      <c r="ISY46" s="19"/>
      <c r="ISZ46" s="19"/>
      <c r="ITA46" s="19"/>
      <c r="ITB46" s="21"/>
      <c r="ITC46" s="19"/>
      <c r="ITL46" s="19"/>
      <c r="ITM46" s="19"/>
      <c r="ITN46" s="19"/>
      <c r="ITO46" s="19"/>
      <c r="ITP46" s="21"/>
      <c r="ITQ46" s="19"/>
      <c r="ITZ46" s="19"/>
      <c r="IUA46" s="19"/>
      <c r="IUB46" s="19"/>
      <c r="IUC46" s="19"/>
      <c r="IUD46" s="21"/>
      <c r="IUE46" s="19"/>
      <c r="IUN46" s="19"/>
      <c r="IUO46" s="19"/>
      <c r="IUP46" s="19"/>
      <c r="IUQ46" s="19"/>
      <c r="IUR46" s="21"/>
      <c r="IUS46" s="19"/>
      <c r="IVB46" s="19"/>
      <c r="IVC46" s="19"/>
      <c r="IVD46" s="19"/>
      <c r="IVE46" s="19"/>
      <c r="IVF46" s="21"/>
      <c r="IVG46" s="19"/>
      <c r="IVP46" s="19"/>
      <c r="IVQ46" s="19"/>
      <c r="IVR46" s="19"/>
      <c r="IVS46" s="19"/>
      <c r="IVT46" s="21"/>
      <c r="IVU46" s="19"/>
      <c r="IWD46" s="19"/>
      <c r="IWE46" s="19"/>
      <c r="IWF46" s="19"/>
      <c r="IWG46" s="19"/>
      <c r="IWH46" s="21"/>
      <c r="IWI46" s="19"/>
      <c r="IWR46" s="19"/>
      <c r="IWS46" s="19"/>
      <c r="IWT46" s="19"/>
      <c r="IWU46" s="19"/>
      <c r="IWV46" s="21"/>
      <c r="IWW46" s="19"/>
      <c r="IXF46" s="19"/>
      <c r="IXG46" s="19"/>
      <c r="IXH46" s="19"/>
      <c r="IXI46" s="19"/>
      <c r="IXJ46" s="21"/>
      <c r="IXK46" s="19"/>
      <c r="IXT46" s="19"/>
      <c r="IXU46" s="19"/>
      <c r="IXV46" s="19"/>
      <c r="IXW46" s="19"/>
      <c r="IXX46" s="21"/>
      <c r="IXY46" s="19"/>
      <c r="IYH46" s="19"/>
      <c r="IYI46" s="19"/>
      <c r="IYJ46" s="19"/>
      <c r="IYK46" s="19"/>
      <c r="IYL46" s="21"/>
      <c r="IYM46" s="19"/>
      <c r="IYV46" s="19"/>
      <c r="IYW46" s="19"/>
      <c r="IYX46" s="19"/>
      <c r="IYY46" s="19"/>
      <c r="IYZ46" s="21"/>
      <c r="IZA46" s="19"/>
      <c r="IZJ46" s="19"/>
      <c r="IZK46" s="19"/>
      <c r="IZL46" s="19"/>
      <c r="IZM46" s="19"/>
      <c r="IZN46" s="21"/>
      <c r="IZO46" s="19"/>
      <c r="IZX46" s="19"/>
      <c r="IZY46" s="19"/>
      <c r="IZZ46" s="19"/>
      <c r="JAA46" s="19"/>
      <c r="JAB46" s="21"/>
      <c r="JAC46" s="19"/>
      <c r="JAL46" s="19"/>
      <c r="JAM46" s="19"/>
      <c r="JAN46" s="19"/>
      <c r="JAO46" s="19"/>
      <c r="JAP46" s="21"/>
      <c r="JAQ46" s="19"/>
      <c r="JAZ46" s="19"/>
      <c r="JBA46" s="19"/>
      <c r="JBB46" s="19"/>
      <c r="JBC46" s="19"/>
      <c r="JBD46" s="21"/>
      <c r="JBE46" s="19"/>
      <c r="JBN46" s="19"/>
      <c r="JBO46" s="19"/>
      <c r="JBP46" s="19"/>
      <c r="JBQ46" s="19"/>
      <c r="JBR46" s="21"/>
      <c r="JBS46" s="19"/>
      <c r="JCB46" s="19"/>
      <c r="JCC46" s="19"/>
      <c r="JCD46" s="19"/>
      <c r="JCE46" s="19"/>
      <c r="JCF46" s="21"/>
      <c r="JCG46" s="19"/>
      <c r="JCP46" s="19"/>
      <c r="JCQ46" s="19"/>
      <c r="JCR46" s="19"/>
      <c r="JCS46" s="19"/>
      <c r="JCT46" s="21"/>
      <c r="JCU46" s="19"/>
      <c r="JDD46" s="19"/>
      <c r="JDE46" s="19"/>
      <c r="JDF46" s="19"/>
      <c r="JDG46" s="19"/>
      <c r="JDH46" s="21"/>
      <c r="JDI46" s="19"/>
      <c r="JDR46" s="19"/>
      <c r="JDS46" s="19"/>
      <c r="JDT46" s="19"/>
      <c r="JDU46" s="19"/>
      <c r="JDV46" s="21"/>
      <c r="JDW46" s="19"/>
      <c r="JEF46" s="19"/>
      <c r="JEG46" s="19"/>
      <c r="JEH46" s="19"/>
      <c r="JEI46" s="19"/>
      <c r="JEJ46" s="21"/>
      <c r="JEK46" s="19"/>
      <c r="JET46" s="19"/>
      <c r="JEU46" s="19"/>
      <c r="JEV46" s="19"/>
      <c r="JEW46" s="19"/>
      <c r="JEX46" s="21"/>
      <c r="JEY46" s="19"/>
      <c r="JFH46" s="19"/>
      <c r="JFI46" s="19"/>
      <c r="JFJ46" s="19"/>
      <c r="JFK46" s="19"/>
      <c r="JFL46" s="21"/>
      <c r="JFM46" s="19"/>
      <c r="JFV46" s="19"/>
      <c r="JFW46" s="19"/>
      <c r="JFX46" s="19"/>
      <c r="JFY46" s="19"/>
      <c r="JFZ46" s="21"/>
      <c r="JGA46" s="19"/>
      <c r="JGJ46" s="19"/>
      <c r="JGK46" s="19"/>
      <c r="JGL46" s="19"/>
      <c r="JGM46" s="19"/>
      <c r="JGN46" s="21"/>
      <c r="JGO46" s="19"/>
      <c r="JGX46" s="19"/>
      <c r="JGY46" s="19"/>
      <c r="JGZ46" s="19"/>
      <c r="JHA46" s="19"/>
      <c r="JHB46" s="21"/>
      <c r="JHC46" s="19"/>
      <c r="JHL46" s="19"/>
      <c r="JHM46" s="19"/>
      <c r="JHN46" s="19"/>
      <c r="JHO46" s="19"/>
      <c r="JHP46" s="21"/>
      <c r="JHQ46" s="19"/>
      <c r="JHZ46" s="19"/>
      <c r="JIA46" s="19"/>
      <c r="JIB46" s="19"/>
      <c r="JIC46" s="19"/>
      <c r="JID46" s="21"/>
      <c r="JIE46" s="19"/>
      <c r="JIN46" s="19"/>
      <c r="JIO46" s="19"/>
      <c r="JIP46" s="19"/>
      <c r="JIQ46" s="19"/>
      <c r="JIR46" s="21"/>
      <c r="JIS46" s="19"/>
      <c r="JJB46" s="19"/>
      <c r="JJC46" s="19"/>
      <c r="JJD46" s="19"/>
      <c r="JJE46" s="19"/>
      <c r="JJF46" s="21"/>
      <c r="JJG46" s="19"/>
      <c r="JJP46" s="19"/>
      <c r="JJQ46" s="19"/>
      <c r="JJR46" s="19"/>
      <c r="JJS46" s="19"/>
      <c r="JJT46" s="21"/>
      <c r="JJU46" s="19"/>
      <c r="JKD46" s="19"/>
      <c r="JKE46" s="19"/>
      <c r="JKF46" s="19"/>
      <c r="JKG46" s="19"/>
      <c r="JKH46" s="21"/>
      <c r="JKI46" s="19"/>
      <c r="JKR46" s="19"/>
      <c r="JKS46" s="19"/>
      <c r="JKT46" s="19"/>
      <c r="JKU46" s="19"/>
      <c r="JKV46" s="21"/>
      <c r="JKW46" s="19"/>
      <c r="JLF46" s="19"/>
      <c r="JLG46" s="19"/>
      <c r="JLH46" s="19"/>
      <c r="JLI46" s="19"/>
      <c r="JLJ46" s="21"/>
      <c r="JLK46" s="19"/>
      <c r="JLT46" s="19"/>
      <c r="JLU46" s="19"/>
      <c r="JLV46" s="19"/>
      <c r="JLW46" s="19"/>
      <c r="JLX46" s="21"/>
      <c r="JLY46" s="19"/>
      <c r="JMH46" s="19"/>
      <c r="JMI46" s="19"/>
      <c r="JMJ46" s="19"/>
      <c r="JMK46" s="19"/>
      <c r="JML46" s="21"/>
      <c r="JMM46" s="19"/>
      <c r="JMV46" s="19"/>
      <c r="JMW46" s="19"/>
      <c r="JMX46" s="19"/>
      <c r="JMY46" s="19"/>
      <c r="JMZ46" s="21"/>
      <c r="JNA46" s="19"/>
      <c r="JNJ46" s="19"/>
      <c r="JNK46" s="19"/>
      <c r="JNL46" s="19"/>
      <c r="JNM46" s="19"/>
      <c r="JNN46" s="21"/>
      <c r="JNO46" s="19"/>
      <c r="JNX46" s="19"/>
      <c r="JNY46" s="19"/>
      <c r="JNZ46" s="19"/>
      <c r="JOA46" s="19"/>
      <c r="JOB46" s="21"/>
      <c r="JOC46" s="19"/>
      <c r="JOL46" s="19"/>
      <c r="JOM46" s="19"/>
      <c r="JON46" s="19"/>
      <c r="JOO46" s="19"/>
      <c r="JOP46" s="21"/>
      <c r="JOQ46" s="19"/>
      <c r="JOZ46" s="19"/>
      <c r="JPA46" s="19"/>
      <c r="JPB46" s="19"/>
      <c r="JPC46" s="19"/>
      <c r="JPD46" s="21"/>
      <c r="JPE46" s="19"/>
      <c r="JPN46" s="19"/>
      <c r="JPO46" s="19"/>
      <c r="JPP46" s="19"/>
      <c r="JPQ46" s="19"/>
      <c r="JPR46" s="21"/>
      <c r="JPS46" s="19"/>
      <c r="JQB46" s="19"/>
      <c r="JQC46" s="19"/>
      <c r="JQD46" s="19"/>
      <c r="JQE46" s="19"/>
      <c r="JQF46" s="21"/>
      <c r="JQG46" s="19"/>
      <c r="JQP46" s="19"/>
      <c r="JQQ46" s="19"/>
      <c r="JQR46" s="19"/>
      <c r="JQS46" s="19"/>
      <c r="JQT46" s="21"/>
      <c r="JQU46" s="19"/>
      <c r="JRD46" s="19"/>
      <c r="JRE46" s="19"/>
      <c r="JRF46" s="19"/>
      <c r="JRG46" s="19"/>
      <c r="JRH46" s="21"/>
      <c r="JRI46" s="19"/>
      <c r="JRR46" s="19"/>
      <c r="JRS46" s="19"/>
      <c r="JRT46" s="19"/>
      <c r="JRU46" s="19"/>
      <c r="JRV46" s="21"/>
      <c r="JRW46" s="19"/>
      <c r="JSF46" s="19"/>
      <c r="JSG46" s="19"/>
      <c r="JSH46" s="19"/>
      <c r="JSI46" s="19"/>
      <c r="JSJ46" s="21"/>
      <c r="JSK46" s="19"/>
      <c r="JST46" s="19"/>
      <c r="JSU46" s="19"/>
      <c r="JSV46" s="19"/>
      <c r="JSW46" s="19"/>
      <c r="JSX46" s="21"/>
      <c r="JSY46" s="19"/>
      <c r="JTH46" s="19"/>
      <c r="JTI46" s="19"/>
      <c r="JTJ46" s="19"/>
      <c r="JTK46" s="19"/>
      <c r="JTL46" s="21"/>
      <c r="JTM46" s="19"/>
      <c r="JTV46" s="19"/>
      <c r="JTW46" s="19"/>
      <c r="JTX46" s="19"/>
      <c r="JTY46" s="19"/>
      <c r="JTZ46" s="21"/>
      <c r="JUA46" s="19"/>
      <c r="JUJ46" s="19"/>
      <c r="JUK46" s="19"/>
      <c r="JUL46" s="19"/>
      <c r="JUM46" s="19"/>
      <c r="JUN46" s="21"/>
      <c r="JUO46" s="19"/>
      <c r="JUX46" s="19"/>
      <c r="JUY46" s="19"/>
      <c r="JUZ46" s="19"/>
      <c r="JVA46" s="19"/>
      <c r="JVB46" s="21"/>
      <c r="JVC46" s="19"/>
      <c r="JVL46" s="19"/>
      <c r="JVM46" s="19"/>
      <c r="JVN46" s="19"/>
      <c r="JVO46" s="19"/>
      <c r="JVP46" s="21"/>
      <c r="JVQ46" s="19"/>
      <c r="JVZ46" s="19"/>
      <c r="JWA46" s="19"/>
      <c r="JWB46" s="19"/>
      <c r="JWC46" s="19"/>
      <c r="JWD46" s="21"/>
      <c r="JWE46" s="19"/>
      <c r="JWN46" s="19"/>
      <c r="JWO46" s="19"/>
      <c r="JWP46" s="19"/>
      <c r="JWQ46" s="19"/>
      <c r="JWR46" s="21"/>
      <c r="JWS46" s="19"/>
      <c r="JXB46" s="19"/>
      <c r="JXC46" s="19"/>
      <c r="JXD46" s="19"/>
      <c r="JXE46" s="19"/>
      <c r="JXF46" s="21"/>
      <c r="JXG46" s="19"/>
      <c r="JXP46" s="19"/>
      <c r="JXQ46" s="19"/>
      <c r="JXR46" s="19"/>
      <c r="JXS46" s="19"/>
      <c r="JXT46" s="21"/>
      <c r="JXU46" s="19"/>
      <c r="JYD46" s="19"/>
      <c r="JYE46" s="19"/>
      <c r="JYF46" s="19"/>
      <c r="JYG46" s="19"/>
      <c r="JYH46" s="21"/>
      <c r="JYI46" s="19"/>
      <c r="JYR46" s="19"/>
      <c r="JYS46" s="19"/>
      <c r="JYT46" s="19"/>
      <c r="JYU46" s="19"/>
      <c r="JYV46" s="21"/>
      <c r="JYW46" s="19"/>
      <c r="JZF46" s="19"/>
      <c r="JZG46" s="19"/>
      <c r="JZH46" s="19"/>
      <c r="JZI46" s="19"/>
      <c r="JZJ46" s="21"/>
      <c r="JZK46" s="19"/>
      <c r="JZT46" s="19"/>
      <c r="JZU46" s="19"/>
      <c r="JZV46" s="19"/>
      <c r="JZW46" s="19"/>
      <c r="JZX46" s="21"/>
      <c r="JZY46" s="19"/>
      <c r="KAH46" s="19"/>
      <c r="KAI46" s="19"/>
      <c r="KAJ46" s="19"/>
      <c r="KAK46" s="19"/>
      <c r="KAL46" s="21"/>
      <c r="KAM46" s="19"/>
      <c r="KAV46" s="19"/>
      <c r="KAW46" s="19"/>
      <c r="KAX46" s="19"/>
      <c r="KAY46" s="19"/>
      <c r="KAZ46" s="21"/>
      <c r="KBA46" s="19"/>
      <c r="KBJ46" s="19"/>
      <c r="KBK46" s="19"/>
      <c r="KBL46" s="19"/>
      <c r="KBM46" s="19"/>
      <c r="KBN46" s="21"/>
      <c r="KBO46" s="19"/>
      <c r="KBX46" s="19"/>
      <c r="KBY46" s="19"/>
      <c r="KBZ46" s="19"/>
      <c r="KCA46" s="19"/>
      <c r="KCB46" s="21"/>
      <c r="KCC46" s="19"/>
      <c r="KCL46" s="19"/>
      <c r="KCM46" s="19"/>
      <c r="KCN46" s="19"/>
      <c r="KCO46" s="19"/>
      <c r="KCP46" s="21"/>
      <c r="KCQ46" s="19"/>
      <c r="KCZ46" s="19"/>
      <c r="KDA46" s="19"/>
      <c r="KDB46" s="19"/>
      <c r="KDC46" s="19"/>
      <c r="KDD46" s="21"/>
      <c r="KDE46" s="19"/>
      <c r="KDN46" s="19"/>
      <c r="KDO46" s="19"/>
      <c r="KDP46" s="19"/>
      <c r="KDQ46" s="19"/>
      <c r="KDR46" s="21"/>
      <c r="KDS46" s="19"/>
      <c r="KEB46" s="19"/>
      <c r="KEC46" s="19"/>
      <c r="KED46" s="19"/>
      <c r="KEE46" s="19"/>
      <c r="KEF46" s="21"/>
      <c r="KEG46" s="19"/>
      <c r="KEP46" s="19"/>
      <c r="KEQ46" s="19"/>
      <c r="KER46" s="19"/>
      <c r="KES46" s="19"/>
      <c r="KET46" s="21"/>
      <c r="KEU46" s="19"/>
      <c r="KFD46" s="19"/>
      <c r="KFE46" s="19"/>
      <c r="KFF46" s="19"/>
      <c r="KFG46" s="19"/>
      <c r="KFH46" s="21"/>
      <c r="KFI46" s="19"/>
      <c r="KFR46" s="19"/>
      <c r="KFS46" s="19"/>
      <c r="KFT46" s="19"/>
      <c r="KFU46" s="19"/>
      <c r="KFV46" s="21"/>
      <c r="KFW46" s="19"/>
      <c r="KGF46" s="19"/>
      <c r="KGG46" s="19"/>
      <c r="KGH46" s="19"/>
      <c r="KGI46" s="19"/>
      <c r="KGJ46" s="21"/>
      <c r="KGK46" s="19"/>
      <c r="KGT46" s="19"/>
      <c r="KGU46" s="19"/>
      <c r="KGV46" s="19"/>
      <c r="KGW46" s="19"/>
      <c r="KGX46" s="21"/>
      <c r="KGY46" s="19"/>
      <c r="KHH46" s="19"/>
      <c r="KHI46" s="19"/>
      <c r="KHJ46" s="19"/>
      <c r="KHK46" s="19"/>
      <c r="KHL46" s="21"/>
      <c r="KHM46" s="19"/>
      <c r="KHV46" s="19"/>
      <c r="KHW46" s="19"/>
      <c r="KHX46" s="19"/>
      <c r="KHY46" s="19"/>
      <c r="KHZ46" s="21"/>
      <c r="KIA46" s="19"/>
      <c r="KIJ46" s="19"/>
      <c r="KIK46" s="19"/>
      <c r="KIL46" s="19"/>
      <c r="KIM46" s="19"/>
      <c r="KIN46" s="21"/>
      <c r="KIO46" s="19"/>
      <c r="KIX46" s="19"/>
      <c r="KIY46" s="19"/>
      <c r="KIZ46" s="19"/>
      <c r="KJA46" s="19"/>
      <c r="KJB46" s="21"/>
      <c r="KJC46" s="19"/>
      <c r="KJL46" s="19"/>
      <c r="KJM46" s="19"/>
      <c r="KJN46" s="19"/>
      <c r="KJO46" s="19"/>
      <c r="KJP46" s="21"/>
      <c r="KJQ46" s="19"/>
      <c r="KJZ46" s="19"/>
      <c r="KKA46" s="19"/>
      <c r="KKB46" s="19"/>
      <c r="KKC46" s="19"/>
      <c r="KKD46" s="21"/>
      <c r="KKE46" s="19"/>
      <c r="KKN46" s="19"/>
      <c r="KKO46" s="19"/>
      <c r="KKP46" s="19"/>
      <c r="KKQ46" s="19"/>
      <c r="KKR46" s="21"/>
      <c r="KKS46" s="19"/>
      <c r="KLB46" s="19"/>
      <c r="KLC46" s="19"/>
      <c r="KLD46" s="19"/>
      <c r="KLE46" s="19"/>
      <c r="KLF46" s="21"/>
      <c r="KLG46" s="19"/>
      <c r="KLP46" s="19"/>
      <c r="KLQ46" s="19"/>
      <c r="KLR46" s="19"/>
      <c r="KLS46" s="19"/>
      <c r="KLT46" s="21"/>
      <c r="KLU46" s="19"/>
      <c r="KMD46" s="19"/>
      <c r="KME46" s="19"/>
      <c r="KMF46" s="19"/>
      <c r="KMG46" s="19"/>
      <c r="KMH46" s="21"/>
      <c r="KMI46" s="19"/>
      <c r="KMR46" s="19"/>
      <c r="KMS46" s="19"/>
      <c r="KMT46" s="19"/>
      <c r="KMU46" s="19"/>
      <c r="KMV46" s="21"/>
      <c r="KMW46" s="19"/>
      <c r="KNF46" s="19"/>
      <c r="KNG46" s="19"/>
      <c r="KNH46" s="19"/>
      <c r="KNI46" s="19"/>
      <c r="KNJ46" s="21"/>
      <c r="KNK46" s="19"/>
      <c r="KNT46" s="19"/>
      <c r="KNU46" s="19"/>
      <c r="KNV46" s="19"/>
      <c r="KNW46" s="19"/>
      <c r="KNX46" s="21"/>
      <c r="KNY46" s="19"/>
      <c r="KOH46" s="19"/>
      <c r="KOI46" s="19"/>
      <c r="KOJ46" s="19"/>
      <c r="KOK46" s="19"/>
      <c r="KOL46" s="21"/>
      <c r="KOM46" s="19"/>
      <c r="KOV46" s="19"/>
      <c r="KOW46" s="19"/>
      <c r="KOX46" s="19"/>
      <c r="KOY46" s="19"/>
      <c r="KOZ46" s="21"/>
      <c r="KPA46" s="19"/>
      <c r="KPJ46" s="19"/>
      <c r="KPK46" s="19"/>
      <c r="KPL46" s="19"/>
      <c r="KPM46" s="19"/>
      <c r="KPN46" s="21"/>
      <c r="KPO46" s="19"/>
      <c r="KPX46" s="19"/>
      <c r="KPY46" s="19"/>
      <c r="KPZ46" s="19"/>
      <c r="KQA46" s="19"/>
      <c r="KQB46" s="21"/>
      <c r="KQC46" s="19"/>
      <c r="KQL46" s="19"/>
      <c r="KQM46" s="19"/>
      <c r="KQN46" s="19"/>
      <c r="KQO46" s="19"/>
      <c r="KQP46" s="21"/>
      <c r="KQQ46" s="19"/>
      <c r="KQZ46" s="19"/>
      <c r="KRA46" s="19"/>
      <c r="KRB46" s="19"/>
      <c r="KRC46" s="19"/>
      <c r="KRD46" s="21"/>
      <c r="KRE46" s="19"/>
      <c r="KRN46" s="19"/>
      <c r="KRO46" s="19"/>
      <c r="KRP46" s="19"/>
      <c r="KRQ46" s="19"/>
      <c r="KRR46" s="21"/>
      <c r="KRS46" s="19"/>
      <c r="KSB46" s="19"/>
      <c r="KSC46" s="19"/>
      <c r="KSD46" s="19"/>
      <c r="KSE46" s="19"/>
      <c r="KSF46" s="21"/>
      <c r="KSG46" s="19"/>
      <c r="KSP46" s="19"/>
      <c r="KSQ46" s="19"/>
      <c r="KSR46" s="19"/>
      <c r="KSS46" s="19"/>
      <c r="KST46" s="21"/>
      <c r="KSU46" s="19"/>
      <c r="KTD46" s="19"/>
      <c r="KTE46" s="19"/>
      <c r="KTF46" s="19"/>
      <c r="KTG46" s="19"/>
      <c r="KTH46" s="21"/>
      <c r="KTI46" s="19"/>
      <c r="KTR46" s="19"/>
      <c r="KTS46" s="19"/>
      <c r="KTT46" s="19"/>
      <c r="KTU46" s="19"/>
      <c r="KTV46" s="21"/>
      <c r="KTW46" s="19"/>
      <c r="KUF46" s="19"/>
      <c r="KUG46" s="19"/>
      <c r="KUH46" s="19"/>
      <c r="KUI46" s="19"/>
      <c r="KUJ46" s="21"/>
      <c r="KUK46" s="19"/>
      <c r="KUT46" s="19"/>
      <c r="KUU46" s="19"/>
      <c r="KUV46" s="19"/>
      <c r="KUW46" s="19"/>
      <c r="KUX46" s="21"/>
      <c r="KUY46" s="19"/>
      <c r="KVH46" s="19"/>
      <c r="KVI46" s="19"/>
      <c r="KVJ46" s="19"/>
      <c r="KVK46" s="19"/>
      <c r="KVL46" s="21"/>
      <c r="KVM46" s="19"/>
      <c r="KVV46" s="19"/>
      <c r="KVW46" s="19"/>
      <c r="KVX46" s="19"/>
      <c r="KVY46" s="19"/>
      <c r="KVZ46" s="21"/>
      <c r="KWA46" s="19"/>
      <c r="KWJ46" s="19"/>
      <c r="KWK46" s="19"/>
      <c r="KWL46" s="19"/>
      <c r="KWM46" s="19"/>
      <c r="KWN46" s="21"/>
      <c r="KWO46" s="19"/>
      <c r="KWX46" s="19"/>
      <c r="KWY46" s="19"/>
      <c r="KWZ46" s="19"/>
      <c r="KXA46" s="19"/>
      <c r="KXB46" s="21"/>
      <c r="KXC46" s="19"/>
      <c r="KXL46" s="19"/>
      <c r="KXM46" s="19"/>
      <c r="KXN46" s="19"/>
      <c r="KXO46" s="19"/>
      <c r="KXP46" s="21"/>
      <c r="KXQ46" s="19"/>
      <c r="KXZ46" s="19"/>
      <c r="KYA46" s="19"/>
      <c r="KYB46" s="19"/>
      <c r="KYC46" s="19"/>
      <c r="KYD46" s="21"/>
      <c r="KYE46" s="19"/>
      <c r="KYN46" s="19"/>
      <c r="KYO46" s="19"/>
      <c r="KYP46" s="19"/>
      <c r="KYQ46" s="19"/>
      <c r="KYR46" s="21"/>
      <c r="KYS46" s="19"/>
      <c r="KZB46" s="19"/>
      <c r="KZC46" s="19"/>
      <c r="KZD46" s="19"/>
      <c r="KZE46" s="19"/>
      <c r="KZF46" s="21"/>
      <c r="KZG46" s="19"/>
      <c r="KZP46" s="19"/>
      <c r="KZQ46" s="19"/>
      <c r="KZR46" s="19"/>
      <c r="KZS46" s="19"/>
      <c r="KZT46" s="21"/>
      <c r="KZU46" s="19"/>
      <c r="LAD46" s="19"/>
      <c r="LAE46" s="19"/>
      <c r="LAF46" s="19"/>
      <c r="LAG46" s="19"/>
      <c r="LAH46" s="21"/>
      <c r="LAI46" s="19"/>
      <c r="LAR46" s="19"/>
      <c r="LAS46" s="19"/>
      <c r="LAT46" s="19"/>
      <c r="LAU46" s="19"/>
      <c r="LAV46" s="21"/>
      <c r="LAW46" s="19"/>
      <c r="LBF46" s="19"/>
      <c r="LBG46" s="19"/>
      <c r="LBH46" s="19"/>
      <c r="LBI46" s="19"/>
      <c r="LBJ46" s="21"/>
      <c r="LBK46" s="19"/>
      <c r="LBT46" s="19"/>
      <c r="LBU46" s="19"/>
      <c r="LBV46" s="19"/>
      <c r="LBW46" s="19"/>
      <c r="LBX46" s="21"/>
      <c r="LBY46" s="19"/>
      <c r="LCH46" s="19"/>
      <c r="LCI46" s="19"/>
      <c r="LCJ46" s="19"/>
      <c r="LCK46" s="19"/>
      <c r="LCL46" s="21"/>
      <c r="LCM46" s="19"/>
      <c r="LCV46" s="19"/>
      <c r="LCW46" s="19"/>
      <c r="LCX46" s="19"/>
      <c r="LCY46" s="19"/>
      <c r="LCZ46" s="21"/>
      <c r="LDA46" s="19"/>
      <c r="LDJ46" s="19"/>
      <c r="LDK46" s="19"/>
      <c r="LDL46" s="19"/>
      <c r="LDM46" s="19"/>
      <c r="LDN46" s="21"/>
      <c r="LDO46" s="19"/>
      <c r="LDX46" s="19"/>
      <c r="LDY46" s="19"/>
      <c r="LDZ46" s="19"/>
      <c r="LEA46" s="19"/>
      <c r="LEB46" s="21"/>
      <c r="LEC46" s="19"/>
      <c r="LEL46" s="19"/>
      <c r="LEM46" s="19"/>
      <c r="LEN46" s="19"/>
      <c r="LEO46" s="19"/>
      <c r="LEP46" s="21"/>
      <c r="LEQ46" s="19"/>
      <c r="LEZ46" s="19"/>
      <c r="LFA46" s="19"/>
      <c r="LFB46" s="19"/>
      <c r="LFC46" s="19"/>
      <c r="LFD46" s="21"/>
      <c r="LFE46" s="19"/>
      <c r="LFN46" s="19"/>
      <c r="LFO46" s="19"/>
      <c r="LFP46" s="19"/>
      <c r="LFQ46" s="19"/>
      <c r="LFR46" s="21"/>
      <c r="LFS46" s="19"/>
      <c r="LGB46" s="19"/>
      <c r="LGC46" s="19"/>
      <c r="LGD46" s="19"/>
      <c r="LGE46" s="19"/>
      <c r="LGF46" s="21"/>
      <c r="LGG46" s="19"/>
      <c r="LGP46" s="19"/>
      <c r="LGQ46" s="19"/>
      <c r="LGR46" s="19"/>
      <c r="LGS46" s="19"/>
      <c r="LGT46" s="21"/>
      <c r="LGU46" s="19"/>
      <c r="LHD46" s="19"/>
      <c r="LHE46" s="19"/>
      <c r="LHF46" s="19"/>
      <c r="LHG46" s="19"/>
      <c r="LHH46" s="21"/>
      <c r="LHI46" s="19"/>
      <c r="LHR46" s="19"/>
      <c r="LHS46" s="19"/>
      <c r="LHT46" s="19"/>
      <c r="LHU46" s="19"/>
      <c r="LHV46" s="21"/>
      <c r="LHW46" s="19"/>
      <c r="LIF46" s="19"/>
      <c r="LIG46" s="19"/>
      <c r="LIH46" s="19"/>
      <c r="LII46" s="19"/>
      <c r="LIJ46" s="21"/>
      <c r="LIK46" s="19"/>
      <c r="LIT46" s="19"/>
      <c r="LIU46" s="19"/>
      <c r="LIV46" s="19"/>
      <c r="LIW46" s="19"/>
      <c r="LIX46" s="21"/>
      <c r="LIY46" s="19"/>
      <c r="LJH46" s="19"/>
      <c r="LJI46" s="19"/>
      <c r="LJJ46" s="19"/>
      <c r="LJK46" s="19"/>
      <c r="LJL46" s="21"/>
      <c r="LJM46" s="19"/>
      <c r="LJV46" s="19"/>
      <c r="LJW46" s="19"/>
      <c r="LJX46" s="19"/>
      <c r="LJY46" s="19"/>
      <c r="LJZ46" s="21"/>
      <c r="LKA46" s="19"/>
      <c r="LKJ46" s="19"/>
      <c r="LKK46" s="19"/>
      <c r="LKL46" s="19"/>
      <c r="LKM46" s="19"/>
      <c r="LKN46" s="21"/>
      <c r="LKO46" s="19"/>
      <c r="LKX46" s="19"/>
      <c r="LKY46" s="19"/>
      <c r="LKZ46" s="19"/>
      <c r="LLA46" s="19"/>
      <c r="LLB46" s="21"/>
      <c r="LLC46" s="19"/>
      <c r="LLL46" s="19"/>
      <c r="LLM46" s="19"/>
      <c r="LLN46" s="19"/>
      <c r="LLO46" s="19"/>
      <c r="LLP46" s="21"/>
      <c r="LLQ46" s="19"/>
      <c r="LLZ46" s="19"/>
      <c r="LMA46" s="19"/>
      <c r="LMB46" s="19"/>
      <c r="LMC46" s="19"/>
      <c r="LMD46" s="21"/>
      <c r="LME46" s="19"/>
      <c r="LMN46" s="19"/>
      <c r="LMO46" s="19"/>
      <c r="LMP46" s="19"/>
      <c r="LMQ46" s="19"/>
      <c r="LMR46" s="21"/>
      <c r="LMS46" s="19"/>
      <c r="LNB46" s="19"/>
      <c r="LNC46" s="19"/>
      <c r="LND46" s="19"/>
      <c r="LNE46" s="19"/>
      <c r="LNF46" s="21"/>
      <c r="LNG46" s="19"/>
      <c r="LNP46" s="19"/>
      <c r="LNQ46" s="19"/>
      <c r="LNR46" s="19"/>
      <c r="LNS46" s="19"/>
      <c r="LNT46" s="21"/>
      <c r="LNU46" s="19"/>
      <c r="LOD46" s="19"/>
      <c r="LOE46" s="19"/>
      <c r="LOF46" s="19"/>
      <c r="LOG46" s="19"/>
      <c r="LOH46" s="21"/>
      <c r="LOI46" s="19"/>
      <c r="LOR46" s="19"/>
      <c r="LOS46" s="19"/>
      <c r="LOT46" s="19"/>
      <c r="LOU46" s="19"/>
      <c r="LOV46" s="21"/>
      <c r="LOW46" s="19"/>
      <c r="LPF46" s="19"/>
      <c r="LPG46" s="19"/>
      <c r="LPH46" s="19"/>
      <c r="LPI46" s="19"/>
      <c r="LPJ46" s="21"/>
      <c r="LPK46" s="19"/>
      <c r="LPT46" s="19"/>
      <c r="LPU46" s="19"/>
      <c r="LPV46" s="19"/>
      <c r="LPW46" s="19"/>
      <c r="LPX46" s="21"/>
      <c r="LPY46" s="19"/>
      <c r="LQH46" s="19"/>
      <c r="LQI46" s="19"/>
      <c r="LQJ46" s="19"/>
      <c r="LQK46" s="19"/>
      <c r="LQL46" s="21"/>
      <c r="LQM46" s="19"/>
      <c r="LQV46" s="19"/>
      <c r="LQW46" s="19"/>
      <c r="LQX46" s="19"/>
      <c r="LQY46" s="19"/>
      <c r="LQZ46" s="21"/>
      <c r="LRA46" s="19"/>
      <c r="LRJ46" s="19"/>
      <c r="LRK46" s="19"/>
      <c r="LRL46" s="19"/>
      <c r="LRM46" s="19"/>
      <c r="LRN46" s="21"/>
      <c r="LRO46" s="19"/>
      <c r="LRX46" s="19"/>
      <c r="LRY46" s="19"/>
      <c r="LRZ46" s="19"/>
      <c r="LSA46" s="19"/>
      <c r="LSB46" s="21"/>
      <c r="LSC46" s="19"/>
      <c r="LSL46" s="19"/>
      <c r="LSM46" s="19"/>
      <c r="LSN46" s="19"/>
      <c r="LSO46" s="19"/>
      <c r="LSP46" s="21"/>
      <c r="LSQ46" s="19"/>
      <c r="LSZ46" s="19"/>
      <c r="LTA46" s="19"/>
      <c r="LTB46" s="19"/>
      <c r="LTC46" s="19"/>
      <c r="LTD46" s="21"/>
      <c r="LTE46" s="19"/>
      <c r="LTN46" s="19"/>
      <c r="LTO46" s="19"/>
      <c r="LTP46" s="19"/>
      <c r="LTQ46" s="19"/>
      <c r="LTR46" s="21"/>
      <c r="LTS46" s="19"/>
      <c r="LUB46" s="19"/>
      <c r="LUC46" s="19"/>
      <c r="LUD46" s="19"/>
      <c r="LUE46" s="19"/>
      <c r="LUF46" s="21"/>
      <c r="LUG46" s="19"/>
      <c r="LUP46" s="19"/>
      <c r="LUQ46" s="19"/>
      <c r="LUR46" s="19"/>
      <c r="LUS46" s="19"/>
      <c r="LUT46" s="21"/>
      <c r="LUU46" s="19"/>
      <c r="LVD46" s="19"/>
      <c r="LVE46" s="19"/>
      <c r="LVF46" s="19"/>
      <c r="LVG46" s="19"/>
      <c r="LVH46" s="21"/>
      <c r="LVI46" s="19"/>
      <c r="LVR46" s="19"/>
      <c r="LVS46" s="19"/>
      <c r="LVT46" s="19"/>
      <c r="LVU46" s="19"/>
      <c r="LVV46" s="21"/>
      <c r="LVW46" s="19"/>
      <c r="LWF46" s="19"/>
      <c r="LWG46" s="19"/>
      <c r="LWH46" s="19"/>
      <c r="LWI46" s="19"/>
      <c r="LWJ46" s="21"/>
      <c r="LWK46" s="19"/>
      <c r="LWT46" s="19"/>
      <c r="LWU46" s="19"/>
      <c r="LWV46" s="19"/>
      <c r="LWW46" s="19"/>
      <c r="LWX46" s="21"/>
      <c r="LWY46" s="19"/>
      <c r="LXH46" s="19"/>
      <c r="LXI46" s="19"/>
      <c r="LXJ46" s="19"/>
      <c r="LXK46" s="19"/>
      <c r="LXL46" s="21"/>
      <c r="LXM46" s="19"/>
      <c r="LXV46" s="19"/>
      <c r="LXW46" s="19"/>
      <c r="LXX46" s="19"/>
      <c r="LXY46" s="19"/>
      <c r="LXZ46" s="21"/>
      <c r="LYA46" s="19"/>
      <c r="LYJ46" s="19"/>
      <c r="LYK46" s="19"/>
      <c r="LYL46" s="19"/>
      <c r="LYM46" s="19"/>
      <c r="LYN46" s="21"/>
      <c r="LYO46" s="19"/>
      <c r="LYX46" s="19"/>
      <c r="LYY46" s="19"/>
      <c r="LYZ46" s="19"/>
      <c r="LZA46" s="19"/>
      <c r="LZB46" s="21"/>
      <c r="LZC46" s="19"/>
      <c r="LZL46" s="19"/>
      <c r="LZM46" s="19"/>
      <c r="LZN46" s="19"/>
      <c r="LZO46" s="19"/>
      <c r="LZP46" s="21"/>
      <c r="LZQ46" s="19"/>
      <c r="LZZ46" s="19"/>
      <c r="MAA46" s="19"/>
      <c r="MAB46" s="19"/>
      <c r="MAC46" s="19"/>
      <c r="MAD46" s="21"/>
      <c r="MAE46" s="19"/>
      <c r="MAN46" s="19"/>
      <c r="MAO46" s="19"/>
      <c r="MAP46" s="19"/>
      <c r="MAQ46" s="19"/>
      <c r="MAR46" s="21"/>
      <c r="MAS46" s="19"/>
      <c r="MBB46" s="19"/>
      <c r="MBC46" s="19"/>
      <c r="MBD46" s="19"/>
      <c r="MBE46" s="19"/>
      <c r="MBF46" s="21"/>
      <c r="MBG46" s="19"/>
      <c r="MBP46" s="19"/>
      <c r="MBQ46" s="19"/>
      <c r="MBR46" s="19"/>
      <c r="MBS46" s="19"/>
      <c r="MBT46" s="21"/>
      <c r="MBU46" s="19"/>
      <c r="MCD46" s="19"/>
      <c r="MCE46" s="19"/>
      <c r="MCF46" s="19"/>
      <c r="MCG46" s="19"/>
      <c r="MCH46" s="21"/>
      <c r="MCI46" s="19"/>
      <c r="MCR46" s="19"/>
      <c r="MCS46" s="19"/>
      <c r="MCT46" s="19"/>
      <c r="MCU46" s="19"/>
      <c r="MCV46" s="21"/>
      <c r="MCW46" s="19"/>
      <c r="MDF46" s="19"/>
      <c r="MDG46" s="19"/>
      <c r="MDH46" s="19"/>
      <c r="MDI46" s="19"/>
      <c r="MDJ46" s="21"/>
      <c r="MDK46" s="19"/>
      <c r="MDT46" s="19"/>
      <c r="MDU46" s="19"/>
      <c r="MDV46" s="19"/>
      <c r="MDW46" s="19"/>
      <c r="MDX46" s="21"/>
      <c r="MDY46" s="19"/>
      <c r="MEH46" s="19"/>
      <c r="MEI46" s="19"/>
      <c r="MEJ46" s="19"/>
      <c r="MEK46" s="19"/>
      <c r="MEL46" s="21"/>
      <c r="MEM46" s="19"/>
      <c r="MEV46" s="19"/>
      <c r="MEW46" s="19"/>
      <c r="MEX46" s="19"/>
      <c r="MEY46" s="19"/>
      <c r="MEZ46" s="21"/>
      <c r="MFA46" s="19"/>
      <c r="MFJ46" s="19"/>
      <c r="MFK46" s="19"/>
      <c r="MFL46" s="19"/>
      <c r="MFM46" s="19"/>
      <c r="MFN46" s="21"/>
      <c r="MFO46" s="19"/>
      <c r="MFX46" s="19"/>
      <c r="MFY46" s="19"/>
      <c r="MFZ46" s="19"/>
      <c r="MGA46" s="19"/>
      <c r="MGB46" s="21"/>
      <c r="MGC46" s="19"/>
      <c r="MGL46" s="19"/>
      <c r="MGM46" s="19"/>
      <c r="MGN46" s="19"/>
      <c r="MGO46" s="19"/>
      <c r="MGP46" s="21"/>
      <c r="MGQ46" s="19"/>
      <c r="MGZ46" s="19"/>
      <c r="MHA46" s="19"/>
      <c r="MHB46" s="19"/>
      <c r="MHC46" s="19"/>
      <c r="MHD46" s="21"/>
      <c r="MHE46" s="19"/>
      <c r="MHN46" s="19"/>
      <c r="MHO46" s="19"/>
      <c r="MHP46" s="19"/>
      <c r="MHQ46" s="19"/>
      <c r="MHR46" s="21"/>
      <c r="MHS46" s="19"/>
      <c r="MIB46" s="19"/>
      <c r="MIC46" s="19"/>
      <c r="MID46" s="19"/>
      <c r="MIE46" s="19"/>
      <c r="MIF46" s="21"/>
      <c r="MIG46" s="19"/>
      <c r="MIP46" s="19"/>
      <c r="MIQ46" s="19"/>
      <c r="MIR46" s="19"/>
      <c r="MIS46" s="19"/>
      <c r="MIT46" s="21"/>
      <c r="MIU46" s="19"/>
      <c r="MJD46" s="19"/>
      <c r="MJE46" s="19"/>
      <c r="MJF46" s="19"/>
      <c r="MJG46" s="19"/>
      <c r="MJH46" s="21"/>
      <c r="MJI46" s="19"/>
      <c r="MJR46" s="19"/>
      <c r="MJS46" s="19"/>
      <c r="MJT46" s="19"/>
      <c r="MJU46" s="19"/>
      <c r="MJV46" s="21"/>
      <c r="MJW46" s="19"/>
      <c r="MKF46" s="19"/>
      <c r="MKG46" s="19"/>
      <c r="MKH46" s="19"/>
      <c r="MKI46" s="19"/>
      <c r="MKJ46" s="21"/>
      <c r="MKK46" s="19"/>
      <c r="MKT46" s="19"/>
      <c r="MKU46" s="19"/>
      <c r="MKV46" s="19"/>
      <c r="MKW46" s="19"/>
      <c r="MKX46" s="21"/>
      <c r="MKY46" s="19"/>
      <c r="MLH46" s="19"/>
      <c r="MLI46" s="19"/>
      <c r="MLJ46" s="19"/>
      <c r="MLK46" s="19"/>
      <c r="MLL46" s="21"/>
      <c r="MLM46" s="19"/>
      <c r="MLV46" s="19"/>
      <c r="MLW46" s="19"/>
      <c r="MLX46" s="19"/>
      <c r="MLY46" s="19"/>
      <c r="MLZ46" s="21"/>
      <c r="MMA46" s="19"/>
      <c r="MMJ46" s="19"/>
      <c r="MMK46" s="19"/>
      <c r="MML46" s="19"/>
      <c r="MMM46" s="19"/>
      <c r="MMN46" s="21"/>
      <c r="MMO46" s="19"/>
      <c r="MMX46" s="19"/>
      <c r="MMY46" s="19"/>
      <c r="MMZ46" s="19"/>
      <c r="MNA46" s="19"/>
      <c r="MNB46" s="21"/>
      <c r="MNC46" s="19"/>
      <c r="MNL46" s="19"/>
      <c r="MNM46" s="19"/>
      <c r="MNN46" s="19"/>
      <c r="MNO46" s="19"/>
      <c r="MNP46" s="21"/>
      <c r="MNQ46" s="19"/>
      <c r="MNZ46" s="19"/>
      <c r="MOA46" s="19"/>
      <c r="MOB46" s="19"/>
      <c r="MOC46" s="19"/>
      <c r="MOD46" s="21"/>
      <c r="MOE46" s="19"/>
      <c r="MON46" s="19"/>
      <c r="MOO46" s="19"/>
      <c r="MOP46" s="19"/>
      <c r="MOQ46" s="19"/>
      <c r="MOR46" s="21"/>
      <c r="MOS46" s="19"/>
      <c r="MPB46" s="19"/>
      <c r="MPC46" s="19"/>
      <c r="MPD46" s="19"/>
      <c r="MPE46" s="19"/>
      <c r="MPF46" s="21"/>
      <c r="MPG46" s="19"/>
      <c r="MPP46" s="19"/>
      <c r="MPQ46" s="19"/>
      <c r="MPR46" s="19"/>
      <c r="MPS46" s="19"/>
      <c r="MPT46" s="21"/>
      <c r="MPU46" s="19"/>
      <c r="MQD46" s="19"/>
      <c r="MQE46" s="19"/>
      <c r="MQF46" s="19"/>
      <c r="MQG46" s="19"/>
      <c r="MQH46" s="21"/>
      <c r="MQI46" s="19"/>
      <c r="MQR46" s="19"/>
      <c r="MQS46" s="19"/>
      <c r="MQT46" s="19"/>
      <c r="MQU46" s="19"/>
      <c r="MQV46" s="21"/>
      <c r="MQW46" s="19"/>
      <c r="MRF46" s="19"/>
      <c r="MRG46" s="19"/>
      <c r="MRH46" s="19"/>
      <c r="MRI46" s="19"/>
      <c r="MRJ46" s="21"/>
      <c r="MRK46" s="19"/>
      <c r="MRT46" s="19"/>
      <c r="MRU46" s="19"/>
      <c r="MRV46" s="19"/>
      <c r="MRW46" s="19"/>
      <c r="MRX46" s="21"/>
      <c r="MRY46" s="19"/>
      <c r="MSH46" s="19"/>
      <c r="MSI46" s="19"/>
      <c r="MSJ46" s="19"/>
      <c r="MSK46" s="19"/>
      <c r="MSL46" s="21"/>
      <c r="MSM46" s="19"/>
      <c r="MSV46" s="19"/>
      <c r="MSW46" s="19"/>
      <c r="MSX46" s="19"/>
      <c r="MSY46" s="19"/>
      <c r="MSZ46" s="21"/>
      <c r="MTA46" s="19"/>
      <c r="MTJ46" s="19"/>
      <c r="MTK46" s="19"/>
      <c r="MTL46" s="19"/>
      <c r="MTM46" s="19"/>
      <c r="MTN46" s="21"/>
      <c r="MTO46" s="19"/>
      <c r="MTX46" s="19"/>
      <c r="MTY46" s="19"/>
      <c r="MTZ46" s="19"/>
      <c r="MUA46" s="19"/>
      <c r="MUB46" s="21"/>
      <c r="MUC46" s="19"/>
      <c r="MUL46" s="19"/>
      <c r="MUM46" s="19"/>
      <c r="MUN46" s="19"/>
      <c r="MUO46" s="19"/>
      <c r="MUP46" s="21"/>
      <c r="MUQ46" s="19"/>
      <c r="MUZ46" s="19"/>
      <c r="MVA46" s="19"/>
      <c r="MVB46" s="19"/>
      <c r="MVC46" s="19"/>
      <c r="MVD46" s="21"/>
      <c r="MVE46" s="19"/>
      <c r="MVN46" s="19"/>
      <c r="MVO46" s="19"/>
      <c r="MVP46" s="19"/>
      <c r="MVQ46" s="19"/>
      <c r="MVR46" s="21"/>
      <c r="MVS46" s="19"/>
      <c r="MWB46" s="19"/>
      <c r="MWC46" s="19"/>
      <c r="MWD46" s="19"/>
      <c r="MWE46" s="19"/>
      <c r="MWF46" s="21"/>
      <c r="MWG46" s="19"/>
      <c r="MWP46" s="19"/>
      <c r="MWQ46" s="19"/>
      <c r="MWR46" s="19"/>
      <c r="MWS46" s="19"/>
      <c r="MWT46" s="21"/>
      <c r="MWU46" s="19"/>
      <c r="MXD46" s="19"/>
      <c r="MXE46" s="19"/>
      <c r="MXF46" s="19"/>
      <c r="MXG46" s="19"/>
      <c r="MXH46" s="21"/>
      <c r="MXI46" s="19"/>
      <c r="MXR46" s="19"/>
      <c r="MXS46" s="19"/>
      <c r="MXT46" s="19"/>
      <c r="MXU46" s="19"/>
      <c r="MXV46" s="21"/>
      <c r="MXW46" s="19"/>
      <c r="MYF46" s="19"/>
      <c r="MYG46" s="19"/>
      <c r="MYH46" s="19"/>
      <c r="MYI46" s="19"/>
      <c r="MYJ46" s="21"/>
      <c r="MYK46" s="19"/>
      <c r="MYT46" s="19"/>
      <c r="MYU46" s="19"/>
      <c r="MYV46" s="19"/>
      <c r="MYW46" s="19"/>
      <c r="MYX46" s="21"/>
      <c r="MYY46" s="19"/>
      <c r="MZH46" s="19"/>
      <c r="MZI46" s="19"/>
      <c r="MZJ46" s="19"/>
      <c r="MZK46" s="19"/>
      <c r="MZL46" s="21"/>
      <c r="MZM46" s="19"/>
      <c r="MZV46" s="19"/>
      <c r="MZW46" s="19"/>
      <c r="MZX46" s="19"/>
      <c r="MZY46" s="19"/>
      <c r="MZZ46" s="21"/>
      <c r="NAA46" s="19"/>
      <c r="NAJ46" s="19"/>
      <c r="NAK46" s="19"/>
      <c r="NAL46" s="19"/>
      <c r="NAM46" s="19"/>
      <c r="NAN46" s="21"/>
      <c r="NAO46" s="19"/>
      <c r="NAX46" s="19"/>
      <c r="NAY46" s="19"/>
      <c r="NAZ46" s="19"/>
      <c r="NBA46" s="19"/>
      <c r="NBB46" s="21"/>
      <c r="NBC46" s="19"/>
      <c r="NBL46" s="19"/>
      <c r="NBM46" s="19"/>
      <c r="NBN46" s="19"/>
      <c r="NBO46" s="19"/>
      <c r="NBP46" s="21"/>
      <c r="NBQ46" s="19"/>
      <c r="NBZ46" s="19"/>
      <c r="NCA46" s="19"/>
      <c r="NCB46" s="19"/>
      <c r="NCC46" s="19"/>
      <c r="NCD46" s="21"/>
      <c r="NCE46" s="19"/>
      <c r="NCN46" s="19"/>
      <c r="NCO46" s="19"/>
      <c r="NCP46" s="19"/>
      <c r="NCQ46" s="19"/>
      <c r="NCR46" s="21"/>
      <c r="NCS46" s="19"/>
      <c r="NDB46" s="19"/>
      <c r="NDC46" s="19"/>
      <c r="NDD46" s="19"/>
      <c r="NDE46" s="19"/>
      <c r="NDF46" s="21"/>
      <c r="NDG46" s="19"/>
      <c r="NDP46" s="19"/>
      <c r="NDQ46" s="19"/>
      <c r="NDR46" s="19"/>
      <c r="NDS46" s="19"/>
      <c r="NDT46" s="21"/>
      <c r="NDU46" s="19"/>
      <c r="NED46" s="19"/>
      <c r="NEE46" s="19"/>
      <c r="NEF46" s="19"/>
      <c r="NEG46" s="19"/>
      <c r="NEH46" s="21"/>
      <c r="NEI46" s="19"/>
      <c r="NER46" s="19"/>
      <c r="NES46" s="19"/>
      <c r="NET46" s="19"/>
      <c r="NEU46" s="19"/>
      <c r="NEV46" s="21"/>
      <c r="NEW46" s="19"/>
      <c r="NFF46" s="19"/>
      <c r="NFG46" s="19"/>
      <c r="NFH46" s="19"/>
      <c r="NFI46" s="19"/>
      <c r="NFJ46" s="21"/>
      <c r="NFK46" s="19"/>
      <c r="NFT46" s="19"/>
      <c r="NFU46" s="19"/>
      <c r="NFV46" s="19"/>
      <c r="NFW46" s="19"/>
      <c r="NFX46" s="21"/>
      <c r="NFY46" s="19"/>
      <c r="NGH46" s="19"/>
      <c r="NGI46" s="19"/>
      <c r="NGJ46" s="19"/>
      <c r="NGK46" s="19"/>
      <c r="NGL46" s="21"/>
      <c r="NGM46" s="19"/>
      <c r="NGV46" s="19"/>
      <c r="NGW46" s="19"/>
      <c r="NGX46" s="19"/>
      <c r="NGY46" s="19"/>
      <c r="NGZ46" s="21"/>
      <c r="NHA46" s="19"/>
      <c r="NHJ46" s="19"/>
      <c r="NHK46" s="19"/>
      <c r="NHL46" s="19"/>
      <c r="NHM46" s="19"/>
      <c r="NHN46" s="21"/>
      <c r="NHO46" s="19"/>
      <c r="NHX46" s="19"/>
      <c r="NHY46" s="19"/>
      <c r="NHZ46" s="19"/>
      <c r="NIA46" s="19"/>
      <c r="NIB46" s="21"/>
      <c r="NIC46" s="19"/>
      <c r="NIL46" s="19"/>
      <c r="NIM46" s="19"/>
      <c r="NIN46" s="19"/>
      <c r="NIO46" s="19"/>
      <c r="NIP46" s="21"/>
      <c r="NIQ46" s="19"/>
      <c r="NIZ46" s="19"/>
      <c r="NJA46" s="19"/>
      <c r="NJB46" s="19"/>
      <c r="NJC46" s="19"/>
      <c r="NJD46" s="21"/>
      <c r="NJE46" s="19"/>
      <c r="NJN46" s="19"/>
      <c r="NJO46" s="19"/>
      <c r="NJP46" s="19"/>
      <c r="NJQ46" s="19"/>
      <c r="NJR46" s="21"/>
      <c r="NJS46" s="19"/>
      <c r="NKB46" s="19"/>
      <c r="NKC46" s="19"/>
      <c r="NKD46" s="19"/>
      <c r="NKE46" s="19"/>
      <c r="NKF46" s="21"/>
      <c r="NKG46" s="19"/>
      <c r="NKP46" s="19"/>
      <c r="NKQ46" s="19"/>
      <c r="NKR46" s="19"/>
      <c r="NKS46" s="19"/>
      <c r="NKT46" s="21"/>
      <c r="NKU46" s="19"/>
      <c r="NLD46" s="19"/>
      <c r="NLE46" s="19"/>
      <c r="NLF46" s="19"/>
      <c r="NLG46" s="19"/>
      <c r="NLH46" s="21"/>
      <c r="NLI46" s="19"/>
      <c r="NLR46" s="19"/>
      <c r="NLS46" s="19"/>
      <c r="NLT46" s="19"/>
      <c r="NLU46" s="19"/>
      <c r="NLV46" s="21"/>
      <c r="NLW46" s="19"/>
      <c r="NMF46" s="19"/>
      <c r="NMG46" s="19"/>
      <c r="NMH46" s="19"/>
      <c r="NMI46" s="19"/>
      <c r="NMJ46" s="21"/>
      <c r="NMK46" s="19"/>
      <c r="NMT46" s="19"/>
      <c r="NMU46" s="19"/>
      <c r="NMV46" s="19"/>
      <c r="NMW46" s="19"/>
      <c r="NMX46" s="21"/>
      <c r="NMY46" s="19"/>
      <c r="NNH46" s="19"/>
      <c r="NNI46" s="19"/>
      <c r="NNJ46" s="19"/>
      <c r="NNK46" s="19"/>
      <c r="NNL46" s="21"/>
      <c r="NNM46" s="19"/>
      <c r="NNV46" s="19"/>
      <c r="NNW46" s="19"/>
      <c r="NNX46" s="19"/>
      <c r="NNY46" s="19"/>
      <c r="NNZ46" s="21"/>
      <c r="NOA46" s="19"/>
      <c r="NOJ46" s="19"/>
      <c r="NOK46" s="19"/>
      <c r="NOL46" s="19"/>
      <c r="NOM46" s="19"/>
      <c r="NON46" s="21"/>
      <c r="NOO46" s="19"/>
      <c r="NOX46" s="19"/>
      <c r="NOY46" s="19"/>
      <c r="NOZ46" s="19"/>
      <c r="NPA46" s="19"/>
      <c r="NPB46" s="21"/>
      <c r="NPC46" s="19"/>
      <c r="NPL46" s="19"/>
      <c r="NPM46" s="19"/>
      <c r="NPN46" s="19"/>
      <c r="NPO46" s="19"/>
      <c r="NPP46" s="21"/>
      <c r="NPQ46" s="19"/>
      <c r="NPZ46" s="19"/>
      <c r="NQA46" s="19"/>
      <c r="NQB46" s="19"/>
      <c r="NQC46" s="19"/>
      <c r="NQD46" s="21"/>
      <c r="NQE46" s="19"/>
      <c r="NQN46" s="19"/>
      <c r="NQO46" s="19"/>
      <c r="NQP46" s="19"/>
      <c r="NQQ46" s="19"/>
      <c r="NQR46" s="21"/>
      <c r="NQS46" s="19"/>
      <c r="NRB46" s="19"/>
      <c r="NRC46" s="19"/>
      <c r="NRD46" s="19"/>
      <c r="NRE46" s="19"/>
      <c r="NRF46" s="21"/>
      <c r="NRG46" s="19"/>
      <c r="NRP46" s="19"/>
      <c r="NRQ46" s="19"/>
      <c r="NRR46" s="19"/>
      <c r="NRS46" s="19"/>
      <c r="NRT46" s="21"/>
      <c r="NRU46" s="19"/>
      <c r="NSD46" s="19"/>
      <c r="NSE46" s="19"/>
      <c r="NSF46" s="19"/>
      <c r="NSG46" s="19"/>
      <c r="NSH46" s="21"/>
      <c r="NSI46" s="19"/>
      <c r="NSR46" s="19"/>
      <c r="NSS46" s="19"/>
      <c r="NST46" s="19"/>
      <c r="NSU46" s="19"/>
      <c r="NSV46" s="21"/>
      <c r="NSW46" s="19"/>
      <c r="NTF46" s="19"/>
      <c r="NTG46" s="19"/>
      <c r="NTH46" s="19"/>
      <c r="NTI46" s="19"/>
      <c r="NTJ46" s="21"/>
      <c r="NTK46" s="19"/>
      <c r="NTT46" s="19"/>
      <c r="NTU46" s="19"/>
      <c r="NTV46" s="19"/>
      <c r="NTW46" s="19"/>
      <c r="NTX46" s="21"/>
      <c r="NTY46" s="19"/>
      <c r="NUH46" s="19"/>
      <c r="NUI46" s="19"/>
      <c r="NUJ46" s="19"/>
      <c r="NUK46" s="19"/>
      <c r="NUL46" s="21"/>
      <c r="NUM46" s="19"/>
      <c r="NUV46" s="19"/>
      <c r="NUW46" s="19"/>
      <c r="NUX46" s="19"/>
      <c r="NUY46" s="19"/>
      <c r="NUZ46" s="21"/>
      <c r="NVA46" s="19"/>
      <c r="NVJ46" s="19"/>
      <c r="NVK46" s="19"/>
      <c r="NVL46" s="19"/>
      <c r="NVM46" s="19"/>
      <c r="NVN46" s="21"/>
      <c r="NVO46" s="19"/>
      <c r="NVX46" s="19"/>
      <c r="NVY46" s="19"/>
      <c r="NVZ46" s="19"/>
      <c r="NWA46" s="19"/>
      <c r="NWB46" s="21"/>
      <c r="NWC46" s="19"/>
      <c r="NWL46" s="19"/>
      <c r="NWM46" s="19"/>
      <c r="NWN46" s="19"/>
      <c r="NWO46" s="19"/>
      <c r="NWP46" s="21"/>
      <c r="NWQ46" s="19"/>
      <c r="NWZ46" s="19"/>
      <c r="NXA46" s="19"/>
      <c r="NXB46" s="19"/>
      <c r="NXC46" s="19"/>
      <c r="NXD46" s="21"/>
      <c r="NXE46" s="19"/>
      <c r="NXN46" s="19"/>
      <c r="NXO46" s="19"/>
      <c r="NXP46" s="19"/>
      <c r="NXQ46" s="19"/>
      <c r="NXR46" s="21"/>
      <c r="NXS46" s="19"/>
      <c r="NYB46" s="19"/>
      <c r="NYC46" s="19"/>
      <c r="NYD46" s="19"/>
      <c r="NYE46" s="19"/>
      <c r="NYF46" s="21"/>
      <c r="NYG46" s="19"/>
      <c r="NYP46" s="19"/>
      <c r="NYQ46" s="19"/>
      <c r="NYR46" s="19"/>
      <c r="NYS46" s="19"/>
      <c r="NYT46" s="21"/>
      <c r="NYU46" s="19"/>
      <c r="NZD46" s="19"/>
      <c r="NZE46" s="19"/>
      <c r="NZF46" s="19"/>
      <c r="NZG46" s="19"/>
      <c r="NZH46" s="21"/>
      <c r="NZI46" s="19"/>
      <c r="NZR46" s="19"/>
      <c r="NZS46" s="19"/>
      <c r="NZT46" s="19"/>
      <c r="NZU46" s="19"/>
      <c r="NZV46" s="21"/>
      <c r="NZW46" s="19"/>
      <c r="OAF46" s="19"/>
      <c r="OAG46" s="19"/>
      <c r="OAH46" s="19"/>
      <c r="OAI46" s="19"/>
      <c r="OAJ46" s="21"/>
      <c r="OAK46" s="19"/>
      <c r="OAT46" s="19"/>
      <c r="OAU46" s="19"/>
      <c r="OAV46" s="19"/>
      <c r="OAW46" s="19"/>
      <c r="OAX46" s="21"/>
      <c r="OAY46" s="19"/>
      <c r="OBH46" s="19"/>
      <c r="OBI46" s="19"/>
      <c r="OBJ46" s="19"/>
      <c r="OBK46" s="19"/>
      <c r="OBL46" s="21"/>
      <c r="OBM46" s="19"/>
      <c r="OBV46" s="19"/>
      <c r="OBW46" s="19"/>
      <c r="OBX46" s="19"/>
      <c r="OBY46" s="19"/>
      <c r="OBZ46" s="21"/>
      <c r="OCA46" s="19"/>
      <c r="OCJ46" s="19"/>
      <c r="OCK46" s="19"/>
      <c r="OCL46" s="19"/>
      <c r="OCM46" s="19"/>
      <c r="OCN46" s="21"/>
      <c r="OCO46" s="19"/>
      <c r="OCX46" s="19"/>
      <c r="OCY46" s="19"/>
      <c r="OCZ46" s="19"/>
      <c r="ODA46" s="19"/>
      <c r="ODB46" s="21"/>
      <c r="ODC46" s="19"/>
      <c r="ODL46" s="19"/>
      <c r="ODM46" s="19"/>
      <c r="ODN46" s="19"/>
      <c r="ODO46" s="19"/>
      <c r="ODP46" s="21"/>
      <c r="ODQ46" s="19"/>
      <c r="ODZ46" s="19"/>
      <c r="OEA46" s="19"/>
      <c r="OEB46" s="19"/>
      <c r="OEC46" s="19"/>
      <c r="OED46" s="21"/>
      <c r="OEE46" s="19"/>
      <c r="OEN46" s="19"/>
      <c r="OEO46" s="19"/>
      <c r="OEP46" s="19"/>
      <c r="OEQ46" s="19"/>
      <c r="OER46" s="21"/>
      <c r="OES46" s="19"/>
      <c r="OFB46" s="19"/>
      <c r="OFC46" s="19"/>
      <c r="OFD46" s="19"/>
      <c r="OFE46" s="19"/>
      <c r="OFF46" s="21"/>
      <c r="OFG46" s="19"/>
      <c r="OFP46" s="19"/>
      <c r="OFQ46" s="19"/>
      <c r="OFR46" s="19"/>
      <c r="OFS46" s="19"/>
      <c r="OFT46" s="21"/>
      <c r="OFU46" s="19"/>
      <c r="OGD46" s="19"/>
      <c r="OGE46" s="19"/>
      <c r="OGF46" s="19"/>
      <c r="OGG46" s="19"/>
      <c r="OGH46" s="21"/>
      <c r="OGI46" s="19"/>
      <c r="OGR46" s="19"/>
      <c r="OGS46" s="19"/>
      <c r="OGT46" s="19"/>
      <c r="OGU46" s="19"/>
      <c r="OGV46" s="21"/>
      <c r="OGW46" s="19"/>
      <c r="OHF46" s="19"/>
      <c r="OHG46" s="19"/>
      <c r="OHH46" s="19"/>
      <c r="OHI46" s="19"/>
      <c r="OHJ46" s="21"/>
      <c r="OHK46" s="19"/>
      <c r="OHT46" s="19"/>
      <c r="OHU46" s="19"/>
      <c r="OHV46" s="19"/>
      <c r="OHW46" s="19"/>
      <c r="OHX46" s="21"/>
      <c r="OHY46" s="19"/>
      <c r="OIH46" s="19"/>
      <c r="OII46" s="19"/>
      <c r="OIJ46" s="19"/>
      <c r="OIK46" s="19"/>
      <c r="OIL46" s="21"/>
      <c r="OIM46" s="19"/>
      <c r="OIV46" s="19"/>
      <c r="OIW46" s="19"/>
      <c r="OIX46" s="19"/>
      <c r="OIY46" s="19"/>
      <c r="OIZ46" s="21"/>
      <c r="OJA46" s="19"/>
      <c r="OJJ46" s="19"/>
      <c r="OJK46" s="19"/>
      <c r="OJL46" s="19"/>
      <c r="OJM46" s="19"/>
      <c r="OJN46" s="21"/>
      <c r="OJO46" s="19"/>
      <c r="OJX46" s="19"/>
      <c r="OJY46" s="19"/>
      <c r="OJZ46" s="19"/>
      <c r="OKA46" s="19"/>
      <c r="OKB46" s="21"/>
      <c r="OKC46" s="19"/>
      <c r="OKL46" s="19"/>
      <c r="OKM46" s="19"/>
      <c r="OKN46" s="19"/>
      <c r="OKO46" s="19"/>
      <c r="OKP46" s="21"/>
      <c r="OKQ46" s="19"/>
      <c r="OKZ46" s="19"/>
      <c r="OLA46" s="19"/>
      <c r="OLB46" s="19"/>
      <c r="OLC46" s="19"/>
      <c r="OLD46" s="21"/>
      <c r="OLE46" s="19"/>
      <c r="OLN46" s="19"/>
      <c r="OLO46" s="19"/>
      <c r="OLP46" s="19"/>
      <c r="OLQ46" s="19"/>
      <c r="OLR46" s="21"/>
      <c r="OLS46" s="19"/>
      <c r="OMB46" s="19"/>
      <c r="OMC46" s="19"/>
      <c r="OMD46" s="19"/>
      <c r="OME46" s="19"/>
      <c r="OMF46" s="21"/>
      <c r="OMG46" s="19"/>
      <c r="OMP46" s="19"/>
      <c r="OMQ46" s="19"/>
      <c r="OMR46" s="19"/>
      <c r="OMS46" s="19"/>
      <c r="OMT46" s="21"/>
      <c r="OMU46" s="19"/>
      <c r="OND46" s="19"/>
      <c r="ONE46" s="19"/>
      <c r="ONF46" s="19"/>
      <c r="ONG46" s="19"/>
      <c r="ONH46" s="21"/>
      <c r="ONI46" s="19"/>
      <c r="ONR46" s="19"/>
      <c r="ONS46" s="19"/>
      <c r="ONT46" s="19"/>
      <c r="ONU46" s="19"/>
      <c r="ONV46" s="21"/>
      <c r="ONW46" s="19"/>
      <c r="OOF46" s="19"/>
      <c r="OOG46" s="19"/>
      <c r="OOH46" s="19"/>
      <c r="OOI46" s="19"/>
      <c r="OOJ46" s="21"/>
      <c r="OOK46" s="19"/>
      <c r="OOT46" s="19"/>
      <c r="OOU46" s="19"/>
      <c r="OOV46" s="19"/>
      <c r="OOW46" s="19"/>
      <c r="OOX46" s="21"/>
      <c r="OOY46" s="19"/>
      <c r="OPH46" s="19"/>
      <c r="OPI46" s="19"/>
      <c r="OPJ46" s="19"/>
      <c r="OPK46" s="19"/>
      <c r="OPL46" s="21"/>
      <c r="OPM46" s="19"/>
      <c r="OPV46" s="19"/>
      <c r="OPW46" s="19"/>
      <c r="OPX46" s="19"/>
      <c r="OPY46" s="19"/>
      <c r="OPZ46" s="21"/>
      <c r="OQA46" s="19"/>
      <c r="OQJ46" s="19"/>
      <c r="OQK46" s="19"/>
      <c r="OQL46" s="19"/>
      <c r="OQM46" s="19"/>
      <c r="OQN46" s="21"/>
      <c r="OQO46" s="19"/>
      <c r="OQX46" s="19"/>
      <c r="OQY46" s="19"/>
      <c r="OQZ46" s="19"/>
      <c r="ORA46" s="19"/>
      <c r="ORB46" s="21"/>
      <c r="ORC46" s="19"/>
      <c r="ORL46" s="19"/>
      <c r="ORM46" s="19"/>
      <c r="ORN46" s="19"/>
      <c r="ORO46" s="19"/>
      <c r="ORP46" s="21"/>
      <c r="ORQ46" s="19"/>
      <c r="ORZ46" s="19"/>
      <c r="OSA46" s="19"/>
      <c r="OSB46" s="19"/>
      <c r="OSC46" s="19"/>
      <c r="OSD46" s="21"/>
      <c r="OSE46" s="19"/>
      <c r="OSN46" s="19"/>
      <c r="OSO46" s="19"/>
      <c r="OSP46" s="19"/>
      <c r="OSQ46" s="19"/>
      <c r="OSR46" s="21"/>
      <c r="OSS46" s="19"/>
      <c r="OTB46" s="19"/>
      <c r="OTC46" s="19"/>
      <c r="OTD46" s="19"/>
      <c r="OTE46" s="19"/>
      <c r="OTF46" s="21"/>
      <c r="OTG46" s="19"/>
      <c r="OTP46" s="19"/>
      <c r="OTQ46" s="19"/>
      <c r="OTR46" s="19"/>
      <c r="OTS46" s="19"/>
      <c r="OTT46" s="21"/>
      <c r="OTU46" s="19"/>
      <c r="OUD46" s="19"/>
      <c r="OUE46" s="19"/>
      <c r="OUF46" s="19"/>
      <c r="OUG46" s="19"/>
      <c r="OUH46" s="21"/>
      <c r="OUI46" s="19"/>
      <c r="OUR46" s="19"/>
      <c r="OUS46" s="19"/>
      <c r="OUT46" s="19"/>
      <c r="OUU46" s="19"/>
      <c r="OUV46" s="21"/>
      <c r="OUW46" s="19"/>
      <c r="OVF46" s="19"/>
      <c r="OVG46" s="19"/>
      <c r="OVH46" s="19"/>
      <c r="OVI46" s="19"/>
      <c r="OVJ46" s="21"/>
      <c r="OVK46" s="19"/>
      <c r="OVT46" s="19"/>
      <c r="OVU46" s="19"/>
      <c r="OVV46" s="19"/>
      <c r="OVW46" s="19"/>
      <c r="OVX46" s="21"/>
      <c r="OVY46" s="19"/>
      <c r="OWH46" s="19"/>
      <c r="OWI46" s="19"/>
      <c r="OWJ46" s="19"/>
      <c r="OWK46" s="19"/>
      <c r="OWL46" s="21"/>
      <c r="OWM46" s="19"/>
      <c r="OWV46" s="19"/>
      <c r="OWW46" s="19"/>
      <c r="OWX46" s="19"/>
      <c r="OWY46" s="19"/>
      <c r="OWZ46" s="21"/>
      <c r="OXA46" s="19"/>
      <c r="OXJ46" s="19"/>
      <c r="OXK46" s="19"/>
      <c r="OXL46" s="19"/>
      <c r="OXM46" s="19"/>
      <c r="OXN46" s="21"/>
      <c r="OXO46" s="19"/>
      <c r="OXX46" s="19"/>
      <c r="OXY46" s="19"/>
      <c r="OXZ46" s="19"/>
      <c r="OYA46" s="19"/>
      <c r="OYB46" s="21"/>
      <c r="OYC46" s="19"/>
      <c r="OYL46" s="19"/>
      <c r="OYM46" s="19"/>
      <c r="OYN46" s="19"/>
      <c r="OYO46" s="19"/>
      <c r="OYP46" s="21"/>
      <c r="OYQ46" s="19"/>
      <c r="OYZ46" s="19"/>
      <c r="OZA46" s="19"/>
      <c r="OZB46" s="19"/>
      <c r="OZC46" s="19"/>
      <c r="OZD46" s="21"/>
      <c r="OZE46" s="19"/>
      <c r="OZN46" s="19"/>
      <c r="OZO46" s="19"/>
      <c r="OZP46" s="19"/>
      <c r="OZQ46" s="19"/>
      <c r="OZR46" s="21"/>
      <c r="OZS46" s="19"/>
      <c r="PAB46" s="19"/>
      <c r="PAC46" s="19"/>
      <c r="PAD46" s="19"/>
      <c r="PAE46" s="19"/>
      <c r="PAF46" s="21"/>
      <c r="PAG46" s="19"/>
      <c r="PAP46" s="19"/>
      <c r="PAQ46" s="19"/>
      <c r="PAR46" s="19"/>
      <c r="PAS46" s="19"/>
      <c r="PAT46" s="21"/>
      <c r="PAU46" s="19"/>
      <c r="PBD46" s="19"/>
      <c r="PBE46" s="19"/>
      <c r="PBF46" s="19"/>
      <c r="PBG46" s="19"/>
      <c r="PBH46" s="21"/>
      <c r="PBI46" s="19"/>
      <c r="PBR46" s="19"/>
      <c r="PBS46" s="19"/>
      <c r="PBT46" s="19"/>
      <c r="PBU46" s="19"/>
      <c r="PBV46" s="21"/>
      <c r="PBW46" s="19"/>
      <c r="PCF46" s="19"/>
      <c r="PCG46" s="19"/>
      <c r="PCH46" s="19"/>
      <c r="PCI46" s="19"/>
      <c r="PCJ46" s="21"/>
      <c r="PCK46" s="19"/>
      <c r="PCT46" s="19"/>
      <c r="PCU46" s="19"/>
      <c r="PCV46" s="19"/>
      <c r="PCW46" s="19"/>
      <c r="PCX46" s="21"/>
      <c r="PCY46" s="19"/>
      <c r="PDH46" s="19"/>
      <c r="PDI46" s="19"/>
      <c r="PDJ46" s="19"/>
      <c r="PDK46" s="19"/>
      <c r="PDL46" s="21"/>
      <c r="PDM46" s="19"/>
      <c r="PDV46" s="19"/>
      <c r="PDW46" s="19"/>
      <c r="PDX46" s="19"/>
      <c r="PDY46" s="19"/>
      <c r="PDZ46" s="21"/>
      <c r="PEA46" s="19"/>
      <c r="PEJ46" s="19"/>
      <c r="PEK46" s="19"/>
      <c r="PEL46" s="19"/>
      <c r="PEM46" s="19"/>
      <c r="PEN46" s="21"/>
      <c r="PEO46" s="19"/>
      <c r="PEX46" s="19"/>
      <c r="PEY46" s="19"/>
      <c r="PEZ46" s="19"/>
      <c r="PFA46" s="19"/>
      <c r="PFB46" s="21"/>
      <c r="PFC46" s="19"/>
      <c r="PFL46" s="19"/>
      <c r="PFM46" s="19"/>
      <c r="PFN46" s="19"/>
      <c r="PFO46" s="19"/>
      <c r="PFP46" s="21"/>
      <c r="PFQ46" s="19"/>
      <c r="PFZ46" s="19"/>
      <c r="PGA46" s="19"/>
      <c r="PGB46" s="19"/>
      <c r="PGC46" s="19"/>
      <c r="PGD46" s="21"/>
      <c r="PGE46" s="19"/>
      <c r="PGN46" s="19"/>
      <c r="PGO46" s="19"/>
      <c r="PGP46" s="19"/>
      <c r="PGQ46" s="19"/>
      <c r="PGR46" s="21"/>
      <c r="PGS46" s="19"/>
      <c r="PHB46" s="19"/>
      <c r="PHC46" s="19"/>
      <c r="PHD46" s="19"/>
      <c r="PHE46" s="19"/>
      <c r="PHF46" s="21"/>
      <c r="PHG46" s="19"/>
      <c r="PHP46" s="19"/>
      <c r="PHQ46" s="19"/>
      <c r="PHR46" s="19"/>
      <c r="PHS46" s="19"/>
      <c r="PHT46" s="21"/>
      <c r="PHU46" s="19"/>
      <c r="PID46" s="19"/>
      <c r="PIE46" s="19"/>
      <c r="PIF46" s="19"/>
      <c r="PIG46" s="19"/>
      <c r="PIH46" s="21"/>
      <c r="PII46" s="19"/>
      <c r="PIR46" s="19"/>
      <c r="PIS46" s="19"/>
      <c r="PIT46" s="19"/>
      <c r="PIU46" s="19"/>
      <c r="PIV46" s="21"/>
      <c r="PIW46" s="19"/>
      <c r="PJF46" s="19"/>
      <c r="PJG46" s="19"/>
      <c r="PJH46" s="19"/>
      <c r="PJI46" s="19"/>
      <c r="PJJ46" s="21"/>
      <c r="PJK46" s="19"/>
      <c r="PJT46" s="19"/>
      <c r="PJU46" s="19"/>
      <c r="PJV46" s="19"/>
      <c r="PJW46" s="19"/>
      <c r="PJX46" s="21"/>
      <c r="PJY46" s="19"/>
      <c r="PKH46" s="19"/>
      <c r="PKI46" s="19"/>
      <c r="PKJ46" s="19"/>
      <c r="PKK46" s="19"/>
      <c r="PKL46" s="21"/>
      <c r="PKM46" s="19"/>
      <c r="PKV46" s="19"/>
      <c r="PKW46" s="19"/>
      <c r="PKX46" s="19"/>
      <c r="PKY46" s="19"/>
      <c r="PKZ46" s="21"/>
      <c r="PLA46" s="19"/>
      <c r="PLJ46" s="19"/>
      <c r="PLK46" s="19"/>
      <c r="PLL46" s="19"/>
      <c r="PLM46" s="19"/>
      <c r="PLN46" s="21"/>
      <c r="PLO46" s="19"/>
      <c r="PLX46" s="19"/>
      <c r="PLY46" s="19"/>
      <c r="PLZ46" s="19"/>
      <c r="PMA46" s="19"/>
      <c r="PMB46" s="21"/>
      <c r="PMC46" s="19"/>
      <c r="PML46" s="19"/>
      <c r="PMM46" s="19"/>
      <c r="PMN46" s="19"/>
      <c r="PMO46" s="19"/>
      <c r="PMP46" s="21"/>
      <c r="PMQ46" s="19"/>
      <c r="PMZ46" s="19"/>
      <c r="PNA46" s="19"/>
      <c r="PNB46" s="19"/>
      <c r="PNC46" s="19"/>
      <c r="PND46" s="21"/>
      <c r="PNE46" s="19"/>
      <c r="PNN46" s="19"/>
      <c r="PNO46" s="19"/>
      <c r="PNP46" s="19"/>
      <c r="PNQ46" s="19"/>
      <c r="PNR46" s="21"/>
      <c r="PNS46" s="19"/>
      <c r="POB46" s="19"/>
      <c r="POC46" s="19"/>
      <c r="POD46" s="19"/>
      <c r="POE46" s="19"/>
      <c r="POF46" s="21"/>
      <c r="POG46" s="19"/>
      <c r="POP46" s="19"/>
      <c r="POQ46" s="19"/>
      <c r="POR46" s="19"/>
      <c r="POS46" s="19"/>
      <c r="POT46" s="21"/>
      <c r="POU46" s="19"/>
      <c r="PPD46" s="19"/>
      <c r="PPE46" s="19"/>
      <c r="PPF46" s="19"/>
      <c r="PPG46" s="19"/>
      <c r="PPH46" s="21"/>
      <c r="PPI46" s="19"/>
      <c r="PPR46" s="19"/>
      <c r="PPS46" s="19"/>
      <c r="PPT46" s="19"/>
      <c r="PPU46" s="19"/>
      <c r="PPV46" s="21"/>
      <c r="PPW46" s="19"/>
      <c r="PQF46" s="19"/>
      <c r="PQG46" s="19"/>
      <c r="PQH46" s="19"/>
      <c r="PQI46" s="19"/>
      <c r="PQJ46" s="21"/>
      <c r="PQK46" s="19"/>
      <c r="PQT46" s="19"/>
      <c r="PQU46" s="19"/>
      <c r="PQV46" s="19"/>
      <c r="PQW46" s="19"/>
      <c r="PQX46" s="21"/>
      <c r="PQY46" s="19"/>
      <c r="PRH46" s="19"/>
      <c r="PRI46" s="19"/>
      <c r="PRJ46" s="19"/>
      <c r="PRK46" s="19"/>
      <c r="PRL46" s="21"/>
      <c r="PRM46" s="19"/>
      <c r="PRV46" s="19"/>
      <c r="PRW46" s="19"/>
      <c r="PRX46" s="19"/>
      <c r="PRY46" s="19"/>
      <c r="PRZ46" s="21"/>
      <c r="PSA46" s="19"/>
      <c r="PSJ46" s="19"/>
      <c r="PSK46" s="19"/>
      <c r="PSL46" s="19"/>
      <c r="PSM46" s="19"/>
      <c r="PSN46" s="21"/>
      <c r="PSO46" s="19"/>
      <c r="PSX46" s="19"/>
      <c r="PSY46" s="19"/>
      <c r="PSZ46" s="19"/>
      <c r="PTA46" s="19"/>
      <c r="PTB46" s="21"/>
      <c r="PTC46" s="19"/>
      <c r="PTL46" s="19"/>
      <c r="PTM46" s="19"/>
      <c r="PTN46" s="19"/>
      <c r="PTO46" s="19"/>
      <c r="PTP46" s="21"/>
      <c r="PTQ46" s="19"/>
      <c r="PTZ46" s="19"/>
      <c r="PUA46" s="19"/>
      <c r="PUB46" s="19"/>
      <c r="PUC46" s="19"/>
      <c r="PUD46" s="21"/>
      <c r="PUE46" s="19"/>
      <c r="PUN46" s="19"/>
      <c r="PUO46" s="19"/>
      <c r="PUP46" s="19"/>
      <c r="PUQ46" s="19"/>
      <c r="PUR46" s="21"/>
      <c r="PUS46" s="19"/>
      <c r="PVB46" s="19"/>
      <c r="PVC46" s="19"/>
      <c r="PVD46" s="19"/>
      <c r="PVE46" s="19"/>
      <c r="PVF46" s="21"/>
      <c r="PVG46" s="19"/>
      <c r="PVP46" s="19"/>
      <c r="PVQ46" s="19"/>
      <c r="PVR46" s="19"/>
      <c r="PVS46" s="19"/>
      <c r="PVT46" s="21"/>
      <c r="PVU46" s="19"/>
      <c r="PWD46" s="19"/>
      <c r="PWE46" s="19"/>
      <c r="PWF46" s="19"/>
      <c r="PWG46" s="19"/>
      <c r="PWH46" s="21"/>
      <c r="PWI46" s="19"/>
      <c r="PWR46" s="19"/>
      <c r="PWS46" s="19"/>
      <c r="PWT46" s="19"/>
      <c r="PWU46" s="19"/>
      <c r="PWV46" s="21"/>
      <c r="PWW46" s="19"/>
      <c r="PXF46" s="19"/>
      <c r="PXG46" s="19"/>
      <c r="PXH46" s="19"/>
      <c r="PXI46" s="19"/>
      <c r="PXJ46" s="21"/>
      <c r="PXK46" s="19"/>
      <c r="PXT46" s="19"/>
      <c r="PXU46" s="19"/>
      <c r="PXV46" s="19"/>
      <c r="PXW46" s="19"/>
      <c r="PXX46" s="21"/>
      <c r="PXY46" s="19"/>
      <c r="PYH46" s="19"/>
      <c r="PYI46" s="19"/>
      <c r="PYJ46" s="19"/>
      <c r="PYK46" s="19"/>
      <c r="PYL46" s="21"/>
      <c r="PYM46" s="19"/>
      <c r="PYV46" s="19"/>
      <c r="PYW46" s="19"/>
      <c r="PYX46" s="19"/>
      <c r="PYY46" s="19"/>
      <c r="PYZ46" s="21"/>
      <c r="PZA46" s="19"/>
      <c r="PZJ46" s="19"/>
      <c r="PZK46" s="19"/>
      <c r="PZL46" s="19"/>
      <c r="PZM46" s="19"/>
      <c r="PZN46" s="21"/>
      <c r="PZO46" s="19"/>
      <c r="PZX46" s="19"/>
      <c r="PZY46" s="19"/>
      <c r="PZZ46" s="19"/>
      <c r="QAA46" s="19"/>
      <c r="QAB46" s="21"/>
      <c r="QAC46" s="19"/>
      <c r="QAL46" s="19"/>
      <c r="QAM46" s="19"/>
      <c r="QAN46" s="19"/>
      <c r="QAO46" s="19"/>
      <c r="QAP46" s="21"/>
      <c r="QAQ46" s="19"/>
      <c r="QAZ46" s="19"/>
      <c r="QBA46" s="19"/>
      <c r="QBB46" s="19"/>
      <c r="QBC46" s="19"/>
      <c r="QBD46" s="21"/>
      <c r="QBE46" s="19"/>
      <c r="QBN46" s="19"/>
      <c r="QBO46" s="19"/>
      <c r="QBP46" s="19"/>
      <c r="QBQ46" s="19"/>
      <c r="QBR46" s="21"/>
      <c r="QBS46" s="19"/>
      <c r="QCB46" s="19"/>
      <c r="QCC46" s="19"/>
      <c r="QCD46" s="19"/>
      <c r="QCE46" s="19"/>
      <c r="QCF46" s="21"/>
      <c r="QCG46" s="19"/>
      <c r="QCP46" s="19"/>
      <c r="QCQ46" s="19"/>
      <c r="QCR46" s="19"/>
      <c r="QCS46" s="19"/>
      <c r="QCT46" s="21"/>
      <c r="QCU46" s="19"/>
      <c r="QDD46" s="19"/>
      <c r="QDE46" s="19"/>
      <c r="QDF46" s="19"/>
      <c r="QDG46" s="19"/>
      <c r="QDH46" s="21"/>
      <c r="QDI46" s="19"/>
      <c r="QDR46" s="19"/>
      <c r="QDS46" s="19"/>
      <c r="QDT46" s="19"/>
      <c r="QDU46" s="19"/>
      <c r="QDV46" s="21"/>
      <c r="QDW46" s="19"/>
      <c r="QEF46" s="19"/>
      <c r="QEG46" s="19"/>
      <c r="QEH46" s="19"/>
      <c r="QEI46" s="19"/>
      <c r="QEJ46" s="21"/>
      <c r="QEK46" s="19"/>
      <c r="QET46" s="19"/>
      <c r="QEU46" s="19"/>
      <c r="QEV46" s="19"/>
      <c r="QEW46" s="19"/>
      <c r="QEX46" s="21"/>
      <c r="QEY46" s="19"/>
      <c r="QFH46" s="19"/>
      <c r="QFI46" s="19"/>
      <c r="QFJ46" s="19"/>
      <c r="QFK46" s="19"/>
      <c r="QFL46" s="21"/>
      <c r="QFM46" s="19"/>
      <c r="QFV46" s="19"/>
      <c r="QFW46" s="19"/>
      <c r="QFX46" s="19"/>
      <c r="QFY46" s="19"/>
      <c r="QFZ46" s="21"/>
      <c r="QGA46" s="19"/>
      <c r="QGJ46" s="19"/>
      <c r="QGK46" s="19"/>
      <c r="QGL46" s="19"/>
      <c r="QGM46" s="19"/>
      <c r="QGN46" s="21"/>
      <c r="QGO46" s="19"/>
      <c r="QGX46" s="19"/>
      <c r="QGY46" s="19"/>
      <c r="QGZ46" s="19"/>
      <c r="QHA46" s="19"/>
      <c r="QHB46" s="21"/>
      <c r="QHC46" s="19"/>
      <c r="QHL46" s="19"/>
      <c r="QHM46" s="19"/>
      <c r="QHN46" s="19"/>
      <c r="QHO46" s="19"/>
      <c r="QHP46" s="21"/>
      <c r="QHQ46" s="19"/>
      <c r="QHZ46" s="19"/>
      <c r="QIA46" s="19"/>
      <c r="QIB46" s="19"/>
      <c r="QIC46" s="19"/>
      <c r="QID46" s="21"/>
      <c r="QIE46" s="19"/>
      <c r="QIN46" s="19"/>
      <c r="QIO46" s="19"/>
      <c r="QIP46" s="19"/>
      <c r="QIQ46" s="19"/>
      <c r="QIR46" s="21"/>
      <c r="QIS46" s="19"/>
      <c r="QJB46" s="19"/>
      <c r="QJC46" s="19"/>
      <c r="QJD46" s="19"/>
      <c r="QJE46" s="19"/>
      <c r="QJF46" s="21"/>
      <c r="QJG46" s="19"/>
      <c r="QJP46" s="19"/>
      <c r="QJQ46" s="19"/>
      <c r="QJR46" s="19"/>
      <c r="QJS46" s="19"/>
      <c r="QJT46" s="21"/>
      <c r="QJU46" s="19"/>
      <c r="QKD46" s="19"/>
      <c r="QKE46" s="19"/>
      <c r="QKF46" s="19"/>
      <c r="QKG46" s="19"/>
      <c r="QKH46" s="21"/>
      <c r="QKI46" s="19"/>
      <c r="QKR46" s="19"/>
      <c r="QKS46" s="19"/>
      <c r="QKT46" s="19"/>
      <c r="QKU46" s="19"/>
      <c r="QKV46" s="21"/>
      <c r="QKW46" s="19"/>
      <c r="QLF46" s="19"/>
      <c r="QLG46" s="19"/>
      <c r="QLH46" s="19"/>
      <c r="QLI46" s="19"/>
      <c r="QLJ46" s="21"/>
      <c r="QLK46" s="19"/>
      <c r="QLT46" s="19"/>
      <c r="QLU46" s="19"/>
      <c r="QLV46" s="19"/>
      <c r="QLW46" s="19"/>
      <c r="QLX46" s="21"/>
      <c r="QLY46" s="19"/>
      <c r="QMH46" s="19"/>
      <c r="QMI46" s="19"/>
      <c r="QMJ46" s="19"/>
      <c r="QMK46" s="19"/>
      <c r="QML46" s="21"/>
      <c r="QMM46" s="19"/>
      <c r="QMV46" s="19"/>
      <c r="QMW46" s="19"/>
      <c r="QMX46" s="19"/>
      <c r="QMY46" s="19"/>
      <c r="QMZ46" s="21"/>
      <c r="QNA46" s="19"/>
      <c r="QNJ46" s="19"/>
      <c r="QNK46" s="19"/>
      <c r="QNL46" s="19"/>
      <c r="QNM46" s="19"/>
      <c r="QNN46" s="21"/>
      <c r="QNO46" s="19"/>
      <c r="QNX46" s="19"/>
      <c r="QNY46" s="19"/>
      <c r="QNZ46" s="19"/>
      <c r="QOA46" s="19"/>
      <c r="QOB46" s="21"/>
      <c r="QOC46" s="19"/>
      <c r="QOL46" s="19"/>
      <c r="QOM46" s="19"/>
      <c r="QON46" s="19"/>
      <c r="QOO46" s="19"/>
      <c r="QOP46" s="21"/>
      <c r="QOQ46" s="19"/>
      <c r="QOZ46" s="19"/>
      <c r="QPA46" s="19"/>
      <c r="QPB46" s="19"/>
      <c r="QPC46" s="19"/>
      <c r="QPD46" s="21"/>
      <c r="QPE46" s="19"/>
      <c r="QPN46" s="19"/>
      <c r="QPO46" s="19"/>
      <c r="QPP46" s="19"/>
      <c r="QPQ46" s="19"/>
      <c r="QPR46" s="21"/>
      <c r="QPS46" s="19"/>
      <c r="QQB46" s="19"/>
      <c r="QQC46" s="19"/>
      <c r="QQD46" s="19"/>
      <c r="QQE46" s="19"/>
      <c r="QQF46" s="21"/>
      <c r="QQG46" s="19"/>
      <c r="QQP46" s="19"/>
      <c r="QQQ46" s="19"/>
      <c r="QQR46" s="19"/>
      <c r="QQS46" s="19"/>
      <c r="QQT46" s="21"/>
      <c r="QQU46" s="19"/>
      <c r="QRD46" s="19"/>
      <c r="QRE46" s="19"/>
      <c r="QRF46" s="19"/>
      <c r="QRG46" s="19"/>
      <c r="QRH46" s="21"/>
      <c r="QRI46" s="19"/>
      <c r="QRR46" s="19"/>
      <c r="QRS46" s="19"/>
      <c r="QRT46" s="19"/>
      <c r="QRU46" s="19"/>
      <c r="QRV46" s="21"/>
      <c r="QRW46" s="19"/>
      <c r="QSF46" s="19"/>
      <c r="QSG46" s="19"/>
      <c r="QSH46" s="19"/>
      <c r="QSI46" s="19"/>
      <c r="QSJ46" s="21"/>
      <c r="QSK46" s="19"/>
      <c r="QST46" s="19"/>
      <c r="QSU46" s="19"/>
      <c r="QSV46" s="19"/>
      <c r="QSW46" s="19"/>
      <c r="QSX46" s="21"/>
      <c r="QSY46" s="19"/>
      <c r="QTH46" s="19"/>
      <c r="QTI46" s="19"/>
      <c r="QTJ46" s="19"/>
      <c r="QTK46" s="19"/>
      <c r="QTL46" s="21"/>
      <c r="QTM46" s="19"/>
      <c r="QTV46" s="19"/>
      <c r="QTW46" s="19"/>
      <c r="QTX46" s="19"/>
      <c r="QTY46" s="19"/>
      <c r="QTZ46" s="21"/>
      <c r="QUA46" s="19"/>
      <c r="QUJ46" s="19"/>
      <c r="QUK46" s="19"/>
      <c r="QUL46" s="19"/>
      <c r="QUM46" s="19"/>
      <c r="QUN46" s="21"/>
      <c r="QUO46" s="19"/>
      <c r="QUX46" s="19"/>
      <c r="QUY46" s="19"/>
      <c r="QUZ46" s="19"/>
      <c r="QVA46" s="19"/>
      <c r="QVB46" s="21"/>
      <c r="QVC46" s="19"/>
      <c r="QVL46" s="19"/>
      <c r="QVM46" s="19"/>
      <c r="QVN46" s="19"/>
      <c r="QVO46" s="19"/>
      <c r="QVP46" s="21"/>
      <c r="QVQ46" s="19"/>
      <c r="QVZ46" s="19"/>
      <c r="QWA46" s="19"/>
      <c r="QWB46" s="19"/>
      <c r="QWC46" s="19"/>
      <c r="QWD46" s="21"/>
      <c r="QWE46" s="19"/>
      <c r="QWN46" s="19"/>
      <c r="QWO46" s="19"/>
      <c r="QWP46" s="19"/>
      <c r="QWQ46" s="19"/>
      <c r="QWR46" s="21"/>
      <c r="QWS46" s="19"/>
      <c r="QXB46" s="19"/>
      <c r="QXC46" s="19"/>
      <c r="QXD46" s="19"/>
      <c r="QXE46" s="19"/>
      <c r="QXF46" s="21"/>
      <c r="QXG46" s="19"/>
      <c r="QXP46" s="19"/>
      <c r="QXQ46" s="19"/>
      <c r="QXR46" s="19"/>
      <c r="QXS46" s="19"/>
      <c r="QXT46" s="21"/>
      <c r="QXU46" s="19"/>
      <c r="QYD46" s="19"/>
      <c r="QYE46" s="19"/>
      <c r="QYF46" s="19"/>
      <c r="QYG46" s="19"/>
      <c r="QYH46" s="21"/>
      <c r="QYI46" s="19"/>
      <c r="QYR46" s="19"/>
      <c r="QYS46" s="19"/>
      <c r="QYT46" s="19"/>
      <c r="QYU46" s="19"/>
      <c r="QYV46" s="21"/>
      <c r="QYW46" s="19"/>
      <c r="QZF46" s="19"/>
      <c r="QZG46" s="19"/>
      <c r="QZH46" s="19"/>
      <c r="QZI46" s="19"/>
      <c r="QZJ46" s="21"/>
      <c r="QZK46" s="19"/>
      <c r="QZT46" s="19"/>
      <c r="QZU46" s="19"/>
      <c r="QZV46" s="19"/>
      <c r="QZW46" s="19"/>
      <c r="QZX46" s="21"/>
      <c r="QZY46" s="19"/>
      <c r="RAH46" s="19"/>
      <c r="RAI46" s="19"/>
      <c r="RAJ46" s="19"/>
      <c r="RAK46" s="19"/>
      <c r="RAL46" s="21"/>
      <c r="RAM46" s="19"/>
      <c r="RAV46" s="19"/>
      <c r="RAW46" s="19"/>
      <c r="RAX46" s="19"/>
      <c r="RAY46" s="19"/>
      <c r="RAZ46" s="21"/>
      <c r="RBA46" s="19"/>
      <c r="RBJ46" s="19"/>
      <c r="RBK46" s="19"/>
      <c r="RBL46" s="19"/>
      <c r="RBM46" s="19"/>
      <c r="RBN46" s="21"/>
      <c r="RBO46" s="19"/>
      <c r="RBX46" s="19"/>
      <c r="RBY46" s="19"/>
      <c r="RBZ46" s="19"/>
      <c r="RCA46" s="19"/>
      <c r="RCB46" s="21"/>
      <c r="RCC46" s="19"/>
      <c r="RCL46" s="19"/>
      <c r="RCM46" s="19"/>
      <c r="RCN46" s="19"/>
      <c r="RCO46" s="19"/>
      <c r="RCP46" s="21"/>
      <c r="RCQ46" s="19"/>
      <c r="RCZ46" s="19"/>
      <c r="RDA46" s="19"/>
      <c r="RDB46" s="19"/>
      <c r="RDC46" s="19"/>
      <c r="RDD46" s="21"/>
      <c r="RDE46" s="19"/>
      <c r="RDN46" s="19"/>
      <c r="RDO46" s="19"/>
      <c r="RDP46" s="19"/>
      <c r="RDQ46" s="19"/>
      <c r="RDR46" s="21"/>
      <c r="RDS46" s="19"/>
      <c r="REB46" s="19"/>
      <c r="REC46" s="19"/>
      <c r="RED46" s="19"/>
      <c r="REE46" s="19"/>
      <c r="REF46" s="21"/>
      <c r="REG46" s="19"/>
      <c r="REP46" s="19"/>
      <c r="REQ46" s="19"/>
      <c r="RER46" s="19"/>
      <c r="RES46" s="19"/>
      <c r="RET46" s="21"/>
      <c r="REU46" s="19"/>
      <c r="RFD46" s="19"/>
      <c r="RFE46" s="19"/>
      <c r="RFF46" s="19"/>
      <c r="RFG46" s="19"/>
      <c r="RFH46" s="21"/>
      <c r="RFI46" s="19"/>
      <c r="RFR46" s="19"/>
      <c r="RFS46" s="19"/>
      <c r="RFT46" s="19"/>
      <c r="RFU46" s="19"/>
      <c r="RFV46" s="21"/>
      <c r="RFW46" s="19"/>
      <c r="RGF46" s="19"/>
      <c r="RGG46" s="19"/>
      <c r="RGH46" s="19"/>
      <c r="RGI46" s="19"/>
      <c r="RGJ46" s="21"/>
      <c r="RGK46" s="19"/>
      <c r="RGT46" s="19"/>
      <c r="RGU46" s="19"/>
      <c r="RGV46" s="19"/>
      <c r="RGW46" s="19"/>
      <c r="RGX46" s="21"/>
      <c r="RGY46" s="19"/>
      <c r="RHH46" s="19"/>
      <c r="RHI46" s="19"/>
      <c r="RHJ46" s="19"/>
      <c r="RHK46" s="19"/>
      <c r="RHL46" s="21"/>
      <c r="RHM46" s="19"/>
      <c r="RHV46" s="19"/>
      <c r="RHW46" s="19"/>
      <c r="RHX46" s="19"/>
      <c r="RHY46" s="19"/>
      <c r="RHZ46" s="21"/>
      <c r="RIA46" s="19"/>
      <c r="RIJ46" s="19"/>
      <c r="RIK46" s="19"/>
      <c r="RIL46" s="19"/>
      <c r="RIM46" s="19"/>
      <c r="RIN46" s="21"/>
      <c r="RIO46" s="19"/>
      <c r="RIX46" s="19"/>
      <c r="RIY46" s="19"/>
      <c r="RIZ46" s="19"/>
      <c r="RJA46" s="19"/>
      <c r="RJB46" s="21"/>
      <c r="RJC46" s="19"/>
      <c r="RJL46" s="19"/>
      <c r="RJM46" s="19"/>
      <c r="RJN46" s="19"/>
      <c r="RJO46" s="19"/>
      <c r="RJP46" s="21"/>
      <c r="RJQ46" s="19"/>
      <c r="RJZ46" s="19"/>
      <c r="RKA46" s="19"/>
      <c r="RKB46" s="19"/>
      <c r="RKC46" s="19"/>
      <c r="RKD46" s="21"/>
      <c r="RKE46" s="19"/>
      <c r="RKN46" s="19"/>
      <c r="RKO46" s="19"/>
      <c r="RKP46" s="19"/>
      <c r="RKQ46" s="19"/>
      <c r="RKR46" s="21"/>
      <c r="RKS46" s="19"/>
      <c r="RLB46" s="19"/>
      <c r="RLC46" s="19"/>
      <c r="RLD46" s="19"/>
      <c r="RLE46" s="19"/>
      <c r="RLF46" s="21"/>
      <c r="RLG46" s="19"/>
      <c r="RLP46" s="19"/>
      <c r="RLQ46" s="19"/>
      <c r="RLR46" s="19"/>
      <c r="RLS46" s="19"/>
      <c r="RLT46" s="21"/>
      <c r="RLU46" s="19"/>
      <c r="RMD46" s="19"/>
      <c r="RME46" s="19"/>
      <c r="RMF46" s="19"/>
      <c r="RMG46" s="19"/>
      <c r="RMH46" s="21"/>
      <c r="RMI46" s="19"/>
      <c r="RMR46" s="19"/>
      <c r="RMS46" s="19"/>
      <c r="RMT46" s="19"/>
      <c r="RMU46" s="19"/>
      <c r="RMV46" s="21"/>
      <c r="RMW46" s="19"/>
      <c r="RNF46" s="19"/>
      <c r="RNG46" s="19"/>
      <c r="RNH46" s="19"/>
      <c r="RNI46" s="19"/>
      <c r="RNJ46" s="21"/>
      <c r="RNK46" s="19"/>
      <c r="RNT46" s="19"/>
      <c r="RNU46" s="19"/>
      <c r="RNV46" s="19"/>
      <c r="RNW46" s="19"/>
      <c r="RNX46" s="21"/>
      <c r="RNY46" s="19"/>
      <c r="ROH46" s="19"/>
      <c r="ROI46" s="19"/>
      <c r="ROJ46" s="19"/>
      <c r="ROK46" s="19"/>
      <c r="ROL46" s="21"/>
      <c r="ROM46" s="19"/>
      <c r="ROV46" s="19"/>
      <c r="ROW46" s="19"/>
      <c r="ROX46" s="19"/>
      <c r="ROY46" s="19"/>
      <c r="ROZ46" s="21"/>
      <c r="RPA46" s="19"/>
      <c r="RPJ46" s="19"/>
      <c r="RPK46" s="19"/>
      <c r="RPL46" s="19"/>
      <c r="RPM46" s="19"/>
      <c r="RPN46" s="21"/>
      <c r="RPO46" s="19"/>
      <c r="RPX46" s="19"/>
      <c r="RPY46" s="19"/>
      <c r="RPZ46" s="19"/>
      <c r="RQA46" s="19"/>
      <c r="RQB46" s="21"/>
      <c r="RQC46" s="19"/>
      <c r="RQL46" s="19"/>
      <c r="RQM46" s="19"/>
      <c r="RQN46" s="19"/>
      <c r="RQO46" s="19"/>
      <c r="RQP46" s="21"/>
      <c r="RQQ46" s="19"/>
      <c r="RQZ46" s="19"/>
      <c r="RRA46" s="19"/>
      <c r="RRB46" s="19"/>
      <c r="RRC46" s="19"/>
      <c r="RRD46" s="21"/>
      <c r="RRE46" s="19"/>
      <c r="RRN46" s="19"/>
      <c r="RRO46" s="19"/>
      <c r="RRP46" s="19"/>
      <c r="RRQ46" s="19"/>
      <c r="RRR46" s="21"/>
      <c r="RRS46" s="19"/>
      <c r="RSB46" s="19"/>
      <c r="RSC46" s="19"/>
      <c r="RSD46" s="19"/>
      <c r="RSE46" s="19"/>
      <c r="RSF46" s="21"/>
      <c r="RSG46" s="19"/>
      <c r="RSP46" s="19"/>
      <c r="RSQ46" s="19"/>
      <c r="RSR46" s="19"/>
      <c r="RSS46" s="19"/>
      <c r="RST46" s="21"/>
      <c r="RSU46" s="19"/>
      <c r="RTD46" s="19"/>
      <c r="RTE46" s="19"/>
      <c r="RTF46" s="19"/>
      <c r="RTG46" s="19"/>
      <c r="RTH46" s="21"/>
      <c r="RTI46" s="19"/>
      <c r="RTR46" s="19"/>
      <c r="RTS46" s="19"/>
      <c r="RTT46" s="19"/>
      <c r="RTU46" s="19"/>
      <c r="RTV46" s="21"/>
      <c r="RTW46" s="19"/>
      <c r="RUF46" s="19"/>
      <c r="RUG46" s="19"/>
      <c r="RUH46" s="19"/>
      <c r="RUI46" s="19"/>
      <c r="RUJ46" s="21"/>
      <c r="RUK46" s="19"/>
      <c r="RUT46" s="19"/>
      <c r="RUU46" s="19"/>
      <c r="RUV46" s="19"/>
      <c r="RUW46" s="19"/>
      <c r="RUX46" s="21"/>
      <c r="RUY46" s="19"/>
      <c r="RVH46" s="19"/>
      <c r="RVI46" s="19"/>
      <c r="RVJ46" s="19"/>
      <c r="RVK46" s="19"/>
      <c r="RVL46" s="21"/>
      <c r="RVM46" s="19"/>
      <c r="RVV46" s="19"/>
      <c r="RVW46" s="19"/>
      <c r="RVX46" s="19"/>
      <c r="RVY46" s="19"/>
      <c r="RVZ46" s="21"/>
      <c r="RWA46" s="19"/>
      <c r="RWJ46" s="19"/>
      <c r="RWK46" s="19"/>
      <c r="RWL46" s="19"/>
      <c r="RWM46" s="19"/>
      <c r="RWN46" s="21"/>
      <c r="RWO46" s="19"/>
      <c r="RWX46" s="19"/>
      <c r="RWY46" s="19"/>
      <c r="RWZ46" s="19"/>
      <c r="RXA46" s="19"/>
      <c r="RXB46" s="21"/>
      <c r="RXC46" s="19"/>
      <c r="RXL46" s="19"/>
      <c r="RXM46" s="19"/>
      <c r="RXN46" s="19"/>
      <c r="RXO46" s="19"/>
      <c r="RXP46" s="21"/>
      <c r="RXQ46" s="19"/>
      <c r="RXZ46" s="19"/>
      <c r="RYA46" s="19"/>
      <c r="RYB46" s="19"/>
      <c r="RYC46" s="19"/>
      <c r="RYD46" s="21"/>
      <c r="RYE46" s="19"/>
      <c r="RYN46" s="19"/>
      <c r="RYO46" s="19"/>
      <c r="RYP46" s="19"/>
      <c r="RYQ46" s="19"/>
      <c r="RYR46" s="21"/>
      <c r="RYS46" s="19"/>
      <c r="RZB46" s="19"/>
      <c r="RZC46" s="19"/>
      <c r="RZD46" s="19"/>
      <c r="RZE46" s="19"/>
      <c r="RZF46" s="21"/>
      <c r="RZG46" s="19"/>
      <c r="RZP46" s="19"/>
      <c r="RZQ46" s="19"/>
      <c r="RZR46" s="19"/>
      <c r="RZS46" s="19"/>
      <c r="RZT46" s="21"/>
      <c r="RZU46" s="19"/>
      <c r="SAD46" s="19"/>
      <c r="SAE46" s="19"/>
      <c r="SAF46" s="19"/>
      <c r="SAG46" s="19"/>
      <c r="SAH46" s="21"/>
      <c r="SAI46" s="19"/>
      <c r="SAR46" s="19"/>
      <c r="SAS46" s="19"/>
      <c r="SAT46" s="19"/>
      <c r="SAU46" s="19"/>
      <c r="SAV46" s="21"/>
      <c r="SAW46" s="19"/>
      <c r="SBF46" s="19"/>
      <c r="SBG46" s="19"/>
      <c r="SBH46" s="19"/>
      <c r="SBI46" s="19"/>
      <c r="SBJ46" s="21"/>
      <c r="SBK46" s="19"/>
      <c r="SBT46" s="19"/>
      <c r="SBU46" s="19"/>
      <c r="SBV46" s="19"/>
      <c r="SBW46" s="19"/>
      <c r="SBX46" s="21"/>
      <c r="SBY46" s="19"/>
      <c r="SCH46" s="19"/>
      <c r="SCI46" s="19"/>
      <c r="SCJ46" s="19"/>
      <c r="SCK46" s="19"/>
      <c r="SCL46" s="21"/>
      <c r="SCM46" s="19"/>
      <c r="SCV46" s="19"/>
      <c r="SCW46" s="19"/>
      <c r="SCX46" s="19"/>
      <c r="SCY46" s="19"/>
      <c r="SCZ46" s="21"/>
      <c r="SDA46" s="19"/>
      <c r="SDJ46" s="19"/>
      <c r="SDK46" s="19"/>
      <c r="SDL46" s="19"/>
      <c r="SDM46" s="19"/>
      <c r="SDN46" s="21"/>
      <c r="SDO46" s="19"/>
      <c r="SDX46" s="19"/>
      <c r="SDY46" s="19"/>
      <c r="SDZ46" s="19"/>
      <c r="SEA46" s="19"/>
      <c r="SEB46" s="21"/>
      <c r="SEC46" s="19"/>
      <c r="SEL46" s="19"/>
      <c r="SEM46" s="19"/>
      <c r="SEN46" s="19"/>
      <c r="SEO46" s="19"/>
      <c r="SEP46" s="21"/>
      <c r="SEQ46" s="19"/>
      <c r="SEZ46" s="19"/>
      <c r="SFA46" s="19"/>
      <c r="SFB46" s="19"/>
      <c r="SFC46" s="19"/>
      <c r="SFD46" s="21"/>
      <c r="SFE46" s="19"/>
      <c r="SFN46" s="19"/>
      <c r="SFO46" s="19"/>
      <c r="SFP46" s="19"/>
      <c r="SFQ46" s="19"/>
      <c r="SFR46" s="21"/>
      <c r="SFS46" s="19"/>
      <c r="SGB46" s="19"/>
      <c r="SGC46" s="19"/>
      <c r="SGD46" s="19"/>
      <c r="SGE46" s="19"/>
      <c r="SGF46" s="21"/>
      <c r="SGG46" s="19"/>
      <c r="SGP46" s="19"/>
      <c r="SGQ46" s="19"/>
      <c r="SGR46" s="19"/>
      <c r="SGS46" s="19"/>
      <c r="SGT46" s="21"/>
      <c r="SGU46" s="19"/>
      <c r="SHD46" s="19"/>
      <c r="SHE46" s="19"/>
      <c r="SHF46" s="19"/>
      <c r="SHG46" s="19"/>
      <c r="SHH46" s="21"/>
      <c r="SHI46" s="19"/>
      <c r="SHR46" s="19"/>
      <c r="SHS46" s="19"/>
      <c r="SHT46" s="19"/>
      <c r="SHU46" s="19"/>
      <c r="SHV46" s="21"/>
      <c r="SHW46" s="19"/>
      <c r="SIF46" s="19"/>
      <c r="SIG46" s="19"/>
      <c r="SIH46" s="19"/>
      <c r="SII46" s="19"/>
      <c r="SIJ46" s="21"/>
      <c r="SIK46" s="19"/>
      <c r="SIT46" s="19"/>
      <c r="SIU46" s="19"/>
      <c r="SIV46" s="19"/>
      <c r="SIW46" s="19"/>
      <c r="SIX46" s="21"/>
      <c r="SIY46" s="19"/>
      <c r="SJH46" s="19"/>
      <c r="SJI46" s="19"/>
      <c r="SJJ46" s="19"/>
      <c r="SJK46" s="19"/>
      <c r="SJL46" s="21"/>
      <c r="SJM46" s="19"/>
      <c r="SJV46" s="19"/>
      <c r="SJW46" s="19"/>
      <c r="SJX46" s="19"/>
      <c r="SJY46" s="19"/>
      <c r="SJZ46" s="21"/>
      <c r="SKA46" s="19"/>
      <c r="SKJ46" s="19"/>
      <c r="SKK46" s="19"/>
      <c r="SKL46" s="19"/>
      <c r="SKM46" s="19"/>
      <c r="SKN46" s="21"/>
      <c r="SKO46" s="19"/>
      <c r="SKX46" s="19"/>
      <c r="SKY46" s="19"/>
      <c r="SKZ46" s="19"/>
      <c r="SLA46" s="19"/>
      <c r="SLB46" s="21"/>
      <c r="SLC46" s="19"/>
      <c r="SLL46" s="19"/>
      <c r="SLM46" s="19"/>
      <c r="SLN46" s="19"/>
      <c r="SLO46" s="19"/>
      <c r="SLP46" s="21"/>
      <c r="SLQ46" s="19"/>
      <c r="SLZ46" s="19"/>
      <c r="SMA46" s="19"/>
      <c r="SMB46" s="19"/>
      <c r="SMC46" s="19"/>
      <c r="SMD46" s="21"/>
      <c r="SME46" s="19"/>
      <c r="SMN46" s="19"/>
      <c r="SMO46" s="19"/>
      <c r="SMP46" s="19"/>
      <c r="SMQ46" s="19"/>
      <c r="SMR46" s="21"/>
      <c r="SMS46" s="19"/>
      <c r="SNB46" s="19"/>
      <c r="SNC46" s="19"/>
      <c r="SND46" s="19"/>
      <c r="SNE46" s="19"/>
      <c r="SNF46" s="21"/>
      <c r="SNG46" s="19"/>
      <c r="SNP46" s="19"/>
      <c r="SNQ46" s="19"/>
      <c r="SNR46" s="19"/>
      <c r="SNS46" s="19"/>
      <c r="SNT46" s="21"/>
      <c r="SNU46" s="19"/>
      <c r="SOD46" s="19"/>
      <c r="SOE46" s="19"/>
      <c r="SOF46" s="19"/>
      <c r="SOG46" s="19"/>
      <c r="SOH46" s="21"/>
      <c r="SOI46" s="19"/>
      <c r="SOR46" s="19"/>
      <c r="SOS46" s="19"/>
      <c r="SOT46" s="19"/>
      <c r="SOU46" s="19"/>
      <c r="SOV46" s="21"/>
      <c r="SOW46" s="19"/>
      <c r="SPF46" s="19"/>
      <c r="SPG46" s="19"/>
      <c r="SPH46" s="19"/>
      <c r="SPI46" s="19"/>
      <c r="SPJ46" s="21"/>
      <c r="SPK46" s="19"/>
      <c r="SPT46" s="19"/>
      <c r="SPU46" s="19"/>
      <c r="SPV46" s="19"/>
      <c r="SPW46" s="19"/>
      <c r="SPX46" s="21"/>
      <c r="SPY46" s="19"/>
      <c r="SQH46" s="19"/>
      <c r="SQI46" s="19"/>
      <c r="SQJ46" s="19"/>
      <c r="SQK46" s="19"/>
      <c r="SQL46" s="21"/>
      <c r="SQM46" s="19"/>
      <c r="SQV46" s="19"/>
      <c r="SQW46" s="19"/>
      <c r="SQX46" s="19"/>
      <c r="SQY46" s="19"/>
      <c r="SQZ46" s="21"/>
      <c r="SRA46" s="19"/>
      <c r="SRJ46" s="19"/>
      <c r="SRK46" s="19"/>
      <c r="SRL46" s="19"/>
      <c r="SRM46" s="19"/>
      <c r="SRN46" s="21"/>
      <c r="SRO46" s="19"/>
      <c r="SRX46" s="19"/>
      <c r="SRY46" s="19"/>
      <c r="SRZ46" s="19"/>
      <c r="SSA46" s="19"/>
      <c r="SSB46" s="21"/>
      <c r="SSC46" s="19"/>
      <c r="SSL46" s="19"/>
      <c r="SSM46" s="19"/>
      <c r="SSN46" s="19"/>
      <c r="SSO46" s="19"/>
      <c r="SSP46" s="21"/>
      <c r="SSQ46" s="19"/>
      <c r="SSZ46" s="19"/>
      <c r="STA46" s="19"/>
      <c r="STB46" s="19"/>
      <c r="STC46" s="19"/>
      <c r="STD46" s="21"/>
      <c r="STE46" s="19"/>
      <c r="STN46" s="19"/>
      <c r="STO46" s="19"/>
      <c r="STP46" s="19"/>
      <c r="STQ46" s="19"/>
      <c r="STR46" s="21"/>
      <c r="STS46" s="19"/>
      <c r="SUB46" s="19"/>
      <c r="SUC46" s="19"/>
      <c r="SUD46" s="19"/>
      <c r="SUE46" s="19"/>
      <c r="SUF46" s="21"/>
      <c r="SUG46" s="19"/>
      <c r="SUP46" s="19"/>
      <c r="SUQ46" s="19"/>
      <c r="SUR46" s="19"/>
      <c r="SUS46" s="19"/>
      <c r="SUT46" s="21"/>
      <c r="SUU46" s="19"/>
      <c r="SVD46" s="19"/>
      <c r="SVE46" s="19"/>
      <c r="SVF46" s="19"/>
      <c r="SVG46" s="19"/>
      <c r="SVH46" s="21"/>
      <c r="SVI46" s="19"/>
      <c r="SVR46" s="19"/>
      <c r="SVS46" s="19"/>
      <c r="SVT46" s="19"/>
      <c r="SVU46" s="19"/>
      <c r="SVV46" s="21"/>
      <c r="SVW46" s="19"/>
      <c r="SWF46" s="19"/>
      <c r="SWG46" s="19"/>
      <c r="SWH46" s="19"/>
      <c r="SWI46" s="19"/>
      <c r="SWJ46" s="21"/>
      <c r="SWK46" s="19"/>
      <c r="SWT46" s="19"/>
      <c r="SWU46" s="19"/>
      <c r="SWV46" s="19"/>
      <c r="SWW46" s="19"/>
      <c r="SWX46" s="21"/>
      <c r="SWY46" s="19"/>
      <c r="SXH46" s="19"/>
      <c r="SXI46" s="19"/>
      <c r="SXJ46" s="19"/>
      <c r="SXK46" s="19"/>
      <c r="SXL46" s="21"/>
      <c r="SXM46" s="19"/>
      <c r="SXV46" s="19"/>
      <c r="SXW46" s="19"/>
      <c r="SXX46" s="19"/>
      <c r="SXY46" s="19"/>
      <c r="SXZ46" s="21"/>
      <c r="SYA46" s="19"/>
      <c r="SYJ46" s="19"/>
      <c r="SYK46" s="19"/>
      <c r="SYL46" s="19"/>
      <c r="SYM46" s="19"/>
      <c r="SYN46" s="21"/>
      <c r="SYO46" s="19"/>
      <c r="SYX46" s="19"/>
      <c r="SYY46" s="19"/>
      <c r="SYZ46" s="19"/>
      <c r="SZA46" s="19"/>
      <c r="SZB46" s="21"/>
      <c r="SZC46" s="19"/>
      <c r="SZL46" s="19"/>
      <c r="SZM46" s="19"/>
      <c r="SZN46" s="19"/>
      <c r="SZO46" s="19"/>
      <c r="SZP46" s="21"/>
      <c r="SZQ46" s="19"/>
      <c r="SZZ46" s="19"/>
      <c r="TAA46" s="19"/>
      <c r="TAB46" s="19"/>
      <c r="TAC46" s="19"/>
      <c r="TAD46" s="21"/>
      <c r="TAE46" s="19"/>
      <c r="TAN46" s="19"/>
      <c r="TAO46" s="19"/>
      <c r="TAP46" s="19"/>
      <c r="TAQ46" s="19"/>
      <c r="TAR46" s="21"/>
      <c r="TAS46" s="19"/>
      <c r="TBB46" s="19"/>
      <c r="TBC46" s="19"/>
      <c r="TBD46" s="19"/>
      <c r="TBE46" s="19"/>
      <c r="TBF46" s="21"/>
      <c r="TBG46" s="19"/>
      <c r="TBP46" s="19"/>
      <c r="TBQ46" s="19"/>
      <c r="TBR46" s="19"/>
      <c r="TBS46" s="19"/>
      <c r="TBT46" s="21"/>
      <c r="TBU46" s="19"/>
      <c r="TCD46" s="19"/>
      <c r="TCE46" s="19"/>
      <c r="TCF46" s="19"/>
      <c r="TCG46" s="19"/>
      <c r="TCH46" s="21"/>
      <c r="TCI46" s="19"/>
      <c r="TCR46" s="19"/>
      <c r="TCS46" s="19"/>
      <c r="TCT46" s="19"/>
      <c r="TCU46" s="19"/>
      <c r="TCV46" s="21"/>
      <c r="TCW46" s="19"/>
      <c r="TDF46" s="19"/>
      <c r="TDG46" s="19"/>
      <c r="TDH46" s="19"/>
      <c r="TDI46" s="19"/>
      <c r="TDJ46" s="21"/>
      <c r="TDK46" s="19"/>
      <c r="TDT46" s="19"/>
      <c r="TDU46" s="19"/>
      <c r="TDV46" s="19"/>
      <c r="TDW46" s="19"/>
      <c r="TDX46" s="21"/>
      <c r="TDY46" s="19"/>
      <c r="TEH46" s="19"/>
      <c r="TEI46" s="19"/>
      <c r="TEJ46" s="19"/>
      <c r="TEK46" s="19"/>
      <c r="TEL46" s="21"/>
      <c r="TEM46" s="19"/>
      <c r="TEV46" s="19"/>
      <c r="TEW46" s="19"/>
      <c r="TEX46" s="19"/>
      <c r="TEY46" s="19"/>
      <c r="TEZ46" s="21"/>
      <c r="TFA46" s="19"/>
      <c r="TFJ46" s="19"/>
      <c r="TFK46" s="19"/>
      <c r="TFL46" s="19"/>
      <c r="TFM46" s="19"/>
      <c r="TFN46" s="21"/>
      <c r="TFO46" s="19"/>
      <c r="TFX46" s="19"/>
      <c r="TFY46" s="19"/>
      <c r="TFZ46" s="19"/>
      <c r="TGA46" s="19"/>
      <c r="TGB46" s="21"/>
      <c r="TGC46" s="19"/>
      <c r="TGL46" s="19"/>
      <c r="TGM46" s="19"/>
      <c r="TGN46" s="19"/>
      <c r="TGO46" s="19"/>
      <c r="TGP46" s="21"/>
      <c r="TGQ46" s="19"/>
      <c r="TGZ46" s="19"/>
      <c r="THA46" s="19"/>
      <c r="THB46" s="19"/>
      <c r="THC46" s="19"/>
      <c r="THD46" s="21"/>
      <c r="THE46" s="19"/>
      <c r="THN46" s="19"/>
      <c r="THO46" s="19"/>
      <c r="THP46" s="19"/>
      <c r="THQ46" s="19"/>
      <c r="THR46" s="21"/>
      <c r="THS46" s="19"/>
      <c r="TIB46" s="19"/>
      <c r="TIC46" s="19"/>
      <c r="TID46" s="19"/>
      <c r="TIE46" s="19"/>
      <c r="TIF46" s="21"/>
      <c r="TIG46" s="19"/>
      <c r="TIP46" s="19"/>
      <c r="TIQ46" s="19"/>
      <c r="TIR46" s="19"/>
      <c r="TIS46" s="19"/>
      <c r="TIT46" s="21"/>
      <c r="TIU46" s="19"/>
      <c r="TJD46" s="19"/>
      <c r="TJE46" s="19"/>
      <c r="TJF46" s="19"/>
      <c r="TJG46" s="19"/>
      <c r="TJH46" s="21"/>
      <c r="TJI46" s="19"/>
      <c r="TJR46" s="19"/>
      <c r="TJS46" s="19"/>
      <c r="TJT46" s="19"/>
      <c r="TJU46" s="19"/>
      <c r="TJV46" s="21"/>
      <c r="TJW46" s="19"/>
      <c r="TKF46" s="19"/>
      <c r="TKG46" s="19"/>
      <c r="TKH46" s="19"/>
      <c r="TKI46" s="19"/>
      <c r="TKJ46" s="21"/>
      <c r="TKK46" s="19"/>
      <c r="TKT46" s="19"/>
      <c r="TKU46" s="19"/>
      <c r="TKV46" s="19"/>
      <c r="TKW46" s="19"/>
      <c r="TKX46" s="21"/>
      <c r="TKY46" s="19"/>
      <c r="TLH46" s="19"/>
      <c r="TLI46" s="19"/>
      <c r="TLJ46" s="19"/>
      <c r="TLK46" s="19"/>
      <c r="TLL46" s="21"/>
      <c r="TLM46" s="19"/>
      <c r="TLV46" s="19"/>
      <c r="TLW46" s="19"/>
      <c r="TLX46" s="19"/>
      <c r="TLY46" s="19"/>
      <c r="TLZ46" s="21"/>
      <c r="TMA46" s="19"/>
      <c r="TMJ46" s="19"/>
      <c r="TMK46" s="19"/>
      <c r="TML46" s="19"/>
      <c r="TMM46" s="19"/>
      <c r="TMN46" s="21"/>
      <c r="TMO46" s="19"/>
      <c r="TMX46" s="19"/>
      <c r="TMY46" s="19"/>
      <c r="TMZ46" s="19"/>
      <c r="TNA46" s="19"/>
      <c r="TNB46" s="21"/>
      <c r="TNC46" s="19"/>
      <c r="TNL46" s="19"/>
      <c r="TNM46" s="19"/>
      <c r="TNN46" s="19"/>
      <c r="TNO46" s="19"/>
      <c r="TNP46" s="21"/>
      <c r="TNQ46" s="19"/>
      <c r="TNZ46" s="19"/>
      <c r="TOA46" s="19"/>
      <c r="TOB46" s="19"/>
      <c r="TOC46" s="19"/>
      <c r="TOD46" s="21"/>
      <c r="TOE46" s="19"/>
      <c r="TON46" s="19"/>
      <c r="TOO46" s="19"/>
      <c r="TOP46" s="19"/>
      <c r="TOQ46" s="19"/>
      <c r="TOR46" s="21"/>
      <c r="TOS46" s="19"/>
      <c r="TPB46" s="19"/>
      <c r="TPC46" s="19"/>
      <c r="TPD46" s="19"/>
      <c r="TPE46" s="19"/>
      <c r="TPF46" s="21"/>
      <c r="TPG46" s="19"/>
      <c r="TPP46" s="19"/>
      <c r="TPQ46" s="19"/>
      <c r="TPR46" s="19"/>
      <c r="TPS46" s="19"/>
      <c r="TPT46" s="21"/>
      <c r="TPU46" s="19"/>
      <c r="TQD46" s="19"/>
      <c r="TQE46" s="19"/>
      <c r="TQF46" s="19"/>
      <c r="TQG46" s="19"/>
      <c r="TQH46" s="21"/>
      <c r="TQI46" s="19"/>
      <c r="TQR46" s="19"/>
      <c r="TQS46" s="19"/>
      <c r="TQT46" s="19"/>
      <c r="TQU46" s="19"/>
      <c r="TQV46" s="21"/>
      <c r="TQW46" s="19"/>
      <c r="TRF46" s="19"/>
      <c r="TRG46" s="19"/>
      <c r="TRH46" s="19"/>
      <c r="TRI46" s="19"/>
      <c r="TRJ46" s="21"/>
      <c r="TRK46" s="19"/>
      <c r="TRT46" s="19"/>
      <c r="TRU46" s="19"/>
      <c r="TRV46" s="19"/>
      <c r="TRW46" s="19"/>
      <c r="TRX46" s="21"/>
      <c r="TRY46" s="19"/>
      <c r="TSH46" s="19"/>
      <c r="TSI46" s="19"/>
      <c r="TSJ46" s="19"/>
      <c r="TSK46" s="19"/>
      <c r="TSL46" s="21"/>
      <c r="TSM46" s="19"/>
      <c r="TSV46" s="19"/>
      <c r="TSW46" s="19"/>
      <c r="TSX46" s="19"/>
      <c r="TSY46" s="19"/>
      <c r="TSZ46" s="21"/>
      <c r="TTA46" s="19"/>
      <c r="TTJ46" s="19"/>
      <c r="TTK46" s="19"/>
      <c r="TTL46" s="19"/>
      <c r="TTM46" s="19"/>
      <c r="TTN46" s="21"/>
      <c r="TTO46" s="19"/>
      <c r="TTX46" s="19"/>
      <c r="TTY46" s="19"/>
      <c r="TTZ46" s="19"/>
      <c r="TUA46" s="19"/>
      <c r="TUB46" s="21"/>
      <c r="TUC46" s="19"/>
      <c r="TUL46" s="19"/>
      <c r="TUM46" s="19"/>
      <c r="TUN46" s="19"/>
      <c r="TUO46" s="19"/>
      <c r="TUP46" s="21"/>
      <c r="TUQ46" s="19"/>
      <c r="TUZ46" s="19"/>
      <c r="TVA46" s="19"/>
      <c r="TVB46" s="19"/>
      <c r="TVC46" s="19"/>
      <c r="TVD46" s="21"/>
      <c r="TVE46" s="19"/>
      <c r="TVN46" s="19"/>
      <c r="TVO46" s="19"/>
      <c r="TVP46" s="19"/>
      <c r="TVQ46" s="19"/>
      <c r="TVR46" s="21"/>
      <c r="TVS46" s="19"/>
      <c r="TWB46" s="19"/>
      <c r="TWC46" s="19"/>
      <c r="TWD46" s="19"/>
      <c r="TWE46" s="19"/>
      <c r="TWF46" s="21"/>
      <c r="TWG46" s="19"/>
      <c r="TWP46" s="19"/>
      <c r="TWQ46" s="19"/>
      <c r="TWR46" s="19"/>
      <c r="TWS46" s="19"/>
      <c r="TWT46" s="21"/>
      <c r="TWU46" s="19"/>
      <c r="TXD46" s="19"/>
      <c r="TXE46" s="19"/>
      <c r="TXF46" s="19"/>
      <c r="TXG46" s="19"/>
      <c r="TXH46" s="21"/>
      <c r="TXI46" s="19"/>
      <c r="TXR46" s="19"/>
      <c r="TXS46" s="19"/>
      <c r="TXT46" s="19"/>
      <c r="TXU46" s="19"/>
      <c r="TXV46" s="21"/>
      <c r="TXW46" s="19"/>
      <c r="TYF46" s="19"/>
      <c r="TYG46" s="19"/>
      <c r="TYH46" s="19"/>
      <c r="TYI46" s="19"/>
      <c r="TYJ46" s="21"/>
      <c r="TYK46" s="19"/>
      <c r="TYT46" s="19"/>
      <c r="TYU46" s="19"/>
      <c r="TYV46" s="19"/>
      <c r="TYW46" s="19"/>
      <c r="TYX46" s="21"/>
      <c r="TYY46" s="19"/>
      <c r="TZH46" s="19"/>
      <c r="TZI46" s="19"/>
      <c r="TZJ46" s="19"/>
      <c r="TZK46" s="19"/>
      <c r="TZL46" s="21"/>
      <c r="TZM46" s="19"/>
      <c r="TZV46" s="19"/>
      <c r="TZW46" s="19"/>
      <c r="TZX46" s="19"/>
      <c r="TZY46" s="19"/>
      <c r="TZZ46" s="21"/>
      <c r="UAA46" s="19"/>
      <c r="UAJ46" s="19"/>
      <c r="UAK46" s="19"/>
      <c r="UAL46" s="19"/>
      <c r="UAM46" s="19"/>
      <c r="UAN46" s="21"/>
      <c r="UAO46" s="19"/>
      <c r="UAX46" s="19"/>
      <c r="UAY46" s="19"/>
      <c r="UAZ46" s="19"/>
      <c r="UBA46" s="19"/>
      <c r="UBB46" s="21"/>
      <c r="UBC46" s="19"/>
      <c r="UBL46" s="19"/>
      <c r="UBM46" s="19"/>
      <c r="UBN46" s="19"/>
      <c r="UBO46" s="19"/>
      <c r="UBP46" s="21"/>
      <c r="UBQ46" s="19"/>
      <c r="UBZ46" s="19"/>
      <c r="UCA46" s="19"/>
      <c r="UCB46" s="19"/>
      <c r="UCC46" s="19"/>
      <c r="UCD46" s="21"/>
      <c r="UCE46" s="19"/>
      <c r="UCN46" s="19"/>
      <c r="UCO46" s="19"/>
      <c r="UCP46" s="19"/>
      <c r="UCQ46" s="19"/>
      <c r="UCR46" s="21"/>
      <c r="UCS46" s="19"/>
      <c r="UDB46" s="19"/>
      <c r="UDC46" s="19"/>
      <c r="UDD46" s="19"/>
      <c r="UDE46" s="19"/>
      <c r="UDF46" s="21"/>
      <c r="UDG46" s="19"/>
      <c r="UDP46" s="19"/>
      <c r="UDQ46" s="19"/>
      <c r="UDR46" s="19"/>
      <c r="UDS46" s="19"/>
      <c r="UDT46" s="21"/>
      <c r="UDU46" s="19"/>
      <c r="UED46" s="19"/>
      <c r="UEE46" s="19"/>
      <c r="UEF46" s="19"/>
      <c r="UEG46" s="19"/>
      <c r="UEH46" s="21"/>
      <c r="UEI46" s="19"/>
      <c r="UER46" s="19"/>
      <c r="UES46" s="19"/>
      <c r="UET46" s="19"/>
      <c r="UEU46" s="19"/>
      <c r="UEV46" s="21"/>
      <c r="UEW46" s="19"/>
      <c r="UFF46" s="19"/>
      <c r="UFG46" s="19"/>
      <c r="UFH46" s="19"/>
      <c r="UFI46" s="19"/>
      <c r="UFJ46" s="21"/>
      <c r="UFK46" s="19"/>
      <c r="UFT46" s="19"/>
      <c r="UFU46" s="19"/>
      <c r="UFV46" s="19"/>
      <c r="UFW46" s="19"/>
      <c r="UFX46" s="21"/>
      <c r="UFY46" s="19"/>
      <c r="UGH46" s="19"/>
      <c r="UGI46" s="19"/>
      <c r="UGJ46" s="19"/>
      <c r="UGK46" s="19"/>
      <c r="UGL46" s="21"/>
      <c r="UGM46" s="19"/>
      <c r="UGV46" s="19"/>
      <c r="UGW46" s="19"/>
      <c r="UGX46" s="19"/>
      <c r="UGY46" s="19"/>
      <c r="UGZ46" s="21"/>
      <c r="UHA46" s="19"/>
      <c r="UHJ46" s="19"/>
      <c r="UHK46" s="19"/>
      <c r="UHL46" s="19"/>
      <c r="UHM46" s="19"/>
      <c r="UHN46" s="21"/>
      <c r="UHO46" s="19"/>
      <c r="UHX46" s="19"/>
      <c r="UHY46" s="19"/>
      <c r="UHZ46" s="19"/>
      <c r="UIA46" s="19"/>
      <c r="UIB46" s="21"/>
      <c r="UIC46" s="19"/>
      <c r="UIL46" s="19"/>
      <c r="UIM46" s="19"/>
      <c r="UIN46" s="19"/>
      <c r="UIO46" s="19"/>
      <c r="UIP46" s="21"/>
      <c r="UIQ46" s="19"/>
      <c r="UIZ46" s="19"/>
      <c r="UJA46" s="19"/>
      <c r="UJB46" s="19"/>
      <c r="UJC46" s="19"/>
      <c r="UJD46" s="21"/>
      <c r="UJE46" s="19"/>
      <c r="UJN46" s="19"/>
      <c r="UJO46" s="19"/>
      <c r="UJP46" s="19"/>
      <c r="UJQ46" s="19"/>
      <c r="UJR46" s="21"/>
      <c r="UJS46" s="19"/>
      <c r="UKB46" s="19"/>
      <c r="UKC46" s="19"/>
      <c r="UKD46" s="19"/>
      <c r="UKE46" s="19"/>
      <c r="UKF46" s="21"/>
      <c r="UKG46" s="19"/>
      <c r="UKP46" s="19"/>
      <c r="UKQ46" s="19"/>
      <c r="UKR46" s="19"/>
      <c r="UKS46" s="19"/>
      <c r="UKT46" s="21"/>
      <c r="UKU46" s="19"/>
      <c r="ULD46" s="19"/>
      <c r="ULE46" s="19"/>
      <c r="ULF46" s="19"/>
      <c r="ULG46" s="19"/>
      <c r="ULH46" s="21"/>
      <c r="ULI46" s="19"/>
      <c r="ULR46" s="19"/>
      <c r="ULS46" s="19"/>
      <c r="ULT46" s="19"/>
      <c r="ULU46" s="19"/>
      <c r="ULV46" s="21"/>
      <c r="ULW46" s="19"/>
      <c r="UMF46" s="19"/>
      <c r="UMG46" s="19"/>
      <c r="UMH46" s="19"/>
      <c r="UMI46" s="19"/>
      <c r="UMJ46" s="21"/>
      <c r="UMK46" s="19"/>
      <c r="UMT46" s="19"/>
      <c r="UMU46" s="19"/>
      <c r="UMV46" s="19"/>
      <c r="UMW46" s="19"/>
      <c r="UMX46" s="21"/>
      <c r="UMY46" s="19"/>
      <c r="UNH46" s="19"/>
      <c r="UNI46" s="19"/>
      <c r="UNJ46" s="19"/>
      <c r="UNK46" s="19"/>
      <c r="UNL46" s="21"/>
      <c r="UNM46" s="19"/>
      <c r="UNV46" s="19"/>
      <c r="UNW46" s="19"/>
      <c r="UNX46" s="19"/>
      <c r="UNY46" s="19"/>
      <c r="UNZ46" s="21"/>
      <c r="UOA46" s="19"/>
      <c r="UOJ46" s="19"/>
      <c r="UOK46" s="19"/>
      <c r="UOL46" s="19"/>
      <c r="UOM46" s="19"/>
      <c r="UON46" s="21"/>
      <c r="UOO46" s="19"/>
      <c r="UOX46" s="19"/>
      <c r="UOY46" s="19"/>
      <c r="UOZ46" s="19"/>
      <c r="UPA46" s="19"/>
      <c r="UPB46" s="21"/>
      <c r="UPC46" s="19"/>
      <c r="UPL46" s="19"/>
      <c r="UPM46" s="19"/>
      <c r="UPN46" s="19"/>
      <c r="UPO46" s="19"/>
      <c r="UPP46" s="21"/>
      <c r="UPQ46" s="19"/>
      <c r="UPZ46" s="19"/>
      <c r="UQA46" s="19"/>
      <c r="UQB46" s="19"/>
      <c r="UQC46" s="19"/>
      <c r="UQD46" s="21"/>
      <c r="UQE46" s="19"/>
      <c r="UQN46" s="19"/>
      <c r="UQO46" s="19"/>
      <c r="UQP46" s="19"/>
      <c r="UQQ46" s="19"/>
      <c r="UQR46" s="21"/>
      <c r="UQS46" s="19"/>
      <c r="URB46" s="19"/>
      <c r="URC46" s="19"/>
      <c r="URD46" s="19"/>
      <c r="URE46" s="19"/>
      <c r="URF46" s="21"/>
      <c r="URG46" s="19"/>
      <c r="URP46" s="19"/>
      <c r="URQ46" s="19"/>
      <c r="URR46" s="19"/>
      <c r="URS46" s="19"/>
      <c r="URT46" s="21"/>
      <c r="URU46" s="19"/>
      <c r="USD46" s="19"/>
      <c r="USE46" s="19"/>
      <c r="USF46" s="19"/>
      <c r="USG46" s="19"/>
      <c r="USH46" s="21"/>
      <c r="USI46" s="19"/>
      <c r="USR46" s="19"/>
      <c r="USS46" s="19"/>
      <c r="UST46" s="19"/>
      <c r="USU46" s="19"/>
      <c r="USV46" s="21"/>
      <c r="USW46" s="19"/>
      <c r="UTF46" s="19"/>
      <c r="UTG46" s="19"/>
      <c r="UTH46" s="19"/>
      <c r="UTI46" s="19"/>
      <c r="UTJ46" s="21"/>
      <c r="UTK46" s="19"/>
      <c r="UTT46" s="19"/>
      <c r="UTU46" s="19"/>
      <c r="UTV46" s="19"/>
      <c r="UTW46" s="19"/>
      <c r="UTX46" s="21"/>
      <c r="UTY46" s="19"/>
      <c r="UUH46" s="19"/>
      <c r="UUI46" s="19"/>
      <c r="UUJ46" s="19"/>
      <c r="UUK46" s="19"/>
      <c r="UUL46" s="21"/>
      <c r="UUM46" s="19"/>
      <c r="UUV46" s="19"/>
      <c r="UUW46" s="19"/>
      <c r="UUX46" s="19"/>
      <c r="UUY46" s="19"/>
      <c r="UUZ46" s="21"/>
      <c r="UVA46" s="19"/>
      <c r="UVJ46" s="19"/>
      <c r="UVK46" s="19"/>
      <c r="UVL46" s="19"/>
      <c r="UVM46" s="19"/>
      <c r="UVN46" s="21"/>
      <c r="UVO46" s="19"/>
      <c r="UVX46" s="19"/>
      <c r="UVY46" s="19"/>
      <c r="UVZ46" s="19"/>
      <c r="UWA46" s="19"/>
      <c r="UWB46" s="21"/>
      <c r="UWC46" s="19"/>
      <c r="UWL46" s="19"/>
      <c r="UWM46" s="19"/>
      <c r="UWN46" s="19"/>
      <c r="UWO46" s="19"/>
      <c r="UWP46" s="21"/>
      <c r="UWQ46" s="19"/>
      <c r="UWZ46" s="19"/>
      <c r="UXA46" s="19"/>
      <c r="UXB46" s="19"/>
      <c r="UXC46" s="19"/>
      <c r="UXD46" s="21"/>
      <c r="UXE46" s="19"/>
      <c r="UXN46" s="19"/>
      <c r="UXO46" s="19"/>
      <c r="UXP46" s="19"/>
      <c r="UXQ46" s="19"/>
      <c r="UXR46" s="21"/>
      <c r="UXS46" s="19"/>
      <c r="UYB46" s="19"/>
      <c r="UYC46" s="19"/>
      <c r="UYD46" s="19"/>
      <c r="UYE46" s="19"/>
      <c r="UYF46" s="21"/>
      <c r="UYG46" s="19"/>
      <c r="UYP46" s="19"/>
      <c r="UYQ46" s="19"/>
      <c r="UYR46" s="19"/>
      <c r="UYS46" s="19"/>
      <c r="UYT46" s="21"/>
      <c r="UYU46" s="19"/>
      <c r="UZD46" s="19"/>
      <c r="UZE46" s="19"/>
      <c r="UZF46" s="19"/>
      <c r="UZG46" s="19"/>
      <c r="UZH46" s="21"/>
      <c r="UZI46" s="19"/>
      <c r="UZR46" s="19"/>
      <c r="UZS46" s="19"/>
      <c r="UZT46" s="19"/>
      <c r="UZU46" s="19"/>
      <c r="UZV46" s="21"/>
      <c r="UZW46" s="19"/>
      <c r="VAF46" s="19"/>
      <c r="VAG46" s="19"/>
      <c r="VAH46" s="19"/>
      <c r="VAI46" s="19"/>
      <c r="VAJ46" s="21"/>
      <c r="VAK46" s="19"/>
      <c r="VAT46" s="19"/>
      <c r="VAU46" s="19"/>
      <c r="VAV46" s="19"/>
      <c r="VAW46" s="19"/>
      <c r="VAX46" s="21"/>
      <c r="VAY46" s="19"/>
      <c r="VBH46" s="19"/>
      <c r="VBI46" s="19"/>
      <c r="VBJ46" s="19"/>
      <c r="VBK46" s="19"/>
      <c r="VBL46" s="21"/>
      <c r="VBM46" s="19"/>
      <c r="VBV46" s="19"/>
      <c r="VBW46" s="19"/>
      <c r="VBX46" s="19"/>
      <c r="VBY46" s="19"/>
      <c r="VBZ46" s="21"/>
      <c r="VCA46" s="19"/>
      <c r="VCJ46" s="19"/>
      <c r="VCK46" s="19"/>
      <c r="VCL46" s="19"/>
      <c r="VCM46" s="19"/>
      <c r="VCN46" s="21"/>
      <c r="VCO46" s="19"/>
      <c r="VCX46" s="19"/>
      <c r="VCY46" s="19"/>
      <c r="VCZ46" s="19"/>
      <c r="VDA46" s="19"/>
      <c r="VDB46" s="21"/>
      <c r="VDC46" s="19"/>
      <c r="VDL46" s="19"/>
      <c r="VDM46" s="19"/>
      <c r="VDN46" s="19"/>
      <c r="VDO46" s="19"/>
      <c r="VDP46" s="21"/>
      <c r="VDQ46" s="19"/>
      <c r="VDZ46" s="19"/>
      <c r="VEA46" s="19"/>
      <c r="VEB46" s="19"/>
      <c r="VEC46" s="19"/>
      <c r="VED46" s="21"/>
      <c r="VEE46" s="19"/>
      <c r="VEN46" s="19"/>
      <c r="VEO46" s="19"/>
      <c r="VEP46" s="19"/>
      <c r="VEQ46" s="19"/>
      <c r="VER46" s="21"/>
      <c r="VES46" s="19"/>
      <c r="VFB46" s="19"/>
      <c r="VFC46" s="19"/>
      <c r="VFD46" s="19"/>
      <c r="VFE46" s="19"/>
      <c r="VFF46" s="21"/>
      <c r="VFG46" s="19"/>
      <c r="VFP46" s="19"/>
      <c r="VFQ46" s="19"/>
      <c r="VFR46" s="19"/>
      <c r="VFS46" s="19"/>
      <c r="VFT46" s="21"/>
      <c r="VFU46" s="19"/>
      <c r="VGD46" s="19"/>
      <c r="VGE46" s="19"/>
      <c r="VGF46" s="19"/>
      <c r="VGG46" s="19"/>
      <c r="VGH46" s="21"/>
      <c r="VGI46" s="19"/>
      <c r="VGR46" s="19"/>
      <c r="VGS46" s="19"/>
      <c r="VGT46" s="19"/>
      <c r="VGU46" s="19"/>
      <c r="VGV46" s="21"/>
      <c r="VGW46" s="19"/>
      <c r="VHF46" s="19"/>
      <c r="VHG46" s="19"/>
      <c r="VHH46" s="19"/>
      <c r="VHI46" s="19"/>
      <c r="VHJ46" s="21"/>
      <c r="VHK46" s="19"/>
      <c r="VHT46" s="19"/>
      <c r="VHU46" s="19"/>
      <c r="VHV46" s="19"/>
      <c r="VHW46" s="19"/>
      <c r="VHX46" s="21"/>
      <c r="VHY46" s="19"/>
      <c r="VIH46" s="19"/>
      <c r="VII46" s="19"/>
      <c r="VIJ46" s="19"/>
      <c r="VIK46" s="19"/>
      <c r="VIL46" s="21"/>
      <c r="VIM46" s="19"/>
      <c r="VIV46" s="19"/>
      <c r="VIW46" s="19"/>
      <c r="VIX46" s="19"/>
      <c r="VIY46" s="19"/>
      <c r="VIZ46" s="21"/>
      <c r="VJA46" s="19"/>
      <c r="VJJ46" s="19"/>
      <c r="VJK46" s="19"/>
      <c r="VJL46" s="19"/>
      <c r="VJM46" s="19"/>
      <c r="VJN46" s="21"/>
      <c r="VJO46" s="19"/>
      <c r="VJX46" s="19"/>
      <c r="VJY46" s="19"/>
      <c r="VJZ46" s="19"/>
      <c r="VKA46" s="19"/>
      <c r="VKB46" s="21"/>
      <c r="VKC46" s="19"/>
      <c r="VKL46" s="19"/>
      <c r="VKM46" s="19"/>
      <c r="VKN46" s="19"/>
      <c r="VKO46" s="19"/>
      <c r="VKP46" s="21"/>
      <c r="VKQ46" s="19"/>
      <c r="VKZ46" s="19"/>
      <c r="VLA46" s="19"/>
      <c r="VLB46" s="19"/>
      <c r="VLC46" s="19"/>
      <c r="VLD46" s="21"/>
      <c r="VLE46" s="19"/>
      <c r="VLN46" s="19"/>
      <c r="VLO46" s="19"/>
      <c r="VLP46" s="19"/>
      <c r="VLQ46" s="19"/>
      <c r="VLR46" s="21"/>
      <c r="VLS46" s="19"/>
      <c r="VMB46" s="19"/>
      <c r="VMC46" s="19"/>
      <c r="VMD46" s="19"/>
      <c r="VME46" s="19"/>
      <c r="VMF46" s="21"/>
      <c r="VMG46" s="19"/>
      <c r="VMP46" s="19"/>
      <c r="VMQ46" s="19"/>
      <c r="VMR46" s="19"/>
      <c r="VMS46" s="19"/>
      <c r="VMT46" s="21"/>
      <c r="VMU46" s="19"/>
      <c r="VND46" s="19"/>
      <c r="VNE46" s="19"/>
      <c r="VNF46" s="19"/>
      <c r="VNG46" s="19"/>
      <c r="VNH46" s="21"/>
      <c r="VNI46" s="19"/>
      <c r="VNR46" s="19"/>
      <c r="VNS46" s="19"/>
      <c r="VNT46" s="19"/>
      <c r="VNU46" s="19"/>
      <c r="VNV46" s="21"/>
      <c r="VNW46" s="19"/>
      <c r="VOF46" s="19"/>
      <c r="VOG46" s="19"/>
      <c r="VOH46" s="19"/>
      <c r="VOI46" s="19"/>
      <c r="VOJ46" s="21"/>
      <c r="VOK46" s="19"/>
      <c r="VOT46" s="19"/>
      <c r="VOU46" s="19"/>
      <c r="VOV46" s="19"/>
      <c r="VOW46" s="19"/>
      <c r="VOX46" s="21"/>
      <c r="VOY46" s="19"/>
      <c r="VPH46" s="19"/>
      <c r="VPI46" s="19"/>
      <c r="VPJ46" s="19"/>
      <c r="VPK46" s="19"/>
      <c r="VPL46" s="21"/>
      <c r="VPM46" s="19"/>
      <c r="VPV46" s="19"/>
      <c r="VPW46" s="19"/>
      <c r="VPX46" s="19"/>
      <c r="VPY46" s="19"/>
      <c r="VPZ46" s="21"/>
      <c r="VQA46" s="19"/>
      <c r="VQJ46" s="19"/>
      <c r="VQK46" s="19"/>
      <c r="VQL46" s="19"/>
      <c r="VQM46" s="19"/>
      <c r="VQN46" s="21"/>
      <c r="VQO46" s="19"/>
      <c r="VQX46" s="19"/>
      <c r="VQY46" s="19"/>
      <c r="VQZ46" s="19"/>
      <c r="VRA46" s="19"/>
      <c r="VRB46" s="21"/>
      <c r="VRC46" s="19"/>
      <c r="VRL46" s="19"/>
      <c r="VRM46" s="19"/>
      <c r="VRN46" s="19"/>
      <c r="VRO46" s="19"/>
      <c r="VRP46" s="21"/>
      <c r="VRQ46" s="19"/>
      <c r="VRZ46" s="19"/>
      <c r="VSA46" s="19"/>
      <c r="VSB46" s="19"/>
      <c r="VSC46" s="19"/>
      <c r="VSD46" s="21"/>
      <c r="VSE46" s="19"/>
      <c r="VSN46" s="19"/>
      <c r="VSO46" s="19"/>
      <c r="VSP46" s="19"/>
      <c r="VSQ46" s="19"/>
      <c r="VSR46" s="21"/>
      <c r="VSS46" s="19"/>
      <c r="VTB46" s="19"/>
      <c r="VTC46" s="19"/>
      <c r="VTD46" s="19"/>
      <c r="VTE46" s="19"/>
      <c r="VTF46" s="21"/>
      <c r="VTG46" s="19"/>
      <c r="VTP46" s="19"/>
      <c r="VTQ46" s="19"/>
      <c r="VTR46" s="19"/>
      <c r="VTS46" s="19"/>
      <c r="VTT46" s="21"/>
      <c r="VTU46" s="19"/>
      <c r="VUD46" s="19"/>
      <c r="VUE46" s="19"/>
      <c r="VUF46" s="19"/>
      <c r="VUG46" s="19"/>
      <c r="VUH46" s="21"/>
      <c r="VUI46" s="19"/>
      <c r="VUR46" s="19"/>
      <c r="VUS46" s="19"/>
      <c r="VUT46" s="19"/>
      <c r="VUU46" s="19"/>
      <c r="VUV46" s="21"/>
      <c r="VUW46" s="19"/>
      <c r="VVF46" s="19"/>
      <c r="VVG46" s="19"/>
      <c r="VVH46" s="19"/>
      <c r="VVI46" s="19"/>
      <c r="VVJ46" s="21"/>
      <c r="VVK46" s="19"/>
      <c r="VVT46" s="19"/>
      <c r="VVU46" s="19"/>
      <c r="VVV46" s="19"/>
      <c r="VVW46" s="19"/>
      <c r="VVX46" s="21"/>
      <c r="VVY46" s="19"/>
      <c r="VWH46" s="19"/>
      <c r="VWI46" s="19"/>
      <c r="VWJ46" s="19"/>
      <c r="VWK46" s="19"/>
      <c r="VWL46" s="21"/>
      <c r="VWM46" s="19"/>
      <c r="VWV46" s="19"/>
      <c r="VWW46" s="19"/>
      <c r="VWX46" s="19"/>
      <c r="VWY46" s="19"/>
      <c r="VWZ46" s="21"/>
      <c r="VXA46" s="19"/>
      <c r="VXJ46" s="19"/>
      <c r="VXK46" s="19"/>
      <c r="VXL46" s="19"/>
      <c r="VXM46" s="19"/>
      <c r="VXN46" s="21"/>
      <c r="VXO46" s="19"/>
      <c r="VXX46" s="19"/>
      <c r="VXY46" s="19"/>
      <c r="VXZ46" s="19"/>
      <c r="VYA46" s="19"/>
      <c r="VYB46" s="21"/>
      <c r="VYC46" s="19"/>
      <c r="VYL46" s="19"/>
      <c r="VYM46" s="19"/>
      <c r="VYN46" s="19"/>
      <c r="VYO46" s="19"/>
      <c r="VYP46" s="21"/>
      <c r="VYQ46" s="19"/>
      <c r="VYZ46" s="19"/>
      <c r="VZA46" s="19"/>
      <c r="VZB46" s="19"/>
      <c r="VZC46" s="19"/>
      <c r="VZD46" s="21"/>
      <c r="VZE46" s="19"/>
      <c r="VZN46" s="19"/>
      <c r="VZO46" s="19"/>
      <c r="VZP46" s="19"/>
      <c r="VZQ46" s="19"/>
      <c r="VZR46" s="21"/>
      <c r="VZS46" s="19"/>
      <c r="WAB46" s="19"/>
      <c r="WAC46" s="19"/>
      <c r="WAD46" s="19"/>
      <c r="WAE46" s="19"/>
      <c r="WAF46" s="21"/>
      <c r="WAG46" s="19"/>
      <c r="WAP46" s="19"/>
      <c r="WAQ46" s="19"/>
      <c r="WAR46" s="19"/>
      <c r="WAS46" s="19"/>
      <c r="WAT46" s="21"/>
      <c r="WAU46" s="19"/>
      <c r="WBD46" s="19"/>
      <c r="WBE46" s="19"/>
      <c r="WBF46" s="19"/>
      <c r="WBG46" s="19"/>
      <c r="WBH46" s="21"/>
      <c r="WBI46" s="19"/>
      <c r="WBR46" s="19"/>
      <c r="WBS46" s="19"/>
      <c r="WBT46" s="19"/>
      <c r="WBU46" s="19"/>
      <c r="WBV46" s="21"/>
      <c r="WBW46" s="19"/>
      <c r="WCF46" s="19"/>
      <c r="WCG46" s="19"/>
      <c r="WCH46" s="19"/>
      <c r="WCI46" s="19"/>
      <c r="WCJ46" s="21"/>
      <c r="WCK46" s="19"/>
      <c r="WCT46" s="19"/>
      <c r="WCU46" s="19"/>
      <c r="WCV46" s="19"/>
      <c r="WCW46" s="19"/>
      <c r="WCX46" s="21"/>
      <c r="WCY46" s="19"/>
      <c r="WDH46" s="19"/>
      <c r="WDI46" s="19"/>
      <c r="WDJ46" s="19"/>
      <c r="WDK46" s="19"/>
      <c r="WDL46" s="21"/>
      <c r="WDM46" s="19"/>
      <c r="WDV46" s="19"/>
      <c r="WDW46" s="19"/>
      <c r="WDX46" s="19"/>
      <c r="WDY46" s="19"/>
      <c r="WDZ46" s="21"/>
      <c r="WEA46" s="19"/>
      <c r="WEJ46" s="19"/>
      <c r="WEK46" s="19"/>
      <c r="WEL46" s="19"/>
      <c r="WEM46" s="19"/>
      <c r="WEN46" s="21"/>
      <c r="WEO46" s="19"/>
      <c r="WEX46" s="19"/>
      <c r="WEY46" s="19"/>
      <c r="WEZ46" s="19"/>
      <c r="WFA46" s="19"/>
      <c r="WFB46" s="21"/>
      <c r="WFC46" s="19"/>
      <c r="WFL46" s="19"/>
      <c r="WFM46" s="19"/>
      <c r="WFN46" s="19"/>
      <c r="WFO46" s="19"/>
      <c r="WFP46" s="21"/>
      <c r="WFQ46" s="19"/>
      <c r="WFZ46" s="19"/>
      <c r="WGA46" s="19"/>
      <c r="WGB46" s="19"/>
      <c r="WGC46" s="19"/>
      <c r="WGD46" s="21"/>
      <c r="WGE46" s="19"/>
      <c r="WGN46" s="19"/>
      <c r="WGO46" s="19"/>
      <c r="WGP46" s="19"/>
      <c r="WGQ46" s="19"/>
      <c r="WGR46" s="21"/>
      <c r="WGS46" s="19"/>
      <c r="WHB46" s="19"/>
      <c r="WHC46" s="19"/>
      <c r="WHD46" s="19"/>
      <c r="WHE46" s="19"/>
      <c r="WHF46" s="21"/>
      <c r="WHG46" s="19"/>
      <c r="WHP46" s="19"/>
      <c r="WHQ46" s="19"/>
      <c r="WHR46" s="19"/>
      <c r="WHS46" s="19"/>
      <c r="WHT46" s="21"/>
      <c r="WHU46" s="19"/>
      <c r="WID46" s="19"/>
      <c r="WIE46" s="19"/>
      <c r="WIF46" s="19"/>
      <c r="WIG46" s="19"/>
      <c r="WIH46" s="21"/>
      <c r="WII46" s="19"/>
      <c r="WIR46" s="19"/>
      <c r="WIS46" s="19"/>
      <c r="WIT46" s="19"/>
      <c r="WIU46" s="19"/>
      <c r="WIV46" s="21"/>
      <c r="WIW46" s="19"/>
      <c r="WJF46" s="19"/>
      <c r="WJG46" s="19"/>
      <c r="WJH46" s="19"/>
      <c r="WJI46" s="19"/>
      <c r="WJJ46" s="21"/>
      <c r="WJK46" s="19"/>
      <c r="WJT46" s="19"/>
      <c r="WJU46" s="19"/>
      <c r="WJV46" s="19"/>
      <c r="WJW46" s="19"/>
      <c r="WJX46" s="21"/>
      <c r="WJY46" s="19"/>
      <c r="WKH46" s="19"/>
      <c r="WKI46" s="19"/>
      <c r="WKJ46" s="19"/>
      <c r="WKK46" s="19"/>
      <c r="WKL46" s="21"/>
      <c r="WKM46" s="19"/>
      <c r="WKV46" s="19"/>
      <c r="WKW46" s="19"/>
      <c r="WKX46" s="19"/>
      <c r="WKY46" s="19"/>
      <c r="WKZ46" s="21"/>
      <c r="WLA46" s="19"/>
      <c r="WLJ46" s="19"/>
      <c r="WLK46" s="19"/>
      <c r="WLL46" s="19"/>
      <c r="WLM46" s="19"/>
      <c r="WLN46" s="21"/>
      <c r="WLO46" s="19"/>
      <c r="WLX46" s="19"/>
      <c r="WLY46" s="19"/>
      <c r="WLZ46" s="19"/>
      <c r="WMA46" s="19"/>
      <c r="WMB46" s="21"/>
      <c r="WMC46" s="19"/>
      <c r="WML46" s="19"/>
      <c r="WMM46" s="19"/>
      <c r="WMN46" s="19"/>
      <c r="WMO46" s="19"/>
      <c r="WMP46" s="21"/>
      <c r="WMQ46" s="19"/>
      <c r="WMZ46" s="19"/>
      <c r="WNA46" s="19"/>
      <c r="WNB46" s="19"/>
      <c r="WNC46" s="19"/>
      <c r="WND46" s="21"/>
      <c r="WNE46" s="19"/>
      <c r="WNN46" s="19"/>
      <c r="WNO46" s="19"/>
      <c r="WNP46" s="19"/>
      <c r="WNQ46" s="19"/>
      <c r="WNR46" s="21"/>
      <c r="WNS46" s="19"/>
      <c r="WOB46" s="19"/>
      <c r="WOC46" s="19"/>
      <c r="WOD46" s="19"/>
      <c r="WOE46" s="19"/>
      <c r="WOF46" s="21"/>
      <c r="WOG46" s="19"/>
      <c r="WOP46" s="19"/>
      <c r="WOQ46" s="19"/>
      <c r="WOR46" s="19"/>
      <c r="WOS46" s="19"/>
      <c r="WOT46" s="21"/>
      <c r="WOU46" s="19"/>
      <c r="WPD46" s="19"/>
      <c r="WPE46" s="19"/>
      <c r="WPF46" s="19"/>
      <c r="WPG46" s="19"/>
      <c r="WPH46" s="21"/>
      <c r="WPI46" s="19"/>
      <c r="WPR46" s="19"/>
      <c r="WPS46" s="19"/>
      <c r="WPT46" s="19"/>
      <c r="WPU46" s="19"/>
      <c r="WPV46" s="21"/>
      <c r="WPW46" s="19"/>
      <c r="WQF46" s="19"/>
      <c r="WQG46" s="19"/>
      <c r="WQH46" s="19"/>
      <c r="WQI46" s="19"/>
      <c r="WQJ46" s="21"/>
      <c r="WQK46" s="19"/>
      <c r="WQT46" s="19"/>
      <c r="WQU46" s="19"/>
      <c r="WQV46" s="19"/>
      <c r="WQW46" s="19"/>
      <c r="WQX46" s="21"/>
      <c r="WQY46" s="19"/>
      <c r="WRH46" s="19"/>
      <c r="WRI46" s="19"/>
      <c r="WRJ46" s="19"/>
      <c r="WRK46" s="19"/>
      <c r="WRL46" s="21"/>
      <c r="WRM46" s="19"/>
      <c r="WRV46" s="19"/>
      <c r="WRW46" s="19"/>
      <c r="WRX46" s="19"/>
      <c r="WRY46" s="19"/>
      <c r="WRZ46" s="21"/>
      <c r="WSA46" s="19"/>
      <c r="WSJ46" s="19"/>
      <c r="WSK46" s="19"/>
      <c r="WSL46" s="19"/>
      <c r="WSM46" s="19"/>
      <c r="WSN46" s="21"/>
      <c r="WSO46" s="19"/>
      <c r="WSX46" s="19"/>
      <c r="WSY46" s="19"/>
      <c r="WSZ46" s="19"/>
      <c r="WTA46" s="19"/>
      <c r="WTB46" s="21"/>
      <c r="WTC46" s="19"/>
      <c r="WTL46" s="19"/>
      <c r="WTM46" s="19"/>
      <c r="WTN46" s="19"/>
      <c r="WTO46" s="19"/>
      <c r="WTP46" s="21"/>
      <c r="WTQ46" s="19"/>
      <c r="WTZ46" s="19"/>
      <c r="WUA46" s="19"/>
      <c r="WUB46" s="19"/>
      <c r="WUC46" s="19"/>
      <c r="WUD46" s="21"/>
      <c r="WUE46" s="19"/>
      <c r="WUN46" s="19"/>
      <c r="WUO46" s="19"/>
      <c r="WUP46" s="19"/>
      <c r="WUQ46" s="19"/>
      <c r="WUR46" s="21"/>
      <c r="WUS46" s="19"/>
      <c r="WVB46" s="19"/>
      <c r="WVC46" s="19"/>
      <c r="WVD46" s="19"/>
      <c r="WVE46" s="19"/>
      <c r="WVF46" s="21"/>
      <c r="WVG46" s="19"/>
      <c r="WVP46" s="19"/>
      <c r="WVQ46" s="19"/>
      <c r="WVR46" s="19"/>
      <c r="WVS46" s="19"/>
      <c r="WVT46" s="21"/>
      <c r="WVU46" s="19"/>
      <c r="WWD46" s="19"/>
      <c r="WWE46" s="19"/>
      <c r="WWF46" s="19"/>
      <c r="WWG46" s="19"/>
      <c r="WWH46" s="21"/>
      <c r="WWI46" s="19"/>
      <c r="WWR46" s="19"/>
      <c r="WWS46" s="19"/>
      <c r="WWT46" s="19"/>
      <c r="WWU46" s="19"/>
      <c r="WWV46" s="21"/>
      <c r="WWW46" s="19"/>
      <c r="WXF46" s="19"/>
      <c r="WXG46" s="19"/>
      <c r="WXH46" s="19"/>
      <c r="WXI46" s="19"/>
      <c r="WXJ46" s="21"/>
      <c r="WXK46" s="19"/>
      <c r="WXT46" s="19"/>
      <c r="WXU46" s="19"/>
      <c r="WXV46" s="19"/>
      <c r="WXW46" s="19"/>
      <c r="WXX46" s="21"/>
      <c r="WXY46" s="19"/>
      <c r="WYH46" s="19"/>
      <c r="WYI46" s="19"/>
      <c r="WYJ46" s="19"/>
      <c r="WYK46" s="19"/>
      <c r="WYL46" s="21"/>
      <c r="WYM46" s="19"/>
      <c r="WYV46" s="19"/>
      <c r="WYW46" s="19"/>
      <c r="WYX46" s="19"/>
      <c r="WYY46" s="19"/>
      <c r="WYZ46" s="21"/>
      <c r="WZA46" s="19"/>
      <c r="WZJ46" s="19"/>
      <c r="WZK46" s="19"/>
      <c r="WZL46" s="19"/>
      <c r="WZM46" s="19"/>
      <c r="WZN46" s="21"/>
      <c r="WZO46" s="19"/>
      <c r="WZX46" s="19"/>
      <c r="WZY46" s="19"/>
      <c r="WZZ46" s="19"/>
      <c r="XAA46" s="19"/>
      <c r="XAB46" s="21"/>
      <c r="XAC46" s="19"/>
      <c r="XAL46" s="19"/>
      <c r="XAM46" s="19"/>
      <c r="XAN46" s="19"/>
      <c r="XAO46" s="19"/>
      <c r="XAP46" s="21"/>
      <c r="XAQ46" s="19"/>
      <c r="XAZ46" s="19"/>
      <c r="XBA46" s="19"/>
      <c r="XBB46" s="19"/>
      <c r="XBC46" s="19"/>
      <c r="XBD46" s="21"/>
      <c r="XBE46" s="19"/>
      <c r="XBN46" s="19"/>
      <c r="XBO46" s="19"/>
      <c r="XBP46" s="19"/>
      <c r="XBQ46" s="19"/>
      <c r="XBR46" s="21"/>
      <c r="XBS46" s="19"/>
      <c r="XCB46" s="19"/>
      <c r="XCC46" s="19"/>
      <c r="XCD46" s="19"/>
      <c r="XCE46" s="19"/>
      <c r="XCF46" s="21"/>
      <c r="XCG46" s="19"/>
      <c r="XCP46" s="19"/>
      <c r="XCQ46" s="19"/>
      <c r="XCR46" s="19"/>
      <c r="XCS46" s="19"/>
      <c r="XCT46" s="21"/>
      <c r="XCU46" s="19"/>
      <c r="XDD46" s="19"/>
      <c r="XDE46" s="19"/>
      <c r="XDF46" s="19"/>
      <c r="XDG46" s="19"/>
      <c r="XDH46" s="21"/>
      <c r="XDI46" s="19"/>
      <c r="XDR46" s="19"/>
      <c r="XDS46" s="19"/>
      <c r="XDT46" s="19"/>
      <c r="XDU46" s="19"/>
      <c r="XDV46" s="21"/>
      <c r="XDW46" s="19"/>
      <c r="XEF46" s="19"/>
      <c r="XEG46" s="19"/>
      <c r="XEH46" s="19"/>
      <c r="XEI46" s="19"/>
      <c r="XEJ46" s="21"/>
      <c r="XEK46" s="19"/>
    </row>
    <row r="47" spans="1:1021 1030:2043 2052:3065 3074:7167 7176:8189 8198:9211 9220:10233 10242:14335 14344:15357 15366:16365" s="20" customFormat="1">
      <c r="A47" s="19">
        <v>3</v>
      </c>
      <c r="B47" s="21">
        <v>14</v>
      </c>
      <c r="C47" s="19" t="s">
        <v>136</v>
      </c>
      <c r="D47" s="20">
        <v>0</v>
      </c>
      <c r="E47" s="20">
        <v>3</v>
      </c>
      <c r="F47" s="20">
        <v>0</v>
      </c>
      <c r="G47" s="20">
        <v>0</v>
      </c>
      <c r="H47" s="20">
        <v>3</v>
      </c>
      <c r="I47" s="20">
        <v>2</v>
      </c>
      <c r="J47" s="20">
        <v>8</v>
      </c>
      <c r="K47" s="20">
        <v>-6</v>
      </c>
      <c r="L47" s="27"/>
      <c r="M47" s="19"/>
      <c r="V47" s="19"/>
      <c r="W47" s="19"/>
      <c r="X47" s="19"/>
      <c r="Y47" s="19"/>
      <c r="Z47" s="21"/>
      <c r="AA47" s="19"/>
      <c r="AJ47" s="19"/>
      <c r="AK47" s="19"/>
      <c r="AL47" s="19"/>
      <c r="AM47" s="19"/>
      <c r="AN47" s="21"/>
      <c r="AO47" s="19"/>
      <c r="AX47" s="19"/>
      <c r="AY47" s="19"/>
      <c r="AZ47" s="19"/>
      <c r="BA47" s="19"/>
      <c r="BB47" s="21"/>
      <c r="BC47" s="19"/>
      <c r="BL47" s="19"/>
      <c r="BM47" s="19"/>
      <c r="BN47" s="19"/>
      <c r="BO47" s="19"/>
      <c r="BP47" s="21"/>
      <c r="BQ47" s="19"/>
      <c r="BZ47" s="19"/>
      <c r="CA47" s="19"/>
      <c r="CB47" s="19"/>
      <c r="CC47" s="19"/>
      <c r="CD47" s="21"/>
      <c r="CE47" s="19"/>
      <c r="CN47" s="19"/>
      <c r="CO47" s="19"/>
      <c r="CP47" s="19"/>
      <c r="CQ47" s="19"/>
      <c r="CR47" s="21"/>
      <c r="CS47" s="19"/>
      <c r="DB47" s="19"/>
      <c r="DC47" s="19"/>
      <c r="DD47" s="19"/>
      <c r="DE47" s="19"/>
      <c r="DF47" s="21"/>
      <c r="DG47" s="19"/>
      <c r="DP47" s="19"/>
      <c r="DQ47" s="19"/>
      <c r="DR47" s="19"/>
      <c r="DS47" s="19"/>
      <c r="DT47" s="21"/>
      <c r="DU47" s="19"/>
      <c r="ED47" s="19"/>
      <c r="EE47" s="19"/>
      <c r="EF47" s="19"/>
      <c r="EG47" s="19"/>
      <c r="EH47" s="21"/>
      <c r="EI47" s="19"/>
      <c r="ER47" s="19"/>
      <c r="ES47" s="19"/>
      <c r="ET47" s="19"/>
      <c r="EU47" s="19"/>
      <c r="EV47" s="21"/>
      <c r="EW47" s="19"/>
      <c r="FF47" s="19"/>
      <c r="FG47" s="19"/>
      <c r="FH47" s="19"/>
      <c r="FI47" s="19"/>
      <c r="FJ47" s="21"/>
      <c r="FK47" s="19"/>
      <c r="FT47" s="19"/>
      <c r="FU47" s="19"/>
      <c r="FV47" s="19"/>
      <c r="FW47" s="19"/>
      <c r="FX47" s="21"/>
      <c r="FY47" s="19"/>
      <c r="GH47" s="19"/>
      <c r="GI47" s="19"/>
      <c r="GJ47" s="19"/>
      <c r="GK47" s="19"/>
      <c r="GL47" s="21"/>
      <c r="GM47" s="19"/>
      <c r="GV47" s="19"/>
      <c r="GW47" s="19"/>
      <c r="GX47" s="19"/>
      <c r="GY47" s="19"/>
      <c r="GZ47" s="21"/>
      <c r="HA47" s="19"/>
      <c r="HJ47" s="19"/>
      <c r="HK47" s="19"/>
      <c r="HL47" s="19"/>
      <c r="HM47" s="19"/>
      <c r="HN47" s="21"/>
      <c r="HO47" s="19"/>
      <c r="HX47" s="19"/>
      <c r="HY47" s="19"/>
      <c r="HZ47" s="19"/>
      <c r="IA47" s="19"/>
      <c r="IB47" s="21"/>
      <c r="IC47" s="19"/>
      <c r="IL47" s="19"/>
      <c r="IM47" s="19"/>
      <c r="IN47" s="19"/>
      <c r="IO47" s="19"/>
      <c r="IP47" s="21"/>
      <c r="IQ47" s="19"/>
      <c r="IZ47" s="19"/>
      <c r="JA47" s="19"/>
      <c r="JB47" s="19"/>
      <c r="JC47" s="19"/>
      <c r="JD47" s="21"/>
      <c r="JE47" s="19"/>
      <c r="JN47" s="19"/>
      <c r="JO47" s="19"/>
      <c r="JP47" s="19"/>
      <c r="JQ47" s="19"/>
      <c r="JR47" s="21"/>
      <c r="JS47" s="19"/>
      <c r="KB47" s="19"/>
      <c r="KC47" s="19"/>
      <c r="KD47" s="19"/>
      <c r="KE47" s="19"/>
      <c r="KF47" s="21"/>
      <c r="KG47" s="19"/>
      <c r="KP47" s="19"/>
      <c r="KQ47" s="19"/>
      <c r="KR47" s="19"/>
      <c r="KS47" s="19"/>
      <c r="KT47" s="21"/>
      <c r="KU47" s="19"/>
      <c r="LD47" s="19"/>
      <c r="LE47" s="19"/>
      <c r="LF47" s="19"/>
      <c r="LG47" s="19"/>
      <c r="LH47" s="21"/>
      <c r="LI47" s="19"/>
      <c r="LR47" s="19"/>
      <c r="LS47" s="19"/>
      <c r="LT47" s="19"/>
      <c r="LU47" s="19"/>
      <c r="LV47" s="21"/>
      <c r="LW47" s="19"/>
      <c r="MF47" s="19"/>
      <c r="MG47" s="19"/>
      <c r="MH47" s="19"/>
      <c r="MI47" s="19"/>
      <c r="MJ47" s="21"/>
      <c r="MK47" s="19"/>
      <c r="MT47" s="19"/>
      <c r="MU47" s="19"/>
      <c r="MV47" s="19"/>
      <c r="MW47" s="19"/>
      <c r="MX47" s="21"/>
      <c r="MY47" s="19"/>
      <c r="NH47" s="19"/>
      <c r="NI47" s="19"/>
      <c r="NJ47" s="19"/>
      <c r="NK47" s="19"/>
      <c r="NL47" s="21"/>
      <c r="NM47" s="19"/>
      <c r="NV47" s="19"/>
      <c r="NW47" s="19"/>
      <c r="NX47" s="19"/>
      <c r="NY47" s="19"/>
      <c r="NZ47" s="21"/>
      <c r="OA47" s="19"/>
      <c r="OJ47" s="19"/>
      <c r="OK47" s="19"/>
      <c r="OL47" s="19"/>
      <c r="OM47" s="19"/>
      <c r="ON47" s="21"/>
      <c r="OO47" s="19"/>
      <c r="OX47" s="19"/>
      <c r="OY47" s="19"/>
      <c r="OZ47" s="19"/>
      <c r="PA47" s="19"/>
      <c r="PB47" s="21"/>
      <c r="PC47" s="19"/>
      <c r="PL47" s="19"/>
      <c r="PM47" s="19"/>
      <c r="PN47" s="19"/>
      <c r="PO47" s="19"/>
      <c r="PP47" s="21"/>
      <c r="PQ47" s="19"/>
      <c r="PZ47" s="19"/>
      <c r="QA47" s="19"/>
      <c r="QB47" s="19"/>
      <c r="QC47" s="19"/>
      <c r="QD47" s="21"/>
      <c r="QE47" s="19"/>
      <c r="QN47" s="19"/>
      <c r="QO47" s="19"/>
      <c r="QP47" s="19"/>
      <c r="QQ47" s="19"/>
      <c r="QR47" s="21"/>
      <c r="QS47" s="19"/>
      <c r="RB47" s="19"/>
      <c r="RC47" s="19"/>
      <c r="RD47" s="19"/>
      <c r="RE47" s="19"/>
      <c r="RF47" s="21"/>
      <c r="RG47" s="19"/>
      <c r="RP47" s="19"/>
      <c r="RQ47" s="19"/>
      <c r="RR47" s="19"/>
      <c r="RS47" s="19"/>
      <c r="RT47" s="21"/>
      <c r="RU47" s="19"/>
      <c r="SD47" s="19"/>
      <c r="SE47" s="19"/>
      <c r="SF47" s="19"/>
      <c r="SG47" s="19"/>
      <c r="SH47" s="21"/>
      <c r="SI47" s="19"/>
      <c r="SR47" s="19"/>
      <c r="SS47" s="19"/>
      <c r="ST47" s="19"/>
      <c r="SU47" s="19"/>
      <c r="SV47" s="21"/>
      <c r="SW47" s="19"/>
      <c r="TF47" s="19"/>
      <c r="TG47" s="19"/>
      <c r="TH47" s="19"/>
      <c r="TI47" s="19"/>
      <c r="TJ47" s="21"/>
      <c r="TK47" s="19"/>
      <c r="TT47" s="19"/>
      <c r="TU47" s="19"/>
      <c r="TV47" s="19"/>
      <c r="TW47" s="19"/>
      <c r="TX47" s="21"/>
      <c r="TY47" s="19"/>
      <c r="UH47" s="19"/>
      <c r="UI47" s="19"/>
      <c r="UJ47" s="19"/>
      <c r="UK47" s="19"/>
      <c r="UL47" s="21"/>
      <c r="UM47" s="19"/>
      <c r="UV47" s="19"/>
      <c r="UW47" s="19"/>
      <c r="UX47" s="19"/>
      <c r="UY47" s="19"/>
      <c r="UZ47" s="21"/>
      <c r="VA47" s="19"/>
      <c r="VJ47" s="19"/>
      <c r="VK47" s="19"/>
      <c r="VL47" s="19"/>
      <c r="VM47" s="19"/>
      <c r="VN47" s="21"/>
      <c r="VO47" s="19"/>
      <c r="VX47" s="19"/>
      <c r="VY47" s="19"/>
      <c r="VZ47" s="19"/>
      <c r="WA47" s="19"/>
      <c r="WB47" s="21"/>
      <c r="WC47" s="19"/>
      <c r="WL47" s="19"/>
      <c r="WM47" s="19"/>
      <c r="WN47" s="19"/>
      <c r="WO47" s="19"/>
      <c r="WP47" s="21"/>
      <c r="WQ47" s="19"/>
      <c r="WZ47" s="19"/>
      <c r="XA47" s="19"/>
      <c r="XB47" s="19"/>
      <c r="XC47" s="19"/>
      <c r="XD47" s="21"/>
      <c r="XE47" s="19"/>
      <c r="XN47" s="19"/>
      <c r="XO47" s="19"/>
      <c r="XP47" s="19"/>
      <c r="XQ47" s="19"/>
      <c r="XR47" s="21"/>
      <c r="XS47" s="19"/>
      <c r="YB47" s="19"/>
      <c r="YC47" s="19"/>
      <c r="YD47" s="19"/>
      <c r="YE47" s="19"/>
      <c r="YF47" s="21"/>
      <c r="YG47" s="19"/>
      <c r="YP47" s="19"/>
      <c r="YQ47" s="19"/>
      <c r="YR47" s="19"/>
      <c r="YS47" s="19"/>
      <c r="YT47" s="21"/>
      <c r="YU47" s="19"/>
      <c r="ZD47" s="19"/>
      <c r="ZE47" s="19"/>
      <c r="ZF47" s="19"/>
      <c r="ZG47" s="19"/>
      <c r="ZH47" s="21"/>
      <c r="ZI47" s="19"/>
      <c r="ZR47" s="19"/>
      <c r="ZS47" s="19"/>
      <c r="ZT47" s="19"/>
      <c r="ZU47" s="19"/>
      <c r="ZV47" s="21"/>
      <c r="ZW47" s="19"/>
      <c r="AAF47" s="19"/>
      <c r="AAG47" s="19"/>
      <c r="AAH47" s="19"/>
      <c r="AAI47" s="19"/>
      <c r="AAJ47" s="21"/>
      <c r="AAK47" s="19"/>
      <c r="AAT47" s="19"/>
      <c r="AAU47" s="19"/>
      <c r="AAV47" s="19"/>
      <c r="AAW47" s="19"/>
      <c r="AAX47" s="21"/>
      <c r="AAY47" s="19"/>
      <c r="ABH47" s="19"/>
      <c r="ABI47" s="19"/>
      <c r="ABJ47" s="19"/>
      <c r="ABK47" s="19"/>
      <c r="ABL47" s="21"/>
      <c r="ABM47" s="19"/>
      <c r="ABV47" s="19"/>
      <c r="ABW47" s="19"/>
      <c r="ABX47" s="19"/>
      <c r="ABY47" s="19"/>
      <c r="ABZ47" s="21"/>
      <c r="ACA47" s="19"/>
      <c r="ACJ47" s="19"/>
      <c r="ACK47" s="19"/>
      <c r="ACL47" s="19"/>
      <c r="ACM47" s="19"/>
      <c r="ACN47" s="21"/>
      <c r="ACO47" s="19"/>
      <c r="ACX47" s="19"/>
      <c r="ACY47" s="19"/>
      <c r="ACZ47" s="19"/>
      <c r="ADA47" s="19"/>
      <c r="ADB47" s="21"/>
      <c r="ADC47" s="19"/>
      <c r="ADL47" s="19"/>
      <c r="ADM47" s="19"/>
      <c r="ADN47" s="19"/>
      <c r="ADO47" s="19"/>
      <c r="ADP47" s="21"/>
      <c r="ADQ47" s="19"/>
      <c r="ADZ47" s="19"/>
      <c r="AEA47" s="19"/>
      <c r="AEB47" s="19"/>
      <c r="AEC47" s="19"/>
      <c r="AED47" s="21"/>
      <c r="AEE47" s="19"/>
      <c r="AEN47" s="19"/>
      <c r="AEO47" s="19"/>
      <c r="AEP47" s="19"/>
      <c r="AEQ47" s="19"/>
      <c r="AER47" s="21"/>
      <c r="AES47" s="19"/>
      <c r="AFB47" s="19"/>
      <c r="AFC47" s="19"/>
      <c r="AFD47" s="19"/>
      <c r="AFE47" s="19"/>
      <c r="AFF47" s="21"/>
      <c r="AFG47" s="19"/>
      <c r="AFP47" s="19"/>
      <c r="AFQ47" s="19"/>
      <c r="AFR47" s="19"/>
      <c r="AFS47" s="19"/>
      <c r="AFT47" s="21"/>
      <c r="AFU47" s="19"/>
      <c r="AGD47" s="19"/>
      <c r="AGE47" s="19"/>
      <c r="AGF47" s="19"/>
      <c r="AGG47" s="19"/>
      <c r="AGH47" s="21"/>
      <c r="AGI47" s="19"/>
      <c r="AGR47" s="19"/>
      <c r="AGS47" s="19"/>
      <c r="AGT47" s="19"/>
      <c r="AGU47" s="19"/>
      <c r="AGV47" s="21"/>
      <c r="AGW47" s="19"/>
      <c r="AHF47" s="19"/>
      <c r="AHG47" s="19"/>
      <c r="AHH47" s="19"/>
      <c r="AHI47" s="19"/>
      <c r="AHJ47" s="21"/>
      <c r="AHK47" s="19"/>
      <c r="AHT47" s="19"/>
      <c r="AHU47" s="19"/>
      <c r="AHV47" s="19"/>
      <c r="AHW47" s="19"/>
      <c r="AHX47" s="21"/>
      <c r="AHY47" s="19"/>
      <c r="AIH47" s="19"/>
      <c r="AII47" s="19"/>
      <c r="AIJ47" s="19"/>
      <c r="AIK47" s="19"/>
      <c r="AIL47" s="21"/>
      <c r="AIM47" s="19"/>
      <c r="AIV47" s="19"/>
      <c r="AIW47" s="19"/>
      <c r="AIX47" s="19"/>
      <c r="AIY47" s="19"/>
      <c r="AIZ47" s="21"/>
      <c r="AJA47" s="19"/>
      <c r="AJJ47" s="19"/>
      <c r="AJK47" s="19"/>
      <c r="AJL47" s="19"/>
      <c r="AJM47" s="19"/>
      <c r="AJN47" s="21"/>
      <c r="AJO47" s="19"/>
      <c r="AJX47" s="19"/>
      <c r="AJY47" s="19"/>
      <c r="AJZ47" s="19"/>
      <c r="AKA47" s="19"/>
      <c r="AKB47" s="21"/>
      <c r="AKC47" s="19"/>
      <c r="AKL47" s="19"/>
      <c r="AKM47" s="19"/>
      <c r="AKN47" s="19"/>
      <c r="AKO47" s="19"/>
      <c r="AKP47" s="21"/>
      <c r="AKQ47" s="19"/>
      <c r="AKZ47" s="19"/>
      <c r="ALA47" s="19"/>
      <c r="ALB47" s="19"/>
      <c r="ALC47" s="19"/>
      <c r="ALD47" s="21"/>
      <c r="ALE47" s="19"/>
      <c r="ALN47" s="19"/>
      <c r="ALO47" s="19"/>
      <c r="ALP47" s="19"/>
      <c r="ALQ47" s="19"/>
      <c r="ALR47" s="21"/>
      <c r="ALS47" s="19"/>
      <c r="AMB47" s="19"/>
      <c r="AMC47" s="19"/>
      <c r="AMD47" s="19"/>
      <c r="AME47" s="19"/>
      <c r="AMF47" s="21"/>
      <c r="AMG47" s="19"/>
      <c r="AMP47" s="19"/>
      <c r="AMQ47" s="19"/>
      <c r="AMR47" s="19"/>
      <c r="AMS47" s="19"/>
      <c r="AMT47" s="21"/>
      <c r="AMU47" s="19"/>
      <c r="AND47" s="19"/>
      <c r="ANE47" s="19"/>
      <c r="ANF47" s="19"/>
      <c r="ANG47" s="19"/>
      <c r="ANH47" s="21"/>
      <c r="ANI47" s="19"/>
      <c r="ANR47" s="19"/>
      <c r="ANS47" s="19"/>
      <c r="ANT47" s="19"/>
      <c r="ANU47" s="19"/>
      <c r="ANV47" s="21"/>
      <c r="ANW47" s="19"/>
      <c r="AOF47" s="19"/>
      <c r="AOG47" s="19"/>
      <c r="AOH47" s="19"/>
      <c r="AOI47" s="19"/>
      <c r="AOJ47" s="21"/>
      <c r="AOK47" s="19"/>
      <c r="AOT47" s="19"/>
      <c r="AOU47" s="19"/>
      <c r="AOV47" s="19"/>
      <c r="AOW47" s="19"/>
      <c r="AOX47" s="21"/>
      <c r="AOY47" s="19"/>
      <c r="APH47" s="19"/>
      <c r="API47" s="19"/>
      <c r="APJ47" s="19"/>
      <c r="APK47" s="19"/>
      <c r="APL47" s="21"/>
      <c r="APM47" s="19"/>
      <c r="APV47" s="19"/>
      <c r="APW47" s="19"/>
      <c r="APX47" s="19"/>
      <c r="APY47" s="19"/>
      <c r="APZ47" s="21"/>
      <c r="AQA47" s="19"/>
      <c r="AQJ47" s="19"/>
      <c r="AQK47" s="19"/>
      <c r="AQL47" s="19"/>
      <c r="AQM47" s="19"/>
      <c r="AQN47" s="21"/>
      <c r="AQO47" s="19"/>
      <c r="AQX47" s="19"/>
      <c r="AQY47" s="19"/>
      <c r="AQZ47" s="19"/>
      <c r="ARA47" s="19"/>
      <c r="ARB47" s="21"/>
      <c r="ARC47" s="19"/>
      <c r="ARL47" s="19"/>
      <c r="ARM47" s="19"/>
      <c r="ARN47" s="19"/>
      <c r="ARO47" s="19"/>
      <c r="ARP47" s="21"/>
      <c r="ARQ47" s="19"/>
      <c r="ARZ47" s="19"/>
      <c r="ASA47" s="19"/>
      <c r="ASB47" s="19"/>
      <c r="ASC47" s="19"/>
      <c r="ASD47" s="21"/>
      <c r="ASE47" s="19"/>
      <c r="ASN47" s="19"/>
      <c r="ASO47" s="19"/>
      <c r="ASP47" s="19"/>
      <c r="ASQ47" s="19"/>
      <c r="ASR47" s="21"/>
      <c r="ASS47" s="19"/>
      <c r="ATB47" s="19"/>
      <c r="ATC47" s="19"/>
      <c r="ATD47" s="19"/>
      <c r="ATE47" s="19"/>
      <c r="ATF47" s="21"/>
      <c r="ATG47" s="19"/>
      <c r="ATP47" s="19"/>
      <c r="ATQ47" s="19"/>
      <c r="ATR47" s="19"/>
      <c r="ATS47" s="19"/>
      <c r="ATT47" s="21"/>
      <c r="ATU47" s="19"/>
      <c r="AUD47" s="19"/>
      <c r="AUE47" s="19"/>
      <c r="AUF47" s="19"/>
      <c r="AUG47" s="19"/>
      <c r="AUH47" s="21"/>
      <c r="AUI47" s="19"/>
      <c r="AUR47" s="19"/>
      <c r="AUS47" s="19"/>
      <c r="AUT47" s="19"/>
      <c r="AUU47" s="19"/>
      <c r="AUV47" s="21"/>
      <c r="AUW47" s="19"/>
      <c r="AVF47" s="19"/>
      <c r="AVG47" s="19"/>
      <c r="AVH47" s="19"/>
      <c r="AVI47" s="19"/>
      <c r="AVJ47" s="21"/>
      <c r="AVK47" s="19"/>
      <c r="AVT47" s="19"/>
      <c r="AVU47" s="19"/>
      <c r="AVV47" s="19"/>
      <c r="AVW47" s="19"/>
      <c r="AVX47" s="21"/>
      <c r="AVY47" s="19"/>
      <c r="AWH47" s="19"/>
      <c r="AWI47" s="19"/>
      <c r="AWJ47" s="19"/>
      <c r="AWK47" s="19"/>
      <c r="AWL47" s="21"/>
      <c r="AWM47" s="19"/>
      <c r="AWV47" s="19"/>
      <c r="AWW47" s="19"/>
      <c r="AWX47" s="19"/>
      <c r="AWY47" s="19"/>
      <c r="AWZ47" s="21"/>
      <c r="AXA47" s="19"/>
      <c r="AXJ47" s="19"/>
      <c r="AXK47" s="19"/>
      <c r="AXL47" s="19"/>
      <c r="AXM47" s="19"/>
      <c r="AXN47" s="21"/>
      <c r="AXO47" s="19"/>
      <c r="AXX47" s="19"/>
      <c r="AXY47" s="19"/>
      <c r="AXZ47" s="19"/>
      <c r="AYA47" s="19"/>
      <c r="AYB47" s="21"/>
      <c r="AYC47" s="19"/>
      <c r="AYL47" s="19"/>
      <c r="AYM47" s="19"/>
      <c r="AYN47" s="19"/>
      <c r="AYO47" s="19"/>
      <c r="AYP47" s="21"/>
      <c r="AYQ47" s="19"/>
      <c r="AYZ47" s="19"/>
      <c r="AZA47" s="19"/>
      <c r="AZB47" s="19"/>
      <c r="AZC47" s="19"/>
      <c r="AZD47" s="21"/>
      <c r="AZE47" s="19"/>
      <c r="AZN47" s="19"/>
      <c r="AZO47" s="19"/>
      <c r="AZP47" s="19"/>
      <c r="AZQ47" s="19"/>
      <c r="AZR47" s="21"/>
      <c r="AZS47" s="19"/>
      <c r="BAB47" s="19"/>
      <c r="BAC47" s="19"/>
      <c r="BAD47" s="19"/>
      <c r="BAE47" s="19"/>
      <c r="BAF47" s="21"/>
      <c r="BAG47" s="19"/>
      <c r="BAP47" s="19"/>
      <c r="BAQ47" s="19"/>
      <c r="BAR47" s="19"/>
      <c r="BAS47" s="19"/>
      <c r="BAT47" s="21"/>
      <c r="BAU47" s="19"/>
      <c r="BBD47" s="19"/>
      <c r="BBE47" s="19"/>
      <c r="BBF47" s="19"/>
      <c r="BBG47" s="19"/>
      <c r="BBH47" s="21"/>
      <c r="BBI47" s="19"/>
      <c r="BBR47" s="19"/>
      <c r="BBS47" s="19"/>
      <c r="BBT47" s="19"/>
      <c r="BBU47" s="19"/>
      <c r="BBV47" s="21"/>
      <c r="BBW47" s="19"/>
      <c r="BCF47" s="19"/>
      <c r="BCG47" s="19"/>
      <c r="BCH47" s="19"/>
      <c r="BCI47" s="19"/>
      <c r="BCJ47" s="21"/>
      <c r="BCK47" s="19"/>
      <c r="BCT47" s="19"/>
      <c r="BCU47" s="19"/>
      <c r="BCV47" s="19"/>
      <c r="BCW47" s="19"/>
      <c r="BCX47" s="21"/>
      <c r="BCY47" s="19"/>
      <c r="BDH47" s="19"/>
      <c r="BDI47" s="19"/>
      <c r="BDJ47" s="19"/>
      <c r="BDK47" s="19"/>
      <c r="BDL47" s="21"/>
      <c r="BDM47" s="19"/>
      <c r="BDV47" s="19"/>
      <c r="BDW47" s="19"/>
      <c r="BDX47" s="19"/>
      <c r="BDY47" s="19"/>
      <c r="BDZ47" s="21"/>
      <c r="BEA47" s="19"/>
      <c r="BEJ47" s="19"/>
      <c r="BEK47" s="19"/>
      <c r="BEL47" s="19"/>
      <c r="BEM47" s="19"/>
      <c r="BEN47" s="21"/>
      <c r="BEO47" s="19"/>
      <c r="BEX47" s="19"/>
      <c r="BEY47" s="19"/>
      <c r="BEZ47" s="19"/>
      <c r="BFA47" s="19"/>
      <c r="BFB47" s="21"/>
      <c r="BFC47" s="19"/>
      <c r="BFL47" s="19"/>
      <c r="BFM47" s="19"/>
      <c r="BFN47" s="19"/>
      <c r="BFO47" s="19"/>
      <c r="BFP47" s="21"/>
      <c r="BFQ47" s="19"/>
      <c r="BFZ47" s="19"/>
      <c r="BGA47" s="19"/>
      <c r="BGB47" s="19"/>
      <c r="BGC47" s="19"/>
      <c r="BGD47" s="21"/>
      <c r="BGE47" s="19"/>
      <c r="BGN47" s="19"/>
      <c r="BGO47" s="19"/>
      <c r="BGP47" s="19"/>
      <c r="BGQ47" s="19"/>
      <c r="BGR47" s="21"/>
      <c r="BGS47" s="19"/>
      <c r="BHB47" s="19"/>
      <c r="BHC47" s="19"/>
      <c r="BHD47" s="19"/>
      <c r="BHE47" s="19"/>
      <c r="BHF47" s="21"/>
      <c r="BHG47" s="19"/>
      <c r="BHP47" s="19"/>
      <c r="BHQ47" s="19"/>
      <c r="BHR47" s="19"/>
      <c r="BHS47" s="19"/>
      <c r="BHT47" s="21"/>
      <c r="BHU47" s="19"/>
      <c r="BID47" s="19"/>
      <c r="BIE47" s="19"/>
      <c r="BIF47" s="19"/>
      <c r="BIG47" s="19"/>
      <c r="BIH47" s="21"/>
      <c r="BII47" s="19"/>
      <c r="BIR47" s="19"/>
      <c r="BIS47" s="19"/>
      <c r="BIT47" s="19"/>
      <c r="BIU47" s="19"/>
      <c r="BIV47" s="21"/>
      <c r="BIW47" s="19"/>
      <c r="BJF47" s="19"/>
      <c r="BJG47" s="19"/>
      <c r="BJH47" s="19"/>
      <c r="BJI47" s="19"/>
      <c r="BJJ47" s="21"/>
      <c r="BJK47" s="19"/>
      <c r="BJT47" s="19"/>
      <c r="BJU47" s="19"/>
      <c r="BJV47" s="19"/>
      <c r="BJW47" s="19"/>
      <c r="BJX47" s="21"/>
      <c r="BJY47" s="19"/>
      <c r="BKH47" s="19"/>
      <c r="BKI47" s="19"/>
      <c r="BKJ47" s="19"/>
      <c r="BKK47" s="19"/>
      <c r="BKL47" s="21"/>
      <c r="BKM47" s="19"/>
      <c r="BKV47" s="19"/>
      <c r="BKW47" s="19"/>
      <c r="BKX47" s="19"/>
      <c r="BKY47" s="19"/>
      <c r="BKZ47" s="21"/>
      <c r="BLA47" s="19"/>
      <c r="BLJ47" s="19"/>
      <c r="BLK47" s="19"/>
      <c r="BLL47" s="19"/>
      <c r="BLM47" s="19"/>
      <c r="BLN47" s="21"/>
      <c r="BLO47" s="19"/>
      <c r="BLX47" s="19"/>
      <c r="BLY47" s="19"/>
      <c r="BLZ47" s="19"/>
      <c r="BMA47" s="19"/>
      <c r="BMB47" s="21"/>
      <c r="BMC47" s="19"/>
      <c r="BML47" s="19"/>
      <c r="BMM47" s="19"/>
      <c r="BMN47" s="19"/>
      <c r="BMO47" s="19"/>
      <c r="BMP47" s="21"/>
      <c r="BMQ47" s="19"/>
      <c r="BMZ47" s="19"/>
      <c r="BNA47" s="19"/>
      <c r="BNB47" s="19"/>
      <c r="BNC47" s="19"/>
      <c r="BND47" s="21"/>
      <c r="BNE47" s="19"/>
      <c r="BNN47" s="19"/>
      <c r="BNO47" s="19"/>
      <c r="BNP47" s="19"/>
      <c r="BNQ47" s="19"/>
      <c r="BNR47" s="21"/>
      <c r="BNS47" s="19"/>
      <c r="BOB47" s="19"/>
      <c r="BOC47" s="19"/>
      <c r="BOD47" s="19"/>
      <c r="BOE47" s="19"/>
      <c r="BOF47" s="21"/>
      <c r="BOG47" s="19"/>
      <c r="BOP47" s="19"/>
      <c r="BOQ47" s="19"/>
      <c r="BOR47" s="19"/>
      <c r="BOS47" s="19"/>
      <c r="BOT47" s="21"/>
      <c r="BOU47" s="19"/>
      <c r="BPD47" s="19"/>
      <c r="BPE47" s="19"/>
      <c r="BPF47" s="19"/>
      <c r="BPG47" s="19"/>
      <c r="BPH47" s="21"/>
      <c r="BPI47" s="19"/>
      <c r="BPR47" s="19"/>
      <c r="BPS47" s="19"/>
      <c r="BPT47" s="19"/>
      <c r="BPU47" s="19"/>
      <c r="BPV47" s="21"/>
      <c r="BPW47" s="19"/>
      <c r="BQF47" s="19"/>
      <c r="BQG47" s="19"/>
      <c r="BQH47" s="19"/>
      <c r="BQI47" s="19"/>
      <c r="BQJ47" s="21"/>
      <c r="BQK47" s="19"/>
      <c r="BQT47" s="19"/>
      <c r="BQU47" s="19"/>
      <c r="BQV47" s="19"/>
      <c r="BQW47" s="19"/>
      <c r="BQX47" s="21"/>
      <c r="BQY47" s="19"/>
      <c r="BRH47" s="19"/>
      <c r="BRI47" s="19"/>
      <c r="BRJ47" s="19"/>
      <c r="BRK47" s="19"/>
      <c r="BRL47" s="21"/>
      <c r="BRM47" s="19"/>
      <c r="BRV47" s="19"/>
      <c r="BRW47" s="19"/>
      <c r="BRX47" s="19"/>
      <c r="BRY47" s="19"/>
      <c r="BRZ47" s="21"/>
      <c r="BSA47" s="19"/>
      <c r="BSJ47" s="19"/>
      <c r="BSK47" s="19"/>
      <c r="BSL47" s="19"/>
      <c r="BSM47" s="19"/>
      <c r="BSN47" s="21"/>
      <c r="BSO47" s="19"/>
      <c r="BSX47" s="19"/>
      <c r="BSY47" s="19"/>
      <c r="BSZ47" s="19"/>
      <c r="BTA47" s="19"/>
      <c r="BTB47" s="21"/>
      <c r="BTC47" s="19"/>
      <c r="BTL47" s="19"/>
      <c r="BTM47" s="19"/>
      <c r="BTN47" s="19"/>
      <c r="BTO47" s="19"/>
      <c r="BTP47" s="21"/>
      <c r="BTQ47" s="19"/>
      <c r="BTZ47" s="19"/>
      <c r="BUA47" s="19"/>
      <c r="BUB47" s="19"/>
      <c r="BUC47" s="19"/>
      <c r="BUD47" s="21"/>
      <c r="BUE47" s="19"/>
      <c r="BUN47" s="19"/>
      <c r="BUO47" s="19"/>
      <c r="BUP47" s="19"/>
      <c r="BUQ47" s="19"/>
      <c r="BUR47" s="21"/>
      <c r="BUS47" s="19"/>
      <c r="BVB47" s="19"/>
      <c r="BVC47" s="19"/>
      <c r="BVD47" s="19"/>
      <c r="BVE47" s="19"/>
      <c r="BVF47" s="21"/>
      <c r="BVG47" s="19"/>
      <c r="BVP47" s="19"/>
      <c r="BVQ47" s="19"/>
      <c r="BVR47" s="19"/>
      <c r="BVS47" s="19"/>
      <c r="BVT47" s="21"/>
      <c r="BVU47" s="19"/>
      <c r="BWD47" s="19"/>
      <c r="BWE47" s="19"/>
      <c r="BWF47" s="19"/>
      <c r="BWG47" s="19"/>
      <c r="BWH47" s="21"/>
      <c r="BWI47" s="19"/>
      <c r="BWR47" s="19"/>
      <c r="BWS47" s="19"/>
      <c r="BWT47" s="19"/>
      <c r="BWU47" s="19"/>
      <c r="BWV47" s="21"/>
      <c r="BWW47" s="19"/>
      <c r="BXF47" s="19"/>
      <c r="BXG47" s="19"/>
      <c r="BXH47" s="19"/>
      <c r="BXI47" s="19"/>
      <c r="BXJ47" s="21"/>
      <c r="BXK47" s="19"/>
      <c r="BXT47" s="19"/>
      <c r="BXU47" s="19"/>
      <c r="BXV47" s="19"/>
      <c r="BXW47" s="19"/>
      <c r="BXX47" s="21"/>
      <c r="BXY47" s="19"/>
      <c r="BYH47" s="19"/>
      <c r="BYI47" s="19"/>
      <c r="BYJ47" s="19"/>
      <c r="BYK47" s="19"/>
      <c r="BYL47" s="21"/>
      <c r="BYM47" s="19"/>
      <c r="BYV47" s="19"/>
      <c r="BYW47" s="19"/>
      <c r="BYX47" s="19"/>
      <c r="BYY47" s="19"/>
      <c r="BYZ47" s="21"/>
      <c r="BZA47" s="19"/>
      <c r="BZJ47" s="19"/>
      <c r="BZK47" s="19"/>
      <c r="BZL47" s="19"/>
      <c r="BZM47" s="19"/>
      <c r="BZN47" s="21"/>
      <c r="BZO47" s="19"/>
      <c r="BZX47" s="19"/>
      <c r="BZY47" s="19"/>
      <c r="BZZ47" s="19"/>
      <c r="CAA47" s="19"/>
      <c r="CAB47" s="21"/>
      <c r="CAC47" s="19"/>
      <c r="CAL47" s="19"/>
      <c r="CAM47" s="19"/>
      <c r="CAN47" s="19"/>
      <c r="CAO47" s="19"/>
      <c r="CAP47" s="21"/>
      <c r="CAQ47" s="19"/>
      <c r="CAZ47" s="19"/>
      <c r="CBA47" s="19"/>
      <c r="CBB47" s="19"/>
      <c r="CBC47" s="19"/>
      <c r="CBD47" s="21"/>
      <c r="CBE47" s="19"/>
      <c r="CBN47" s="19"/>
      <c r="CBO47" s="19"/>
      <c r="CBP47" s="19"/>
      <c r="CBQ47" s="19"/>
      <c r="CBR47" s="21"/>
      <c r="CBS47" s="19"/>
      <c r="CCB47" s="19"/>
      <c r="CCC47" s="19"/>
      <c r="CCD47" s="19"/>
      <c r="CCE47" s="19"/>
      <c r="CCF47" s="21"/>
      <c r="CCG47" s="19"/>
      <c r="CCP47" s="19"/>
      <c r="CCQ47" s="19"/>
      <c r="CCR47" s="19"/>
      <c r="CCS47" s="19"/>
      <c r="CCT47" s="21"/>
      <c r="CCU47" s="19"/>
      <c r="CDD47" s="19"/>
      <c r="CDE47" s="19"/>
      <c r="CDF47" s="19"/>
      <c r="CDG47" s="19"/>
      <c r="CDH47" s="21"/>
      <c r="CDI47" s="19"/>
      <c r="CDR47" s="19"/>
      <c r="CDS47" s="19"/>
      <c r="CDT47" s="19"/>
      <c r="CDU47" s="19"/>
      <c r="CDV47" s="21"/>
      <c r="CDW47" s="19"/>
      <c r="CEF47" s="19"/>
      <c r="CEG47" s="19"/>
      <c r="CEH47" s="19"/>
      <c r="CEI47" s="19"/>
      <c r="CEJ47" s="21"/>
      <c r="CEK47" s="19"/>
      <c r="CET47" s="19"/>
      <c r="CEU47" s="19"/>
      <c r="CEV47" s="19"/>
      <c r="CEW47" s="19"/>
      <c r="CEX47" s="21"/>
      <c r="CEY47" s="19"/>
      <c r="CFH47" s="19"/>
      <c r="CFI47" s="19"/>
      <c r="CFJ47" s="19"/>
      <c r="CFK47" s="19"/>
      <c r="CFL47" s="21"/>
      <c r="CFM47" s="19"/>
      <c r="CFV47" s="19"/>
      <c r="CFW47" s="19"/>
      <c r="CFX47" s="19"/>
      <c r="CFY47" s="19"/>
      <c r="CFZ47" s="21"/>
      <c r="CGA47" s="19"/>
      <c r="CGJ47" s="19"/>
      <c r="CGK47" s="19"/>
      <c r="CGL47" s="19"/>
      <c r="CGM47" s="19"/>
      <c r="CGN47" s="21"/>
      <c r="CGO47" s="19"/>
      <c r="CGX47" s="19"/>
      <c r="CGY47" s="19"/>
      <c r="CGZ47" s="19"/>
      <c r="CHA47" s="19"/>
      <c r="CHB47" s="21"/>
      <c r="CHC47" s="19"/>
      <c r="CHL47" s="19"/>
      <c r="CHM47" s="19"/>
      <c r="CHN47" s="19"/>
      <c r="CHO47" s="19"/>
      <c r="CHP47" s="21"/>
      <c r="CHQ47" s="19"/>
      <c r="CHZ47" s="19"/>
      <c r="CIA47" s="19"/>
      <c r="CIB47" s="19"/>
      <c r="CIC47" s="19"/>
      <c r="CID47" s="21"/>
      <c r="CIE47" s="19"/>
      <c r="CIN47" s="19"/>
      <c r="CIO47" s="19"/>
      <c r="CIP47" s="19"/>
      <c r="CIQ47" s="19"/>
      <c r="CIR47" s="21"/>
      <c r="CIS47" s="19"/>
      <c r="CJB47" s="19"/>
      <c r="CJC47" s="19"/>
      <c r="CJD47" s="19"/>
      <c r="CJE47" s="19"/>
      <c r="CJF47" s="21"/>
      <c r="CJG47" s="19"/>
      <c r="CJP47" s="19"/>
      <c r="CJQ47" s="19"/>
      <c r="CJR47" s="19"/>
      <c r="CJS47" s="19"/>
      <c r="CJT47" s="21"/>
      <c r="CJU47" s="19"/>
      <c r="CKD47" s="19"/>
      <c r="CKE47" s="19"/>
      <c r="CKF47" s="19"/>
      <c r="CKG47" s="19"/>
      <c r="CKH47" s="21"/>
      <c r="CKI47" s="19"/>
      <c r="CKR47" s="19"/>
      <c r="CKS47" s="19"/>
      <c r="CKT47" s="19"/>
      <c r="CKU47" s="19"/>
      <c r="CKV47" s="21"/>
      <c r="CKW47" s="19"/>
      <c r="CLF47" s="19"/>
      <c r="CLG47" s="19"/>
      <c r="CLH47" s="19"/>
      <c r="CLI47" s="19"/>
      <c r="CLJ47" s="21"/>
      <c r="CLK47" s="19"/>
      <c r="CLT47" s="19"/>
      <c r="CLU47" s="19"/>
      <c r="CLV47" s="19"/>
      <c r="CLW47" s="19"/>
      <c r="CLX47" s="21"/>
      <c r="CLY47" s="19"/>
      <c r="CMH47" s="19"/>
      <c r="CMI47" s="19"/>
      <c r="CMJ47" s="19"/>
      <c r="CMK47" s="19"/>
      <c r="CML47" s="21"/>
      <c r="CMM47" s="19"/>
      <c r="CMV47" s="19"/>
      <c r="CMW47" s="19"/>
      <c r="CMX47" s="19"/>
      <c r="CMY47" s="19"/>
      <c r="CMZ47" s="21"/>
      <c r="CNA47" s="19"/>
      <c r="CNJ47" s="19"/>
      <c r="CNK47" s="19"/>
      <c r="CNL47" s="19"/>
      <c r="CNM47" s="19"/>
      <c r="CNN47" s="21"/>
      <c r="CNO47" s="19"/>
      <c r="CNX47" s="19"/>
      <c r="CNY47" s="19"/>
      <c r="CNZ47" s="19"/>
      <c r="COA47" s="19"/>
      <c r="COB47" s="21"/>
      <c r="COC47" s="19"/>
      <c r="COL47" s="19"/>
      <c r="COM47" s="19"/>
      <c r="CON47" s="19"/>
      <c r="COO47" s="19"/>
      <c r="COP47" s="21"/>
      <c r="COQ47" s="19"/>
      <c r="COZ47" s="19"/>
      <c r="CPA47" s="19"/>
      <c r="CPB47" s="19"/>
      <c r="CPC47" s="19"/>
      <c r="CPD47" s="21"/>
      <c r="CPE47" s="19"/>
      <c r="CPN47" s="19"/>
      <c r="CPO47" s="19"/>
      <c r="CPP47" s="19"/>
      <c r="CPQ47" s="19"/>
      <c r="CPR47" s="21"/>
      <c r="CPS47" s="19"/>
      <c r="CQB47" s="19"/>
      <c r="CQC47" s="19"/>
      <c r="CQD47" s="19"/>
      <c r="CQE47" s="19"/>
      <c r="CQF47" s="21"/>
      <c r="CQG47" s="19"/>
      <c r="CQP47" s="19"/>
      <c r="CQQ47" s="19"/>
      <c r="CQR47" s="19"/>
      <c r="CQS47" s="19"/>
      <c r="CQT47" s="21"/>
      <c r="CQU47" s="19"/>
      <c r="CRD47" s="19"/>
      <c r="CRE47" s="19"/>
      <c r="CRF47" s="19"/>
      <c r="CRG47" s="19"/>
      <c r="CRH47" s="21"/>
      <c r="CRI47" s="19"/>
      <c r="CRR47" s="19"/>
      <c r="CRS47" s="19"/>
      <c r="CRT47" s="19"/>
      <c r="CRU47" s="19"/>
      <c r="CRV47" s="21"/>
      <c r="CRW47" s="19"/>
      <c r="CSF47" s="19"/>
      <c r="CSG47" s="19"/>
      <c r="CSH47" s="19"/>
      <c r="CSI47" s="19"/>
      <c r="CSJ47" s="21"/>
      <c r="CSK47" s="19"/>
      <c r="CST47" s="19"/>
      <c r="CSU47" s="19"/>
      <c r="CSV47" s="19"/>
      <c r="CSW47" s="19"/>
      <c r="CSX47" s="21"/>
      <c r="CSY47" s="19"/>
      <c r="CTH47" s="19"/>
      <c r="CTI47" s="19"/>
      <c r="CTJ47" s="19"/>
      <c r="CTK47" s="19"/>
      <c r="CTL47" s="21"/>
      <c r="CTM47" s="19"/>
      <c r="CTV47" s="19"/>
      <c r="CTW47" s="19"/>
      <c r="CTX47" s="19"/>
      <c r="CTY47" s="19"/>
      <c r="CTZ47" s="21"/>
      <c r="CUA47" s="19"/>
      <c r="CUJ47" s="19"/>
      <c r="CUK47" s="19"/>
      <c r="CUL47" s="19"/>
      <c r="CUM47" s="19"/>
      <c r="CUN47" s="21"/>
      <c r="CUO47" s="19"/>
      <c r="CUX47" s="19"/>
      <c r="CUY47" s="19"/>
      <c r="CUZ47" s="19"/>
      <c r="CVA47" s="19"/>
      <c r="CVB47" s="21"/>
      <c r="CVC47" s="19"/>
      <c r="CVL47" s="19"/>
      <c r="CVM47" s="19"/>
      <c r="CVN47" s="19"/>
      <c r="CVO47" s="19"/>
      <c r="CVP47" s="21"/>
      <c r="CVQ47" s="19"/>
      <c r="CVZ47" s="19"/>
      <c r="CWA47" s="19"/>
      <c r="CWB47" s="19"/>
      <c r="CWC47" s="19"/>
      <c r="CWD47" s="21"/>
      <c r="CWE47" s="19"/>
      <c r="CWN47" s="19"/>
      <c r="CWO47" s="19"/>
      <c r="CWP47" s="19"/>
      <c r="CWQ47" s="19"/>
      <c r="CWR47" s="21"/>
      <c r="CWS47" s="19"/>
      <c r="CXB47" s="19"/>
      <c r="CXC47" s="19"/>
      <c r="CXD47" s="19"/>
      <c r="CXE47" s="19"/>
      <c r="CXF47" s="21"/>
      <c r="CXG47" s="19"/>
      <c r="CXP47" s="19"/>
      <c r="CXQ47" s="19"/>
      <c r="CXR47" s="19"/>
      <c r="CXS47" s="19"/>
      <c r="CXT47" s="21"/>
      <c r="CXU47" s="19"/>
      <c r="CYD47" s="19"/>
      <c r="CYE47" s="19"/>
      <c r="CYF47" s="19"/>
      <c r="CYG47" s="19"/>
      <c r="CYH47" s="21"/>
      <c r="CYI47" s="19"/>
      <c r="CYR47" s="19"/>
      <c r="CYS47" s="19"/>
      <c r="CYT47" s="19"/>
      <c r="CYU47" s="19"/>
      <c r="CYV47" s="21"/>
      <c r="CYW47" s="19"/>
      <c r="CZF47" s="19"/>
      <c r="CZG47" s="19"/>
      <c r="CZH47" s="19"/>
      <c r="CZI47" s="19"/>
      <c r="CZJ47" s="21"/>
      <c r="CZK47" s="19"/>
      <c r="CZT47" s="19"/>
      <c r="CZU47" s="19"/>
      <c r="CZV47" s="19"/>
      <c r="CZW47" s="19"/>
      <c r="CZX47" s="21"/>
      <c r="CZY47" s="19"/>
      <c r="DAH47" s="19"/>
      <c r="DAI47" s="19"/>
      <c r="DAJ47" s="19"/>
      <c r="DAK47" s="19"/>
      <c r="DAL47" s="21"/>
      <c r="DAM47" s="19"/>
      <c r="DAV47" s="19"/>
      <c r="DAW47" s="19"/>
      <c r="DAX47" s="19"/>
      <c r="DAY47" s="19"/>
      <c r="DAZ47" s="21"/>
      <c r="DBA47" s="19"/>
      <c r="DBJ47" s="19"/>
      <c r="DBK47" s="19"/>
      <c r="DBL47" s="19"/>
      <c r="DBM47" s="19"/>
      <c r="DBN47" s="21"/>
      <c r="DBO47" s="19"/>
      <c r="DBX47" s="19"/>
      <c r="DBY47" s="19"/>
      <c r="DBZ47" s="19"/>
      <c r="DCA47" s="19"/>
      <c r="DCB47" s="21"/>
      <c r="DCC47" s="19"/>
      <c r="DCL47" s="19"/>
      <c r="DCM47" s="19"/>
      <c r="DCN47" s="19"/>
      <c r="DCO47" s="19"/>
      <c r="DCP47" s="21"/>
      <c r="DCQ47" s="19"/>
      <c r="DCZ47" s="19"/>
      <c r="DDA47" s="19"/>
      <c r="DDB47" s="19"/>
      <c r="DDC47" s="19"/>
      <c r="DDD47" s="21"/>
      <c r="DDE47" s="19"/>
      <c r="DDN47" s="19"/>
      <c r="DDO47" s="19"/>
      <c r="DDP47" s="19"/>
      <c r="DDQ47" s="19"/>
      <c r="DDR47" s="21"/>
      <c r="DDS47" s="19"/>
      <c r="DEB47" s="19"/>
      <c r="DEC47" s="19"/>
      <c r="DED47" s="19"/>
      <c r="DEE47" s="19"/>
      <c r="DEF47" s="21"/>
      <c r="DEG47" s="19"/>
      <c r="DEP47" s="19"/>
      <c r="DEQ47" s="19"/>
      <c r="DER47" s="19"/>
      <c r="DES47" s="19"/>
      <c r="DET47" s="21"/>
      <c r="DEU47" s="19"/>
      <c r="DFD47" s="19"/>
      <c r="DFE47" s="19"/>
      <c r="DFF47" s="19"/>
      <c r="DFG47" s="19"/>
      <c r="DFH47" s="21"/>
      <c r="DFI47" s="19"/>
      <c r="DFR47" s="19"/>
      <c r="DFS47" s="19"/>
      <c r="DFT47" s="19"/>
      <c r="DFU47" s="19"/>
      <c r="DFV47" s="21"/>
      <c r="DFW47" s="19"/>
      <c r="DGF47" s="19"/>
      <c r="DGG47" s="19"/>
      <c r="DGH47" s="19"/>
      <c r="DGI47" s="19"/>
      <c r="DGJ47" s="21"/>
      <c r="DGK47" s="19"/>
      <c r="DGT47" s="19"/>
      <c r="DGU47" s="19"/>
      <c r="DGV47" s="19"/>
      <c r="DGW47" s="19"/>
      <c r="DGX47" s="21"/>
      <c r="DGY47" s="19"/>
      <c r="DHH47" s="19"/>
      <c r="DHI47" s="19"/>
      <c r="DHJ47" s="19"/>
      <c r="DHK47" s="19"/>
      <c r="DHL47" s="21"/>
      <c r="DHM47" s="19"/>
      <c r="DHV47" s="19"/>
      <c r="DHW47" s="19"/>
      <c r="DHX47" s="19"/>
      <c r="DHY47" s="19"/>
      <c r="DHZ47" s="21"/>
      <c r="DIA47" s="19"/>
      <c r="DIJ47" s="19"/>
      <c r="DIK47" s="19"/>
      <c r="DIL47" s="19"/>
      <c r="DIM47" s="19"/>
      <c r="DIN47" s="21"/>
      <c r="DIO47" s="19"/>
      <c r="DIX47" s="19"/>
      <c r="DIY47" s="19"/>
      <c r="DIZ47" s="19"/>
      <c r="DJA47" s="19"/>
      <c r="DJB47" s="21"/>
      <c r="DJC47" s="19"/>
      <c r="DJL47" s="19"/>
      <c r="DJM47" s="19"/>
      <c r="DJN47" s="19"/>
      <c r="DJO47" s="19"/>
      <c r="DJP47" s="21"/>
      <c r="DJQ47" s="19"/>
      <c r="DJZ47" s="19"/>
      <c r="DKA47" s="19"/>
      <c r="DKB47" s="19"/>
      <c r="DKC47" s="19"/>
      <c r="DKD47" s="21"/>
      <c r="DKE47" s="19"/>
      <c r="DKN47" s="19"/>
      <c r="DKO47" s="19"/>
      <c r="DKP47" s="19"/>
      <c r="DKQ47" s="19"/>
      <c r="DKR47" s="21"/>
      <c r="DKS47" s="19"/>
      <c r="DLB47" s="19"/>
      <c r="DLC47" s="19"/>
      <c r="DLD47" s="19"/>
      <c r="DLE47" s="19"/>
      <c r="DLF47" s="21"/>
      <c r="DLG47" s="19"/>
      <c r="DLP47" s="19"/>
      <c r="DLQ47" s="19"/>
      <c r="DLR47" s="19"/>
      <c r="DLS47" s="19"/>
      <c r="DLT47" s="21"/>
      <c r="DLU47" s="19"/>
      <c r="DMD47" s="19"/>
      <c r="DME47" s="19"/>
      <c r="DMF47" s="19"/>
      <c r="DMG47" s="19"/>
      <c r="DMH47" s="21"/>
      <c r="DMI47" s="19"/>
      <c r="DMR47" s="19"/>
      <c r="DMS47" s="19"/>
      <c r="DMT47" s="19"/>
      <c r="DMU47" s="19"/>
      <c r="DMV47" s="21"/>
      <c r="DMW47" s="19"/>
      <c r="DNF47" s="19"/>
      <c r="DNG47" s="19"/>
      <c r="DNH47" s="19"/>
      <c r="DNI47" s="19"/>
      <c r="DNJ47" s="21"/>
      <c r="DNK47" s="19"/>
      <c r="DNT47" s="19"/>
      <c r="DNU47" s="19"/>
      <c r="DNV47" s="19"/>
      <c r="DNW47" s="19"/>
      <c r="DNX47" s="21"/>
      <c r="DNY47" s="19"/>
      <c r="DOH47" s="19"/>
      <c r="DOI47" s="19"/>
      <c r="DOJ47" s="19"/>
      <c r="DOK47" s="19"/>
      <c r="DOL47" s="21"/>
      <c r="DOM47" s="19"/>
      <c r="DOV47" s="19"/>
      <c r="DOW47" s="19"/>
      <c r="DOX47" s="19"/>
      <c r="DOY47" s="19"/>
      <c r="DOZ47" s="21"/>
      <c r="DPA47" s="19"/>
      <c r="DPJ47" s="19"/>
      <c r="DPK47" s="19"/>
      <c r="DPL47" s="19"/>
      <c r="DPM47" s="19"/>
      <c r="DPN47" s="21"/>
      <c r="DPO47" s="19"/>
      <c r="DPX47" s="19"/>
      <c r="DPY47" s="19"/>
      <c r="DPZ47" s="19"/>
      <c r="DQA47" s="19"/>
      <c r="DQB47" s="21"/>
      <c r="DQC47" s="19"/>
      <c r="DQL47" s="19"/>
      <c r="DQM47" s="19"/>
      <c r="DQN47" s="19"/>
      <c r="DQO47" s="19"/>
      <c r="DQP47" s="21"/>
      <c r="DQQ47" s="19"/>
      <c r="DQZ47" s="19"/>
      <c r="DRA47" s="19"/>
      <c r="DRB47" s="19"/>
      <c r="DRC47" s="19"/>
      <c r="DRD47" s="21"/>
      <c r="DRE47" s="19"/>
      <c r="DRN47" s="19"/>
      <c r="DRO47" s="19"/>
      <c r="DRP47" s="19"/>
      <c r="DRQ47" s="19"/>
      <c r="DRR47" s="21"/>
      <c r="DRS47" s="19"/>
      <c r="DSB47" s="19"/>
      <c r="DSC47" s="19"/>
      <c r="DSD47" s="19"/>
      <c r="DSE47" s="19"/>
      <c r="DSF47" s="21"/>
      <c r="DSG47" s="19"/>
      <c r="DSP47" s="19"/>
      <c r="DSQ47" s="19"/>
      <c r="DSR47" s="19"/>
      <c r="DSS47" s="19"/>
      <c r="DST47" s="21"/>
      <c r="DSU47" s="19"/>
      <c r="DTD47" s="19"/>
      <c r="DTE47" s="19"/>
      <c r="DTF47" s="19"/>
      <c r="DTG47" s="19"/>
      <c r="DTH47" s="21"/>
      <c r="DTI47" s="19"/>
      <c r="DTR47" s="19"/>
      <c r="DTS47" s="19"/>
      <c r="DTT47" s="19"/>
      <c r="DTU47" s="19"/>
      <c r="DTV47" s="21"/>
      <c r="DTW47" s="19"/>
      <c r="DUF47" s="19"/>
      <c r="DUG47" s="19"/>
      <c r="DUH47" s="19"/>
      <c r="DUI47" s="19"/>
      <c r="DUJ47" s="21"/>
      <c r="DUK47" s="19"/>
      <c r="DUT47" s="19"/>
      <c r="DUU47" s="19"/>
      <c r="DUV47" s="19"/>
      <c r="DUW47" s="19"/>
      <c r="DUX47" s="21"/>
      <c r="DUY47" s="19"/>
      <c r="DVH47" s="19"/>
      <c r="DVI47" s="19"/>
      <c r="DVJ47" s="19"/>
      <c r="DVK47" s="19"/>
      <c r="DVL47" s="21"/>
      <c r="DVM47" s="19"/>
      <c r="DVV47" s="19"/>
      <c r="DVW47" s="19"/>
      <c r="DVX47" s="19"/>
      <c r="DVY47" s="19"/>
      <c r="DVZ47" s="21"/>
      <c r="DWA47" s="19"/>
      <c r="DWJ47" s="19"/>
      <c r="DWK47" s="19"/>
      <c r="DWL47" s="19"/>
      <c r="DWM47" s="19"/>
      <c r="DWN47" s="21"/>
      <c r="DWO47" s="19"/>
      <c r="DWX47" s="19"/>
      <c r="DWY47" s="19"/>
      <c r="DWZ47" s="19"/>
      <c r="DXA47" s="19"/>
      <c r="DXB47" s="21"/>
      <c r="DXC47" s="19"/>
      <c r="DXL47" s="19"/>
      <c r="DXM47" s="19"/>
      <c r="DXN47" s="19"/>
      <c r="DXO47" s="19"/>
      <c r="DXP47" s="21"/>
      <c r="DXQ47" s="19"/>
      <c r="DXZ47" s="19"/>
      <c r="DYA47" s="19"/>
      <c r="DYB47" s="19"/>
      <c r="DYC47" s="19"/>
      <c r="DYD47" s="21"/>
      <c r="DYE47" s="19"/>
      <c r="DYN47" s="19"/>
      <c r="DYO47" s="19"/>
      <c r="DYP47" s="19"/>
      <c r="DYQ47" s="19"/>
      <c r="DYR47" s="21"/>
      <c r="DYS47" s="19"/>
      <c r="DZB47" s="19"/>
      <c r="DZC47" s="19"/>
      <c r="DZD47" s="19"/>
      <c r="DZE47" s="19"/>
      <c r="DZF47" s="21"/>
      <c r="DZG47" s="19"/>
      <c r="DZP47" s="19"/>
      <c r="DZQ47" s="19"/>
      <c r="DZR47" s="19"/>
      <c r="DZS47" s="19"/>
      <c r="DZT47" s="21"/>
      <c r="DZU47" s="19"/>
      <c r="EAD47" s="19"/>
      <c r="EAE47" s="19"/>
      <c r="EAF47" s="19"/>
      <c r="EAG47" s="19"/>
      <c r="EAH47" s="21"/>
      <c r="EAI47" s="19"/>
      <c r="EAR47" s="19"/>
      <c r="EAS47" s="19"/>
      <c r="EAT47" s="19"/>
      <c r="EAU47" s="19"/>
      <c r="EAV47" s="21"/>
      <c r="EAW47" s="19"/>
      <c r="EBF47" s="19"/>
      <c r="EBG47" s="19"/>
      <c r="EBH47" s="19"/>
      <c r="EBI47" s="19"/>
      <c r="EBJ47" s="21"/>
      <c r="EBK47" s="19"/>
      <c r="EBT47" s="19"/>
      <c r="EBU47" s="19"/>
      <c r="EBV47" s="19"/>
      <c r="EBW47" s="19"/>
      <c r="EBX47" s="21"/>
      <c r="EBY47" s="19"/>
      <c r="ECH47" s="19"/>
      <c r="ECI47" s="19"/>
      <c r="ECJ47" s="19"/>
      <c r="ECK47" s="19"/>
      <c r="ECL47" s="21"/>
      <c r="ECM47" s="19"/>
      <c r="ECV47" s="19"/>
      <c r="ECW47" s="19"/>
      <c r="ECX47" s="19"/>
      <c r="ECY47" s="19"/>
      <c r="ECZ47" s="21"/>
      <c r="EDA47" s="19"/>
      <c r="EDJ47" s="19"/>
      <c r="EDK47" s="19"/>
      <c r="EDL47" s="19"/>
      <c r="EDM47" s="19"/>
      <c r="EDN47" s="21"/>
      <c r="EDO47" s="19"/>
      <c r="EDX47" s="19"/>
      <c r="EDY47" s="19"/>
      <c r="EDZ47" s="19"/>
      <c r="EEA47" s="19"/>
      <c r="EEB47" s="21"/>
      <c r="EEC47" s="19"/>
      <c r="EEL47" s="19"/>
      <c r="EEM47" s="19"/>
      <c r="EEN47" s="19"/>
      <c r="EEO47" s="19"/>
      <c r="EEP47" s="21"/>
      <c r="EEQ47" s="19"/>
      <c r="EEZ47" s="19"/>
      <c r="EFA47" s="19"/>
      <c r="EFB47" s="19"/>
      <c r="EFC47" s="19"/>
      <c r="EFD47" s="21"/>
      <c r="EFE47" s="19"/>
      <c r="EFN47" s="19"/>
      <c r="EFO47" s="19"/>
      <c r="EFP47" s="19"/>
      <c r="EFQ47" s="19"/>
      <c r="EFR47" s="21"/>
      <c r="EFS47" s="19"/>
      <c r="EGB47" s="19"/>
      <c r="EGC47" s="19"/>
      <c r="EGD47" s="19"/>
      <c r="EGE47" s="19"/>
      <c r="EGF47" s="21"/>
      <c r="EGG47" s="19"/>
      <c r="EGP47" s="19"/>
      <c r="EGQ47" s="19"/>
      <c r="EGR47" s="19"/>
      <c r="EGS47" s="19"/>
      <c r="EGT47" s="21"/>
      <c r="EGU47" s="19"/>
      <c r="EHD47" s="19"/>
      <c r="EHE47" s="19"/>
      <c r="EHF47" s="19"/>
      <c r="EHG47" s="19"/>
      <c r="EHH47" s="21"/>
      <c r="EHI47" s="19"/>
      <c r="EHR47" s="19"/>
      <c r="EHS47" s="19"/>
      <c r="EHT47" s="19"/>
      <c r="EHU47" s="19"/>
      <c r="EHV47" s="21"/>
      <c r="EHW47" s="19"/>
      <c r="EIF47" s="19"/>
      <c r="EIG47" s="19"/>
      <c r="EIH47" s="19"/>
      <c r="EII47" s="19"/>
      <c r="EIJ47" s="21"/>
      <c r="EIK47" s="19"/>
      <c r="EIT47" s="19"/>
      <c r="EIU47" s="19"/>
      <c r="EIV47" s="19"/>
      <c r="EIW47" s="19"/>
      <c r="EIX47" s="21"/>
      <c r="EIY47" s="19"/>
      <c r="EJH47" s="19"/>
      <c r="EJI47" s="19"/>
      <c r="EJJ47" s="19"/>
      <c r="EJK47" s="19"/>
      <c r="EJL47" s="21"/>
      <c r="EJM47" s="19"/>
      <c r="EJV47" s="19"/>
      <c r="EJW47" s="19"/>
      <c r="EJX47" s="19"/>
      <c r="EJY47" s="19"/>
      <c r="EJZ47" s="21"/>
      <c r="EKA47" s="19"/>
      <c r="EKJ47" s="19"/>
      <c r="EKK47" s="19"/>
      <c r="EKL47" s="19"/>
      <c r="EKM47" s="19"/>
      <c r="EKN47" s="21"/>
      <c r="EKO47" s="19"/>
      <c r="EKX47" s="19"/>
      <c r="EKY47" s="19"/>
      <c r="EKZ47" s="19"/>
      <c r="ELA47" s="19"/>
      <c r="ELB47" s="21"/>
      <c r="ELC47" s="19"/>
      <c r="ELL47" s="19"/>
      <c r="ELM47" s="19"/>
      <c r="ELN47" s="19"/>
      <c r="ELO47" s="19"/>
      <c r="ELP47" s="21"/>
      <c r="ELQ47" s="19"/>
      <c r="ELZ47" s="19"/>
      <c r="EMA47" s="19"/>
      <c r="EMB47" s="19"/>
      <c r="EMC47" s="19"/>
      <c r="EMD47" s="21"/>
      <c r="EME47" s="19"/>
      <c r="EMN47" s="19"/>
      <c r="EMO47" s="19"/>
      <c r="EMP47" s="19"/>
      <c r="EMQ47" s="19"/>
      <c r="EMR47" s="21"/>
      <c r="EMS47" s="19"/>
      <c r="ENB47" s="19"/>
      <c r="ENC47" s="19"/>
      <c r="END47" s="19"/>
      <c r="ENE47" s="19"/>
      <c r="ENF47" s="21"/>
      <c r="ENG47" s="19"/>
      <c r="ENP47" s="19"/>
      <c r="ENQ47" s="19"/>
      <c r="ENR47" s="19"/>
      <c r="ENS47" s="19"/>
      <c r="ENT47" s="21"/>
      <c r="ENU47" s="19"/>
      <c r="EOD47" s="19"/>
      <c r="EOE47" s="19"/>
      <c r="EOF47" s="19"/>
      <c r="EOG47" s="19"/>
      <c r="EOH47" s="21"/>
      <c r="EOI47" s="19"/>
      <c r="EOR47" s="19"/>
      <c r="EOS47" s="19"/>
      <c r="EOT47" s="19"/>
      <c r="EOU47" s="19"/>
      <c r="EOV47" s="21"/>
      <c r="EOW47" s="19"/>
      <c r="EPF47" s="19"/>
      <c r="EPG47" s="19"/>
      <c r="EPH47" s="19"/>
      <c r="EPI47" s="19"/>
      <c r="EPJ47" s="21"/>
      <c r="EPK47" s="19"/>
      <c r="EPT47" s="19"/>
      <c r="EPU47" s="19"/>
      <c r="EPV47" s="19"/>
      <c r="EPW47" s="19"/>
      <c r="EPX47" s="21"/>
      <c r="EPY47" s="19"/>
      <c r="EQH47" s="19"/>
      <c r="EQI47" s="19"/>
      <c r="EQJ47" s="19"/>
      <c r="EQK47" s="19"/>
      <c r="EQL47" s="21"/>
      <c r="EQM47" s="19"/>
      <c r="EQV47" s="19"/>
      <c r="EQW47" s="19"/>
      <c r="EQX47" s="19"/>
      <c r="EQY47" s="19"/>
      <c r="EQZ47" s="21"/>
      <c r="ERA47" s="19"/>
      <c r="ERJ47" s="19"/>
      <c r="ERK47" s="19"/>
      <c r="ERL47" s="19"/>
      <c r="ERM47" s="19"/>
      <c r="ERN47" s="21"/>
      <c r="ERO47" s="19"/>
      <c r="ERX47" s="19"/>
      <c r="ERY47" s="19"/>
      <c r="ERZ47" s="19"/>
      <c r="ESA47" s="19"/>
      <c r="ESB47" s="21"/>
      <c r="ESC47" s="19"/>
      <c r="ESL47" s="19"/>
      <c r="ESM47" s="19"/>
      <c r="ESN47" s="19"/>
      <c r="ESO47" s="19"/>
      <c r="ESP47" s="21"/>
      <c r="ESQ47" s="19"/>
      <c r="ESZ47" s="19"/>
      <c r="ETA47" s="19"/>
      <c r="ETB47" s="19"/>
      <c r="ETC47" s="19"/>
      <c r="ETD47" s="21"/>
      <c r="ETE47" s="19"/>
      <c r="ETN47" s="19"/>
      <c r="ETO47" s="19"/>
      <c r="ETP47" s="19"/>
      <c r="ETQ47" s="19"/>
      <c r="ETR47" s="21"/>
      <c r="ETS47" s="19"/>
      <c r="EUB47" s="19"/>
      <c r="EUC47" s="19"/>
      <c r="EUD47" s="19"/>
      <c r="EUE47" s="19"/>
      <c r="EUF47" s="21"/>
      <c r="EUG47" s="19"/>
      <c r="EUP47" s="19"/>
      <c r="EUQ47" s="19"/>
      <c r="EUR47" s="19"/>
      <c r="EUS47" s="19"/>
      <c r="EUT47" s="21"/>
      <c r="EUU47" s="19"/>
      <c r="EVD47" s="19"/>
      <c r="EVE47" s="19"/>
      <c r="EVF47" s="19"/>
      <c r="EVG47" s="19"/>
      <c r="EVH47" s="21"/>
      <c r="EVI47" s="19"/>
      <c r="EVR47" s="19"/>
      <c r="EVS47" s="19"/>
      <c r="EVT47" s="19"/>
      <c r="EVU47" s="19"/>
      <c r="EVV47" s="21"/>
      <c r="EVW47" s="19"/>
      <c r="EWF47" s="19"/>
      <c r="EWG47" s="19"/>
      <c r="EWH47" s="19"/>
      <c r="EWI47" s="19"/>
      <c r="EWJ47" s="21"/>
      <c r="EWK47" s="19"/>
      <c r="EWT47" s="19"/>
      <c r="EWU47" s="19"/>
      <c r="EWV47" s="19"/>
      <c r="EWW47" s="19"/>
      <c r="EWX47" s="21"/>
      <c r="EWY47" s="19"/>
      <c r="EXH47" s="19"/>
      <c r="EXI47" s="19"/>
      <c r="EXJ47" s="19"/>
      <c r="EXK47" s="19"/>
      <c r="EXL47" s="21"/>
      <c r="EXM47" s="19"/>
      <c r="EXV47" s="19"/>
      <c r="EXW47" s="19"/>
      <c r="EXX47" s="19"/>
      <c r="EXY47" s="19"/>
      <c r="EXZ47" s="21"/>
      <c r="EYA47" s="19"/>
      <c r="EYJ47" s="19"/>
      <c r="EYK47" s="19"/>
      <c r="EYL47" s="19"/>
      <c r="EYM47" s="19"/>
      <c r="EYN47" s="21"/>
      <c r="EYO47" s="19"/>
      <c r="EYX47" s="19"/>
      <c r="EYY47" s="19"/>
      <c r="EYZ47" s="19"/>
      <c r="EZA47" s="19"/>
      <c r="EZB47" s="21"/>
      <c r="EZC47" s="19"/>
      <c r="EZL47" s="19"/>
      <c r="EZM47" s="19"/>
      <c r="EZN47" s="19"/>
      <c r="EZO47" s="19"/>
      <c r="EZP47" s="21"/>
      <c r="EZQ47" s="19"/>
      <c r="EZZ47" s="19"/>
      <c r="FAA47" s="19"/>
      <c r="FAB47" s="19"/>
      <c r="FAC47" s="19"/>
      <c r="FAD47" s="21"/>
      <c r="FAE47" s="19"/>
      <c r="FAN47" s="19"/>
      <c r="FAO47" s="19"/>
      <c r="FAP47" s="19"/>
      <c r="FAQ47" s="19"/>
      <c r="FAR47" s="21"/>
      <c r="FAS47" s="19"/>
      <c r="FBB47" s="19"/>
      <c r="FBC47" s="19"/>
      <c r="FBD47" s="19"/>
      <c r="FBE47" s="19"/>
      <c r="FBF47" s="21"/>
      <c r="FBG47" s="19"/>
      <c r="FBP47" s="19"/>
      <c r="FBQ47" s="19"/>
      <c r="FBR47" s="19"/>
      <c r="FBS47" s="19"/>
      <c r="FBT47" s="21"/>
      <c r="FBU47" s="19"/>
      <c r="FCD47" s="19"/>
      <c r="FCE47" s="19"/>
      <c r="FCF47" s="19"/>
      <c r="FCG47" s="19"/>
      <c r="FCH47" s="21"/>
      <c r="FCI47" s="19"/>
      <c r="FCR47" s="19"/>
      <c r="FCS47" s="19"/>
      <c r="FCT47" s="19"/>
      <c r="FCU47" s="19"/>
      <c r="FCV47" s="21"/>
      <c r="FCW47" s="19"/>
      <c r="FDF47" s="19"/>
      <c r="FDG47" s="19"/>
      <c r="FDH47" s="19"/>
      <c r="FDI47" s="19"/>
      <c r="FDJ47" s="21"/>
      <c r="FDK47" s="19"/>
      <c r="FDT47" s="19"/>
      <c r="FDU47" s="19"/>
      <c r="FDV47" s="19"/>
      <c r="FDW47" s="19"/>
      <c r="FDX47" s="21"/>
      <c r="FDY47" s="19"/>
      <c r="FEH47" s="19"/>
      <c r="FEI47" s="19"/>
      <c r="FEJ47" s="19"/>
      <c r="FEK47" s="19"/>
      <c r="FEL47" s="21"/>
      <c r="FEM47" s="19"/>
      <c r="FEV47" s="19"/>
      <c r="FEW47" s="19"/>
      <c r="FEX47" s="19"/>
      <c r="FEY47" s="19"/>
      <c r="FEZ47" s="21"/>
      <c r="FFA47" s="19"/>
      <c r="FFJ47" s="19"/>
      <c r="FFK47" s="19"/>
      <c r="FFL47" s="19"/>
      <c r="FFM47" s="19"/>
      <c r="FFN47" s="21"/>
      <c r="FFO47" s="19"/>
      <c r="FFX47" s="19"/>
      <c r="FFY47" s="19"/>
      <c r="FFZ47" s="19"/>
      <c r="FGA47" s="19"/>
      <c r="FGB47" s="21"/>
      <c r="FGC47" s="19"/>
      <c r="FGL47" s="19"/>
      <c r="FGM47" s="19"/>
      <c r="FGN47" s="19"/>
      <c r="FGO47" s="19"/>
      <c r="FGP47" s="21"/>
      <c r="FGQ47" s="19"/>
      <c r="FGZ47" s="19"/>
      <c r="FHA47" s="19"/>
      <c r="FHB47" s="19"/>
      <c r="FHC47" s="19"/>
      <c r="FHD47" s="21"/>
      <c r="FHE47" s="19"/>
      <c r="FHN47" s="19"/>
      <c r="FHO47" s="19"/>
      <c r="FHP47" s="19"/>
      <c r="FHQ47" s="19"/>
      <c r="FHR47" s="21"/>
      <c r="FHS47" s="19"/>
      <c r="FIB47" s="19"/>
      <c r="FIC47" s="19"/>
      <c r="FID47" s="19"/>
      <c r="FIE47" s="19"/>
      <c r="FIF47" s="21"/>
      <c r="FIG47" s="19"/>
      <c r="FIP47" s="19"/>
      <c r="FIQ47" s="19"/>
      <c r="FIR47" s="19"/>
      <c r="FIS47" s="19"/>
      <c r="FIT47" s="21"/>
      <c r="FIU47" s="19"/>
      <c r="FJD47" s="19"/>
      <c r="FJE47" s="19"/>
      <c r="FJF47" s="19"/>
      <c r="FJG47" s="19"/>
      <c r="FJH47" s="21"/>
      <c r="FJI47" s="19"/>
      <c r="FJR47" s="19"/>
      <c r="FJS47" s="19"/>
      <c r="FJT47" s="19"/>
      <c r="FJU47" s="19"/>
      <c r="FJV47" s="21"/>
      <c r="FJW47" s="19"/>
      <c r="FKF47" s="19"/>
      <c r="FKG47" s="19"/>
      <c r="FKH47" s="19"/>
      <c r="FKI47" s="19"/>
      <c r="FKJ47" s="21"/>
      <c r="FKK47" s="19"/>
      <c r="FKT47" s="19"/>
      <c r="FKU47" s="19"/>
      <c r="FKV47" s="19"/>
      <c r="FKW47" s="19"/>
      <c r="FKX47" s="21"/>
      <c r="FKY47" s="19"/>
      <c r="FLH47" s="19"/>
      <c r="FLI47" s="19"/>
      <c r="FLJ47" s="19"/>
      <c r="FLK47" s="19"/>
      <c r="FLL47" s="21"/>
      <c r="FLM47" s="19"/>
      <c r="FLV47" s="19"/>
      <c r="FLW47" s="19"/>
      <c r="FLX47" s="19"/>
      <c r="FLY47" s="19"/>
      <c r="FLZ47" s="21"/>
      <c r="FMA47" s="19"/>
      <c r="FMJ47" s="19"/>
      <c r="FMK47" s="19"/>
      <c r="FML47" s="19"/>
      <c r="FMM47" s="19"/>
      <c r="FMN47" s="21"/>
      <c r="FMO47" s="19"/>
      <c r="FMX47" s="19"/>
      <c r="FMY47" s="19"/>
      <c r="FMZ47" s="19"/>
      <c r="FNA47" s="19"/>
      <c r="FNB47" s="21"/>
      <c r="FNC47" s="19"/>
      <c r="FNL47" s="19"/>
      <c r="FNM47" s="19"/>
      <c r="FNN47" s="19"/>
      <c r="FNO47" s="19"/>
      <c r="FNP47" s="21"/>
      <c r="FNQ47" s="19"/>
      <c r="FNZ47" s="19"/>
      <c r="FOA47" s="19"/>
      <c r="FOB47" s="19"/>
      <c r="FOC47" s="19"/>
      <c r="FOD47" s="21"/>
      <c r="FOE47" s="19"/>
      <c r="FON47" s="19"/>
      <c r="FOO47" s="19"/>
      <c r="FOP47" s="19"/>
      <c r="FOQ47" s="19"/>
      <c r="FOR47" s="21"/>
      <c r="FOS47" s="19"/>
      <c r="FPB47" s="19"/>
      <c r="FPC47" s="19"/>
      <c r="FPD47" s="19"/>
      <c r="FPE47" s="19"/>
      <c r="FPF47" s="21"/>
      <c r="FPG47" s="19"/>
      <c r="FPP47" s="19"/>
      <c r="FPQ47" s="19"/>
      <c r="FPR47" s="19"/>
      <c r="FPS47" s="19"/>
      <c r="FPT47" s="21"/>
      <c r="FPU47" s="19"/>
      <c r="FQD47" s="19"/>
      <c r="FQE47" s="19"/>
      <c r="FQF47" s="19"/>
      <c r="FQG47" s="19"/>
      <c r="FQH47" s="21"/>
      <c r="FQI47" s="19"/>
      <c r="FQR47" s="19"/>
      <c r="FQS47" s="19"/>
      <c r="FQT47" s="19"/>
      <c r="FQU47" s="19"/>
      <c r="FQV47" s="21"/>
      <c r="FQW47" s="19"/>
      <c r="FRF47" s="19"/>
      <c r="FRG47" s="19"/>
      <c r="FRH47" s="19"/>
      <c r="FRI47" s="19"/>
      <c r="FRJ47" s="21"/>
      <c r="FRK47" s="19"/>
      <c r="FRT47" s="19"/>
      <c r="FRU47" s="19"/>
      <c r="FRV47" s="19"/>
      <c r="FRW47" s="19"/>
      <c r="FRX47" s="21"/>
      <c r="FRY47" s="19"/>
      <c r="FSH47" s="19"/>
      <c r="FSI47" s="19"/>
      <c r="FSJ47" s="19"/>
      <c r="FSK47" s="19"/>
      <c r="FSL47" s="21"/>
      <c r="FSM47" s="19"/>
      <c r="FSV47" s="19"/>
      <c r="FSW47" s="19"/>
      <c r="FSX47" s="19"/>
      <c r="FSY47" s="19"/>
      <c r="FSZ47" s="21"/>
      <c r="FTA47" s="19"/>
      <c r="FTJ47" s="19"/>
      <c r="FTK47" s="19"/>
      <c r="FTL47" s="19"/>
      <c r="FTM47" s="19"/>
      <c r="FTN47" s="21"/>
      <c r="FTO47" s="19"/>
      <c r="FTX47" s="19"/>
      <c r="FTY47" s="19"/>
      <c r="FTZ47" s="19"/>
      <c r="FUA47" s="19"/>
      <c r="FUB47" s="21"/>
      <c r="FUC47" s="19"/>
      <c r="FUL47" s="19"/>
      <c r="FUM47" s="19"/>
      <c r="FUN47" s="19"/>
      <c r="FUO47" s="19"/>
      <c r="FUP47" s="21"/>
      <c r="FUQ47" s="19"/>
      <c r="FUZ47" s="19"/>
      <c r="FVA47" s="19"/>
      <c r="FVB47" s="19"/>
      <c r="FVC47" s="19"/>
      <c r="FVD47" s="21"/>
      <c r="FVE47" s="19"/>
      <c r="FVN47" s="19"/>
      <c r="FVO47" s="19"/>
      <c r="FVP47" s="19"/>
      <c r="FVQ47" s="19"/>
      <c r="FVR47" s="21"/>
      <c r="FVS47" s="19"/>
      <c r="FWB47" s="19"/>
      <c r="FWC47" s="19"/>
      <c r="FWD47" s="19"/>
      <c r="FWE47" s="19"/>
      <c r="FWF47" s="21"/>
      <c r="FWG47" s="19"/>
      <c r="FWP47" s="19"/>
      <c r="FWQ47" s="19"/>
      <c r="FWR47" s="19"/>
      <c r="FWS47" s="19"/>
      <c r="FWT47" s="21"/>
      <c r="FWU47" s="19"/>
      <c r="FXD47" s="19"/>
      <c r="FXE47" s="19"/>
      <c r="FXF47" s="19"/>
      <c r="FXG47" s="19"/>
      <c r="FXH47" s="21"/>
      <c r="FXI47" s="19"/>
      <c r="FXR47" s="19"/>
      <c r="FXS47" s="19"/>
      <c r="FXT47" s="19"/>
      <c r="FXU47" s="19"/>
      <c r="FXV47" s="21"/>
      <c r="FXW47" s="19"/>
      <c r="FYF47" s="19"/>
      <c r="FYG47" s="19"/>
      <c r="FYH47" s="19"/>
      <c r="FYI47" s="19"/>
      <c r="FYJ47" s="21"/>
      <c r="FYK47" s="19"/>
      <c r="FYT47" s="19"/>
      <c r="FYU47" s="19"/>
      <c r="FYV47" s="19"/>
      <c r="FYW47" s="19"/>
      <c r="FYX47" s="21"/>
      <c r="FYY47" s="19"/>
      <c r="FZH47" s="19"/>
      <c r="FZI47" s="19"/>
      <c r="FZJ47" s="19"/>
      <c r="FZK47" s="19"/>
      <c r="FZL47" s="21"/>
      <c r="FZM47" s="19"/>
      <c r="FZV47" s="19"/>
      <c r="FZW47" s="19"/>
      <c r="FZX47" s="19"/>
      <c r="FZY47" s="19"/>
      <c r="FZZ47" s="21"/>
      <c r="GAA47" s="19"/>
      <c r="GAJ47" s="19"/>
      <c r="GAK47" s="19"/>
      <c r="GAL47" s="19"/>
      <c r="GAM47" s="19"/>
      <c r="GAN47" s="21"/>
      <c r="GAO47" s="19"/>
      <c r="GAX47" s="19"/>
      <c r="GAY47" s="19"/>
      <c r="GAZ47" s="19"/>
      <c r="GBA47" s="19"/>
      <c r="GBB47" s="21"/>
      <c r="GBC47" s="19"/>
      <c r="GBL47" s="19"/>
      <c r="GBM47" s="19"/>
      <c r="GBN47" s="19"/>
      <c r="GBO47" s="19"/>
      <c r="GBP47" s="21"/>
      <c r="GBQ47" s="19"/>
      <c r="GBZ47" s="19"/>
      <c r="GCA47" s="19"/>
      <c r="GCB47" s="19"/>
      <c r="GCC47" s="19"/>
      <c r="GCD47" s="21"/>
      <c r="GCE47" s="19"/>
      <c r="GCN47" s="19"/>
      <c r="GCO47" s="19"/>
      <c r="GCP47" s="19"/>
      <c r="GCQ47" s="19"/>
      <c r="GCR47" s="21"/>
      <c r="GCS47" s="19"/>
      <c r="GDB47" s="19"/>
      <c r="GDC47" s="19"/>
      <c r="GDD47" s="19"/>
      <c r="GDE47" s="19"/>
      <c r="GDF47" s="21"/>
      <c r="GDG47" s="19"/>
      <c r="GDP47" s="19"/>
      <c r="GDQ47" s="19"/>
      <c r="GDR47" s="19"/>
      <c r="GDS47" s="19"/>
      <c r="GDT47" s="21"/>
      <c r="GDU47" s="19"/>
      <c r="GED47" s="19"/>
      <c r="GEE47" s="19"/>
      <c r="GEF47" s="19"/>
      <c r="GEG47" s="19"/>
      <c r="GEH47" s="21"/>
      <c r="GEI47" s="19"/>
      <c r="GER47" s="19"/>
      <c r="GES47" s="19"/>
      <c r="GET47" s="19"/>
      <c r="GEU47" s="19"/>
      <c r="GEV47" s="21"/>
      <c r="GEW47" s="19"/>
      <c r="GFF47" s="19"/>
      <c r="GFG47" s="19"/>
      <c r="GFH47" s="19"/>
      <c r="GFI47" s="19"/>
      <c r="GFJ47" s="21"/>
      <c r="GFK47" s="19"/>
      <c r="GFT47" s="19"/>
      <c r="GFU47" s="19"/>
      <c r="GFV47" s="19"/>
      <c r="GFW47" s="19"/>
      <c r="GFX47" s="21"/>
      <c r="GFY47" s="19"/>
      <c r="GGH47" s="19"/>
      <c r="GGI47" s="19"/>
      <c r="GGJ47" s="19"/>
      <c r="GGK47" s="19"/>
      <c r="GGL47" s="21"/>
      <c r="GGM47" s="19"/>
      <c r="GGV47" s="19"/>
      <c r="GGW47" s="19"/>
      <c r="GGX47" s="19"/>
      <c r="GGY47" s="19"/>
      <c r="GGZ47" s="21"/>
      <c r="GHA47" s="19"/>
      <c r="GHJ47" s="19"/>
      <c r="GHK47" s="19"/>
      <c r="GHL47" s="19"/>
      <c r="GHM47" s="19"/>
      <c r="GHN47" s="21"/>
      <c r="GHO47" s="19"/>
      <c r="GHX47" s="19"/>
      <c r="GHY47" s="19"/>
      <c r="GHZ47" s="19"/>
      <c r="GIA47" s="19"/>
      <c r="GIB47" s="21"/>
      <c r="GIC47" s="19"/>
      <c r="GIL47" s="19"/>
      <c r="GIM47" s="19"/>
      <c r="GIN47" s="19"/>
      <c r="GIO47" s="19"/>
      <c r="GIP47" s="21"/>
      <c r="GIQ47" s="19"/>
      <c r="GIZ47" s="19"/>
      <c r="GJA47" s="19"/>
      <c r="GJB47" s="19"/>
      <c r="GJC47" s="19"/>
      <c r="GJD47" s="21"/>
      <c r="GJE47" s="19"/>
      <c r="GJN47" s="19"/>
      <c r="GJO47" s="19"/>
      <c r="GJP47" s="19"/>
      <c r="GJQ47" s="19"/>
      <c r="GJR47" s="21"/>
      <c r="GJS47" s="19"/>
      <c r="GKB47" s="19"/>
      <c r="GKC47" s="19"/>
      <c r="GKD47" s="19"/>
      <c r="GKE47" s="19"/>
      <c r="GKF47" s="21"/>
      <c r="GKG47" s="19"/>
      <c r="GKP47" s="19"/>
      <c r="GKQ47" s="19"/>
      <c r="GKR47" s="19"/>
      <c r="GKS47" s="19"/>
      <c r="GKT47" s="21"/>
      <c r="GKU47" s="19"/>
      <c r="GLD47" s="19"/>
      <c r="GLE47" s="19"/>
      <c r="GLF47" s="19"/>
      <c r="GLG47" s="19"/>
      <c r="GLH47" s="21"/>
      <c r="GLI47" s="19"/>
      <c r="GLR47" s="19"/>
      <c r="GLS47" s="19"/>
      <c r="GLT47" s="19"/>
      <c r="GLU47" s="19"/>
      <c r="GLV47" s="21"/>
      <c r="GLW47" s="19"/>
      <c r="GMF47" s="19"/>
      <c r="GMG47" s="19"/>
      <c r="GMH47" s="19"/>
      <c r="GMI47" s="19"/>
      <c r="GMJ47" s="21"/>
      <c r="GMK47" s="19"/>
      <c r="GMT47" s="19"/>
      <c r="GMU47" s="19"/>
      <c r="GMV47" s="19"/>
      <c r="GMW47" s="19"/>
      <c r="GMX47" s="21"/>
      <c r="GMY47" s="19"/>
      <c r="GNH47" s="19"/>
      <c r="GNI47" s="19"/>
      <c r="GNJ47" s="19"/>
      <c r="GNK47" s="19"/>
      <c r="GNL47" s="21"/>
      <c r="GNM47" s="19"/>
      <c r="GNV47" s="19"/>
      <c r="GNW47" s="19"/>
      <c r="GNX47" s="19"/>
      <c r="GNY47" s="19"/>
      <c r="GNZ47" s="21"/>
      <c r="GOA47" s="19"/>
      <c r="GOJ47" s="19"/>
      <c r="GOK47" s="19"/>
      <c r="GOL47" s="19"/>
      <c r="GOM47" s="19"/>
      <c r="GON47" s="21"/>
      <c r="GOO47" s="19"/>
      <c r="GOX47" s="19"/>
      <c r="GOY47" s="19"/>
      <c r="GOZ47" s="19"/>
      <c r="GPA47" s="19"/>
      <c r="GPB47" s="21"/>
      <c r="GPC47" s="19"/>
      <c r="GPL47" s="19"/>
      <c r="GPM47" s="19"/>
      <c r="GPN47" s="19"/>
      <c r="GPO47" s="19"/>
      <c r="GPP47" s="21"/>
      <c r="GPQ47" s="19"/>
      <c r="GPZ47" s="19"/>
      <c r="GQA47" s="19"/>
      <c r="GQB47" s="19"/>
      <c r="GQC47" s="19"/>
      <c r="GQD47" s="21"/>
      <c r="GQE47" s="19"/>
      <c r="GQN47" s="19"/>
      <c r="GQO47" s="19"/>
      <c r="GQP47" s="19"/>
      <c r="GQQ47" s="19"/>
      <c r="GQR47" s="21"/>
      <c r="GQS47" s="19"/>
      <c r="GRB47" s="19"/>
      <c r="GRC47" s="19"/>
      <c r="GRD47" s="19"/>
      <c r="GRE47" s="19"/>
      <c r="GRF47" s="21"/>
      <c r="GRG47" s="19"/>
      <c r="GRP47" s="19"/>
      <c r="GRQ47" s="19"/>
      <c r="GRR47" s="19"/>
      <c r="GRS47" s="19"/>
      <c r="GRT47" s="21"/>
      <c r="GRU47" s="19"/>
      <c r="GSD47" s="19"/>
      <c r="GSE47" s="19"/>
      <c r="GSF47" s="19"/>
      <c r="GSG47" s="19"/>
      <c r="GSH47" s="21"/>
      <c r="GSI47" s="19"/>
      <c r="GSR47" s="19"/>
      <c r="GSS47" s="19"/>
      <c r="GST47" s="19"/>
      <c r="GSU47" s="19"/>
      <c r="GSV47" s="21"/>
      <c r="GSW47" s="19"/>
      <c r="GTF47" s="19"/>
      <c r="GTG47" s="19"/>
      <c r="GTH47" s="19"/>
      <c r="GTI47" s="19"/>
      <c r="GTJ47" s="21"/>
      <c r="GTK47" s="19"/>
      <c r="GTT47" s="19"/>
      <c r="GTU47" s="19"/>
      <c r="GTV47" s="19"/>
      <c r="GTW47" s="19"/>
      <c r="GTX47" s="21"/>
      <c r="GTY47" s="19"/>
      <c r="GUH47" s="19"/>
      <c r="GUI47" s="19"/>
      <c r="GUJ47" s="19"/>
      <c r="GUK47" s="19"/>
      <c r="GUL47" s="21"/>
      <c r="GUM47" s="19"/>
      <c r="GUV47" s="19"/>
      <c r="GUW47" s="19"/>
      <c r="GUX47" s="19"/>
      <c r="GUY47" s="19"/>
      <c r="GUZ47" s="21"/>
      <c r="GVA47" s="19"/>
      <c r="GVJ47" s="19"/>
      <c r="GVK47" s="19"/>
      <c r="GVL47" s="19"/>
      <c r="GVM47" s="19"/>
      <c r="GVN47" s="21"/>
      <c r="GVO47" s="19"/>
      <c r="GVX47" s="19"/>
      <c r="GVY47" s="19"/>
      <c r="GVZ47" s="19"/>
      <c r="GWA47" s="19"/>
      <c r="GWB47" s="21"/>
      <c r="GWC47" s="19"/>
      <c r="GWL47" s="19"/>
      <c r="GWM47" s="19"/>
      <c r="GWN47" s="19"/>
      <c r="GWO47" s="19"/>
      <c r="GWP47" s="21"/>
      <c r="GWQ47" s="19"/>
      <c r="GWZ47" s="19"/>
      <c r="GXA47" s="19"/>
      <c r="GXB47" s="19"/>
      <c r="GXC47" s="19"/>
      <c r="GXD47" s="21"/>
      <c r="GXE47" s="19"/>
      <c r="GXN47" s="19"/>
      <c r="GXO47" s="19"/>
      <c r="GXP47" s="19"/>
      <c r="GXQ47" s="19"/>
      <c r="GXR47" s="21"/>
      <c r="GXS47" s="19"/>
      <c r="GYB47" s="19"/>
      <c r="GYC47" s="19"/>
      <c r="GYD47" s="19"/>
      <c r="GYE47" s="19"/>
      <c r="GYF47" s="21"/>
      <c r="GYG47" s="19"/>
      <c r="GYP47" s="19"/>
      <c r="GYQ47" s="19"/>
      <c r="GYR47" s="19"/>
      <c r="GYS47" s="19"/>
      <c r="GYT47" s="21"/>
      <c r="GYU47" s="19"/>
      <c r="GZD47" s="19"/>
      <c r="GZE47" s="19"/>
      <c r="GZF47" s="19"/>
      <c r="GZG47" s="19"/>
      <c r="GZH47" s="21"/>
      <c r="GZI47" s="19"/>
      <c r="GZR47" s="19"/>
      <c r="GZS47" s="19"/>
      <c r="GZT47" s="19"/>
      <c r="GZU47" s="19"/>
      <c r="GZV47" s="21"/>
      <c r="GZW47" s="19"/>
      <c r="HAF47" s="19"/>
      <c r="HAG47" s="19"/>
      <c r="HAH47" s="19"/>
      <c r="HAI47" s="19"/>
      <c r="HAJ47" s="21"/>
      <c r="HAK47" s="19"/>
      <c r="HAT47" s="19"/>
      <c r="HAU47" s="19"/>
      <c r="HAV47" s="19"/>
      <c r="HAW47" s="19"/>
      <c r="HAX47" s="21"/>
      <c r="HAY47" s="19"/>
      <c r="HBH47" s="19"/>
      <c r="HBI47" s="19"/>
      <c r="HBJ47" s="19"/>
      <c r="HBK47" s="19"/>
      <c r="HBL47" s="21"/>
      <c r="HBM47" s="19"/>
      <c r="HBV47" s="19"/>
      <c r="HBW47" s="19"/>
      <c r="HBX47" s="19"/>
      <c r="HBY47" s="19"/>
      <c r="HBZ47" s="21"/>
      <c r="HCA47" s="19"/>
      <c r="HCJ47" s="19"/>
      <c r="HCK47" s="19"/>
      <c r="HCL47" s="19"/>
      <c r="HCM47" s="19"/>
      <c r="HCN47" s="21"/>
      <c r="HCO47" s="19"/>
      <c r="HCX47" s="19"/>
      <c r="HCY47" s="19"/>
      <c r="HCZ47" s="19"/>
      <c r="HDA47" s="19"/>
      <c r="HDB47" s="21"/>
      <c r="HDC47" s="19"/>
      <c r="HDL47" s="19"/>
      <c r="HDM47" s="19"/>
      <c r="HDN47" s="19"/>
      <c r="HDO47" s="19"/>
      <c r="HDP47" s="21"/>
      <c r="HDQ47" s="19"/>
      <c r="HDZ47" s="19"/>
      <c r="HEA47" s="19"/>
      <c r="HEB47" s="19"/>
      <c r="HEC47" s="19"/>
      <c r="HED47" s="21"/>
      <c r="HEE47" s="19"/>
      <c r="HEN47" s="19"/>
      <c r="HEO47" s="19"/>
      <c r="HEP47" s="19"/>
      <c r="HEQ47" s="19"/>
      <c r="HER47" s="21"/>
      <c r="HES47" s="19"/>
      <c r="HFB47" s="19"/>
      <c r="HFC47" s="19"/>
      <c r="HFD47" s="19"/>
      <c r="HFE47" s="19"/>
      <c r="HFF47" s="21"/>
      <c r="HFG47" s="19"/>
      <c r="HFP47" s="19"/>
      <c r="HFQ47" s="19"/>
      <c r="HFR47" s="19"/>
      <c r="HFS47" s="19"/>
      <c r="HFT47" s="21"/>
      <c r="HFU47" s="19"/>
      <c r="HGD47" s="19"/>
      <c r="HGE47" s="19"/>
      <c r="HGF47" s="19"/>
      <c r="HGG47" s="19"/>
      <c r="HGH47" s="21"/>
      <c r="HGI47" s="19"/>
      <c r="HGR47" s="19"/>
      <c r="HGS47" s="19"/>
      <c r="HGT47" s="19"/>
      <c r="HGU47" s="19"/>
      <c r="HGV47" s="21"/>
      <c r="HGW47" s="19"/>
      <c r="HHF47" s="19"/>
      <c r="HHG47" s="19"/>
      <c r="HHH47" s="19"/>
      <c r="HHI47" s="19"/>
      <c r="HHJ47" s="21"/>
      <c r="HHK47" s="19"/>
      <c r="HHT47" s="19"/>
      <c r="HHU47" s="19"/>
      <c r="HHV47" s="19"/>
      <c r="HHW47" s="19"/>
      <c r="HHX47" s="21"/>
      <c r="HHY47" s="19"/>
      <c r="HIH47" s="19"/>
      <c r="HII47" s="19"/>
      <c r="HIJ47" s="19"/>
      <c r="HIK47" s="19"/>
      <c r="HIL47" s="21"/>
      <c r="HIM47" s="19"/>
      <c r="HIV47" s="19"/>
      <c r="HIW47" s="19"/>
      <c r="HIX47" s="19"/>
      <c r="HIY47" s="19"/>
      <c r="HIZ47" s="21"/>
      <c r="HJA47" s="19"/>
      <c r="HJJ47" s="19"/>
      <c r="HJK47" s="19"/>
      <c r="HJL47" s="19"/>
      <c r="HJM47" s="19"/>
      <c r="HJN47" s="21"/>
      <c r="HJO47" s="19"/>
      <c r="HJX47" s="19"/>
      <c r="HJY47" s="19"/>
      <c r="HJZ47" s="19"/>
      <c r="HKA47" s="19"/>
      <c r="HKB47" s="21"/>
      <c r="HKC47" s="19"/>
      <c r="HKL47" s="19"/>
      <c r="HKM47" s="19"/>
      <c r="HKN47" s="19"/>
      <c r="HKO47" s="19"/>
      <c r="HKP47" s="21"/>
      <c r="HKQ47" s="19"/>
      <c r="HKZ47" s="19"/>
      <c r="HLA47" s="19"/>
      <c r="HLB47" s="19"/>
      <c r="HLC47" s="19"/>
      <c r="HLD47" s="21"/>
      <c r="HLE47" s="19"/>
      <c r="HLN47" s="19"/>
      <c r="HLO47" s="19"/>
      <c r="HLP47" s="19"/>
      <c r="HLQ47" s="19"/>
      <c r="HLR47" s="21"/>
      <c r="HLS47" s="19"/>
      <c r="HMB47" s="19"/>
      <c r="HMC47" s="19"/>
      <c r="HMD47" s="19"/>
      <c r="HME47" s="19"/>
      <c r="HMF47" s="21"/>
      <c r="HMG47" s="19"/>
      <c r="HMP47" s="19"/>
      <c r="HMQ47" s="19"/>
      <c r="HMR47" s="19"/>
      <c r="HMS47" s="19"/>
      <c r="HMT47" s="21"/>
      <c r="HMU47" s="19"/>
      <c r="HND47" s="19"/>
      <c r="HNE47" s="19"/>
      <c r="HNF47" s="19"/>
      <c r="HNG47" s="19"/>
      <c r="HNH47" s="21"/>
      <c r="HNI47" s="19"/>
      <c r="HNR47" s="19"/>
      <c r="HNS47" s="19"/>
      <c r="HNT47" s="19"/>
      <c r="HNU47" s="19"/>
      <c r="HNV47" s="21"/>
      <c r="HNW47" s="19"/>
      <c r="HOF47" s="19"/>
      <c r="HOG47" s="19"/>
      <c r="HOH47" s="19"/>
      <c r="HOI47" s="19"/>
      <c r="HOJ47" s="21"/>
      <c r="HOK47" s="19"/>
      <c r="HOT47" s="19"/>
      <c r="HOU47" s="19"/>
      <c r="HOV47" s="19"/>
      <c r="HOW47" s="19"/>
      <c r="HOX47" s="21"/>
      <c r="HOY47" s="19"/>
      <c r="HPH47" s="19"/>
      <c r="HPI47" s="19"/>
      <c r="HPJ47" s="19"/>
      <c r="HPK47" s="19"/>
      <c r="HPL47" s="21"/>
      <c r="HPM47" s="19"/>
      <c r="HPV47" s="19"/>
      <c r="HPW47" s="19"/>
      <c r="HPX47" s="19"/>
      <c r="HPY47" s="19"/>
      <c r="HPZ47" s="21"/>
      <c r="HQA47" s="19"/>
      <c r="HQJ47" s="19"/>
      <c r="HQK47" s="19"/>
      <c r="HQL47" s="19"/>
      <c r="HQM47" s="19"/>
      <c r="HQN47" s="21"/>
      <c r="HQO47" s="19"/>
      <c r="HQX47" s="19"/>
      <c r="HQY47" s="19"/>
      <c r="HQZ47" s="19"/>
      <c r="HRA47" s="19"/>
      <c r="HRB47" s="21"/>
      <c r="HRC47" s="19"/>
      <c r="HRL47" s="19"/>
      <c r="HRM47" s="19"/>
      <c r="HRN47" s="19"/>
      <c r="HRO47" s="19"/>
      <c r="HRP47" s="21"/>
      <c r="HRQ47" s="19"/>
      <c r="HRZ47" s="19"/>
      <c r="HSA47" s="19"/>
      <c r="HSB47" s="19"/>
      <c r="HSC47" s="19"/>
      <c r="HSD47" s="21"/>
      <c r="HSE47" s="19"/>
      <c r="HSN47" s="19"/>
      <c r="HSO47" s="19"/>
      <c r="HSP47" s="19"/>
      <c r="HSQ47" s="19"/>
      <c r="HSR47" s="21"/>
      <c r="HSS47" s="19"/>
      <c r="HTB47" s="19"/>
      <c r="HTC47" s="19"/>
      <c r="HTD47" s="19"/>
      <c r="HTE47" s="19"/>
      <c r="HTF47" s="21"/>
      <c r="HTG47" s="19"/>
      <c r="HTP47" s="19"/>
      <c r="HTQ47" s="19"/>
      <c r="HTR47" s="19"/>
      <c r="HTS47" s="19"/>
      <c r="HTT47" s="21"/>
      <c r="HTU47" s="19"/>
      <c r="HUD47" s="19"/>
      <c r="HUE47" s="19"/>
      <c r="HUF47" s="19"/>
      <c r="HUG47" s="19"/>
      <c r="HUH47" s="21"/>
      <c r="HUI47" s="19"/>
      <c r="HUR47" s="19"/>
      <c r="HUS47" s="19"/>
      <c r="HUT47" s="19"/>
      <c r="HUU47" s="19"/>
      <c r="HUV47" s="21"/>
      <c r="HUW47" s="19"/>
      <c r="HVF47" s="19"/>
      <c r="HVG47" s="19"/>
      <c r="HVH47" s="19"/>
      <c r="HVI47" s="19"/>
      <c r="HVJ47" s="21"/>
      <c r="HVK47" s="19"/>
      <c r="HVT47" s="19"/>
      <c r="HVU47" s="19"/>
      <c r="HVV47" s="19"/>
      <c r="HVW47" s="19"/>
      <c r="HVX47" s="21"/>
      <c r="HVY47" s="19"/>
      <c r="HWH47" s="19"/>
      <c r="HWI47" s="19"/>
      <c r="HWJ47" s="19"/>
      <c r="HWK47" s="19"/>
      <c r="HWL47" s="21"/>
      <c r="HWM47" s="19"/>
      <c r="HWV47" s="19"/>
      <c r="HWW47" s="19"/>
      <c r="HWX47" s="19"/>
      <c r="HWY47" s="19"/>
      <c r="HWZ47" s="21"/>
      <c r="HXA47" s="19"/>
      <c r="HXJ47" s="19"/>
      <c r="HXK47" s="19"/>
      <c r="HXL47" s="19"/>
      <c r="HXM47" s="19"/>
      <c r="HXN47" s="21"/>
      <c r="HXO47" s="19"/>
      <c r="HXX47" s="19"/>
      <c r="HXY47" s="19"/>
      <c r="HXZ47" s="19"/>
      <c r="HYA47" s="19"/>
      <c r="HYB47" s="21"/>
      <c r="HYC47" s="19"/>
      <c r="HYL47" s="19"/>
      <c r="HYM47" s="19"/>
      <c r="HYN47" s="19"/>
      <c r="HYO47" s="19"/>
      <c r="HYP47" s="21"/>
      <c r="HYQ47" s="19"/>
      <c r="HYZ47" s="19"/>
      <c r="HZA47" s="19"/>
      <c r="HZB47" s="19"/>
      <c r="HZC47" s="19"/>
      <c r="HZD47" s="21"/>
      <c r="HZE47" s="19"/>
      <c r="HZN47" s="19"/>
      <c r="HZO47" s="19"/>
      <c r="HZP47" s="19"/>
      <c r="HZQ47" s="19"/>
      <c r="HZR47" s="21"/>
      <c r="HZS47" s="19"/>
      <c r="IAB47" s="19"/>
      <c r="IAC47" s="19"/>
      <c r="IAD47" s="19"/>
      <c r="IAE47" s="19"/>
      <c r="IAF47" s="21"/>
      <c r="IAG47" s="19"/>
      <c r="IAP47" s="19"/>
      <c r="IAQ47" s="19"/>
      <c r="IAR47" s="19"/>
      <c r="IAS47" s="19"/>
      <c r="IAT47" s="21"/>
      <c r="IAU47" s="19"/>
      <c r="IBD47" s="19"/>
      <c r="IBE47" s="19"/>
      <c r="IBF47" s="19"/>
      <c r="IBG47" s="19"/>
      <c r="IBH47" s="21"/>
      <c r="IBI47" s="19"/>
      <c r="IBR47" s="19"/>
      <c r="IBS47" s="19"/>
      <c r="IBT47" s="19"/>
      <c r="IBU47" s="19"/>
      <c r="IBV47" s="21"/>
      <c r="IBW47" s="19"/>
      <c r="ICF47" s="19"/>
      <c r="ICG47" s="19"/>
      <c r="ICH47" s="19"/>
      <c r="ICI47" s="19"/>
      <c r="ICJ47" s="21"/>
      <c r="ICK47" s="19"/>
      <c r="ICT47" s="19"/>
      <c r="ICU47" s="19"/>
      <c r="ICV47" s="19"/>
      <c r="ICW47" s="19"/>
      <c r="ICX47" s="21"/>
      <c r="ICY47" s="19"/>
      <c r="IDH47" s="19"/>
      <c r="IDI47" s="19"/>
      <c r="IDJ47" s="19"/>
      <c r="IDK47" s="19"/>
      <c r="IDL47" s="21"/>
      <c r="IDM47" s="19"/>
      <c r="IDV47" s="19"/>
      <c r="IDW47" s="19"/>
      <c r="IDX47" s="19"/>
      <c r="IDY47" s="19"/>
      <c r="IDZ47" s="21"/>
      <c r="IEA47" s="19"/>
      <c r="IEJ47" s="19"/>
      <c r="IEK47" s="19"/>
      <c r="IEL47" s="19"/>
      <c r="IEM47" s="19"/>
      <c r="IEN47" s="21"/>
      <c r="IEO47" s="19"/>
      <c r="IEX47" s="19"/>
      <c r="IEY47" s="19"/>
      <c r="IEZ47" s="19"/>
      <c r="IFA47" s="19"/>
      <c r="IFB47" s="21"/>
      <c r="IFC47" s="19"/>
      <c r="IFL47" s="19"/>
      <c r="IFM47" s="19"/>
      <c r="IFN47" s="19"/>
      <c r="IFO47" s="19"/>
      <c r="IFP47" s="21"/>
      <c r="IFQ47" s="19"/>
      <c r="IFZ47" s="19"/>
      <c r="IGA47" s="19"/>
      <c r="IGB47" s="19"/>
      <c r="IGC47" s="19"/>
      <c r="IGD47" s="21"/>
      <c r="IGE47" s="19"/>
      <c r="IGN47" s="19"/>
      <c r="IGO47" s="19"/>
      <c r="IGP47" s="19"/>
      <c r="IGQ47" s="19"/>
      <c r="IGR47" s="21"/>
      <c r="IGS47" s="19"/>
      <c r="IHB47" s="19"/>
      <c r="IHC47" s="19"/>
      <c r="IHD47" s="19"/>
      <c r="IHE47" s="19"/>
      <c r="IHF47" s="21"/>
      <c r="IHG47" s="19"/>
      <c r="IHP47" s="19"/>
      <c r="IHQ47" s="19"/>
      <c r="IHR47" s="19"/>
      <c r="IHS47" s="19"/>
      <c r="IHT47" s="21"/>
      <c r="IHU47" s="19"/>
      <c r="IID47" s="19"/>
      <c r="IIE47" s="19"/>
      <c r="IIF47" s="19"/>
      <c r="IIG47" s="19"/>
      <c r="IIH47" s="21"/>
      <c r="III47" s="19"/>
      <c r="IIR47" s="19"/>
      <c r="IIS47" s="19"/>
      <c r="IIT47" s="19"/>
      <c r="IIU47" s="19"/>
      <c r="IIV47" s="21"/>
      <c r="IIW47" s="19"/>
      <c r="IJF47" s="19"/>
      <c r="IJG47" s="19"/>
      <c r="IJH47" s="19"/>
      <c r="IJI47" s="19"/>
      <c r="IJJ47" s="21"/>
      <c r="IJK47" s="19"/>
      <c r="IJT47" s="19"/>
      <c r="IJU47" s="19"/>
      <c r="IJV47" s="19"/>
      <c r="IJW47" s="19"/>
      <c r="IJX47" s="21"/>
      <c r="IJY47" s="19"/>
      <c r="IKH47" s="19"/>
      <c r="IKI47" s="19"/>
      <c r="IKJ47" s="19"/>
      <c r="IKK47" s="19"/>
      <c r="IKL47" s="21"/>
      <c r="IKM47" s="19"/>
      <c r="IKV47" s="19"/>
      <c r="IKW47" s="19"/>
      <c r="IKX47" s="19"/>
      <c r="IKY47" s="19"/>
      <c r="IKZ47" s="21"/>
      <c r="ILA47" s="19"/>
      <c r="ILJ47" s="19"/>
      <c r="ILK47" s="19"/>
      <c r="ILL47" s="19"/>
      <c r="ILM47" s="19"/>
      <c r="ILN47" s="21"/>
      <c r="ILO47" s="19"/>
      <c r="ILX47" s="19"/>
      <c r="ILY47" s="19"/>
      <c r="ILZ47" s="19"/>
      <c r="IMA47" s="19"/>
      <c r="IMB47" s="21"/>
      <c r="IMC47" s="19"/>
      <c r="IML47" s="19"/>
      <c r="IMM47" s="19"/>
      <c r="IMN47" s="19"/>
      <c r="IMO47" s="19"/>
      <c r="IMP47" s="21"/>
      <c r="IMQ47" s="19"/>
      <c r="IMZ47" s="19"/>
      <c r="INA47" s="19"/>
      <c r="INB47" s="19"/>
      <c r="INC47" s="19"/>
      <c r="IND47" s="21"/>
      <c r="INE47" s="19"/>
      <c r="INN47" s="19"/>
      <c r="INO47" s="19"/>
      <c r="INP47" s="19"/>
      <c r="INQ47" s="19"/>
      <c r="INR47" s="21"/>
      <c r="INS47" s="19"/>
      <c r="IOB47" s="19"/>
      <c r="IOC47" s="19"/>
      <c r="IOD47" s="19"/>
      <c r="IOE47" s="19"/>
      <c r="IOF47" s="21"/>
      <c r="IOG47" s="19"/>
      <c r="IOP47" s="19"/>
      <c r="IOQ47" s="19"/>
      <c r="IOR47" s="19"/>
      <c r="IOS47" s="19"/>
      <c r="IOT47" s="21"/>
      <c r="IOU47" s="19"/>
      <c r="IPD47" s="19"/>
      <c r="IPE47" s="19"/>
      <c r="IPF47" s="19"/>
      <c r="IPG47" s="19"/>
      <c r="IPH47" s="21"/>
      <c r="IPI47" s="19"/>
      <c r="IPR47" s="19"/>
      <c r="IPS47" s="19"/>
      <c r="IPT47" s="19"/>
      <c r="IPU47" s="19"/>
      <c r="IPV47" s="21"/>
      <c r="IPW47" s="19"/>
      <c r="IQF47" s="19"/>
      <c r="IQG47" s="19"/>
      <c r="IQH47" s="19"/>
      <c r="IQI47" s="19"/>
      <c r="IQJ47" s="21"/>
      <c r="IQK47" s="19"/>
      <c r="IQT47" s="19"/>
      <c r="IQU47" s="19"/>
      <c r="IQV47" s="19"/>
      <c r="IQW47" s="19"/>
      <c r="IQX47" s="21"/>
      <c r="IQY47" s="19"/>
      <c r="IRH47" s="19"/>
      <c r="IRI47" s="19"/>
      <c r="IRJ47" s="19"/>
      <c r="IRK47" s="19"/>
      <c r="IRL47" s="21"/>
      <c r="IRM47" s="19"/>
      <c r="IRV47" s="19"/>
      <c r="IRW47" s="19"/>
      <c r="IRX47" s="19"/>
      <c r="IRY47" s="19"/>
      <c r="IRZ47" s="21"/>
      <c r="ISA47" s="19"/>
      <c r="ISJ47" s="19"/>
      <c r="ISK47" s="19"/>
      <c r="ISL47" s="19"/>
      <c r="ISM47" s="19"/>
      <c r="ISN47" s="21"/>
      <c r="ISO47" s="19"/>
      <c r="ISX47" s="19"/>
      <c r="ISY47" s="19"/>
      <c r="ISZ47" s="19"/>
      <c r="ITA47" s="19"/>
      <c r="ITB47" s="21"/>
      <c r="ITC47" s="19"/>
      <c r="ITL47" s="19"/>
      <c r="ITM47" s="19"/>
      <c r="ITN47" s="19"/>
      <c r="ITO47" s="19"/>
      <c r="ITP47" s="21"/>
      <c r="ITQ47" s="19"/>
      <c r="ITZ47" s="19"/>
      <c r="IUA47" s="19"/>
      <c r="IUB47" s="19"/>
      <c r="IUC47" s="19"/>
      <c r="IUD47" s="21"/>
      <c r="IUE47" s="19"/>
      <c r="IUN47" s="19"/>
      <c r="IUO47" s="19"/>
      <c r="IUP47" s="19"/>
      <c r="IUQ47" s="19"/>
      <c r="IUR47" s="21"/>
      <c r="IUS47" s="19"/>
      <c r="IVB47" s="19"/>
      <c r="IVC47" s="19"/>
      <c r="IVD47" s="19"/>
      <c r="IVE47" s="19"/>
      <c r="IVF47" s="21"/>
      <c r="IVG47" s="19"/>
      <c r="IVP47" s="19"/>
      <c r="IVQ47" s="19"/>
      <c r="IVR47" s="19"/>
      <c r="IVS47" s="19"/>
      <c r="IVT47" s="21"/>
      <c r="IVU47" s="19"/>
      <c r="IWD47" s="19"/>
      <c r="IWE47" s="19"/>
      <c r="IWF47" s="19"/>
      <c r="IWG47" s="19"/>
      <c r="IWH47" s="21"/>
      <c r="IWI47" s="19"/>
      <c r="IWR47" s="19"/>
      <c r="IWS47" s="19"/>
      <c r="IWT47" s="19"/>
      <c r="IWU47" s="19"/>
      <c r="IWV47" s="21"/>
      <c r="IWW47" s="19"/>
      <c r="IXF47" s="19"/>
      <c r="IXG47" s="19"/>
      <c r="IXH47" s="19"/>
      <c r="IXI47" s="19"/>
      <c r="IXJ47" s="21"/>
      <c r="IXK47" s="19"/>
      <c r="IXT47" s="19"/>
      <c r="IXU47" s="19"/>
      <c r="IXV47" s="19"/>
      <c r="IXW47" s="19"/>
      <c r="IXX47" s="21"/>
      <c r="IXY47" s="19"/>
      <c r="IYH47" s="19"/>
      <c r="IYI47" s="19"/>
      <c r="IYJ47" s="19"/>
      <c r="IYK47" s="19"/>
      <c r="IYL47" s="21"/>
      <c r="IYM47" s="19"/>
      <c r="IYV47" s="19"/>
      <c r="IYW47" s="19"/>
      <c r="IYX47" s="19"/>
      <c r="IYY47" s="19"/>
      <c r="IYZ47" s="21"/>
      <c r="IZA47" s="19"/>
      <c r="IZJ47" s="19"/>
      <c r="IZK47" s="19"/>
      <c r="IZL47" s="19"/>
      <c r="IZM47" s="19"/>
      <c r="IZN47" s="21"/>
      <c r="IZO47" s="19"/>
      <c r="IZX47" s="19"/>
      <c r="IZY47" s="19"/>
      <c r="IZZ47" s="19"/>
      <c r="JAA47" s="19"/>
      <c r="JAB47" s="21"/>
      <c r="JAC47" s="19"/>
      <c r="JAL47" s="19"/>
      <c r="JAM47" s="19"/>
      <c r="JAN47" s="19"/>
      <c r="JAO47" s="19"/>
      <c r="JAP47" s="21"/>
      <c r="JAQ47" s="19"/>
      <c r="JAZ47" s="19"/>
      <c r="JBA47" s="19"/>
      <c r="JBB47" s="19"/>
      <c r="JBC47" s="19"/>
      <c r="JBD47" s="21"/>
      <c r="JBE47" s="19"/>
      <c r="JBN47" s="19"/>
      <c r="JBO47" s="19"/>
      <c r="JBP47" s="19"/>
      <c r="JBQ47" s="19"/>
      <c r="JBR47" s="21"/>
      <c r="JBS47" s="19"/>
      <c r="JCB47" s="19"/>
      <c r="JCC47" s="19"/>
      <c r="JCD47" s="19"/>
      <c r="JCE47" s="19"/>
      <c r="JCF47" s="21"/>
      <c r="JCG47" s="19"/>
      <c r="JCP47" s="19"/>
      <c r="JCQ47" s="19"/>
      <c r="JCR47" s="19"/>
      <c r="JCS47" s="19"/>
      <c r="JCT47" s="21"/>
      <c r="JCU47" s="19"/>
      <c r="JDD47" s="19"/>
      <c r="JDE47" s="19"/>
      <c r="JDF47" s="19"/>
      <c r="JDG47" s="19"/>
      <c r="JDH47" s="21"/>
      <c r="JDI47" s="19"/>
      <c r="JDR47" s="19"/>
      <c r="JDS47" s="19"/>
      <c r="JDT47" s="19"/>
      <c r="JDU47" s="19"/>
      <c r="JDV47" s="21"/>
      <c r="JDW47" s="19"/>
      <c r="JEF47" s="19"/>
      <c r="JEG47" s="19"/>
      <c r="JEH47" s="19"/>
      <c r="JEI47" s="19"/>
      <c r="JEJ47" s="21"/>
      <c r="JEK47" s="19"/>
      <c r="JET47" s="19"/>
      <c r="JEU47" s="19"/>
      <c r="JEV47" s="19"/>
      <c r="JEW47" s="19"/>
      <c r="JEX47" s="21"/>
      <c r="JEY47" s="19"/>
      <c r="JFH47" s="19"/>
      <c r="JFI47" s="19"/>
      <c r="JFJ47" s="19"/>
      <c r="JFK47" s="19"/>
      <c r="JFL47" s="21"/>
      <c r="JFM47" s="19"/>
      <c r="JFV47" s="19"/>
      <c r="JFW47" s="19"/>
      <c r="JFX47" s="19"/>
      <c r="JFY47" s="19"/>
      <c r="JFZ47" s="21"/>
      <c r="JGA47" s="19"/>
      <c r="JGJ47" s="19"/>
      <c r="JGK47" s="19"/>
      <c r="JGL47" s="19"/>
      <c r="JGM47" s="19"/>
      <c r="JGN47" s="21"/>
      <c r="JGO47" s="19"/>
      <c r="JGX47" s="19"/>
      <c r="JGY47" s="19"/>
      <c r="JGZ47" s="19"/>
      <c r="JHA47" s="19"/>
      <c r="JHB47" s="21"/>
      <c r="JHC47" s="19"/>
      <c r="JHL47" s="19"/>
      <c r="JHM47" s="19"/>
      <c r="JHN47" s="19"/>
      <c r="JHO47" s="19"/>
      <c r="JHP47" s="21"/>
      <c r="JHQ47" s="19"/>
      <c r="JHZ47" s="19"/>
      <c r="JIA47" s="19"/>
      <c r="JIB47" s="19"/>
      <c r="JIC47" s="19"/>
      <c r="JID47" s="21"/>
      <c r="JIE47" s="19"/>
      <c r="JIN47" s="19"/>
      <c r="JIO47" s="19"/>
      <c r="JIP47" s="19"/>
      <c r="JIQ47" s="19"/>
      <c r="JIR47" s="21"/>
      <c r="JIS47" s="19"/>
      <c r="JJB47" s="19"/>
      <c r="JJC47" s="19"/>
      <c r="JJD47" s="19"/>
      <c r="JJE47" s="19"/>
      <c r="JJF47" s="21"/>
      <c r="JJG47" s="19"/>
      <c r="JJP47" s="19"/>
      <c r="JJQ47" s="19"/>
      <c r="JJR47" s="19"/>
      <c r="JJS47" s="19"/>
      <c r="JJT47" s="21"/>
      <c r="JJU47" s="19"/>
      <c r="JKD47" s="19"/>
      <c r="JKE47" s="19"/>
      <c r="JKF47" s="19"/>
      <c r="JKG47" s="19"/>
      <c r="JKH47" s="21"/>
      <c r="JKI47" s="19"/>
      <c r="JKR47" s="19"/>
      <c r="JKS47" s="19"/>
      <c r="JKT47" s="19"/>
      <c r="JKU47" s="19"/>
      <c r="JKV47" s="21"/>
      <c r="JKW47" s="19"/>
      <c r="JLF47" s="19"/>
      <c r="JLG47" s="19"/>
      <c r="JLH47" s="19"/>
      <c r="JLI47" s="19"/>
      <c r="JLJ47" s="21"/>
      <c r="JLK47" s="19"/>
      <c r="JLT47" s="19"/>
      <c r="JLU47" s="19"/>
      <c r="JLV47" s="19"/>
      <c r="JLW47" s="19"/>
      <c r="JLX47" s="21"/>
      <c r="JLY47" s="19"/>
      <c r="JMH47" s="19"/>
      <c r="JMI47" s="19"/>
      <c r="JMJ47" s="19"/>
      <c r="JMK47" s="19"/>
      <c r="JML47" s="21"/>
      <c r="JMM47" s="19"/>
      <c r="JMV47" s="19"/>
      <c r="JMW47" s="19"/>
      <c r="JMX47" s="19"/>
      <c r="JMY47" s="19"/>
      <c r="JMZ47" s="21"/>
      <c r="JNA47" s="19"/>
      <c r="JNJ47" s="19"/>
      <c r="JNK47" s="19"/>
      <c r="JNL47" s="19"/>
      <c r="JNM47" s="19"/>
      <c r="JNN47" s="21"/>
      <c r="JNO47" s="19"/>
      <c r="JNX47" s="19"/>
      <c r="JNY47" s="19"/>
      <c r="JNZ47" s="19"/>
      <c r="JOA47" s="19"/>
      <c r="JOB47" s="21"/>
      <c r="JOC47" s="19"/>
      <c r="JOL47" s="19"/>
      <c r="JOM47" s="19"/>
      <c r="JON47" s="19"/>
      <c r="JOO47" s="19"/>
      <c r="JOP47" s="21"/>
      <c r="JOQ47" s="19"/>
      <c r="JOZ47" s="19"/>
      <c r="JPA47" s="19"/>
      <c r="JPB47" s="19"/>
      <c r="JPC47" s="19"/>
      <c r="JPD47" s="21"/>
      <c r="JPE47" s="19"/>
      <c r="JPN47" s="19"/>
      <c r="JPO47" s="19"/>
      <c r="JPP47" s="19"/>
      <c r="JPQ47" s="19"/>
      <c r="JPR47" s="21"/>
      <c r="JPS47" s="19"/>
      <c r="JQB47" s="19"/>
      <c r="JQC47" s="19"/>
      <c r="JQD47" s="19"/>
      <c r="JQE47" s="19"/>
      <c r="JQF47" s="21"/>
      <c r="JQG47" s="19"/>
      <c r="JQP47" s="19"/>
      <c r="JQQ47" s="19"/>
      <c r="JQR47" s="19"/>
      <c r="JQS47" s="19"/>
      <c r="JQT47" s="21"/>
      <c r="JQU47" s="19"/>
      <c r="JRD47" s="19"/>
      <c r="JRE47" s="19"/>
      <c r="JRF47" s="19"/>
      <c r="JRG47" s="19"/>
      <c r="JRH47" s="21"/>
      <c r="JRI47" s="19"/>
      <c r="JRR47" s="19"/>
      <c r="JRS47" s="19"/>
      <c r="JRT47" s="19"/>
      <c r="JRU47" s="19"/>
      <c r="JRV47" s="21"/>
      <c r="JRW47" s="19"/>
      <c r="JSF47" s="19"/>
      <c r="JSG47" s="19"/>
      <c r="JSH47" s="19"/>
      <c r="JSI47" s="19"/>
      <c r="JSJ47" s="21"/>
      <c r="JSK47" s="19"/>
      <c r="JST47" s="19"/>
      <c r="JSU47" s="19"/>
      <c r="JSV47" s="19"/>
      <c r="JSW47" s="19"/>
      <c r="JSX47" s="21"/>
      <c r="JSY47" s="19"/>
      <c r="JTH47" s="19"/>
      <c r="JTI47" s="19"/>
      <c r="JTJ47" s="19"/>
      <c r="JTK47" s="19"/>
      <c r="JTL47" s="21"/>
      <c r="JTM47" s="19"/>
      <c r="JTV47" s="19"/>
      <c r="JTW47" s="19"/>
      <c r="JTX47" s="19"/>
      <c r="JTY47" s="19"/>
      <c r="JTZ47" s="21"/>
      <c r="JUA47" s="19"/>
      <c r="JUJ47" s="19"/>
      <c r="JUK47" s="19"/>
      <c r="JUL47" s="19"/>
      <c r="JUM47" s="19"/>
      <c r="JUN47" s="21"/>
      <c r="JUO47" s="19"/>
      <c r="JUX47" s="19"/>
      <c r="JUY47" s="19"/>
      <c r="JUZ47" s="19"/>
      <c r="JVA47" s="19"/>
      <c r="JVB47" s="21"/>
      <c r="JVC47" s="19"/>
      <c r="JVL47" s="19"/>
      <c r="JVM47" s="19"/>
      <c r="JVN47" s="19"/>
      <c r="JVO47" s="19"/>
      <c r="JVP47" s="21"/>
      <c r="JVQ47" s="19"/>
      <c r="JVZ47" s="19"/>
      <c r="JWA47" s="19"/>
      <c r="JWB47" s="19"/>
      <c r="JWC47" s="19"/>
      <c r="JWD47" s="21"/>
      <c r="JWE47" s="19"/>
      <c r="JWN47" s="19"/>
      <c r="JWO47" s="19"/>
      <c r="JWP47" s="19"/>
      <c r="JWQ47" s="19"/>
      <c r="JWR47" s="21"/>
      <c r="JWS47" s="19"/>
      <c r="JXB47" s="19"/>
      <c r="JXC47" s="19"/>
      <c r="JXD47" s="19"/>
      <c r="JXE47" s="19"/>
      <c r="JXF47" s="21"/>
      <c r="JXG47" s="19"/>
      <c r="JXP47" s="19"/>
      <c r="JXQ47" s="19"/>
      <c r="JXR47" s="19"/>
      <c r="JXS47" s="19"/>
      <c r="JXT47" s="21"/>
      <c r="JXU47" s="19"/>
      <c r="JYD47" s="19"/>
      <c r="JYE47" s="19"/>
      <c r="JYF47" s="19"/>
      <c r="JYG47" s="19"/>
      <c r="JYH47" s="21"/>
      <c r="JYI47" s="19"/>
      <c r="JYR47" s="19"/>
      <c r="JYS47" s="19"/>
      <c r="JYT47" s="19"/>
      <c r="JYU47" s="19"/>
      <c r="JYV47" s="21"/>
      <c r="JYW47" s="19"/>
      <c r="JZF47" s="19"/>
      <c r="JZG47" s="19"/>
      <c r="JZH47" s="19"/>
      <c r="JZI47" s="19"/>
      <c r="JZJ47" s="21"/>
      <c r="JZK47" s="19"/>
      <c r="JZT47" s="19"/>
      <c r="JZU47" s="19"/>
      <c r="JZV47" s="19"/>
      <c r="JZW47" s="19"/>
      <c r="JZX47" s="21"/>
      <c r="JZY47" s="19"/>
      <c r="KAH47" s="19"/>
      <c r="KAI47" s="19"/>
      <c r="KAJ47" s="19"/>
      <c r="KAK47" s="19"/>
      <c r="KAL47" s="21"/>
      <c r="KAM47" s="19"/>
      <c r="KAV47" s="19"/>
      <c r="KAW47" s="19"/>
      <c r="KAX47" s="19"/>
      <c r="KAY47" s="19"/>
      <c r="KAZ47" s="21"/>
      <c r="KBA47" s="19"/>
      <c r="KBJ47" s="19"/>
      <c r="KBK47" s="19"/>
      <c r="KBL47" s="19"/>
      <c r="KBM47" s="19"/>
      <c r="KBN47" s="21"/>
      <c r="KBO47" s="19"/>
      <c r="KBX47" s="19"/>
      <c r="KBY47" s="19"/>
      <c r="KBZ47" s="19"/>
      <c r="KCA47" s="19"/>
      <c r="KCB47" s="21"/>
      <c r="KCC47" s="19"/>
      <c r="KCL47" s="19"/>
      <c r="KCM47" s="19"/>
      <c r="KCN47" s="19"/>
      <c r="KCO47" s="19"/>
      <c r="KCP47" s="21"/>
      <c r="KCQ47" s="19"/>
      <c r="KCZ47" s="19"/>
      <c r="KDA47" s="19"/>
      <c r="KDB47" s="19"/>
      <c r="KDC47" s="19"/>
      <c r="KDD47" s="21"/>
      <c r="KDE47" s="19"/>
      <c r="KDN47" s="19"/>
      <c r="KDO47" s="19"/>
      <c r="KDP47" s="19"/>
      <c r="KDQ47" s="19"/>
      <c r="KDR47" s="21"/>
      <c r="KDS47" s="19"/>
      <c r="KEB47" s="19"/>
      <c r="KEC47" s="19"/>
      <c r="KED47" s="19"/>
      <c r="KEE47" s="19"/>
      <c r="KEF47" s="21"/>
      <c r="KEG47" s="19"/>
      <c r="KEP47" s="19"/>
      <c r="KEQ47" s="19"/>
      <c r="KER47" s="19"/>
      <c r="KES47" s="19"/>
      <c r="KET47" s="21"/>
      <c r="KEU47" s="19"/>
      <c r="KFD47" s="19"/>
      <c r="KFE47" s="19"/>
      <c r="KFF47" s="19"/>
      <c r="KFG47" s="19"/>
      <c r="KFH47" s="21"/>
      <c r="KFI47" s="19"/>
      <c r="KFR47" s="19"/>
      <c r="KFS47" s="19"/>
      <c r="KFT47" s="19"/>
      <c r="KFU47" s="19"/>
      <c r="KFV47" s="21"/>
      <c r="KFW47" s="19"/>
      <c r="KGF47" s="19"/>
      <c r="KGG47" s="19"/>
      <c r="KGH47" s="19"/>
      <c r="KGI47" s="19"/>
      <c r="KGJ47" s="21"/>
      <c r="KGK47" s="19"/>
      <c r="KGT47" s="19"/>
      <c r="KGU47" s="19"/>
      <c r="KGV47" s="19"/>
      <c r="KGW47" s="19"/>
      <c r="KGX47" s="21"/>
      <c r="KGY47" s="19"/>
      <c r="KHH47" s="19"/>
      <c r="KHI47" s="19"/>
      <c r="KHJ47" s="19"/>
      <c r="KHK47" s="19"/>
      <c r="KHL47" s="21"/>
      <c r="KHM47" s="19"/>
      <c r="KHV47" s="19"/>
      <c r="KHW47" s="19"/>
      <c r="KHX47" s="19"/>
      <c r="KHY47" s="19"/>
      <c r="KHZ47" s="21"/>
      <c r="KIA47" s="19"/>
      <c r="KIJ47" s="19"/>
      <c r="KIK47" s="19"/>
      <c r="KIL47" s="19"/>
      <c r="KIM47" s="19"/>
      <c r="KIN47" s="21"/>
      <c r="KIO47" s="19"/>
      <c r="KIX47" s="19"/>
      <c r="KIY47" s="19"/>
      <c r="KIZ47" s="19"/>
      <c r="KJA47" s="19"/>
      <c r="KJB47" s="21"/>
      <c r="KJC47" s="19"/>
      <c r="KJL47" s="19"/>
      <c r="KJM47" s="19"/>
      <c r="KJN47" s="19"/>
      <c r="KJO47" s="19"/>
      <c r="KJP47" s="21"/>
      <c r="KJQ47" s="19"/>
      <c r="KJZ47" s="19"/>
      <c r="KKA47" s="19"/>
      <c r="KKB47" s="19"/>
      <c r="KKC47" s="19"/>
      <c r="KKD47" s="21"/>
      <c r="KKE47" s="19"/>
      <c r="KKN47" s="19"/>
      <c r="KKO47" s="19"/>
      <c r="KKP47" s="19"/>
      <c r="KKQ47" s="19"/>
      <c r="KKR47" s="21"/>
      <c r="KKS47" s="19"/>
      <c r="KLB47" s="19"/>
      <c r="KLC47" s="19"/>
      <c r="KLD47" s="19"/>
      <c r="KLE47" s="19"/>
      <c r="KLF47" s="21"/>
      <c r="KLG47" s="19"/>
      <c r="KLP47" s="19"/>
      <c r="KLQ47" s="19"/>
      <c r="KLR47" s="19"/>
      <c r="KLS47" s="19"/>
      <c r="KLT47" s="21"/>
      <c r="KLU47" s="19"/>
      <c r="KMD47" s="19"/>
      <c r="KME47" s="19"/>
      <c r="KMF47" s="19"/>
      <c r="KMG47" s="19"/>
      <c r="KMH47" s="21"/>
      <c r="KMI47" s="19"/>
      <c r="KMR47" s="19"/>
      <c r="KMS47" s="19"/>
      <c r="KMT47" s="19"/>
      <c r="KMU47" s="19"/>
      <c r="KMV47" s="21"/>
      <c r="KMW47" s="19"/>
      <c r="KNF47" s="19"/>
      <c r="KNG47" s="19"/>
      <c r="KNH47" s="19"/>
      <c r="KNI47" s="19"/>
      <c r="KNJ47" s="21"/>
      <c r="KNK47" s="19"/>
      <c r="KNT47" s="19"/>
      <c r="KNU47" s="19"/>
      <c r="KNV47" s="19"/>
      <c r="KNW47" s="19"/>
      <c r="KNX47" s="21"/>
      <c r="KNY47" s="19"/>
      <c r="KOH47" s="19"/>
      <c r="KOI47" s="19"/>
      <c r="KOJ47" s="19"/>
      <c r="KOK47" s="19"/>
      <c r="KOL47" s="21"/>
      <c r="KOM47" s="19"/>
      <c r="KOV47" s="19"/>
      <c r="KOW47" s="19"/>
      <c r="KOX47" s="19"/>
      <c r="KOY47" s="19"/>
      <c r="KOZ47" s="21"/>
      <c r="KPA47" s="19"/>
      <c r="KPJ47" s="19"/>
      <c r="KPK47" s="19"/>
      <c r="KPL47" s="19"/>
      <c r="KPM47" s="19"/>
      <c r="KPN47" s="21"/>
      <c r="KPO47" s="19"/>
      <c r="KPX47" s="19"/>
      <c r="KPY47" s="19"/>
      <c r="KPZ47" s="19"/>
      <c r="KQA47" s="19"/>
      <c r="KQB47" s="21"/>
      <c r="KQC47" s="19"/>
      <c r="KQL47" s="19"/>
      <c r="KQM47" s="19"/>
      <c r="KQN47" s="19"/>
      <c r="KQO47" s="19"/>
      <c r="KQP47" s="21"/>
      <c r="KQQ47" s="19"/>
      <c r="KQZ47" s="19"/>
      <c r="KRA47" s="19"/>
      <c r="KRB47" s="19"/>
      <c r="KRC47" s="19"/>
      <c r="KRD47" s="21"/>
      <c r="KRE47" s="19"/>
      <c r="KRN47" s="19"/>
      <c r="KRO47" s="19"/>
      <c r="KRP47" s="19"/>
      <c r="KRQ47" s="19"/>
      <c r="KRR47" s="21"/>
      <c r="KRS47" s="19"/>
      <c r="KSB47" s="19"/>
      <c r="KSC47" s="19"/>
      <c r="KSD47" s="19"/>
      <c r="KSE47" s="19"/>
      <c r="KSF47" s="21"/>
      <c r="KSG47" s="19"/>
      <c r="KSP47" s="19"/>
      <c r="KSQ47" s="19"/>
      <c r="KSR47" s="19"/>
      <c r="KSS47" s="19"/>
      <c r="KST47" s="21"/>
      <c r="KSU47" s="19"/>
      <c r="KTD47" s="19"/>
      <c r="KTE47" s="19"/>
      <c r="KTF47" s="19"/>
      <c r="KTG47" s="19"/>
      <c r="KTH47" s="21"/>
      <c r="KTI47" s="19"/>
      <c r="KTR47" s="19"/>
      <c r="KTS47" s="19"/>
      <c r="KTT47" s="19"/>
      <c r="KTU47" s="19"/>
      <c r="KTV47" s="21"/>
      <c r="KTW47" s="19"/>
      <c r="KUF47" s="19"/>
      <c r="KUG47" s="19"/>
      <c r="KUH47" s="19"/>
      <c r="KUI47" s="19"/>
      <c r="KUJ47" s="21"/>
      <c r="KUK47" s="19"/>
      <c r="KUT47" s="19"/>
      <c r="KUU47" s="19"/>
      <c r="KUV47" s="19"/>
      <c r="KUW47" s="19"/>
      <c r="KUX47" s="21"/>
      <c r="KUY47" s="19"/>
      <c r="KVH47" s="19"/>
      <c r="KVI47" s="19"/>
      <c r="KVJ47" s="19"/>
      <c r="KVK47" s="19"/>
      <c r="KVL47" s="21"/>
      <c r="KVM47" s="19"/>
      <c r="KVV47" s="19"/>
      <c r="KVW47" s="19"/>
      <c r="KVX47" s="19"/>
      <c r="KVY47" s="19"/>
      <c r="KVZ47" s="21"/>
      <c r="KWA47" s="19"/>
      <c r="KWJ47" s="19"/>
      <c r="KWK47" s="19"/>
      <c r="KWL47" s="19"/>
      <c r="KWM47" s="19"/>
      <c r="KWN47" s="21"/>
      <c r="KWO47" s="19"/>
      <c r="KWX47" s="19"/>
      <c r="KWY47" s="19"/>
      <c r="KWZ47" s="19"/>
      <c r="KXA47" s="19"/>
      <c r="KXB47" s="21"/>
      <c r="KXC47" s="19"/>
      <c r="KXL47" s="19"/>
      <c r="KXM47" s="19"/>
      <c r="KXN47" s="19"/>
      <c r="KXO47" s="19"/>
      <c r="KXP47" s="21"/>
      <c r="KXQ47" s="19"/>
      <c r="KXZ47" s="19"/>
      <c r="KYA47" s="19"/>
      <c r="KYB47" s="19"/>
      <c r="KYC47" s="19"/>
      <c r="KYD47" s="21"/>
      <c r="KYE47" s="19"/>
      <c r="KYN47" s="19"/>
      <c r="KYO47" s="19"/>
      <c r="KYP47" s="19"/>
      <c r="KYQ47" s="19"/>
      <c r="KYR47" s="21"/>
      <c r="KYS47" s="19"/>
      <c r="KZB47" s="19"/>
      <c r="KZC47" s="19"/>
      <c r="KZD47" s="19"/>
      <c r="KZE47" s="19"/>
      <c r="KZF47" s="21"/>
      <c r="KZG47" s="19"/>
      <c r="KZP47" s="19"/>
      <c r="KZQ47" s="19"/>
      <c r="KZR47" s="19"/>
      <c r="KZS47" s="19"/>
      <c r="KZT47" s="21"/>
      <c r="KZU47" s="19"/>
      <c r="LAD47" s="19"/>
      <c r="LAE47" s="19"/>
      <c r="LAF47" s="19"/>
      <c r="LAG47" s="19"/>
      <c r="LAH47" s="21"/>
      <c r="LAI47" s="19"/>
      <c r="LAR47" s="19"/>
      <c r="LAS47" s="19"/>
      <c r="LAT47" s="19"/>
      <c r="LAU47" s="19"/>
      <c r="LAV47" s="21"/>
      <c r="LAW47" s="19"/>
      <c r="LBF47" s="19"/>
      <c r="LBG47" s="19"/>
      <c r="LBH47" s="19"/>
      <c r="LBI47" s="19"/>
      <c r="LBJ47" s="21"/>
      <c r="LBK47" s="19"/>
      <c r="LBT47" s="19"/>
      <c r="LBU47" s="19"/>
      <c r="LBV47" s="19"/>
      <c r="LBW47" s="19"/>
      <c r="LBX47" s="21"/>
      <c r="LBY47" s="19"/>
      <c r="LCH47" s="19"/>
      <c r="LCI47" s="19"/>
      <c r="LCJ47" s="19"/>
      <c r="LCK47" s="19"/>
      <c r="LCL47" s="21"/>
      <c r="LCM47" s="19"/>
      <c r="LCV47" s="19"/>
      <c r="LCW47" s="19"/>
      <c r="LCX47" s="19"/>
      <c r="LCY47" s="19"/>
      <c r="LCZ47" s="21"/>
      <c r="LDA47" s="19"/>
      <c r="LDJ47" s="19"/>
      <c r="LDK47" s="19"/>
      <c r="LDL47" s="19"/>
      <c r="LDM47" s="19"/>
      <c r="LDN47" s="21"/>
      <c r="LDO47" s="19"/>
      <c r="LDX47" s="19"/>
      <c r="LDY47" s="19"/>
      <c r="LDZ47" s="19"/>
      <c r="LEA47" s="19"/>
      <c r="LEB47" s="21"/>
      <c r="LEC47" s="19"/>
      <c r="LEL47" s="19"/>
      <c r="LEM47" s="19"/>
      <c r="LEN47" s="19"/>
      <c r="LEO47" s="19"/>
      <c r="LEP47" s="21"/>
      <c r="LEQ47" s="19"/>
      <c r="LEZ47" s="19"/>
      <c r="LFA47" s="19"/>
      <c r="LFB47" s="19"/>
      <c r="LFC47" s="19"/>
      <c r="LFD47" s="21"/>
      <c r="LFE47" s="19"/>
      <c r="LFN47" s="19"/>
      <c r="LFO47" s="19"/>
      <c r="LFP47" s="19"/>
      <c r="LFQ47" s="19"/>
      <c r="LFR47" s="21"/>
      <c r="LFS47" s="19"/>
      <c r="LGB47" s="19"/>
      <c r="LGC47" s="19"/>
      <c r="LGD47" s="19"/>
      <c r="LGE47" s="19"/>
      <c r="LGF47" s="21"/>
      <c r="LGG47" s="19"/>
      <c r="LGP47" s="19"/>
      <c r="LGQ47" s="19"/>
      <c r="LGR47" s="19"/>
      <c r="LGS47" s="19"/>
      <c r="LGT47" s="21"/>
      <c r="LGU47" s="19"/>
      <c r="LHD47" s="19"/>
      <c r="LHE47" s="19"/>
      <c r="LHF47" s="19"/>
      <c r="LHG47" s="19"/>
      <c r="LHH47" s="21"/>
      <c r="LHI47" s="19"/>
      <c r="LHR47" s="19"/>
      <c r="LHS47" s="19"/>
      <c r="LHT47" s="19"/>
      <c r="LHU47" s="19"/>
      <c r="LHV47" s="21"/>
      <c r="LHW47" s="19"/>
      <c r="LIF47" s="19"/>
      <c r="LIG47" s="19"/>
      <c r="LIH47" s="19"/>
      <c r="LII47" s="19"/>
      <c r="LIJ47" s="21"/>
      <c r="LIK47" s="19"/>
      <c r="LIT47" s="19"/>
      <c r="LIU47" s="19"/>
      <c r="LIV47" s="19"/>
      <c r="LIW47" s="19"/>
      <c r="LIX47" s="21"/>
      <c r="LIY47" s="19"/>
      <c r="LJH47" s="19"/>
      <c r="LJI47" s="19"/>
      <c r="LJJ47" s="19"/>
      <c r="LJK47" s="19"/>
      <c r="LJL47" s="21"/>
      <c r="LJM47" s="19"/>
      <c r="LJV47" s="19"/>
      <c r="LJW47" s="19"/>
      <c r="LJX47" s="19"/>
      <c r="LJY47" s="19"/>
      <c r="LJZ47" s="21"/>
      <c r="LKA47" s="19"/>
      <c r="LKJ47" s="19"/>
      <c r="LKK47" s="19"/>
      <c r="LKL47" s="19"/>
      <c r="LKM47" s="19"/>
      <c r="LKN47" s="21"/>
      <c r="LKO47" s="19"/>
      <c r="LKX47" s="19"/>
      <c r="LKY47" s="19"/>
      <c r="LKZ47" s="19"/>
      <c r="LLA47" s="19"/>
      <c r="LLB47" s="21"/>
      <c r="LLC47" s="19"/>
      <c r="LLL47" s="19"/>
      <c r="LLM47" s="19"/>
      <c r="LLN47" s="19"/>
      <c r="LLO47" s="19"/>
      <c r="LLP47" s="21"/>
      <c r="LLQ47" s="19"/>
      <c r="LLZ47" s="19"/>
      <c r="LMA47" s="19"/>
      <c r="LMB47" s="19"/>
      <c r="LMC47" s="19"/>
      <c r="LMD47" s="21"/>
      <c r="LME47" s="19"/>
      <c r="LMN47" s="19"/>
      <c r="LMO47" s="19"/>
      <c r="LMP47" s="19"/>
      <c r="LMQ47" s="19"/>
      <c r="LMR47" s="21"/>
      <c r="LMS47" s="19"/>
      <c r="LNB47" s="19"/>
      <c r="LNC47" s="19"/>
      <c r="LND47" s="19"/>
      <c r="LNE47" s="19"/>
      <c r="LNF47" s="21"/>
      <c r="LNG47" s="19"/>
      <c r="LNP47" s="19"/>
      <c r="LNQ47" s="19"/>
      <c r="LNR47" s="19"/>
      <c r="LNS47" s="19"/>
      <c r="LNT47" s="21"/>
      <c r="LNU47" s="19"/>
      <c r="LOD47" s="19"/>
      <c r="LOE47" s="19"/>
      <c r="LOF47" s="19"/>
      <c r="LOG47" s="19"/>
      <c r="LOH47" s="21"/>
      <c r="LOI47" s="19"/>
      <c r="LOR47" s="19"/>
      <c r="LOS47" s="19"/>
      <c r="LOT47" s="19"/>
      <c r="LOU47" s="19"/>
      <c r="LOV47" s="21"/>
      <c r="LOW47" s="19"/>
      <c r="LPF47" s="19"/>
      <c r="LPG47" s="19"/>
      <c r="LPH47" s="19"/>
      <c r="LPI47" s="19"/>
      <c r="LPJ47" s="21"/>
      <c r="LPK47" s="19"/>
      <c r="LPT47" s="19"/>
      <c r="LPU47" s="19"/>
      <c r="LPV47" s="19"/>
      <c r="LPW47" s="19"/>
      <c r="LPX47" s="21"/>
      <c r="LPY47" s="19"/>
      <c r="LQH47" s="19"/>
      <c r="LQI47" s="19"/>
      <c r="LQJ47" s="19"/>
      <c r="LQK47" s="19"/>
      <c r="LQL47" s="21"/>
      <c r="LQM47" s="19"/>
      <c r="LQV47" s="19"/>
      <c r="LQW47" s="19"/>
      <c r="LQX47" s="19"/>
      <c r="LQY47" s="19"/>
      <c r="LQZ47" s="21"/>
      <c r="LRA47" s="19"/>
      <c r="LRJ47" s="19"/>
      <c r="LRK47" s="19"/>
      <c r="LRL47" s="19"/>
      <c r="LRM47" s="19"/>
      <c r="LRN47" s="21"/>
      <c r="LRO47" s="19"/>
      <c r="LRX47" s="19"/>
      <c r="LRY47" s="19"/>
      <c r="LRZ47" s="19"/>
      <c r="LSA47" s="19"/>
      <c r="LSB47" s="21"/>
      <c r="LSC47" s="19"/>
      <c r="LSL47" s="19"/>
      <c r="LSM47" s="19"/>
      <c r="LSN47" s="19"/>
      <c r="LSO47" s="19"/>
      <c r="LSP47" s="21"/>
      <c r="LSQ47" s="19"/>
      <c r="LSZ47" s="19"/>
      <c r="LTA47" s="19"/>
      <c r="LTB47" s="19"/>
      <c r="LTC47" s="19"/>
      <c r="LTD47" s="21"/>
      <c r="LTE47" s="19"/>
      <c r="LTN47" s="19"/>
      <c r="LTO47" s="19"/>
      <c r="LTP47" s="19"/>
      <c r="LTQ47" s="19"/>
      <c r="LTR47" s="21"/>
      <c r="LTS47" s="19"/>
      <c r="LUB47" s="19"/>
      <c r="LUC47" s="19"/>
      <c r="LUD47" s="19"/>
      <c r="LUE47" s="19"/>
      <c r="LUF47" s="21"/>
      <c r="LUG47" s="19"/>
      <c r="LUP47" s="19"/>
      <c r="LUQ47" s="19"/>
      <c r="LUR47" s="19"/>
      <c r="LUS47" s="19"/>
      <c r="LUT47" s="21"/>
      <c r="LUU47" s="19"/>
      <c r="LVD47" s="19"/>
      <c r="LVE47" s="19"/>
      <c r="LVF47" s="19"/>
      <c r="LVG47" s="19"/>
      <c r="LVH47" s="21"/>
      <c r="LVI47" s="19"/>
      <c r="LVR47" s="19"/>
      <c r="LVS47" s="19"/>
      <c r="LVT47" s="19"/>
      <c r="LVU47" s="19"/>
      <c r="LVV47" s="21"/>
      <c r="LVW47" s="19"/>
      <c r="LWF47" s="19"/>
      <c r="LWG47" s="19"/>
      <c r="LWH47" s="19"/>
      <c r="LWI47" s="19"/>
      <c r="LWJ47" s="21"/>
      <c r="LWK47" s="19"/>
      <c r="LWT47" s="19"/>
      <c r="LWU47" s="19"/>
      <c r="LWV47" s="19"/>
      <c r="LWW47" s="19"/>
      <c r="LWX47" s="21"/>
      <c r="LWY47" s="19"/>
      <c r="LXH47" s="19"/>
      <c r="LXI47" s="19"/>
      <c r="LXJ47" s="19"/>
      <c r="LXK47" s="19"/>
      <c r="LXL47" s="21"/>
      <c r="LXM47" s="19"/>
      <c r="LXV47" s="19"/>
      <c r="LXW47" s="19"/>
      <c r="LXX47" s="19"/>
      <c r="LXY47" s="19"/>
      <c r="LXZ47" s="21"/>
      <c r="LYA47" s="19"/>
      <c r="LYJ47" s="19"/>
      <c r="LYK47" s="19"/>
      <c r="LYL47" s="19"/>
      <c r="LYM47" s="19"/>
      <c r="LYN47" s="21"/>
      <c r="LYO47" s="19"/>
      <c r="LYX47" s="19"/>
      <c r="LYY47" s="19"/>
      <c r="LYZ47" s="19"/>
      <c r="LZA47" s="19"/>
      <c r="LZB47" s="21"/>
      <c r="LZC47" s="19"/>
      <c r="LZL47" s="19"/>
      <c r="LZM47" s="19"/>
      <c r="LZN47" s="19"/>
      <c r="LZO47" s="19"/>
      <c r="LZP47" s="21"/>
      <c r="LZQ47" s="19"/>
      <c r="LZZ47" s="19"/>
      <c r="MAA47" s="19"/>
      <c r="MAB47" s="19"/>
      <c r="MAC47" s="19"/>
      <c r="MAD47" s="21"/>
      <c r="MAE47" s="19"/>
      <c r="MAN47" s="19"/>
      <c r="MAO47" s="19"/>
      <c r="MAP47" s="19"/>
      <c r="MAQ47" s="19"/>
      <c r="MAR47" s="21"/>
      <c r="MAS47" s="19"/>
      <c r="MBB47" s="19"/>
      <c r="MBC47" s="19"/>
      <c r="MBD47" s="19"/>
      <c r="MBE47" s="19"/>
      <c r="MBF47" s="21"/>
      <c r="MBG47" s="19"/>
      <c r="MBP47" s="19"/>
      <c r="MBQ47" s="19"/>
      <c r="MBR47" s="19"/>
      <c r="MBS47" s="19"/>
      <c r="MBT47" s="21"/>
      <c r="MBU47" s="19"/>
      <c r="MCD47" s="19"/>
      <c r="MCE47" s="19"/>
      <c r="MCF47" s="19"/>
      <c r="MCG47" s="19"/>
      <c r="MCH47" s="21"/>
      <c r="MCI47" s="19"/>
      <c r="MCR47" s="19"/>
      <c r="MCS47" s="19"/>
      <c r="MCT47" s="19"/>
      <c r="MCU47" s="19"/>
      <c r="MCV47" s="21"/>
      <c r="MCW47" s="19"/>
      <c r="MDF47" s="19"/>
      <c r="MDG47" s="19"/>
      <c r="MDH47" s="19"/>
      <c r="MDI47" s="19"/>
      <c r="MDJ47" s="21"/>
      <c r="MDK47" s="19"/>
      <c r="MDT47" s="19"/>
      <c r="MDU47" s="19"/>
      <c r="MDV47" s="19"/>
      <c r="MDW47" s="19"/>
      <c r="MDX47" s="21"/>
      <c r="MDY47" s="19"/>
      <c r="MEH47" s="19"/>
      <c r="MEI47" s="19"/>
      <c r="MEJ47" s="19"/>
      <c r="MEK47" s="19"/>
      <c r="MEL47" s="21"/>
      <c r="MEM47" s="19"/>
      <c r="MEV47" s="19"/>
      <c r="MEW47" s="19"/>
      <c r="MEX47" s="19"/>
      <c r="MEY47" s="19"/>
      <c r="MEZ47" s="21"/>
      <c r="MFA47" s="19"/>
      <c r="MFJ47" s="19"/>
      <c r="MFK47" s="19"/>
      <c r="MFL47" s="19"/>
      <c r="MFM47" s="19"/>
      <c r="MFN47" s="21"/>
      <c r="MFO47" s="19"/>
      <c r="MFX47" s="19"/>
      <c r="MFY47" s="19"/>
      <c r="MFZ47" s="19"/>
      <c r="MGA47" s="19"/>
      <c r="MGB47" s="21"/>
      <c r="MGC47" s="19"/>
      <c r="MGL47" s="19"/>
      <c r="MGM47" s="19"/>
      <c r="MGN47" s="19"/>
      <c r="MGO47" s="19"/>
      <c r="MGP47" s="21"/>
      <c r="MGQ47" s="19"/>
      <c r="MGZ47" s="19"/>
      <c r="MHA47" s="19"/>
      <c r="MHB47" s="19"/>
      <c r="MHC47" s="19"/>
      <c r="MHD47" s="21"/>
      <c r="MHE47" s="19"/>
      <c r="MHN47" s="19"/>
      <c r="MHO47" s="19"/>
      <c r="MHP47" s="19"/>
      <c r="MHQ47" s="19"/>
      <c r="MHR47" s="21"/>
      <c r="MHS47" s="19"/>
      <c r="MIB47" s="19"/>
      <c r="MIC47" s="19"/>
      <c r="MID47" s="19"/>
      <c r="MIE47" s="19"/>
      <c r="MIF47" s="21"/>
      <c r="MIG47" s="19"/>
      <c r="MIP47" s="19"/>
      <c r="MIQ47" s="19"/>
      <c r="MIR47" s="19"/>
      <c r="MIS47" s="19"/>
      <c r="MIT47" s="21"/>
      <c r="MIU47" s="19"/>
      <c r="MJD47" s="19"/>
      <c r="MJE47" s="19"/>
      <c r="MJF47" s="19"/>
      <c r="MJG47" s="19"/>
      <c r="MJH47" s="21"/>
      <c r="MJI47" s="19"/>
      <c r="MJR47" s="19"/>
      <c r="MJS47" s="19"/>
      <c r="MJT47" s="19"/>
      <c r="MJU47" s="19"/>
      <c r="MJV47" s="21"/>
      <c r="MJW47" s="19"/>
      <c r="MKF47" s="19"/>
      <c r="MKG47" s="19"/>
      <c r="MKH47" s="19"/>
      <c r="MKI47" s="19"/>
      <c r="MKJ47" s="21"/>
      <c r="MKK47" s="19"/>
      <c r="MKT47" s="19"/>
      <c r="MKU47" s="19"/>
      <c r="MKV47" s="19"/>
      <c r="MKW47" s="19"/>
      <c r="MKX47" s="21"/>
      <c r="MKY47" s="19"/>
      <c r="MLH47" s="19"/>
      <c r="MLI47" s="19"/>
      <c r="MLJ47" s="19"/>
      <c r="MLK47" s="19"/>
      <c r="MLL47" s="21"/>
      <c r="MLM47" s="19"/>
      <c r="MLV47" s="19"/>
      <c r="MLW47" s="19"/>
      <c r="MLX47" s="19"/>
      <c r="MLY47" s="19"/>
      <c r="MLZ47" s="21"/>
      <c r="MMA47" s="19"/>
      <c r="MMJ47" s="19"/>
      <c r="MMK47" s="19"/>
      <c r="MML47" s="19"/>
      <c r="MMM47" s="19"/>
      <c r="MMN47" s="21"/>
      <c r="MMO47" s="19"/>
      <c r="MMX47" s="19"/>
      <c r="MMY47" s="19"/>
      <c r="MMZ47" s="19"/>
      <c r="MNA47" s="19"/>
      <c r="MNB47" s="21"/>
      <c r="MNC47" s="19"/>
      <c r="MNL47" s="19"/>
      <c r="MNM47" s="19"/>
      <c r="MNN47" s="19"/>
      <c r="MNO47" s="19"/>
      <c r="MNP47" s="21"/>
      <c r="MNQ47" s="19"/>
      <c r="MNZ47" s="19"/>
      <c r="MOA47" s="19"/>
      <c r="MOB47" s="19"/>
      <c r="MOC47" s="19"/>
      <c r="MOD47" s="21"/>
      <c r="MOE47" s="19"/>
      <c r="MON47" s="19"/>
      <c r="MOO47" s="19"/>
      <c r="MOP47" s="19"/>
      <c r="MOQ47" s="19"/>
      <c r="MOR47" s="21"/>
      <c r="MOS47" s="19"/>
      <c r="MPB47" s="19"/>
      <c r="MPC47" s="19"/>
      <c r="MPD47" s="19"/>
      <c r="MPE47" s="19"/>
      <c r="MPF47" s="21"/>
      <c r="MPG47" s="19"/>
      <c r="MPP47" s="19"/>
      <c r="MPQ47" s="19"/>
      <c r="MPR47" s="19"/>
      <c r="MPS47" s="19"/>
      <c r="MPT47" s="21"/>
      <c r="MPU47" s="19"/>
      <c r="MQD47" s="19"/>
      <c r="MQE47" s="19"/>
      <c r="MQF47" s="19"/>
      <c r="MQG47" s="19"/>
      <c r="MQH47" s="21"/>
      <c r="MQI47" s="19"/>
      <c r="MQR47" s="19"/>
      <c r="MQS47" s="19"/>
      <c r="MQT47" s="19"/>
      <c r="MQU47" s="19"/>
      <c r="MQV47" s="21"/>
      <c r="MQW47" s="19"/>
      <c r="MRF47" s="19"/>
      <c r="MRG47" s="19"/>
      <c r="MRH47" s="19"/>
      <c r="MRI47" s="19"/>
      <c r="MRJ47" s="21"/>
      <c r="MRK47" s="19"/>
      <c r="MRT47" s="19"/>
      <c r="MRU47" s="19"/>
      <c r="MRV47" s="19"/>
      <c r="MRW47" s="19"/>
      <c r="MRX47" s="21"/>
      <c r="MRY47" s="19"/>
      <c r="MSH47" s="19"/>
      <c r="MSI47" s="19"/>
      <c r="MSJ47" s="19"/>
      <c r="MSK47" s="19"/>
      <c r="MSL47" s="21"/>
      <c r="MSM47" s="19"/>
      <c r="MSV47" s="19"/>
      <c r="MSW47" s="19"/>
      <c r="MSX47" s="19"/>
      <c r="MSY47" s="19"/>
      <c r="MSZ47" s="21"/>
      <c r="MTA47" s="19"/>
      <c r="MTJ47" s="19"/>
      <c r="MTK47" s="19"/>
      <c r="MTL47" s="19"/>
      <c r="MTM47" s="19"/>
      <c r="MTN47" s="21"/>
      <c r="MTO47" s="19"/>
      <c r="MTX47" s="19"/>
      <c r="MTY47" s="19"/>
      <c r="MTZ47" s="19"/>
      <c r="MUA47" s="19"/>
      <c r="MUB47" s="21"/>
      <c r="MUC47" s="19"/>
      <c r="MUL47" s="19"/>
      <c r="MUM47" s="19"/>
      <c r="MUN47" s="19"/>
      <c r="MUO47" s="19"/>
      <c r="MUP47" s="21"/>
      <c r="MUQ47" s="19"/>
      <c r="MUZ47" s="19"/>
      <c r="MVA47" s="19"/>
      <c r="MVB47" s="19"/>
      <c r="MVC47" s="19"/>
      <c r="MVD47" s="21"/>
      <c r="MVE47" s="19"/>
      <c r="MVN47" s="19"/>
      <c r="MVO47" s="19"/>
      <c r="MVP47" s="19"/>
      <c r="MVQ47" s="19"/>
      <c r="MVR47" s="21"/>
      <c r="MVS47" s="19"/>
      <c r="MWB47" s="19"/>
      <c r="MWC47" s="19"/>
      <c r="MWD47" s="19"/>
      <c r="MWE47" s="19"/>
      <c r="MWF47" s="21"/>
      <c r="MWG47" s="19"/>
      <c r="MWP47" s="19"/>
      <c r="MWQ47" s="19"/>
      <c r="MWR47" s="19"/>
      <c r="MWS47" s="19"/>
      <c r="MWT47" s="21"/>
      <c r="MWU47" s="19"/>
      <c r="MXD47" s="19"/>
      <c r="MXE47" s="19"/>
      <c r="MXF47" s="19"/>
      <c r="MXG47" s="19"/>
      <c r="MXH47" s="21"/>
      <c r="MXI47" s="19"/>
      <c r="MXR47" s="19"/>
      <c r="MXS47" s="19"/>
      <c r="MXT47" s="19"/>
      <c r="MXU47" s="19"/>
      <c r="MXV47" s="21"/>
      <c r="MXW47" s="19"/>
      <c r="MYF47" s="19"/>
      <c r="MYG47" s="19"/>
      <c r="MYH47" s="19"/>
      <c r="MYI47" s="19"/>
      <c r="MYJ47" s="21"/>
      <c r="MYK47" s="19"/>
      <c r="MYT47" s="19"/>
      <c r="MYU47" s="19"/>
      <c r="MYV47" s="19"/>
      <c r="MYW47" s="19"/>
      <c r="MYX47" s="21"/>
      <c r="MYY47" s="19"/>
      <c r="MZH47" s="19"/>
      <c r="MZI47" s="19"/>
      <c r="MZJ47" s="19"/>
      <c r="MZK47" s="19"/>
      <c r="MZL47" s="21"/>
      <c r="MZM47" s="19"/>
      <c r="MZV47" s="19"/>
      <c r="MZW47" s="19"/>
      <c r="MZX47" s="19"/>
      <c r="MZY47" s="19"/>
      <c r="MZZ47" s="21"/>
      <c r="NAA47" s="19"/>
      <c r="NAJ47" s="19"/>
      <c r="NAK47" s="19"/>
      <c r="NAL47" s="19"/>
      <c r="NAM47" s="19"/>
      <c r="NAN47" s="21"/>
      <c r="NAO47" s="19"/>
      <c r="NAX47" s="19"/>
      <c r="NAY47" s="19"/>
      <c r="NAZ47" s="19"/>
      <c r="NBA47" s="19"/>
      <c r="NBB47" s="21"/>
      <c r="NBC47" s="19"/>
      <c r="NBL47" s="19"/>
      <c r="NBM47" s="19"/>
      <c r="NBN47" s="19"/>
      <c r="NBO47" s="19"/>
      <c r="NBP47" s="21"/>
      <c r="NBQ47" s="19"/>
      <c r="NBZ47" s="19"/>
      <c r="NCA47" s="19"/>
      <c r="NCB47" s="19"/>
      <c r="NCC47" s="19"/>
      <c r="NCD47" s="21"/>
      <c r="NCE47" s="19"/>
      <c r="NCN47" s="19"/>
      <c r="NCO47" s="19"/>
      <c r="NCP47" s="19"/>
      <c r="NCQ47" s="19"/>
      <c r="NCR47" s="21"/>
      <c r="NCS47" s="19"/>
      <c r="NDB47" s="19"/>
      <c r="NDC47" s="19"/>
      <c r="NDD47" s="19"/>
      <c r="NDE47" s="19"/>
      <c r="NDF47" s="21"/>
      <c r="NDG47" s="19"/>
      <c r="NDP47" s="19"/>
      <c r="NDQ47" s="19"/>
      <c r="NDR47" s="19"/>
      <c r="NDS47" s="19"/>
      <c r="NDT47" s="21"/>
      <c r="NDU47" s="19"/>
      <c r="NED47" s="19"/>
      <c r="NEE47" s="19"/>
      <c r="NEF47" s="19"/>
      <c r="NEG47" s="19"/>
      <c r="NEH47" s="21"/>
      <c r="NEI47" s="19"/>
      <c r="NER47" s="19"/>
      <c r="NES47" s="19"/>
      <c r="NET47" s="19"/>
      <c r="NEU47" s="19"/>
      <c r="NEV47" s="21"/>
      <c r="NEW47" s="19"/>
      <c r="NFF47" s="19"/>
      <c r="NFG47" s="19"/>
      <c r="NFH47" s="19"/>
      <c r="NFI47" s="19"/>
      <c r="NFJ47" s="21"/>
      <c r="NFK47" s="19"/>
      <c r="NFT47" s="19"/>
      <c r="NFU47" s="19"/>
      <c r="NFV47" s="19"/>
      <c r="NFW47" s="19"/>
      <c r="NFX47" s="21"/>
      <c r="NFY47" s="19"/>
      <c r="NGH47" s="19"/>
      <c r="NGI47" s="19"/>
      <c r="NGJ47" s="19"/>
      <c r="NGK47" s="19"/>
      <c r="NGL47" s="21"/>
      <c r="NGM47" s="19"/>
      <c r="NGV47" s="19"/>
      <c r="NGW47" s="19"/>
      <c r="NGX47" s="19"/>
      <c r="NGY47" s="19"/>
      <c r="NGZ47" s="21"/>
      <c r="NHA47" s="19"/>
      <c r="NHJ47" s="19"/>
      <c r="NHK47" s="19"/>
      <c r="NHL47" s="19"/>
      <c r="NHM47" s="19"/>
      <c r="NHN47" s="21"/>
      <c r="NHO47" s="19"/>
      <c r="NHX47" s="19"/>
      <c r="NHY47" s="19"/>
      <c r="NHZ47" s="19"/>
      <c r="NIA47" s="19"/>
      <c r="NIB47" s="21"/>
      <c r="NIC47" s="19"/>
      <c r="NIL47" s="19"/>
      <c r="NIM47" s="19"/>
      <c r="NIN47" s="19"/>
      <c r="NIO47" s="19"/>
      <c r="NIP47" s="21"/>
      <c r="NIQ47" s="19"/>
      <c r="NIZ47" s="19"/>
      <c r="NJA47" s="19"/>
      <c r="NJB47" s="19"/>
      <c r="NJC47" s="19"/>
      <c r="NJD47" s="21"/>
      <c r="NJE47" s="19"/>
      <c r="NJN47" s="19"/>
      <c r="NJO47" s="19"/>
      <c r="NJP47" s="19"/>
      <c r="NJQ47" s="19"/>
      <c r="NJR47" s="21"/>
      <c r="NJS47" s="19"/>
      <c r="NKB47" s="19"/>
      <c r="NKC47" s="19"/>
      <c r="NKD47" s="19"/>
      <c r="NKE47" s="19"/>
      <c r="NKF47" s="21"/>
      <c r="NKG47" s="19"/>
      <c r="NKP47" s="19"/>
      <c r="NKQ47" s="19"/>
      <c r="NKR47" s="19"/>
      <c r="NKS47" s="19"/>
      <c r="NKT47" s="21"/>
      <c r="NKU47" s="19"/>
      <c r="NLD47" s="19"/>
      <c r="NLE47" s="19"/>
      <c r="NLF47" s="19"/>
      <c r="NLG47" s="19"/>
      <c r="NLH47" s="21"/>
      <c r="NLI47" s="19"/>
      <c r="NLR47" s="19"/>
      <c r="NLS47" s="19"/>
      <c r="NLT47" s="19"/>
      <c r="NLU47" s="19"/>
      <c r="NLV47" s="21"/>
      <c r="NLW47" s="19"/>
      <c r="NMF47" s="19"/>
      <c r="NMG47" s="19"/>
      <c r="NMH47" s="19"/>
      <c r="NMI47" s="19"/>
      <c r="NMJ47" s="21"/>
      <c r="NMK47" s="19"/>
      <c r="NMT47" s="19"/>
      <c r="NMU47" s="19"/>
      <c r="NMV47" s="19"/>
      <c r="NMW47" s="19"/>
      <c r="NMX47" s="21"/>
      <c r="NMY47" s="19"/>
      <c r="NNH47" s="19"/>
      <c r="NNI47" s="19"/>
      <c r="NNJ47" s="19"/>
      <c r="NNK47" s="19"/>
      <c r="NNL47" s="21"/>
      <c r="NNM47" s="19"/>
      <c r="NNV47" s="19"/>
      <c r="NNW47" s="19"/>
      <c r="NNX47" s="19"/>
      <c r="NNY47" s="19"/>
      <c r="NNZ47" s="21"/>
      <c r="NOA47" s="19"/>
      <c r="NOJ47" s="19"/>
      <c r="NOK47" s="19"/>
      <c r="NOL47" s="19"/>
      <c r="NOM47" s="19"/>
      <c r="NON47" s="21"/>
      <c r="NOO47" s="19"/>
      <c r="NOX47" s="19"/>
      <c r="NOY47" s="19"/>
      <c r="NOZ47" s="19"/>
      <c r="NPA47" s="19"/>
      <c r="NPB47" s="21"/>
      <c r="NPC47" s="19"/>
      <c r="NPL47" s="19"/>
      <c r="NPM47" s="19"/>
      <c r="NPN47" s="19"/>
      <c r="NPO47" s="19"/>
      <c r="NPP47" s="21"/>
      <c r="NPQ47" s="19"/>
      <c r="NPZ47" s="19"/>
      <c r="NQA47" s="19"/>
      <c r="NQB47" s="19"/>
      <c r="NQC47" s="19"/>
      <c r="NQD47" s="21"/>
      <c r="NQE47" s="19"/>
      <c r="NQN47" s="19"/>
      <c r="NQO47" s="19"/>
      <c r="NQP47" s="19"/>
      <c r="NQQ47" s="19"/>
      <c r="NQR47" s="21"/>
      <c r="NQS47" s="19"/>
      <c r="NRB47" s="19"/>
      <c r="NRC47" s="19"/>
      <c r="NRD47" s="19"/>
      <c r="NRE47" s="19"/>
      <c r="NRF47" s="21"/>
      <c r="NRG47" s="19"/>
      <c r="NRP47" s="19"/>
      <c r="NRQ47" s="19"/>
      <c r="NRR47" s="19"/>
      <c r="NRS47" s="19"/>
      <c r="NRT47" s="21"/>
      <c r="NRU47" s="19"/>
      <c r="NSD47" s="19"/>
      <c r="NSE47" s="19"/>
      <c r="NSF47" s="19"/>
      <c r="NSG47" s="19"/>
      <c r="NSH47" s="21"/>
      <c r="NSI47" s="19"/>
      <c r="NSR47" s="19"/>
      <c r="NSS47" s="19"/>
      <c r="NST47" s="19"/>
      <c r="NSU47" s="19"/>
      <c r="NSV47" s="21"/>
      <c r="NSW47" s="19"/>
      <c r="NTF47" s="19"/>
      <c r="NTG47" s="19"/>
      <c r="NTH47" s="19"/>
      <c r="NTI47" s="19"/>
      <c r="NTJ47" s="21"/>
      <c r="NTK47" s="19"/>
      <c r="NTT47" s="19"/>
      <c r="NTU47" s="19"/>
      <c r="NTV47" s="19"/>
      <c r="NTW47" s="19"/>
      <c r="NTX47" s="21"/>
      <c r="NTY47" s="19"/>
      <c r="NUH47" s="19"/>
      <c r="NUI47" s="19"/>
      <c r="NUJ47" s="19"/>
      <c r="NUK47" s="19"/>
      <c r="NUL47" s="21"/>
      <c r="NUM47" s="19"/>
      <c r="NUV47" s="19"/>
      <c r="NUW47" s="19"/>
      <c r="NUX47" s="19"/>
      <c r="NUY47" s="19"/>
      <c r="NUZ47" s="21"/>
      <c r="NVA47" s="19"/>
      <c r="NVJ47" s="19"/>
      <c r="NVK47" s="19"/>
      <c r="NVL47" s="19"/>
      <c r="NVM47" s="19"/>
      <c r="NVN47" s="21"/>
      <c r="NVO47" s="19"/>
      <c r="NVX47" s="19"/>
      <c r="NVY47" s="19"/>
      <c r="NVZ47" s="19"/>
      <c r="NWA47" s="19"/>
      <c r="NWB47" s="21"/>
      <c r="NWC47" s="19"/>
      <c r="NWL47" s="19"/>
      <c r="NWM47" s="19"/>
      <c r="NWN47" s="19"/>
      <c r="NWO47" s="19"/>
      <c r="NWP47" s="21"/>
      <c r="NWQ47" s="19"/>
      <c r="NWZ47" s="19"/>
      <c r="NXA47" s="19"/>
      <c r="NXB47" s="19"/>
      <c r="NXC47" s="19"/>
      <c r="NXD47" s="21"/>
      <c r="NXE47" s="19"/>
      <c r="NXN47" s="19"/>
      <c r="NXO47" s="19"/>
      <c r="NXP47" s="19"/>
      <c r="NXQ47" s="19"/>
      <c r="NXR47" s="21"/>
      <c r="NXS47" s="19"/>
      <c r="NYB47" s="19"/>
      <c r="NYC47" s="19"/>
      <c r="NYD47" s="19"/>
      <c r="NYE47" s="19"/>
      <c r="NYF47" s="21"/>
      <c r="NYG47" s="19"/>
      <c r="NYP47" s="19"/>
      <c r="NYQ47" s="19"/>
      <c r="NYR47" s="19"/>
      <c r="NYS47" s="19"/>
      <c r="NYT47" s="21"/>
      <c r="NYU47" s="19"/>
      <c r="NZD47" s="19"/>
      <c r="NZE47" s="19"/>
      <c r="NZF47" s="19"/>
      <c r="NZG47" s="19"/>
      <c r="NZH47" s="21"/>
      <c r="NZI47" s="19"/>
      <c r="NZR47" s="19"/>
      <c r="NZS47" s="19"/>
      <c r="NZT47" s="19"/>
      <c r="NZU47" s="19"/>
      <c r="NZV47" s="21"/>
      <c r="NZW47" s="19"/>
      <c r="OAF47" s="19"/>
      <c r="OAG47" s="19"/>
      <c r="OAH47" s="19"/>
      <c r="OAI47" s="19"/>
      <c r="OAJ47" s="21"/>
      <c r="OAK47" s="19"/>
      <c r="OAT47" s="19"/>
      <c r="OAU47" s="19"/>
      <c r="OAV47" s="19"/>
      <c r="OAW47" s="19"/>
      <c r="OAX47" s="21"/>
      <c r="OAY47" s="19"/>
      <c r="OBH47" s="19"/>
      <c r="OBI47" s="19"/>
      <c r="OBJ47" s="19"/>
      <c r="OBK47" s="19"/>
      <c r="OBL47" s="21"/>
      <c r="OBM47" s="19"/>
      <c r="OBV47" s="19"/>
      <c r="OBW47" s="19"/>
      <c r="OBX47" s="19"/>
      <c r="OBY47" s="19"/>
      <c r="OBZ47" s="21"/>
      <c r="OCA47" s="19"/>
      <c r="OCJ47" s="19"/>
      <c r="OCK47" s="19"/>
      <c r="OCL47" s="19"/>
      <c r="OCM47" s="19"/>
      <c r="OCN47" s="21"/>
      <c r="OCO47" s="19"/>
      <c r="OCX47" s="19"/>
      <c r="OCY47" s="19"/>
      <c r="OCZ47" s="19"/>
      <c r="ODA47" s="19"/>
      <c r="ODB47" s="21"/>
      <c r="ODC47" s="19"/>
      <c r="ODL47" s="19"/>
      <c r="ODM47" s="19"/>
      <c r="ODN47" s="19"/>
      <c r="ODO47" s="19"/>
      <c r="ODP47" s="21"/>
      <c r="ODQ47" s="19"/>
      <c r="ODZ47" s="19"/>
      <c r="OEA47" s="19"/>
      <c r="OEB47" s="19"/>
      <c r="OEC47" s="19"/>
      <c r="OED47" s="21"/>
      <c r="OEE47" s="19"/>
      <c r="OEN47" s="19"/>
      <c r="OEO47" s="19"/>
      <c r="OEP47" s="19"/>
      <c r="OEQ47" s="19"/>
      <c r="OER47" s="21"/>
      <c r="OES47" s="19"/>
      <c r="OFB47" s="19"/>
      <c r="OFC47" s="19"/>
      <c r="OFD47" s="19"/>
      <c r="OFE47" s="19"/>
      <c r="OFF47" s="21"/>
      <c r="OFG47" s="19"/>
      <c r="OFP47" s="19"/>
      <c r="OFQ47" s="19"/>
      <c r="OFR47" s="19"/>
      <c r="OFS47" s="19"/>
      <c r="OFT47" s="21"/>
      <c r="OFU47" s="19"/>
      <c r="OGD47" s="19"/>
      <c r="OGE47" s="19"/>
      <c r="OGF47" s="19"/>
      <c r="OGG47" s="19"/>
      <c r="OGH47" s="21"/>
      <c r="OGI47" s="19"/>
      <c r="OGR47" s="19"/>
      <c r="OGS47" s="19"/>
      <c r="OGT47" s="19"/>
      <c r="OGU47" s="19"/>
      <c r="OGV47" s="21"/>
      <c r="OGW47" s="19"/>
      <c r="OHF47" s="19"/>
      <c r="OHG47" s="19"/>
      <c r="OHH47" s="19"/>
      <c r="OHI47" s="19"/>
      <c r="OHJ47" s="21"/>
      <c r="OHK47" s="19"/>
      <c r="OHT47" s="19"/>
      <c r="OHU47" s="19"/>
      <c r="OHV47" s="19"/>
      <c r="OHW47" s="19"/>
      <c r="OHX47" s="21"/>
      <c r="OHY47" s="19"/>
      <c r="OIH47" s="19"/>
      <c r="OII47" s="19"/>
      <c r="OIJ47" s="19"/>
      <c r="OIK47" s="19"/>
      <c r="OIL47" s="21"/>
      <c r="OIM47" s="19"/>
      <c r="OIV47" s="19"/>
      <c r="OIW47" s="19"/>
      <c r="OIX47" s="19"/>
      <c r="OIY47" s="19"/>
      <c r="OIZ47" s="21"/>
      <c r="OJA47" s="19"/>
      <c r="OJJ47" s="19"/>
      <c r="OJK47" s="19"/>
      <c r="OJL47" s="19"/>
      <c r="OJM47" s="19"/>
      <c r="OJN47" s="21"/>
      <c r="OJO47" s="19"/>
      <c r="OJX47" s="19"/>
      <c r="OJY47" s="19"/>
      <c r="OJZ47" s="19"/>
      <c r="OKA47" s="19"/>
      <c r="OKB47" s="21"/>
      <c r="OKC47" s="19"/>
      <c r="OKL47" s="19"/>
      <c r="OKM47" s="19"/>
      <c r="OKN47" s="19"/>
      <c r="OKO47" s="19"/>
      <c r="OKP47" s="21"/>
      <c r="OKQ47" s="19"/>
      <c r="OKZ47" s="19"/>
      <c r="OLA47" s="19"/>
      <c r="OLB47" s="19"/>
      <c r="OLC47" s="19"/>
      <c r="OLD47" s="21"/>
      <c r="OLE47" s="19"/>
      <c r="OLN47" s="19"/>
      <c r="OLO47" s="19"/>
      <c r="OLP47" s="19"/>
      <c r="OLQ47" s="19"/>
      <c r="OLR47" s="21"/>
      <c r="OLS47" s="19"/>
      <c r="OMB47" s="19"/>
      <c r="OMC47" s="19"/>
      <c r="OMD47" s="19"/>
      <c r="OME47" s="19"/>
      <c r="OMF47" s="21"/>
      <c r="OMG47" s="19"/>
      <c r="OMP47" s="19"/>
      <c r="OMQ47" s="19"/>
      <c r="OMR47" s="19"/>
      <c r="OMS47" s="19"/>
      <c r="OMT47" s="21"/>
      <c r="OMU47" s="19"/>
      <c r="OND47" s="19"/>
      <c r="ONE47" s="19"/>
      <c r="ONF47" s="19"/>
      <c r="ONG47" s="19"/>
      <c r="ONH47" s="21"/>
      <c r="ONI47" s="19"/>
      <c r="ONR47" s="19"/>
      <c r="ONS47" s="19"/>
      <c r="ONT47" s="19"/>
      <c r="ONU47" s="19"/>
      <c r="ONV47" s="21"/>
      <c r="ONW47" s="19"/>
      <c r="OOF47" s="19"/>
      <c r="OOG47" s="19"/>
      <c r="OOH47" s="19"/>
      <c r="OOI47" s="19"/>
      <c r="OOJ47" s="21"/>
      <c r="OOK47" s="19"/>
      <c r="OOT47" s="19"/>
      <c r="OOU47" s="19"/>
      <c r="OOV47" s="19"/>
      <c r="OOW47" s="19"/>
      <c r="OOX47" s="21"/>
      <c r="OOY47" s="19"/>
      <c r="OPH47" s="19"/>
      <c r="OPI47" s="19"/>
      <c r="OPJ47" s="19"/>
      <c r="OPK47" s="19"/>
      <c r="OPL47" s="21"/>
      <c r="OPM47" s="19"/>
      <c r="OPV47" s="19"/>
      <c r="OPW47" s="19"/>
      <c r="OPX47" s="19"/>
      <c r="OPY47" s="19"/>
      <c r="OPZ47" s="21"/>
      <c r="OQA47" s="19"/>
      <c r="OQJ47" s="19"/>
      <c r="OQK47" s="19"/>
      <c r="OQL47" s="19"/>
      <c r="OQM47" s="19"/>
      <c r="OQN47" s="21"/>
      <c r="OQO47" s="19"/>
      <c r="OQX47" s="19"/>
      <c r="OQY47" s="19"/>
      <c r="OQZ47" s="19"/>
      <c r="ORA47" s="19"/>
      <c r="ORB47" s="21"/>
      <c r="ORC47" s="19"/>
      <c r="ORL47" s="19"/>
      <c r="ORM47" s="19"/>
      <c r="ORN47" s="19"/>
      <c r="ORO47" s="19"/>
      <c r="ORP47" s="21"/>
      <c r="ORQ47" s="19"/>
      <c r="ORZ47" s="19"/>
      <c r="OSA47" s="19"/>
      <c r="OSB47" s="19"/>
      <c r="OSC47" s="19"/>
      <c r="OSD47" s="21"/>
      <c r="OSE47" s="19"/>
      <c r="OSN47" s="19"/>
      <c r="OSO47" s="19"/>
      <c r="OSP47" s="19"/>
      <c r="OSQ47" s="19"/>
      <c r="OSR47" s="21"/>
      <c r="OSS47" s="19"/>
      <c r="OTB47" s="19"/>
      <c r="OTC47" s="19"/>
      <c r="OTD47" s="19"/>
      <c r="OTE47" s="19"/>
      <c r="OTF47" s="21"/>
      <c r="OTG47" s="19"/>
      <c r="OTP47" s="19"/>
      <c r="OTQ47" s="19"/>
      <c r="OTR47" s="19"/>
      <c r="OTS47" s="19"/>
      <c r="OTT47" s="21"/>
      <c r="OTU47" s="19"/>
      <c r="OUD47" s="19"/>
      <c r="OUE47" s="19"/>
      <c r="OUF47" s="19"/>
      <c r="OUG47" s="19"/>
      <c r="OUH47" s="21"/>
      <c r="OUI47" s="19"/>
      <c r="OUR47" s="19"/>
      <c r="OUS47" s="19"/>
      <c r="OUT47" s="19"/>
      <c r="OUU47" s="19"/>
      <c r="OUV47" s="21"/>
      <c r="OUW47" s="19"/>
      <c r="OVF47" s="19"/>
      <c r="OVG47" s="19"/>
      <c r="OVH47" s="19"/>
      <c r="OVI47" s="19"/>
      <c r="OVJ47" s="21"/>
      <c r="OVK47" s="19"/>
      <c r="OVT47" s="19"/>
      <c r="OVU47" s="19"/>
      <c r="OVV47" s="19"/>
      <c r="OVW47" s="19"/>
      <c r="OVX47" s="21"/>
      <c r="OVY47" s="19"/>
      <c r="OWH47" s="19"/>
      <c r="OWI47" s="19"/>
      <c r="OWJ47" s="19"/>
      <c r="OWK47" s="19"/>
      <c r="OWL47" s="21"/>
      <c r="OWM47" s="19"/>
      <c r="OWV47" s="19"/>
      <c r="OWW47" s="19"/>
      <c r="OWX47" s="19"/>
      <c r="OWY47" s="19"/>
      <c r="OWZ47" s="21"/>
      <c r="OXA47" s="19"/>
      <c r="OXJ47" s="19"/>
      <c r="OXK47" s="19"/>
      <c r="OXL47" s="19"/>
      <c r="OXM47" s="19"/>
      <c r="OXN47" s="21"/>
      <c r="OXO47" s="19"/>
      <c r="OXX47" s="19"/>
      <c r="OXY47" s="19"/>
      <c r="OXZ47" s="19"/>
      <c r="OYA47" s="19"/>
      <c r="OYB47" s="21"/>
      <c r="OYC47" s="19"/>
      <c r="OYL47" s="19"/>
      <c r="OYM47" s="19"/>
      <c r="OYN47" s="19"/>
      <c r="OYO47" s="19"/>
      <c r="OYP47" s="21"/>
      <c r="OYQ47" s="19"/>
      <c r="OYZ47" s="19"/>
      <c r="OZA47" s="19"/>
      <c r="OZB47" s="19"/>
      <c r="OZC47" s="19"/>
      <c r="OZD47" s="21"/>
      <c r="OZE47" s="19"/>
      <c r="OZN47" s="19"/>
      <c r="OZO47" s="19"/>
      <c r="OZP47" s="19"/>
      <c r="OZQ47" s="19"/>
      <c r="OZR47" s="21"/>
      <c r="OZS47" s="19"/>
      <c r="PAB47" s="19"/>
      <c r="PAC47" s="19"/>
      <c r="PAD47" s="19"/>
      <c r="PAE47" s="19"/>
      <c r="PAF47" s="21"/>
      <c r="PAG47" s="19"/>
      <c r="PAP47" s="19"/>
      <c r="PAQ47" s="19"/>
      <c r="PAR47" s="19"/>
      <c r="PAS47" s="19"/>
      <c r="PAT47" s="21"/>
      <c r="PAU47" s="19"/>
      <c r="PBD47" s="19"/>
      <c r="PBE47" s="19"/>
      <c r="PBF47" s="19"/>
      <c r="PBG47" s="19"/>
      <c r="PBH47" s="21"/>
      <c r="PBI47" s="19"/>
      <c r="PBR47" s="19"/>
      <c r="PBS47" s="19"/>
      <c r="PBT47" s="19"/>
      <c r="PBU47" s="19"/>
      <c r="PBV47" s="21"/>
      <c r="PBW47" s="19"/>
      <c r="PCF47" s="19"/>
      <c r="PCG47" s="19"/>
      <c r="PCH47" s="19"/>
      <c r="PCI47" s="19"/>
      <c r="PCJ47" s="21"/>
      <c r="PCK47" s="19"/>
      <c r="PCT47" s="19"/>
      <c r="PCU47" s="19"/>
      <c r="PCV47" s="19"/>
      <c r="PCW47" s="19"/>
      <c r="PCX47" s="21"/>
      <c r="PCY47" s="19"/>
      <c r="PDH47" s="19"/>
      <c r="PDI47" s="19"/>
      <c r="PDJ47" s="19"/>
      <c r="PDK47" s="19"/>
      <c r="PDL47" s="21"/>
      <c r="PDM47" s="19"/>
      <c r="PDV47" s="19"/>
      <c r="PDW47" s="19"/>
      <c r="PDX47" s="19"/>
      <c r="PDY47" s="19"/>
      <c r="PDZ47" s="21"/>
      <c r="PEA47" s="19"/>
      <c r="PEJ47" s="19"/>
      <c r="PEK47" s="19"/>
      <c r="PEL47" s="19"/>
      <c r="PEM47" s="19"/>
      <c r="PEN47" s="21"/>
      <c r="PEO47" s="19"/>
      <c r="PEX47" s="19"/>
      <c r="PEY47" s="19"/>
      <c r="PEZ47" s="19"/>
      <c r="PFA47" s="19"/>
      <c r="PFB47" s="21"/>
      <c r="PFC47" s="19"/>
      <c r="PFL47" s="19"/>
      <c r="PFM47" s="19"/>
      <c r="PFN47" s="19"/>
      <c r="PFO47" s="19"/>
      <c r="PFP47" s="21"/>
      <c r="PFQ47" s="19"/>
      <c r="PFZ47" s="19"/>
      <c r="PGA47" s="19"/>
      <c r="PGB47" s="19"/>
      <c r="PGC47" s="19"/>
      <c r="PGD47" s="21"/>
      <c r="PGE47" s="19"/>
      <c r="PGN47" s="19"/>
      <c r="PGO47" s="19"/>
      <c r="PGP47" s="19"/>
      <c r="PGQ47" s="19"/>
      <c r="PGR47" s="21"/>
      <c r="PGS47" s="19"/>
      <c r="PHB47" s="19"/>
      <c r="PHC47" s="19"/>
      <c r="PHD47" s="19"/>
      <c r="PHE47" s="19"/>
      <c r="PHF47" s="21"/>
      <c r="PHG47" s="19"/>
      <c r="PHP47" s="19"/>
      <c r="PHQ47" s="19"/>
      <c r="PHR47" s="19"/>
      <c r="PHS47" s="19"/>
      <c r="PHT47" s="21"/>
      <c r="PHU47" s="19"/>
      <c r="PID47" s="19"/>
      <c r="PIE47" s="19"/>
      <c r="PIF47" s="19"/>
      <c r="PIG47" s="19"/>
      <c r="PIH47" s="21"/>
      <c r="PII47" s="19"/>
      <c r="PIR47" s="19"/>
      <c r="PIS47" s="19"/>
      <c r="PIT47" s="19"/>
      <c r="PIU47" s="19"/>
      <c r="PIV47" s="21"/>
      <c r="PIW47" s="19"/>
      <c r="PJF47" s="19"/>
      <c r="PJG47" s="19"/>
      <c r="PJH47" s="19"/>
      <c r="PJI47" s="19"/>
      <c r="PJJ47" s="21"/>
      <c r="PJK47" s="19"/>
      <c r="PJT47" s="19"/>
      <c r="PJU47" s="19"/>
      <c r="PJV47" s="19"/>
      <c r="PJW47" s="19"/>
      <c r="PJX47" s="21"/>
      <c r="PJY47" s="19"/>
      <c r="PKH47" s="19"/>
      <c r="PKI47" s="19"/>
      <c r="PKJ47" s="19"/>
      <c r="PKK47" s="19"/>
      <c r="PKL47" s="21"/>
      <c r="PKM47" s="19"/>
      <c r="PKV47" s="19"/>
      <c r="PKW47" s="19"/>
      <c r="PKX47" s="19"/>
      <c r="PKY47" s="19"/>
      <c r="PKZ47" s="21"/>
      <c r="PLA47" s="19"/>
      <c r="PLJ47" s="19"/>
      <c r="PLK47" s="19"/>
      <c r="PLL47" s="19"/>
      <c r="PLM47" s="19"/>
      <c r="PLN47" s="21"/>
      <c r="PLO47" s="19"/>
      <c r="PLX47" s="19"/>
      <c r="PLY47" s="19"/>
      <c r="PLZ47" s="19"/>
      <c r="PMA47" s="19"/>
      <c r="PMB47" s="21"/>
      <c r="PMC47" s="19"/>
      <c r="PML47" s="19"/>
      <c r="PMM47" s="19"/>
      <c r="PMN47" s="19"/>
      <c r="PMO47" s="19"/>
      <c r="PMP47" s="21"/>
      <c r="PMQ47" s="19"/>
      <c r="PMZ47" s="19"/>
      <c r="PNA47" s="19"/>
      <c r="PNB47" s="19"/>
      <c r="PNC47" s="19"/>
      <c r="PND47" s="21"/>
      <c r="PNE47" s="19"/>
      <c r="PNN47" s="19"/>
      <c r="PNO47" s="19"/>
      <c r="PNP47" s="19"/>
      <c r="PNQ47" s="19"/>
      <c r="PNR47" s="21"/>
      <c r="PNS47" s="19"/>
      <c r="POB47" s="19"/>
      <c r="POC47" s="19"/>
      <c r="POD47" s="19"/>
      <c r="POE47" s="19"/>
      <c r="POF47" s="21"/>
      <c r="POG47" s="19"/>
      <c r="POP47" s="19"/>
      <c r="POQ47" s="19"/>
      <c r="POR47" s="19"/>
      <c r="POS47" s="19"/>
      <c r="POT47" s="21"/>
      <c r="POU47" s="19"/>
      <c r="PPD47" s="19"/>
      <c r="PPE47" s="19"/>
      <c r="PPF47" s="19"/>
      <c r="PPG47" s="19"/>
      <c r="PPH47" s="21"/>
      <c r="PPI47" s="19"/>
      <c r="PPR47" s="19"/>
      <c r="PPS47" s="19"/>
      <c r="PPT47" s="19"/>
      <c r="PPU47" s="19"/>
      <c r="PPV47" s="21"/>
      <c r="PPW47" s="19"/>
      <c r="PQF47" s="19"/>
      <c r="PQG47" s="19"/>
      <c r="PQH47" s="19"/>
      <c r="PQI47" s="19"/>
      <c r="PQJ47" s="21"/>
      <c r="PQK47" s="19"/>
      <c r="PQT47" s="19"/>
      <c r="PQU47" s="19"/>
      <c r="PQV47" s="19"/>
      <c r="PQW47" s="19"/>
      <c r="PQX47" s="21"/>
      <c r="PQY47" s="19"/>
      <c r="PRH47" s="19"/>
      <c r="PRI47" s="19"/>
      <c r="PRJ47" s="19"/>
      <c r="PRK47" s="19"/>
      <c r="PRL47" s="21"/>
      <c r="PRM47" s="19"/>
      <c r="PRV47" s="19"/>
      <c r="PRW47" s="19"/>
      <c r="PRX47" s="19"/>
      <c r="PRY47" s="19"/>
      <c r="PRZ47" s="21"/>
      <c r="PSA47" s="19"/>
      <c r="PSJ47" s="19"/>
      <c r="PSK47" s="19"/>
      <c r="PSL47" s="19"/>
      <c r="PSM47" s="19"/>
      <c r="PSN47" s="21"/>
      <c r="PSO47" s="19"/>
      <c r="PSX47" s="19"/>
      <c r="PSY47" s="19"/>
      <c r="PSZ47" s="19"/>
      <c r="PTA47" s="19"/>
      <c r="PTB47" s="21"/>
      <c r="PTC47" s="19"/>
      <c r="PTL47" s="19"/>
      <c r="PTM47" s="19"/>
      <c r="PTN47" s="19"/>
      <c r="PTO47" s="19"/>
      <c r="PTP47" s="21"/>
      <c r="PTQ47" s="19"/>
      <c r="PTZ47" s="19"/>
      <c r="PUA47" s="19"/>
      <c r="PUB47" s="19"/>
      <c r="PUC47" s="19"/>
      <c r="PUD47" s="21"/>
      <c r="PUE47" s="19"/>
      <c r="PUN47" s="19"/>
      <c r="PUO47" s="19"/>
      <c r="PUP47" s="19"/>
      <c r="PUQ47" s="19"/>
      <c r="PUR47" s="21"/>
      <c r="PUS47" s="19"/>
      <c r="PVB47" s="19"/>
      <c r="PVC47" s="19"/>
      <c r="PVD47" s="19"/>
      <c r="PVE47" s="19"/>
      <c r="PVF47" s="21"/>
      <c r="PVG47" s="19"/>
      <c r="PVP47" s="19"/>
      <c r="PVQ47" s="19"/>
      <c r="PVR47" s="19"/>
      <c r="PVS47" s="19"/>
      <c r="PVT47" s="21"/>
      <c r="PVU47" s="19"/>
      <c r="PWD47" s="19"/>
      <c r="PWE47" s="19"/>
      <c r="PWF47" s="19"/>
      <c r="PWG47" s="19"/>
      <c r="PWH47" s="21"/>
      <c r="PWI47" s="19"/>
      <c r="PWR47" s="19"/>
      <c r="PWS47" s="19"/>
      <c r="PWT47" s="19"/>
      <c r="PWU47" s="19"/>
      <c r="PWV47" s="21"/>
      <c r="PWW47" s="19"/>
      <c r="PXF47" s="19"/>
      <c r="PXG47" s="19"/>
      <c r="PXH47" s="19"/>
      <c r="PXI47" s="19"/>
      <c r="PXJ47" s="21"/>
      <c r="PXK47" s="19"/>
      <c r="PXT47" s="19"/>
      <c r="PXU47" s="19"/>
      <c r="PXV47" s="19"/>
      <c r="PXW47" s="19"/>
      <c r="PXX47" s="21"/>
      <c r="PXY47" s="19"/>
      <c r="PYH47" s="19"/>
      <c r="PYI47" s="19"/>
      <c r="PYJ47" s="19"/>
      <c r="PYK47" s="19"/>
      <c r="PYL47" s="21"/>
      <c r="PYM47" s="19"/>
      <c r="PYV47" s="19"/>
      <c r="PYW47" s="19"/>
      <c r="PYX47" s="19"/>
      <c r="PYY47" s="19"/>
      <c r="PYZ47" s="21"/>
      <c r="PZA47" s="19"/>
      <c r="PZJ47" s="19"/>
      <c r="PZK47" s="19"/>
      <c r="PZL47" s="19"/>
      <c r="PZM47" s="19"/>
      <c r="PZN47" s="21"/>
      <c r="PZO47" s="19"/>
      <c r="PZX47" s="19"/>
      <c r="PZY47" s="19"/>
      <c r="PZZ47" s="19"/>
      <c r="QAA47" s="19"/>
      <c r="QAB47" s="21"/>
      <c r="QAC47" s="19"/>
      <c r="QAL47" s="19"/>
      <c r="QAM47" s="19"/>
      <c r="QAN47" s="19"/>
      <c r="QAO47" s="19"/>
      <c r="QAP47" s="21"/>
      <c r="QAQ47" s="19"/>
      <c r="QAZ47" s="19"/>
      <c r="QBA47" s="19"/>
      <c r="QBB47" s="19"/>
      <c r="QBC47" s="19"/>
      <c r="QBD47" s="21"/>
      <c r="QBE47" s="19"/>
      <c r="QBN47" s="19"/>
      <c r="QBO47" s="19"/>
      <c r="QBP47" s="19"/>
      <c r="QBQ47" s="19"/>
      <c r="QBR47" s="21"/>
      <c r="QBS47" s="19"/>
      <c r="QCB47" s="19"/>
      <c r="QCC47" s="19"/>
      <c r="QCD47" s="19"/>
      <c r="QCE47" s="19"/>
      <c r="QCF47" s="21"/>
      <c r="QCG47" s="19"/>
      <c r="QCP47" s="19"/>
      <c r="QCQ47" s="19"/>
      <c r="QCR47" s="19"/>
      <c r="QCS47" s="19"/>
      <c r="QCT47" s="21"/>
      <c r="QCU47" s="19"/>
      <c r="QDD47" s="19"/>
      <c r="QDE47" s="19"/>
      <c r="QDF47" s="19"/>
      <c r="QDG47" s="19"/>
      <c r="QDH47" s="21"/>
      <c r="QDI47" s="19"/>
      <c r="QDR47" s="19"/>
      <c r="QDS47" s="19"/>
      <c r="QDT47" s="19"/>
      <c r="QDU47" s="19"/>
      <c r="QDV47" s="21"/>
      <c r="QDW47" s="19"/>
      <c r="QEF47" s="19"/>
      <c r="QEG47" s="19"/>
      <c r="QEH47" s="19"/>
      <c r="QEI47" s="19"/>
      <c r="QEJ47" s="21"/>
      <c r="QEK47" s="19"/>
      <c r="QET47" s="19"/>
      <c r="QEU47" s="19"/>
      <c r="QEV47" s="19"/>
      <c r="QEW47" s="19"/>
      <c r="QEX47" s="21"/>
      <c r="QEY47" s="19"/>
      <c r="QFH47" s="19"/>
      <c r="QFI47" s="19"/>
      <c r="QFJ47" s="19"/>
      <c r="QFK47" s="19"/>
      <c r="QFL47" s="21"/>
      <c r="QFM47" s="19"/>
      <c r="QFV47" s="19"/>
      <c r="QFW47" s="19"/>
      <c r="QFX47" s="19"/>
      <c r="QFY47" s="19"/>
      <c r="QFZ47" s="21"/>
      <c r="QGA47" s="19"/>
      <c r="QGJ47" s="19"/>
      <c r="QGK47" s="19"/>
      <c r="QGL47" s="19"/>
      <c r="QGM47" s="19"/>
      <c r="QGN47" s="21"/>
      <c r="QGO47" s="19"/>
      <c r="QGX47" s="19"/>
      <c r="QGY47" s="19"/>
      <c r="QGZ47" s="19"/>
      <c r="QHA47" s="19"/>
      <c r="QHB47" s="21"/>
      <c r="QHC47" s="19"/>
      <c r="QHL47" s="19"/>
      <c r="QHM47" s="19"/>
      <c r="QHN47" s="19"/>
      <c r="QHO47" s="19"/>
      <c r="QHP47" s="21"/>
      <c r="QHQ47" s="19"/>
      <c r="QHZ47" s="19"/>
      <c r="QIA47" s="19"/>
      <c r="QIB47" s="19"/>
      <c r="QIC47" s="19"/>
      <c r="QID47" s="21"/>
      <c r="QIE47" s="19"/>
      <c r="QIN47" s="19"/>
      <c r="QIO47" s="19"/>
      <c r="QIP47" s="19"/>
      <c r="QIQ47" s="19"/>
      <c r="QIR47" s="21"/>
      <c r="QIS47" s="19"/>
      <c r="QJB47" s="19"/>
      <c r="QJC47" s="19"/>
      <c r="QJD47" s="19"/>
      <c r="QJE47" s="19"/>
      <c r="QJF47" s="21"/>
      <c r="QJG47" s="19"/>
      <c r="QJP47" s="19"/>
      <c r="QJQ47" s="19"/>
      <c r="QJR47" s="19"/>
      <c r="QJS47" s="19"/>
      <c r="QJT47" s="21"/>
      <c r="QJU47" s="19"/>
      <c r="QKD47" s="19"/>
      <c r="QKE47" s="19"/>
      <c r="QKF47" s="19"/>
      <c r="QKG47" s="19"/>
      <c r="QKH47" s="21"/>
      <c r="QKI47" s="19"/>
      <c r="QKR47" s="19"/>
      <c r="QKS47" s="19"/>
      <c r="QKT47" s="19"/>
      <c r="QKU47" s="19"/>
      <c r="QKV47" s="21"/>
      <c r="QKW47" s="19"/>
      <c r="QLF47" s="19"/>
      <c r="QLG47" s="19"/>
      <c r="QLH47" s="19"/>
      <c r="QLI47" s="19"/>
      <c r="QLJ47" s="21"/>
      <c r="QLK47" s="19"/>
      <c r="QLT47" s="19"/>
      <c r="QLU47" s="19"/>
      <c r="QLV47" s="19"/>
      <c r="QLW47" s="19"/>
      <c r="QLX47" s="21"/>
      <c r="QLY47" s="19"/>
      <c r="QMH47" s="19"/>
      <c r="QMI47" s="19"/>
      <c r="QMJ47" s="19"/>
      <c r="QMK47" s="19"/>
      <c r="QML47" s="21"/>
      <c r="QMM47" s="19"/>
      <c r="QMV47" s="19"/>
      <c r="QMW47" s="19"/>
      <c r="QMX47" s="19"/>
      <c r="QMY47" s="19"/>
      <c r="QMZ47" s="21"/>
      <c r="QNA47" s="19"/>
      <c r="QNJ47" s="19"/>
      <c r="QNK47" s="19"/>
      <c r="QNL47" s="19"/>
      <c r="QNM47" s="19"/>
      <c r="QNN47" s="21"/>
      <c r="QNO47" s="19"/>
      <c r="QNX47" s="19"/>
      <c r="QNY47" s="19"/>
      <c r="QNZ47" s="19"/>
      <c r="QOA47" s="19"/>
      <c r="QOB47" s="21"/>
      <c r="QOC47" s="19"/>
      <c r="QOL47" s="19"/>
      <c r="QOM47" s="19"/>
      <c r="QON47" s="19"/>
      <c r="QOO47" s="19"/>
      <c r="QOP47" s="21"/>
      <c r="QOQ47" s="19"/>
      <c r="QOZ47" s="19"/>
      <c r="QPA47" s="19"/>
      <c r="QPB47" s="19"/>
      <c r="QPC47" s="19"/>
      <c r="QPD47" s="21"/>
      <c r="QPE47" s="19"/>
      <c r="QPN47" s="19"/>
      <c r="QPO47" s="19"/>
      <c r="QPP47" s="19"/>
      <c r="QPQ47" s="19"/>
      <c r="QPR47" s="21"/>
      <c r="QPS47" s="19"/>
      <c r="QQB47" s="19"/>
      <c r="QQC47" s="19"/>
      <c r="QQD47" s="19"/>
      <c r="QQE47" s="19"/>
      <c r="QQF47" s="21"/>
      <c r="QQG47" s="19"/>
      <c r="QQP47" s="19"/>
      <c r="QQQ47" s="19"/>
      <c r="QQR47" s="19"/>
      <c r="QQS47" s="19"/>
      <c r="QQT47" s="21"/>
      <c r="QQU47" s="19"/>
      <c r="QRD47" s="19"/>
      <c r="QRE47" s="19"/>
      <c r="QRF47" s="19"/>
      <c r="QRG47" s="19"/>
      <c r="QRH47" s="21"/>
      <c r="QRI47" s="19"/>
      <c r="QRR47" s="19"/>
      <c r="QRS47" s="19"/>
      <c r="QRT47" s="19"/>
      <c r="QRU47" s="19"/>
      <c r="QRV47" s="21"/>
      <c r="QRW47" s="19"/>
      <c r="QSF47" s="19"/>
      <c r="QSG47" s="19"/>
      <c r="QSH47" s="19"/>
      <c r="QSI47" s="19"/>
      <c r="QSJ47" s="21"/>
      <c r="QSK47" s="19"/>
      <c r="QST47" s="19"/>
      <c r="QSU47" s="19"/>
      <c r="QSV47" s="19"/>
      <c r="QSW47" s="19"/>
      <c r="QSX47" s="21"/>
      <c r="QSY47" s="19"/>
      <c r="QTH47" s="19"/>
      <c r="QTI47" s="19"/>
      <c r="QTJ47" s="19"/>
      <c r="QTK47" s="19"/>
      <c r="QTL47" s="21"/>
      <c r="QTM47" s="19"/>
      <c r="QTV47" s="19"/>
      <c r="QTW47" s="19"/>
      <c r="QTX47" s="19"/>
      <c r="QTY47" s="19"/>
      <c r="QTZ47" s="21"/>
      <c r="QUA47" s="19"/>
      <c r="QUJ47" s="19"/>
      <c r="QUK47" s="19"/>
      <c r="QUL47" s="19"/>
      <c r="QUM47" s="19"/>
      <c r="QUN47" s="21"/>
      <c r="QUO47" s="19"/>
      <c r="QUX47" s="19"/>
      <c r="QUY47" s="19"/>
      <c r="QUZ47" s="19"/>
      <c r="QVA47" s="19"/>
      <c r="QVB47" s="21"/>
      <c r="QVC47" s="19"/>
      <c r="QVL47" s="19"/>
      <c r="QVM47" s="19"/>
      <c r="QVN47" s="19"/>
      <c r="QVO47" s="19"/>
      <c r="QVP47" s="21"/>
      <c r="QVQ47" s="19"/>
      <c r="QVZ47" s="19"/>
      <c r="QWA47" s="19"/>
      <c r="QWB47" s="19"/>
      <c r="QWC47" s="19"/>
      <c r="QWD47" s="21"/>
      <c r="QWE47" s="19"/>
      <c r="QWN47" s="19"/>
      <c r="QWO47" s="19"/>
      <c r="QWP47" s="19"/>
      <c r="QWQ47" s="19"/>
      <c r="QWR47" s="21"/>
      <c r="QWS47" s="19"/>
      <c r="QXB47" s="19"/>
      <c r="QXC47" s="19"/>
      <c r="QXD47" s="19"/>
      <c r="QXE47" s="19"/>
      <c r="QXF47" s="21"/>
      <c r="QXG47" s="19"/>
      <c r="QXP47" s="19"/>
      <c r="QXQ47" s="19"/>
      <c r="QXR47" s="19"/>
      <c r="QXS47" s="19"/>
      <c r="QXT47" s="21"/>
      <c r="QXU47" s="19"/>
      <c r="QYD47" s="19"/>
      <c r="QYE47" s="19"/>
      <c r="QYF47" s="19"/>
      <c r="QYG47" s="19"/>
      <c r="QYH47" s="21"/>
      <c r="QYI47" s="19"/>
      <c r="QYR47" s="19"/>
      <c r="QYS47" s="19"/>
      <c r="QYT47" s="19"/>
      <c r="QYU47" s="19"/>
      <c r="QYV47" s="21"/>
      <c r="QYW47" s="19"/>
      <c r="QZF47" s="19"/>
      <c r="QZG47" s="19"/>
      <c r="QZH47" s="19"/>
      <c r="QZI47" s="19"/>
      <c r="QZJ47" s="21"/>
      <c r="QZK47" s="19"/>
      <c r="QZT47" s="19"/>
      <c r="QZU47" s="19"/>
      <c r="QZV47" s="19"/>
      <c r="QZW47" s="19"/>
      <c r="QZX47" s="21"/>
      <c r="QZY47" s="19"/>
      <c r="RAH47" s="19"/>
      <c r="RAI47" s="19"/>
      <c r="RAJ47" s="19"/>
      <c r="RAK47" s="19"/>
      <c r="RAL47" s="21"/>
      <c r="RAM47" s="19"/>
      <c r="RAV47" s="19"/>
      <c r="RAW47" s="19"/>
      <c r="RAX47" s="19"/>
      <c r="RAY47" s="19"/>
      <c r="RAZ47" s="21"/>
      <c r="RBA47" s="19"/>
      <c r="RBJ47" s="19"/>
      <c r="RBK47" s="19"/>
      <c r="RBL47" s="19"/>
      <c r="RBM47" s="19"/>
      <c r="RBN47" s="21"/>
      <c r="RBO47" s="19"/>
      <c r="RBX47" s="19"/>
      <c r="RBY47" s="19"/>
      <c r="RBZ47" s="19"/>
      <c r="RCA47" s="19"/>
      <c r="RCB47" s="21"/>
      <c r="RCC47" s="19"/>
      <c r="RCL47" s="19"/>
      <c r="RCM47" s="19"/>
      <c r="RCN47" s="19"/>
      <c r="RCO47" s="19"/>
      <c r="RCP47" s="21"/>
      <c r="RCQ47" s="19"/>
      <c r="RCZ47" s="19"/>
      <c r="RDA47" s="19"/>
      <c r="RDB47" s="19"/>
      <c r="RDC47" s="19"/>
      <c r="RDD47" s="21"/>
      <c r="RDE47" s="19"/>
      <c r="RDN47" s="19"/>
      <c r="RDO47" s="19"/>
      <c r="RDP47" s="19"/>
      <c r="RDQ47" s="19"/>
      <c r="RDR47" s="21"/>
      <c r="RDS47" s="19"/>
      <c r="REB47" s="19"/>
      <c r="REC47" s="19"/>
      <c r="RED47" s="19"/>
      <c r="REE47" s="19"/>
      <c r="REF47" s="21"/>
      <c r="REG47" s="19"/>
      <c r="REP47" s="19"/>
      <c r="REQ47" s="19"/>
      <c r="RER47" s="19"/>
      <c r="RES47" s="19"/>
      <c r="RET47" s="21"/>
      <c r="REU47" s="19"/>
      <c r="RFD47" s="19"/>
      <c r="RFE47" s="19"/>
      <c r="RFF47" s="19"/>
      <c r="RFG47" s="19"/>
      <c r="RFH47" s="21"/>
      <c r="RFI47" s="19"/>
      <c r="RFR47" s="19"/>
      <c r="RFS47" s="19"/>
      <c r="RFT47" s="19"/>
      <c r="RFU47" s="19"/>
      <c r="RFV47" s="21"/>
      <c r="RFW47" s="19"/>
      <c r="RGF47" s="19"/>
      <c r="RGG47" s="19"/>
      <c r="RGH47" s="19"/>
      <c r="RGI47" s="19"/>
      <c r="RGJ47" s="21"/>
      <c r="RGK47" s="19"/>
      <c r="RGT47" s="19"/>
      <c r="RGU47" s="19"/>
      <c r="RGV47" s="19"/>
      <c r="RGW47" s="19"/>
      <c r="RGX47" s="21"/>
      <c r="RGY47" s="19"/>
      <c r="RHH47" s="19"/>
      <c r="RHI47" s="19"/>
      <c r="RHJ47" s="19"/>
      <c r="RHK47" s="19"/>
      <c r="RHL47" s="21"/>
      <c r="RHM47" s="19"/>
      <c r="RHV47" s="19"/>
      <c r="RHW47" s="19"/>
      <c r="RHX47" s="19"/>
      <c r="RHY47" s="19"/>
      <c r="RHZ47" s="21"/>
      <c r="RIA47" s="19"/>
      <c r="RIJ47" s="19"/>
      <c r="RIK47" s="19"/>
      <c r="RIL47" s="19"/>
      <c r="RIM47" s="19"/>
      <c r="RIN47" s="21"/>
      <c r="RIO47" s="19"/>
      <c r="RIX47" s="19"/>
      <c r="RIY47" s="19"/>
      <c r="RIZ47" s="19"/>
      <c r="RJA47" s="19"/>
      <c r="RJB47" s="21"/>
      <c r="RJC47" s="19"/>
      <c r="RJL47" s="19"/>
      <c r="RJM47" s="19"/>
      <c r="RJN47" s="19"/>
      <c r="RJO47" s="19"/>
      <c r="RJP47" s="21"/>
      <c r="RJQ47" s="19"/>
      <c r="RJZ47" s="19"/>
      <c r="RKA47" s="19"/>
      <c r="RKB47" s="19"/>
      <c r="RKC47" s="19"/>
      <c r="RKD47" s="21"/>
      <c r="RKE47" s="19"/>
      <c r="RKN47" s="19"/>
      <c r="RKO47" s="19"/>
      <c r="RKP47" s="19"/>
      <c r="RKQ47" s="19"/>
      <c r="RKR47" s="21"/>
      <c r="RKS47" s="19"/>
      <c r="RLB47" s="19"/>
      <c r="RLC47" s="19"/>
      <c r="RLD47" s="19"/>
      <c r="RLE47" s="19"/>
      <c r="RLF47" s="21"/>
      <c r="RLG47" s="19"/>
      <c r="RLP47" s="19"/>
      <c r="RLQ47" s="19"/>
      <c r="RLR47" s="19"/>
      <c r="RLS47" s="19"/>
      <c r="RLT47" s="21"/>
      <c r="RLU47" s="19"/>
      <c r="RMD47" s="19"/>
      <c r="RME47" s="19"/>
      <c r="RMF47" s="19"/>
      <c r="RMG47" s="19"/>
      <c r="RMH47" s="21"/>
      <c r="RMI47" s="19"/>
      <c r="RMR47" s="19"/>
      <c r="RMS47" s="19"/>
      <c r="RMT47" s="19"/>
      <c r="RMU47" s="19"/>
      <c r="RMV47" s="21"/>
      <c r="RMW47" s="19"/>
      <c r="RNF47" s="19"/>
      <c r="RNG47" s="19"/>
      <c r="RNH47" s="19"/>
      <c r="RNI47" s="19"/>
      <c r="RNJ47" s="21"/>
      <c r="RNK47" s="19"/>
      <c r="RNT47" s="19"/>
      <c r="RNU47" s="19"/>
      <c r="RNV47" s="19"/>
      <c r="RNW47" s="19"/>
      <c r="RNX47" s="21"/>
      <c r="RNY47" s="19"/>
      <c r="ROH47" s="19"/>
      <c r="ROI47" s="19"/>
      <c r="ROJ47" s="19"/>
      <c r="ROK47" s="19"/>
      <c r="ROL47" s="21"/>
      <c r="ROM47" s="19"/>
      <c r="ROV47" s="19"/>
      <c r="ROW47" s="19"/>
      <c r="ROX47" s="19"/>
      <c r="ROY47" s="19"/>
      <c r="ROZ47" s="21"/>
      <c r="RPA47" s="19"/>
      <c r="RPJ47" s="19"/>
      <c r="RPK47" s="19"/>
      <c r="RPL47" s="19"/>
      <c r="RPM47" s="19"/>
      <c r="RPN47" s="21"/>
      <c r="RPO47" s="19"/>
      <c r="RPX47" s="19"/>
      <c r="RPY47" s="19"/>
      <c r="RPZ47" s="19"/>
      <c r="RQA47" s="19"/>
      <c r="RQB47" s="21"/>
      <c r="RQC47" s="19"/>
      <c r="RQL47" s="19"/>
      <c r="RQM47" s="19"/>
      <c r="RQN47" s="19"/>
      <c r="RQO47" s="19"/>
      <c r="RQP47" s="21"/>
      <c r="RQQ47" s="19"/>
      <c r="RQZ47" s="19"/>
      <c r="RRA47" s="19"/>
      <c r="RRB47" s="19"/>
      <c r="RRC47" s="19"/>
      <c r="RRD47" s="21"/>
      <c r="RRE47" s="19"/>
      <c r="RRN47" s="19"/>
      <c r="RRO47" s="19"/>
      <c r="RRP47" s="19"/>
      <c r="RRQ47" s="19"/>
      <c r="RRR47" s="21"/>
      <c r="RRS47" s="19"/>
      <c r="RSB47" s="19"/>
      <c r="RSC47" s="19"/>
      <c r="RSD47" s="19"/>
      <c r="RSE47" s="19"/>
      <c r="RSF47" s="21"/>
      <c r="RSG47" s="19"/>
      <c r="RSP47" s="19"/>
      <c r="RSQ47" s="19"/>
      <c r="RSR47" s="19"/>
      <c r="RSS47" s="19"/>
      <c r="RST47" s="21"/>
      <c r="RSU47" s="19"/>
      <c r="RTD47" s="19"/>
      <c r="RTE47" s="19"/>
      <c r="RTF47" s="19"/>
      <c r="RTG47" s="19"/>
      <c r="RTH47" s="21"/>
      <c r="RTI47" s="19"/>
      <c r="RTR47" s="19"/>
      <c r="RTS47" s="19"/>
      <c r="RTT47" s="19"/>
      <c r="RTU47" s="19"/>
      <c r="RTV47" s="21"/>
      <c r="RTW47" s="19"/>
      <c r="RUF47" s="19"/>
      <c r="RUG47" s="19"/>
      <c r="RUH47" s="19"/>
      <c r="RUI47" s="19"/>
      <c r="RUJ47" s="21"/>
      <c r="RUK47" s="19"/>
      <c r="RUT47" s="19"/>
      <c r="RUU47" s="19"/>
      <c r="RUV47" s="19"/>
      <c r="RUW47" s="19"/>
      <c r="RUX47" s="21"/>
      <c r="RUY47" s="19"/>
      <c r="RVH47" s="19"/>
      <c r="RVI47" s="19"/>
      <c r="RVJ47" s="19"/>
      <c r="RVK47" s="19"/>
      <c r="RVL47" s="21"/>
      <c r="RVM47" s="19"/>
      <c r="RVV47" s="19"/>
      <c r="RVW47" s="19"/>
      <c r="RVX47" s="19"/>
      <c r="RVY47" s="19"/>
      <c r="RVZ47" s="21"/>
      <c r="RWA47" s="19"/>
      <c r="RWJ47" s="19"/>
      <c r="RWK47" s="19"/>
      <c r="RWL47" s="19"/>
      <c r="RWM47" s="19"/>
      <c r="RWN47" s="21"/>
      <c r="RWO47" s="19"/>
      <c r="RWX47" s="19"/>
      <c r="RWY47" s="19"/>
      <c r="RWZ47" s="19"/>
      <c r="RXA47" s="19"/>
      <c r="RXB47" s="21"/>
      <c r="RXC47" s="19"/>
      <c r="RXL47" s="19"/>
      <c r="RXM47" s="19"/>
      <c r="RXN47" s="19"/>
      <c r="RXO47" s="19"/>
      <c r="RXP47" s="21"/>
      <c r="RXQ47" s="19"/>
      <c r="RXZ47" s="19"/>
      <c r="RYA47" s="19"/>
      <c r="RYB47" s="19"/>
      <c r="RYC47" s="19"/>
      <c r="RYD47" s="21"/>
      <c r="RYE47" s="19"/>
      <c r="RYN47" s="19"/>
      <c r="RYO47" s="19"/>
      <c r="RYP47" s="19"/>
      <c r="RYQ47" s="19"/>
      <c r="RYR47" s="21"/>
      <c r="RYS47" s="19"/>
      <c r="RZB47" s="19"/>
      <c r="RZC47" s="19"/>
      <c r="RZD47" s="19"/>
      <c r="RZE47" s="19"/>
      <c r="RZF47" s="21"/>
      <c r="RZG47" s="19"/>
      <c r="RZP47" s="19"/>
      <c r="RZQ47" s="19"/>
      <c r="RZR47" s="19"/>
      <c r="RZS47" s="19"/>
      <c r="RZT47" s="21"/>
      <c r="RZU47" s="19"/>
      <c r="SAD47" s="19"/>
      <c r="SAE47" s="19"/>
      <c r="SAF47" s="19"/>
      <c r="SAG47" s="19"/>
      <c r="SAH47" s="21"/>
      <c r="SAI47" s="19"/>
      <c r="SAR47" s="19"/>
      <c r="SAS47" s="19"/>
      <c r="SAT47" s="19"/>
      <c r="SAU47" s="19"/>
      <c r="SAV47" s="21"/>
      <c r="SAW47" s="19"/>
      <c r="SBF47" s="19"/>
      <c r="SBG47" s="19"/>
      <c r="SBH47" s="19"/>
      <c r="SBI47" s="19"/>
      <c r="SBJ47" s="21"/>
      <c r="SBK47" s="19"/>
      <c r="SBT47" s="19"/>
      <c r="SBU47" s="19"/>
      <c r="SBV47" s="19"/>
      <c r="SBW47" s="19"/>
      <c r="SBX47" s="21"/>
      <c r="SBY47" s="19"/>
      <c r="SCH47" s="19"/>
      <c r="SCI47" s="19"/>
      <c r="SCJ47" s="19"/>
      <c r="SCK47" s="19"/>
      <c r="SCL47" s="21"/>
      <c r="SCM47" s="19"/>
      <c r="SCV47" s="19"/>
      <c r="SCW47" s="19"/>
      <c r="SCX47" s="19"/>
      <c r="SCY47" s="19"/>
      <c r="SCZ47" s="21"/>
      <c r="SDA47" s="19"/>
      <c r="SDJ47" s="19"/>
      <c r="SDK47" s="19"/>
      <c r="SDL47" s="19"/>
      <c r="SDM47" s="19"/>
      <c r="SDN47" s="21"/>
      <c r="SDO47" s="19"/>
      <c r="SDX47" s="19"/>
      <c r="SDY47" s="19"/>
      <c r="SDZ47" s="19"/>
      <c r="SEA47" s="19"/>
      <c r="SEB47" s="21"/>
      <c r="SEC47" s="19"/>
      <c r="SEL47" s="19"/>
      <c r="SEM47" s="19"/>
      <c r="SEN47" s="19"/>
      <c r="SEO47" s="19"/>
      <c r="SEP47" s="21"/>
      <c r="SEQ47" s="19"/>
      <c r="SEZ47" s="19"/>
      <c r="SFA47" s="19"/>
      <c r="SFB47" s="19"/>
      <c r="SFC47" s="19"/>
      <c r="SFD47" s="21"/>
      <c r="SFE47" s="19"/>
      <c r="SFN47" s="19"/>
      <c r="SFO47" s="19"/>
      <c r="SFP47" s="19"/>
      <c r="SFQ47" s="19"/>
      <c r="SFR47" s="21"/>
      <c r="SFS47" s="19"/>
      <c r="SGB47" s="19"/>
      <c r="SGC47" s="19"/>
      <c r="SGD47" s="19"/>
      <c r="SGE47" s="19"/>
      <c r="SGF47" s="21"/>
      <c r="SGG47" s="19"/>
      <c r="SGP47" s="19"/>
      <c r="SGQ47" s="19"/>
      <c r="SGR47" s="19"/>
      <c r="SGS47" s="19"/>
      <c r="SGT47" s="21"/>
      <c r="SGU47" s="19"/>
      <c r="SHD47" s="19"/>
      <c r="SHE47" s="19"/>
      <c r="SHF47" s="19"/>
      <c r="SHG47" s="19"/>
      <c r="SHH47" s="21"/>
      <c r="SHI47" s="19"/>
      <c r="SHR47" s="19"/>
      <c r="SHS47" s="19"/>
      <c r="SHT47" s="19"/>
      <c r="SHU47" s="19"/>
      <c r="SHV47" s="21"/>
      <c r="SHW47" s="19"/>
      <c r="SIF47" s="19"/>
      <c r="SIG47" s="19"/>
      <c r="SIH47" s="19"/>
      <c r="SII47" s="19"/>
      <c r="SIJ47" s="21"/>
      <c r="SIK47" s="19"/>
      <c r="SIT47" s="19"/>
      <c r="SIU47" s="19"/>
      <c r="SIV47" s="19"/>
      <c r="SIW47" s="19"/>
      <c r="SIX47" s="21"/>
      <c r="SIY47" s="19"/>
      <c r="SJH47" s="19"/>
      <c r="SJI47" s="19"/>
      <c r="SJJ47" s="19"/>
      <c r="SJK47" s="19"/>
      <c r="SJL47" s="21"/>
      <c r="SJM47" s="19"/>
      <c r="SJV47" s="19"/>
      <c r="SJW47" s="19"/>
      <c r="SJX47" s="19"/>
      <c r="SJY47" s="19"/>
      <c r="SJZ47" s="21"/>
      <c r="SKA47" s="19"/>
      <c r="SKJ47" s="19"/>
      <c r="SKK47" s="19"/>
      <c r="SKL47" s="19"/>
      <c r="SKM47" s="19"/>
      <c r="SKN47" s="21"/>
      <c r="SKO47" s="19"/>
      <c r="SKX47" s="19"/>
      <c r="SKY47" s="19"/>
      <c r="SKZ47" s="19"/>
      <c r="SLA47" s="19"/>
      <c r="SLB47" s="21"/>
      <c r="SLC47" s="19"/>
      <c r="SLL47" s="19"/>
      <c r="SLM47" s="19"/>
      <c r="SLN47" s="19"/>
      <c r="SLO47" s="19"/>
      <c r="SLP47" s="21"/>
      <c r="SLQ47" s="19"/>
      <c r="SLZ47" s="19"/>
      <c r="SMA47" s="19"/>
      <c r="SMB47" s="19"/>
      <c r="SMC47" s="19"/>
      <c r="SMD47" s="21"/>
      <c r="SME47" s="19"/>
      <c r="SMN47" s="19"/>
      <c r="SMO47" s="19"/>
      <c r="SMP47" s="19"/>
      <c r="SMQ47" s="19"/>
      <c r="SMR47" s="21"/>
      <c r="SMS47" s="19"/>
      <c r="SNB47" s="19"/>
      <c r="SNC47" s="19"/>
      <c r="SND47" s="19"/>
      <c r="SNE47" s="19"/>
      <c r="SNF47" s="21"/>
      <c r="SNG47" s="19"/>
      <c r="SNP47" s="19"/>
      <c r="SNQ47" s="19"/>
      <c r="SNR47" s="19"/>
      <c r="SNS47" s="19"/>
      <c r="SNT47" s="21"/>
      <c r="SNU47" s="19"/>
      <c r="SOD47" s="19"/>
      <c r="SOE47" s="19"/>
      <c r="SOF47" s="19"/>
      <c r="SOG47" s="19"/>
      <c r="SOH47" s="21"/>
      <c r="SOI47" s="19"/>
      <c r="SOR47" s="19"/>
      <c r="SOS47" s="19"/>
      <c r="SOT47" s="19"/>
      <c r="SOU47" s="19"/>
      <c r="SOV47" s="21"/>
      <c r="SOW47" s="19"/>
      <c r="SPF47" s="19"/>
      <c r="SPG47" s="19"/>
      <c r="SPH47" s="19"/>
      <c r="SPI47" s="19"/>
      <c r="SPJ47" s="21"/>
      <c r="SPK47" s="19"/>
      <c r="SPT47" s="19"/>
      <c r="SPU47" s="19"/>
      <c r="SPV47" s="19"/>
      <c r="SPW47" s="19"/>
      <c r="SPX47" s="21"/>
      <c r="SPY47" s="19"/>
      <c r="SQH47" s="19"/>
      <c r="SQI47" s="19"/>
      <c r="SQJ47" s="19"/>
      <c r="SQK47" s="19"/>
      <c r="SQL47" s="21"/>
      <c r="SQM47" s="19"/>
      <c r="SQV47" s="19"/>
      <c r="SQW47" s="19"/>
      <c r="SQX47" s="19"/>
      <c r="SQY47" s="19"/>
      <c r="SQZ47" s="21"/>
      <c r="SRA47" s="19"/>
      <c r="SRJ47" s="19"/>
      <c r="SRK47" s="19"/>
      <c r="SRL47" s="19"/>
      <c r="SRM47" s="19"/>
      <c r="SRN47" s="21"/>
      <c r="SRO47" s="19"/>
      <c r="SRX47" s="19"/>
      <c r="SRY47" s="19"/>
      <c r="SRZ47" s="19"/>
      <c r="SSA47" s="19"/>
      <c r="SSB47" s="21"/>
      <c r="SSC47" s="19"/>
      <c r="SSL47" s="19"/>
      <c r="SSM47" s="19"/>
      <c r="SSN47" s="19"/>
      <c r="SSO47" s="19"/>
      <c r="SSP47" s="21"/>
      <c r="SSQ47" s="19"/>
      <c r="SSZ47" s="19"/>
      <c r="STA47" s="19"/>
      <c r="STB47" s="19"/>
      <c r="STC47" s="19"/>
      <c r="STD47" s="21"/>
      <c r="STE47" s="19"/>
      <c r="STN47" s="19"/>
      <c r="STO47" s="19"/>
      <c r="STP47" s="19"/>
      <c r="STQ47" s="19"/>
      <c r="STR47" s="21"/>
      <c r="STS47" s="19"/>
      <c r="SUB47" s="19"/>
      <c r="SUC47" s="19"/>
      <c r="SUD47" s="19"/>
      <c r="SUE47" s="19"/>
      <c r="SUF47" s="21"/>
      <c r="SUG47" s="19"/>
      <c r="SUP47" s="19"/>
      <c r="SUQ47" s="19"/>
      <c r="SUR47" s="19"/>
      <c r="SUS47" s="19"/>
      <c r="SUT47" s="21"/>
      <c r="SUU47" s="19"/>
      <c r="SVD47" s="19"/>
      <c r="SVE47" s="19"/>
      <c r="SVF47" s="19"/>
      <c r="SVG47" s="19"/>
      <c r="SVH47" s="21"/>
      <c r="SVI47" s="19"/>
      <c r="SVR47" s="19"/>
      <c r="SVS47" s="19"/>
      <c r="SVT47" s="19"/>
      <c r="SVU47" s="19"/>
      <c r="SVV47" s="21"/>
      <c r="SVW47" s="19"/>
      <c r="SWF47" s="19"/>
      <c r="SWG47" s="19"/>
      <c r="SWH47" s="19"/>
      <c r="SWI47" s="19"/>
      <c r="SWJ47" s="21"/>
      <c r="SWK47" s="19"/>
      <c r="SWT47" s="19"/>
      <c r="SWU47" s="19"/>
      <c r="SWV47" s="19"/>
      <c r="SWW47" s="19"/>
      <c r="SWX47" s="21"/>
      <c r="SWY47" s="19"/>
      <c r="SXH47" s="19"/>
      <c r="SXI47" s="19"/>
      <c r="SXJ47" s="19"/>
      <c r="SXK47" s="19"/>
      <c r="SXL47" s="21"/>
      <c r="SXM47" s="19"/>
      <c r="SXV47" s="19"/>
      <c r="SXW47" s="19"/>
      <c r="SXX47" s="19"/>
      <c r="SXY47" s="19"/>
      <c r="SXZ47" s="21"/>
      <c r="SYA47" s="19"/>
      <c r="SYJ47" s="19"/>
      <c r="SYK47" s="19"/>
      <c r="SYL47" s="19"/>
      <c r="SYM47" s="19"/>
      <c r="SYN47" s="21"/>
      <c r="SYO47" s="19"/>
      <c r="SYX47" s="19"/>
      <c r="SYY47" s="19"/>
      <c r="SYZ47" s="19"/>
      <c r="SZA47" s="19"/>
      <c r="SZB47" s="21"/>
      <c r="SZC47" s="19"/>
      <c r="SZL47" s="19"/>
      <c r="SZM47" s="19"/>
      <c r="SZN47" s="19"/>
      <c r="SZO47" s="19"/>
      <c r="SZP47" s="21"/>
      <c r="SZQ47" s="19"/>
      <c r="SZZ47" s="19"/>
      <c r="TAA47" s="19"/>
      <c r="TAB47" s="19"/>
      <c r="TAC47" s="19"/>
      <c r="TAD47" s="21"/>
      <c r="TAE47" s="19"/>
      <c r="TAN47" s="19"/>
      <c r="TAO47" s="19"/>
      <c r="TAP47" s="19"/>
      <c r="TAQ47" s="19"/>
      <c r="TAR47" s="21"/>
      <c r="TAS47" s="19"/>
      <c r="TBB47" s="19"/>
      <c r="TBC47" s="19"/>
      <c r="TBD47" s="19"/>
      <c r="TBE47" s="19"/>
      <c r="TBF47" s="21"/>
      <c r="TBG47" s="19"/>
      <c r="TBP47" s="19"/>
      <c r="TBQ47" s="19"/>
      <c r="TBR47" s="19"/>
      <c r="TBS47" s="19"/>
      <c r="TBT47" s="21"/>
      <c r="TBU47" s="19"/>
      <c r="TCD47" s="19"/>
      <c r="TCE47" s="19"/>
      <c r="TCF47" s="19"/>
      <c r="TCG47" s="19"/>
      <c r="TCH47" s="21"/>
      <c r="TCI47" s="19"/>
      <c r="TCR47" s="19"/>
      <c r="TCS47" s="19"/>
      <c r="TCT47" s="19"/>
      <c r="TCU47" s="19"/>
      <c r="TCV47" s="21"/>
      <c r="TCW47" s="19"/>
      <c r="TDF47" s="19"/>
      <c r="TDG47" s="19"/>
      <c r="TDH47" s="19"/>
      <c r="TDI47" s="19"/>
      <c r="TDJ47" s="21"/>
      <c r="TDK47" s="19"/>
      <c r="TDT47" s="19"/>
      <c r="TDU47" s="19"/>
      <c r="TDV47" s="19"/>
      <c r="TDW47" s="19"/>
      <c r="TDX47" s="21"/>
      <c r="TDY47" s="19"/>
      <c r="TEH47" s="19"/>
      <c r="TEI47" s="19"/>
      <c r="TEJ47" s="19"/>
      <c r="TEK47" s="19"/>
      <c r="TEL47" s="21"/>
      <c r="TEM47" s="19"/>
      <c r="TEV47" s="19"/>
      <c r="TEW47" s="19"/>
      <c r="TEX47" s="19"/>
      <c r="TEY47" s="19"/>
      <c r="TEZ47" s="21"/>
      <c r="TFA47" s="19"/>
      <c r="TFJ47" s="19"/>
      <c r="TFK47" s="19"/>
      <c r="TFL47" s="19"/>
      <c r="TFM47" s="19"/>
      <c r="TFN47" s="21"/>
      <c r="TFO47" s="19"/>
      <c r="TFX47" s="19"/>
      <c r="TFY47" s="19"/>
      <c r="TFZ47" s="19"/>
      <c r="TGA47" s="19"/>
      <c r="TGB47" s="21"/>
      <c r="TGC47" s="19"/>
      <c r="TGL47" s="19"/>
      <c r="TGM47" s="19"/>
      <c r="TGN47" s="19"/>
      <c r="TGO47" s="19"/>
      <c r="TGP47" s="21"/>
      <c r="TGQ47" s="19"/>
      <c r="TGZ47" s="19"/>
      <c r="THA47" s="19"/>
      <c r="THB47" s="19"/>
      <c r="THC47" s="19"/>
      <c r="THD47" s="21"/>
      <c r="THE47" s="19"/>
      <c r="THN47" s="19"/>
      <c r="THO47" s="19"/>
      <c r="THP47" s="19"/>
      <c r="THQ47" s="19"/>
      <c r="THR47" s="21"/>
      <c r="THS47" s="19"/>
      <c r="TIB47" s="19"/>
      <c r="TIC47" s="19"/>
      <c r="TID47" s="19"/>
      <c r="TIE47" s="19"/>
      <c r="TIF47" s="21"/>
      <c r="TIG47" s="19"/>
      <c r="TIP47" s="19"/>
      <c r="TIQ47" s="19"/>
      <c r="TIR47" s="19"/>
      <c r="TIS47" s="19"/>
      <c r="TIT47" s="21"/>
      <c r="TIU47" s="19"/>
      <c r="TJD47" s="19"/>
      <c r="TJE47" s="19"/>
      <c r="TJF47" s="19"/>
      <c r="TJG47" s="19"/>
      <c r="TJH47" s="21"/>
      <c r="TJI47" s="19"/>
      <c r="TJR47" s="19"/>
      <c r="TJS47" s="19"/>
      <c r="TJT47" s="19"/>
      <c r="TJU47" s="19"/>
      <c r="TJV47" s="21"/>
      <c r="TJW47" s="19"/>
      <c r="TKF47" s="19"/>
      <c r="TKG47" s="19"/>
      <c r="TKH47" s="19"/>
      <c r="TKI47" s="19"/>
      <c r="TKJ47" s="21"/>
      <c r="TKK47" s="19"/>
      <c r="TKT47" s="19"/>
      <c r="TKU47" s="19"/>
      <c r="TKV47" s="19"/>
      <c r="TKW47" s="19"/>
      <c r="TKX47" s="21"/>
      <c r="TKY47" s="19"/>
      <c r="TLH47" s="19"/>
      <c r="TLI47" s="19"/>
      <c r="TLJ47" s="19"/>
      <c r="TLK47" s="19"/>
      <c r="TLL47" s="21"/>
      <c r="TLM47" s="19"/>
      <c r="TLV47" s="19"/>
      <c r="TLW47" s="19"/>
      <c r="TLX47" s="19"/>
      <c r="TLY47" s="19"/>
      <c r="TLZ47" s="21"/>
      <c r="TMA47" s="19"/>
      <c r="TMJ47" s="19"/>
      <c r="TMK47" s="19"/>
      <c r="TML47" s="19"/>
      <c r="TMM47" s="19"/>
      <c r="TMN47" s="21"/>
      <c r="TMO47" s="19"/>
      <c r="TMX47" s="19"/>
      <c r="TMY47" s="19"/>
      <c r="TMZ47" s="19"/>
      <c r="TNA47" s="19"/>
      <c r="TNB47" s="21"/>
      <c r="TNC47" s="19"/>
      <c r="TNL47" s="19"/>
      <c r="TNM47" s="19"/>
      <c r="TNN47" s="19"/>
      <c r="TNO47" s="19"/>
      <c r="TNP47" s="21"/>
      <c r="TNQ47" s="19"/>
      <c r="TNZ47" s="19"/>
      <c r="TOA47" s="19"/>
      <c r="TOB47" s="19"/>
      <c r="TOC47" s="19"/>
      <c r="TOD47" s="21"/>
      <c r="TOE47" s="19"/>
      <c r="TON47" s="19"/>
      <c r="TOO47" s="19"/>
      <c r="TOP47" s="19"/>
      <c r="TOQ47" s="19"/>
      <c r="TOR47" s="21"/>
      <c r="TOS47" s="19"/>
      <c r="TPB47" s="19"/>
      <c r="TPC47" s="19"/>
      <c r="TPD47" s="19"/>
      <c r="TPE47" s="19"/>
      <c r="TPF47" s="21"/>
      <c r="TPG47" s="19"/>
      <c r="TPP47" s="19"/>
      <c r="TPQ47" s="19"/>
      <c r="TPR47" s="19"/>
      <c r="TPS47" s="19"/>
      <c r="TPT47" s="21"/>
      <c r="TPU47" s="19"/>
      <c r="TQD47" s="19"/>
      <c r="TQE47" s="19"/>
      <c r="TQF47" s="19"/>
      <c r="TQG47" s="19"/>
      <c r="TQH47" s="21"/>
      <c r="TQI47" s="19"/>
      <c r="TQR47" s="19"/>
      <c r="TQS47" s="19"/>
      <c r="TQT47" s="19"/>
      <c r="TQU47" s="19"/>
      <c r="TQV47" s="21"/>
      <c r="TQW47" s="19"/>
      <c r="TRF47" s="19"/>
      <c r="TRG47" s="19"/>
      <c r="TRH47" s="19"/>
      <c r="TRI47" s="19"/>
      <c r="TRJ47" s="21"/>
      <c r="TRK47" s="19"/>
      <c r="TRT47" s="19"/>
      <c r="TRU47" s="19"/>
      <c r="TRV47" s="19"/>
      <c r="TRW47" s="19"/>
      <c r="TRX47" s="21"/>
      <c r="TRY47" s="19"/>
      <c r="TSH47" s="19"/>
      <c r="TSI47" s="19"/>
      <c r="TSJ47" s="19"/>
      <c r="TSK47" s="19"/>
      <c r="TSL47" s="21"/>
      <c r="TSM47" s="19"/>
      <c r="TSV47" s="19"/>
      <c r="TSW47" s="19"/>
      <c r="TSX47" s="19"/>
      <c r="TSY47" s="19"/>
      <c r="TSZ47" s="21"/>
      <c r="TTA47" s="19"/>
      <c r="TTJ47" s="19"/>
      <c r="TTK47" s="19"/>
      <c r="TTL47" s="19"/>
      <c r="TTM47" s="19"/>
      <c r="TTN47" s="21"/>
      <c r="TTO47" s="19"/>
      <c r="TTX47" s="19"/>
      <c r="TTY47" s="19"/>
      <c r="TTZ47" s="19"/>
      <c r="TUA47" s="19"/>
      <c r="TUB47" s="21"/>
      <c r="TUC47" s="19"/>
      <c r="TUL47" s="19"/>
      <c r="TUM47" s="19"/>
      <c r="TUN47" s="19"/>
      <c r="TUO47" s="19"/>
      <c r="TUP47" s="21"/>
      <c r="TUQ47" s="19"/>
      <c r="TUZ47" s="19"/>
      <c r="TVA47" s="19"/>
      <c r="TVB47" s="19"/>
      <c r="TVC47" s="19"/>
      <c r="TVD47" s="21"/>
      <c r="TVE47" s="19"/>
      <c r="TVN47" s="19"/>
      <c r="TVO47" s="19"/>
      <c r="TVP47" s="19"/>
      <c r="TVQ47" s="19"/>
      <c r="TVR47" s="21"/>
      <c r="TVS47" s="19"/>
      <c r="TWB47" s="19"/>
      <c r="TWC47" s="19"/>
      <c r="TWD47" s="19"/>
      <c r="TWE47" s="19"/>
      <c r="TWF47" s="21"/>
      <c r="TWG47" s="19"/>
      <c r="TWP47" s="19"/>
      <c r="TWQ47" s="19"/>
      <c r="TWR47" s="19"/>
      <c r="TWS47" s="19"/>
      <c r="TWT47" s="21"/>
      <c r="TWU47" s="19"/>
      <c r="TXD47" s="19"/>
      <c r="TXE47" s="19"/>
      <c r="TXF47" s="19"/>
      <c r="TXG47" s="19"/>
      <c r="TXH47" s="21"/>
      <c r="TXI47" s="19"/>
      <c r="TXR47" s="19"/>
      <c r="TXS47" s="19"/>
      <c r="TXT47" s="19"/>
      <c r="TXU47" s="19"/>
      <c r="TXV47" s="21"/>
      <c r="TXW47" s="19"/>
      <c r="TYF47" s="19"/>
      <c r="TYG47" s="19"/>
      <c r="TYH47" s="19"/>
      <c r="TYI47" s="19"/>
      <c r="TYJ47" s="21"/>
      <c r="TYK47" s="19"/>
      <c r="TYT47" s="19"/>
      <c r="TYU47" s="19"/>
      <c r="TYV47" s="19"/>
      <c r="TYW47" s="19"/>
      <c r="TYX47" s="21"/>
      <c r="TYY47" s="19"/>
      <c r="TZH47" s="19"/>
      <c r="TZI47" s="19"/>
      <c r="TZJ47" s="19"/>
      <c r="TZK47" s="19"/>
      <c r="TZL47" s="21"/>
      <c r="TZM47" s="19"/>
      <c r="TZV47" s="19"/>
      <c r="TZW47" s="19"/>
      <c r="TZX47" s="19"/>
      <c r="TZY47" s="19"/>
      <c r="TZZ47" s="21"/>
      <c r="UAA47" s="19"/>
      <c r="UAJ47" s="19"/>
      <c r="UAK47" s="19"/>
      <c r="UAL47" s="19"/>
      <c r="UAM47" s="19"/>
      <c r="UAN47" s="21"/>
      <c r="UAO47" s="19"/>
      <c r="UAX47" s="19"/>
      <c r="UAY47" s="19"/>
      <c r="UAZ47" s="19"/>
      <c r="UBA47" s="19"/>
      <c r="UBB47" s="21"/>
      <c r="UBC47" s="19"/>
      <c r="UBL47" s="19"/>
      <c r="UBM47" s="19"/>
      <c r="UBN47" s="19"/>
      <c r="UBO47" s="19"/>
      <c r="UBP47" s="21"/>
      <c r="UBQ47" s="19"/>
      <c r="UBZ47" s="19"/>
      <c r="UCA47" s="19"/>
      <c r="UCB47" s="19"/>
      <c r="UCC47" s="19"/>
      <c r="UCD47" s="21"/>
      <c r="UCE47" s="19"/>
      <c r="UCN47" s="19"/>
      <c r="UCO47" s="19"/>
      <c r="UCP47" s="19"/>
      <c r="UCQ47" s="19"/>
      <c r="UCR47" s="21"/>
      <c r="UCS47" s="19"/>
      <c r="UDB47" s="19"/>
      <c r="UDC47" s="19"/>
      <c r="UDD47" s="19"/>
      <c r="UDE47" s="19"/>
      <c r="UDF47" s="21"/>
      <c r="UDG47" s="19"/>
      <c r="UDP47" s="19"/>
      <c r="UDQ47" s="19"/>
      <c r="UDR47" s="19"/>
      <c r="UDS47" s="19"/>
      <c r="UDT47" s="21"/>
      <c r="UDU47" s="19"/>
      <c r="UED47" s="19"/>
      <c r="UEE47" s="19"/>
      <c r="UEF47" s="19"/>
      <c r="UEG47" s="19"/>
      <c r="UEH47" s="21"/>
      <c r="UEI47" s="19"/>
      <c r="UER47" s="19"/>
      <c r="UES47" s="19"/>
      <c r="UET47" s="19"/>
      <c r="UEU47" s="19"/>
      <c r="UEV47" s="21"/>
      <c r="UEW47" s="19"/>
      <c r="UFF47" s="19"/>
      <c r="UFG47" s="19"/>
      <c r="UFH47" s="19"/>
      <c r="UFI47" s="19"/>
      <c r="UFJ47" s="21"/>
      <c r="UFK47" s="19"/>
      <c r="UFT47" s="19"/>
      <c r="UFU47" s="19"/>
      <c r="UFV47" s="19"/>
      <c r="UFW47" s="19"/>
      <c r="UFX47" s="21"/>
      <c r="UFY47" s="19"/>
      <c r="UGH47" s="19"/>
      <c r="UGI47" s="19"/>
      <c r="UGJ47" s="19"/>
      <c r="UGK47" s="19"/>
      <c r="UGL47" s="21"/>
      <c r="UGM47" s="19"/>
      <c r="UGV47" s="19"/>
      <c r="UGW47" s="19"/>
      <c r="UGX47" s="19"/>
      <c r="UGY47" s="19"/>
      <c r="UGZ47" s="21"/>
      <c r="UHA47" s="19"/>
      <c r="UHJ47" s="19"/>
      <c r="UHK47" s="19"/>
      <c r="UHL47" s="19"/>
      <c r="UHM47" s="19"/>
      <c r="UHN47" s="21"/>
      <c r="UHO47" s="19"/>
      <c r="UHX47" s="19"/>
      <c r="UHY47" s="19"/>
      <c r="UHZ47" s="19"/>
      <c r="UIA47" s="19"/>
      <c r="UIB47" s="21"/>
      <c r="UIC47" s="19"/>
      <c r="UIL47" s="19"/>
      <c r="UIM47" s="19"/>
      <c r="UIN47" s="19"/>
      <c r="UIO47" s="19"/>
      <c r="UIP47" s="21"/>
      <c r="UIQ47" s="19"/>
      <c r="UIZ47" s="19"/>
      <c r="UJA47" s="19"/>
      <c r="UJB47" s="19"/>
      <c r="UJC47" s="19"/>
      <c r="UJD47" s="21"/>
      <c r="UJE47" s="19"/>
      <c r="UJN47" s="19"/>
      <c r="UJO47" s="19"/>
      <c r="UJP47" s="19"/>
      <c r="UJQ47" s="19"/>
      <c r="UJR47" s="21"/>
      <c r="UJS47" s="19"/>
      <c r="UKB47" s="19"/>
      <c r="UKC47" s="19"/>
      <c r="UKD47" s="19"/>
      <c r="UKE47" s="19"/>
      <c r="UKF47" s="21"/>
      <c r="UKG47" s="19"/>
      <c r="UKP47" s="19"/>
      <c r="UKQ47" s="19"/>
      <c r="UKR47" s="19"/>
      <c r="UKS47" s="19"/>
      <c r="UKT47" s="21"/>
      <c r="UKU47" s="19"/>
      <c r="ULD47" s="19"/>
      <c r="ULE47" s="19"/>
      <c r="ULF47" s="19"/>
      <c r="ULG47" s="19"/>
      <c r="ULH47" s="21"/>
      <c r="ULI47" s="19"/>
      <c r="ULR47" s="19"/>
      <c r="ULS47" s="19"/>
      <c r="ULT47" s="19"/>
      <c r="ULU47" s="19"/>
      <c r="ULV47" s="21"/>
      <c r="ULW47" s="19"/>
      <c r="UMF47" s="19"/>
      <c r="UMG47" s="19"/>
      <c r="UMH47" s="19"/>
      <c r="UMI47" s="19"/>
      <c r="UMJ47" s="21"/>
      <c r="UMK47" s="19"/>
      <c r="UMT47" s="19"/>
      <c r="UMU47" s="19"/>
      <c r="UMV47" s="19"/>
      <c r="UMW47" s="19"/>
      <c r="UMX47" s="21"/>
      <c r="UMY47" s="19"/>
      <c r="UNH47" s="19"/>
      <c r="UNI47" s="19"/>
      <c r="UNJ47" s="19"/>
      <c r="UNK47" s="19"/>
      <c r="UNL47" s="21"/>
      <c r="UNM47" s="19"/>
      <c r="UNV47" s="19"/>
      <c r="UNW47" s="19"/>
      <c r="UNX47" s="19"/>
      <c r="UNY47" s="19"/>
      <c r="UNZ47" s="21"/>
      <c r="UOA47" s="19"/>
      <c r="UOJ47" s="19"/>
      <c r="UOK47" s="19"/>
      <c r="UOL47" s="19"/>
      <c r="UOM47" s="19"/>
      <c r="UON47" s="21"/>
      <c r="UOO47" s="19"/>
      <c r="UOX47" s="19"/>
      <c r="UOY47" s="19"/>
      <c r="UOZ47" s="19"/>
      <c r="UPA47" s="19"/>
      <c r="UPB47" s="21"/>
      <c r="UPC47" s="19"/>
      <c r="UPL47" s="19"/>
      <c r="UPM47" s="19"/>
      <c r="UPN47" s="19"/>
      <c r="UPO47" s="19"/>
      <c r="UPP47" s="21"/>
      <c r="UPQ47" s="19"/>
      <c r="UPZ47" s="19"/>
      <c r="UQA47" s="19"/>
      <c r="UQB47" s="19"/>
      <c r="UQC47" s="19"/>
      <c r="UQD47" s="21"/>
      <c r="UQE47" s="19"/>
      <c r="UQN47" s="19"/>
      <c r="UQO47" s="19"/>
      <c r="UQP47" s="19"/>
      <c r="UQQ47" s="19"/>
      <c r="UQR47" s="21"/>
      <c r="UQS47" s="19"/>
      <c r="URB47" s="19"/>
      <c r="URC47" s="19"/>
      <c r="URD47" s="19"/>
      <c r="URE47" s="19"/>
      <c r="URF47" s="21"/>
      <c r="URG47" s="19"/>
      <c r="URP47" s="19"/>
      <c r="URQ47" s="19"/>
      <c r="URR47" s="19"/>
      <c r="URS47" s="19"/>
      <c r="URT47" s="21"/>
      <c r="URU47" s="19"/>
      <c r="USD47" s="19"/>
      <c r="USE47" s="19"/>
      <c r="USF47" s="19"/>
      <c r="USG47" s="19"/>
      <c r="USH47" s="21"/>
      <c r="USI47" s="19"/>
      <c r="USR47" s="19"/>
      <c r="USS47" s="19"/>
      <c r="UST47" s="19"/>
      <c r="USU47" s="19"/>
      <c r="USV47" s="21"/>
      <c r="USW47" s="19"/>
      <c r="UTF47" s="19"/>
      <c r="UTG47" s="19"/>
      <c r="UTH47" s="19"/>
      <c r="UTI47" s="19"/>
      <c r="UTJ47" s="21"/>
      <c r="UTK47" s="19"/>
      <c r="UTT47" s="19"/>
      <c r="UTU47" s="19"/>
      <c r="UTV47" s="19"/>
      <c r="UTW47" s="19"/>
      <c r="UTX47" s="21"/>
      <c r="UTY47" s="19"/>
      <c r="UUH47" s="19"/>
      <c r="UUI47" s="19"/>
      <c r="UUJ47" s="19"/>
      <c r="UUK47" s="19"/>
      <c r="UUL47" s="21"/>
      <c r="UUM47" s="19"/>
      <c r="UUV47" s="19"/>
      <c r="UUW47" s="19"/>
      <c r="UUX47" s="19"/>
      <c r="UUY47" s="19"/>
      <c r="UUZ47" s="21"/>
      <c r="UVA47" s="19"/>
      <c r="UVJ47" s="19"/>
      <c r="UVK47" s="19"/>
      <c r="UVL47" s="19"/>
      <c r="UVM47" s="19"/>
      <c r="UVN47" s="21"/>
      <c r="UVO47" s="19"/>
      <c r="UVX47" s="19"/>
      <c r="UVY47" s="19"/>
      <c r="UVZ47" s="19"/>
      <c r="UWA47" s="19"/>
      <c r="UWB47" s="21"/>
      <c r="UWC47" s="19"/>
      <c r="UWL47" s="19"/>
      <c r="UWM47" s="19"/>
      <c r="UWN47" s="19"/>
      <c r="UWO47" s="19"/>
      <c r="UWP47" s="21"/>
      <c r="UWQ47" s="19"/>
      <c r="UWZ47" s="19"/>
      <c r="UXA47" s="19"/>
      <c r="UXB47" s="19"/>
      <c r="UXC47" s="19"/>
      <c r="UXD47" s="21"/>
      <c r="UXE47" s="19"/>
      <c r="UXN47" s="19"/>
      <c r="UXO47" s="19"/>
      <c r="UXP47" s="19"/>
      <c r="UXQ47" s="19"/>
      <c r="UXR47" s="21"/>
      <c r="UXS47" s="19"/>
      <c r="UYB47" s="19"/>
      <c r="UYC47" s="19"/>
      <c r="UYD47" s="19"/>
      <c r="UYE47" s="19"/>
      <c r="UYF47" s="21"/>
      <c r="UYG47" s="19"/>
      <c r="UYP47" s="19"/>
      <c r="UYQ47" s="19"/>
      <c r="UYR47" s="19"/>
      <c r="UYS47" s="19"/>
      <c r="UYT47" s="21"/>
      <c r="UYU47" s="19"/>
      <c r="UZD47" s="19"/>
      <c r="UZE47" s="19"/>
      <c r="UZF47" s="19"/>
      <c r="UZG47" s="19"/>
      <c r="UZH47" s="21"/>
      <c r="UZI47" s="19"/>
      <c r="UZR47" s="19"/>
      <c r="UZS47" s="19"/>
      <c r="UZT47" s="19"/>
      <c r="UZU47" s="19"/>
      <c r="UZV47" s="21"/>
      <c r="UZW47" s="19"/>
      <c r="VAF47" s="19"/>
      <c r="VAG47" s="19"/>
      <c r="VAH47" s="19"/>
      <c r="VAI47" s="19"/>
      <c r="VAJ47" s="21"/>
      <c r="VAK47" s="19"/>
      <c r="VAT47" s="19"/>
      <c r="VAU47" s="19"/>
      <c r="VAV47" s="19"/>
      <c r="VAW47" s="19"/>
      <c r="VAX47" s="21"/>
      <c r="VAY47" s="19"/>
      <c r="VBH47" s="19"/>
      <c r="VBI47" s="19"/>
      <c r="VBJ47" s="19"/>
      <c r="VBK47" s="19"/>
      <c r="VBL47" s="21"/>
      <c r="VBM47" s="19"/>
      <c r="VBV47" s="19"/>
      <c r="VBW47" s="19"/>
      <c r="VBX47" s="19"/>
      <c r="VBY47" s="19"/>
      <c r="VBZ47" s="21"/>
      <c r="VCA47" s="19"/>
      <c r="VCJ47" s="19"/>
      <c r="VCK47" s="19"/>
      <c r="VCL47" s="19"/>
      <c r="VCM47" s="19"/>
      <c r="VCN47" s="21"/>
      <c r="VCO47" s="19"/>
      <c r="VCX47" s="19"/>
      <c r="VCY47" s="19"/>
      <c r="VCZ47" s="19"/>
      <c r="VDA47" s="19"/>
      <c r="VDB47" s="21"/>
      <c r="VDC47" s="19"/>
      <c r="VDL47" s="19"/>
      <c r="VDM47" s="19"/>
      <c r="VDN47" s="19"/>
      <c r="VDO47" s="19"/>
      <c r="VDP47" s="21"/>
      <c r="VDQ47" s="19"/>
      <c r="VDZ47" s="19"/>
      <c r="VEA47" s="19"/>
      <c r="VEB47" s="19"/>
      <c r="VEC47" s="19"/>
      <c r="VED47" s="21"/>
      <c r="VEE47" s="19"/>
      <c r="VEN47" s="19"/>
      <c r="VEO47" s="19"/>
      <c r="VEP47" s="19"/>
      <c r="VEQ47" s="19"/>
      <c r="VER47" s="21"/>
      <c r="VES47" s="19"/>
      <c r="VFB47" s="19"/>
      <c r="VFC47" s="19"/>
      <c r="VFD47" s="19"/>
      <c r="VFE47" s="19"/>
      <c r="VFF47" s="21"/>
      <c r="VFG47" s="19"/>
      <c r="VFP47" s="19"/>
      <c r="VFQ47" s="19"/>
      <c r="VFR47" s="19"/>
      <c r="VFS47" s="19"/>
      <c r="VFT47" s="21"/>
      <c r="VFU47" s="19"/>
      <c r="VGD47" s="19"/>
      <c r="VGE47" s="19"/>
      <c r="VGF47" s="19"/>
      <c r="VGG47" s="19"/>
      <c r="VGH47" s="21"/>
      <c r="VGI47" s="19"/>
      <c r="VGR47" s="19"/>
      <c r="VGS47" s="19"/>
      <c r="VGT47" s="19"/>
      <c r="VGU47" s="19"/>
      <c r="VGV47" s="21"/>
      <c r="VGW47" s="19"/>
      <c r="VHF47" s="19"/>
      <c r="VHG47" s="19"/>
      <c r="VHH47" s="19"/>
      <c r="VHI47" s="19"/>
      <c r="VHJ47" s="21"/>
      <c r="VHK47" s="19"/>
      <c r="VHT47" s="19"/>
      <c r="VHU47" s="19"/>
      <c r="VHV47" s="19"/>
      <c r="VHW47" s="19"/>
      <c r="VHX47" s="21"/>
      <c r="VHY47" s="19"/>
      <c r="VIH47" s="19"/>
      <c r="VII47" s="19"/>
      <c r="VIJ47" s="19"/>
      <c r="VIK47" s="19"/>
      <c r="VIL47" s="21"/>
      <c r="VIM47" s="19"/>
      <c r="VIV47" s="19"/>
      <c r="VIW47" s="19"/>
      <c r="VIX47" s="19"/>
      <c r="VIY47" s="19"/>
      <c r="VIZ47" s="21"/>
      <c r="VJA47" s="19"/>
      <c r="VJJ47" s="19"/>
      <c r="VJK47" s="19"/>
      <c r="VJL47" s="19"/>
      <c r="VJM47" s="19"/>
      <c r="VJN47" s="21"/>
      <c r="VJO47" s="19"/>
      <c r="VJX47" s="19"/>
      <c r="VJY47" s="19"/>
      <c r="VJZ47" s="19"/>
      <c r="VKA47" s="19"/>
      <c r="VKB47" s="21"/>
      <c r="VKC47" s="19"/>
      <c r="VKL47" s="19"/>
      <c r="VKM47" s="19"/>
      <c r="VKN47" s="19"/>
      <c r="VKO47" s="19"/>
      <c r="VKP47" s="21"/>
      <c r="VKQ47" s="19"/>
      <c r="VKZ47" s="19"/>
      <c r="VLA47" s="19"/>
      <c r="VLB47" s="19"/>
      <c r="VLC47" s="19"/>
      <c r="VLD47" s="21"/>
      <c r="VLE47" s="19"/>
      <c r="VLN47" s="19"/>
      <c r="VLO47" s="19"/>
      <c r="VLP47" s="19"/>
      <c r="VLQ47" s="19"/>
      <c r="VLR47" s="21"/>
      <c r="VLS47" s="19"/>
      <c r="VMB47" s="19"/>
      <c r="VMC47" s="19"/>
      <c r="VMD47" s="19"/>
      <c r="VME47" s="19"/>
      <c r="VMF47" s="21"/>
      <c r="VMG47" s="19"/>
      <c r="VMP47" s="19"/>
      <c r="VMQ47" s="19"/>
      <c r="VMR47" s="19"/>
      <c r="VMS47" s="19"/>
      <c r="VMT47" s="21"/>
      <c r="VMU47" s="19"/>
      <c r="VND47" s="19"/>
      <c r="VNE47" s="19"/>
      <c r="VNF47" s="19"/>
      <c r="VNG47" s="19"/>
      <c r="VNH47" s="21"/>
      <c r="VNI47" s="19"/>
      <c r="VNR47" s="19"/>
      <c r="VNS47" s="19"/>
      <c r="VNT47" s="19"/>
      <c r="VNU47" s="19"/>
      <c r="VNV47" s="21"/>
      <c r="VNW47" s="19"/>
      <c r="VOF47" s="19"/>
      <c r="VOG47" s="19"/>
      <c r="VOH47" s="19"/>
      <c r="VOI47" s="19"/>
      <c r="VOJ47" s="21"/>
      <c r="VOK47" s="19"/>
      <c r="VOT47" s="19"/>
      <c r="VOU47" s="19"/>
      <c r="VOV47" s="19"/>
      <c r="VOW47" s="19"/>
      <c r="VOX47" s="21"/>
      <c r="VOY47" s="19"/>
      <c r="VPH47" s="19"/>
      <c r="VPI47" s="19"/>
      <c r="VPJ47" s="19"/>
      <c r="VPK47" s="19"/>
      <c r="VPL47" s="21"/>
      <c r="VPM47" s="19"/>
      <c r="VPV47" s="19"/>
      <c r="VPW47" s="19"/>
      <c r="VPX47" s="19"/>
      <c r="VPY47" s="19"/>
      <c r="VPZ47" s="21"/>
      <c r="VQA47" s="19"/>
      <c r="VQJ47" s="19"/>
      <c r="VQK47" s="19"/>
      <c r="VQL47" s="19"/>
      <c r="VQM47" s="19"/>
      <c r="VQN47" s="21"/>
      <c r="VQO47" s="19"/>
      <c r="VQX47" s="19"/>
      <c r="VQY47" s="19"/>
      <c r="VQZ47" s="19"/>
      <c r="VRA47" s="19"/>
      <c r="VRB47" s="21"/>
      <c r="VRC47" s="19"/>
      <c r="VRL47" s="19"/>
      <c r="VRM47" s="19"/>
      <c r="VRN47" s="19"/>
      <c r="VRO47" s="19"/>
      <c r="VRP47" s="21"/>
      <c r="VRQ47" s="19"/>
      <c r="VRZ47" s="19"/>
      <c r="VSA47" s="19"/>
      <c r="VSB47" s="19"/>
      <c r="VSC47" s="19"/>
      <c r="VSD47" s="21"/>
      <c r="VSE47" s="19"/>
      <c r="VSN47" s="19"/>
      <c r="VSO47" s="19"/>
      <c r="VSP47" s="19"/>
      <c r="VSQ47" s="19"/>
      <c r="VSR47" s="21"/>
      <c r="VSS47" s="19"/>
      <c r="VTB47" s="19"/>
      <c r="VTC47" s="19"/>
      <c r="VTD47" s="19"/>
      <c r="VTE47" s="19"/>
      <c r="VTF47" s="21"/>
      <c r="VTG47" s="19"/>
      <c r="VTP47" s="19"/>
      <c r="VTQ47" s="19"/>
      <c r="VTR47" s="19"/>
      <c r="VTS47" s="19"/>
      <c r="VTT47" s="21"/>
      <c r="VTU47" s="19"/>
      <c r="VUD47" s="19"/>
      <c r="VUE47" s="19"/>
      <c r="VUF47" s="19"/>
      <c r="VUG47" s="19"/>
      <c r="VUH47" s="21"/>
      <c r="VUI47" s="19"/>
      <c r="VUR47" s="19"/>
      <c r="VUS47" s="19"/>
      <c r="VUT47" s="19"/>
      <c r="VUU47" s="19"/>
      <c r="VUV47" s="21"/>
      <c r="VUW47" s="19"/>
      <c r="VVF47" s="19"/>
      <c r="VVG47" s="19"/>
      <c r="VVH47" s="19"/>
      <c r="VVI47" s="19"/>
      <c r="VVJ47" s="21"/>
      <c r="VVK47" s="19"/>
      <c r="VVT47" s="19"/>
      <c r="VVU47" s="19"/>
      <c r="VVV47" s="19"/>
      <c r="VVW47" s="19"/>
      <c r="VVX47" s="21"/>
      <c r="VVY47" s="19"/>
      <c r="VWH47" s="19"/>
      <c r="VWI47" s="19"/>
      <c r="VWJ47" s="19"/>
      <c r="VWK47" s="19"/>
      <c r="VWL47" s="21"/>
      <c r="VWM47" s="19"/>
      <c r="VWV47" s="19"/>
      <c r="VWW47" s="19"/>
      <c r="VWX47" s="19"/>
      <c r="VWY47" s="19"/>
      <c r="VWZ47" s="21"/>
      <c r="VXA47" s="19"/>
      <c r="VXJ47" s="19"/>
      <c r="VXK47" s="19"/>
      <c r="VXL47" s="19"/>
      <c r="VXM47" s="19"/>
      <c r="VXN47" s="21"/>
      <c r="VXO47" s="19"/>
      <c r="VXX47" s="19"/>
      <c r="VXY47" s="19"/>
      <c r="VXZ47" s="19"/>
      <c r="VYA47" s="19"/>
      <c r="VYB47" s="21"/>
      <c r="VYC47" s="19"/>
      <c r="VYL47" s="19"/>
      <c r="VYM47" s="19"/>
      <c r="VYN47" s="19"/>
      <c r="VYO47" s="19"/>
      <c r="VYP47" s="21"/>
      <c r="VYQ47" s="19"/>
      <c r="VYZ47" s="19"/>
      <c r="VZA47" s="19"/>
      <c r="VZB47" s="19"/>
      <c r="VZC47" s="19"/>
      <c r="VZD47" s="21"/>
      <c r="VZE47" s="19"/>
      <c r="VZN47" s="19"/>
      <c r="VZO47" s="19"/>
      <c r="VZP47" s="19"/>
      <c r="VZQ47" s="19"/>
      <c r="VZR47" s="21"/>
      <c r="VZS47" s="19"/>
      <c r="WAB47" s="19"/>
      <c r="WAC47" s="19"/>
      <c r="WAD47" s="19"/>
      <c r="WAE47" s="19"/>
      <c r="WAF47" s="21"/>
      <c r="WAG47" s="19"/>
      <c r="WAP47" s="19"/>
      <c r="WAQ47" s="19"/>
      <c r="WAR47" s="19"/>
      <c r="WAS47" s="19"/>
      <c r="WAT47" s="21"/>
      <c r="WAU47" s="19"/>
      <c r="WBD47" s="19"/>
      <c r="WBE47" s="19"/>
      <c r="WBF47" s="19"/>
      <c r="WBG47" s="19"/>
      <c r="WBH47" s="21"/>
      <c r="WBI47" s="19"/>
      <c r="WBR47" s="19"/>
      <c r="WBS47" s="19"/>
      <c r="WBT47" s="19"/>
      <c r="WBU47" s="19"/>
      <c r="WBV47" s="21"/>
      <c r="WBW47" s="19"/>
      <c r="WCF47" s="19"/>
      <c r="WCG47" s="19"/>
      <c r="WCH47" s="19"/>
      <c r="WCI47" s="19"/>
      <c r="WCJ47" s="21"/>
      <c r="WCK47" s="19"/>
      <c r="WCT47" s="19"/>
      <c r="WCU47" s="19"/>
      <c r="WCV47" s="19"/>
      <c r="WCW47" s="19"/>
      <c r="WCX47" s="21"/>
      <c r="WCY47" s="19"/>
      <c r="WDH47" s="19"/>
      <c r="WDI47" s="19"/>
      <c r="WDJ47" s="19"/>
      <c r="WDK47" s="19"/>
      <c r="WDL47" s="21"/>
      <c r="WDM47" s="19"/>
      <c r="WDV47" s="19"/>
      <c r="WDW47" s="19"/>
      <c r="WDX47" s="19"/>
      <c r="WDY47" s="19"/>
      <c r="WDZ47" s="21"/>
      <c r="WEA47" s="19"/>
      <c r="WEJ47" s="19"/>
      <c r="WEK47" s="19"/>
      <c r="WEL47" s="19"/>
      <c r="WEM47" s="19"/>
      <c r="WEN47" s="21"/>
      <c r="WEO47" s="19"/>
      <c r="WEX47" s="19"/>
      <c r="WEY47" s="19"/>
      <c r="WEZ47" s="19"/>
      <c r="WFA47" s="19"/>
      <c r="WFB47" s="21"/>
      <c r="WFC47" s="19"/>
      <c r="WFL47" s="19"/>
      <c r="WFM47" s="19"/>
      <c r="WFN47" s="19"/>
      <c r="WFO47" s="19"/>
      <c r="WFP47" s="21"/>
      <c r="WFQ47" s="19"/>
      <c r="WFZ47" s="19"/>
      <c r="WGA47" s="19"/>
      <c r="WGB47" s="19"/>
      <c r="WGC47" s="19"/>
      <c r="WGD47" s="21"/>
      <c r="WGE47" s="19"/>
      <c r="WGN47" s="19"/>
      <c r="WGO47" s="19"/>
      <c r="WGP47" s="19"/>
      <c r="WGQ47" s="19"/>
      <c r="WGR47" s="21"/>
      <c r="WGS47" s="19"/>
      <c r="WHB47" s="19"/>
      <c r="WHC47" s="19"/>
      <c r="WHD47" s="19"/>
      <c r="WHE47" s="19"/>
      <c r="WHF47" s="21"/>
      <c r="WHG47" s="19"/>
      <c r="WHP47" s="19"/>
      <c r="WHQ47" s="19"/>
      <c r="WHR47" s="19"/>
      <c r="WHS47" s="19"/>
      <c r="WHT47" s="21"/>
      <c r="WHU47" s="19"/>
      <c r="WID47" s="19"/>
      <c r="WIE47" s="19"/>
      <c r="WIF47" s="19"/>
      <c r="WIG47" s="19"/>
      <c r="WIH47" s="21"/>
      <c r="WII47" s="19"/>
      <c r="WIR47" s="19"/>
      <c r="WIS47" s="19"/>
      <c r="WIT47" s="19"/>
      <c r="WIU47" s="19"/>
      <c r="WIV47" s="21"/>
      <c r="WIW47" s="19"/>
      <c r="WJF47" s="19"/>
      <c r="WJG47" s="19"/>
      <c r="WJH47" s="19"/>
      <c r="WJI47" s="19"/>
      <c r="WJJ47" s="21"/>
      <c r="WJK47" s="19"/>
      <c r="WJT47" s="19"/>
      <c r="WJU47" s="19"/>
      <c r="WJV47" s="19"/>
      <c r="WJW47" s="19"/>
      <c r="WJX47" s="21"/>
      <c r="WJY47" s="19"/>
      <c r="WKH47" s="19"/>
      <c r="WKI47" s="19"/>
      <c r="WKJ47" s="19"/>
      <c r="WKK47" s="19"/>
      <c r="WKL47" s="21"/>
      <c r="WKM47" s="19"/>
      <c r="WKV47" s="19"/>
      <c r="WKW47" s="19"/>
      <c r="WKX47" s="19"/>
      <c r="WKY47" s="19"/>
      <c r="WKZ47" s="21"/>
      <c r="WLA47" s="19"/>
      <c r="WLJ47" s="19"/>
      <c r="WLK47" s="19"/>
      <c r="WLL47" s="19"/>
      <c r="WLM47" s="19"/>
      <c r="WLN47" s="21"/>
      <c r="WLO47" s="19"/>
      <c r="WLX47" s="19"/>
      <c r="WLY47" s="19"/>
      <c r="WLZ47" s="19"/>
      <c r="WMA47" s="19"/>
      <c r="WMB47" s="21"/>
      <c r="WMC47" s="19"/>
      <c r="WML47" s="19"/>
      <c r="WMM47" s="19"/>
      <c r="WMN47" s="19"/>
      <c r="WMO47" s="19"/>
      <c r="WMP47" s="21"/>
      <c r="WMQ47" s="19"/>
      <c r="WMZ47" s="19"/>
      <c r="WNA47" s="19"/>
      <c r="WNB47" s="19"/>
      <c r="WNC47" s="19"/>
      <c r="WND47" s="21"/>
      <c r="WNE47" s="19"/>
      <c r="WNN47" s="19"/>
      <c r="WNO47" s="19"/>
      <c r="WNP47" s="19"/>
      <c r="WNQ47" s="19"/>
      <c r="WNR47" s="21"/>
      <c r="WNS47" s="19"/>
      <c r="WOB47" s="19"/>
      <c r="WOC47" s="19"/>
      <c r="WOD47" s="19"/>
      <c r="WOE47" s="19"/>
      <c r="WOF47" s="21"/>
      <c r="WOG47" s="19"/>
      <c r="WOP47" s="19"/>
      <c r="WOQ47" s="19"/>
      <c r="WOR47" s="19"/>
      <c r="WOS47" s="19"/>
      <c r="WOT47" s="21"/>
      <c r="WOU47" s="19"/>
      <c r="WPD47" s="19"/>
      <c r="WPE47" s="19"/>
      <c r="WPF47" s="19"/>
      <c r="WPG47" s="19"/>
      <c r="WPH47" s="21"/>
      <c r="WPI47" s="19"/>
      <c r="WPR47" s="19"/>
      <c r="WPS47" s="19"/>
      <c r="WPT47" s="19"/>
      <c r="WPU47" s="19"/>
      <c r="WPV47" s="21"/>
      <c r="WPW47" s="19"/>
      <c r="WQF47" s="19"/>
      <c r="WQG47" s="19"/>
      <c r="WQH47" s="19"/>
      <c r="WQI47" s="19"/>
      <c r="WQJ47" s="21"/>
      <c r="WQK47" s="19"/>
      <c r="WQT47" s="19"/>
      <c r="WQU47" s="19"/>
      <c r="WQV47" s="19"/>
      <c r="WQW47" s="19"/>
      <c r="WQX47" s="21"/>
      <c r="WQY47" s="19"/>
      <c r="WRH47" s="19"/>
      <c r="WRI47" s="19"/>
      <c r="WRJ47" s="19"/>
      <c r="WRK47" s="19"/>
      <c r="WRL47" s="21"/>
      <c r="WRM47" s="19"/>
      <c r="WRV47" s="19"/>
      <c r="WRW47" s="19"/>
      <c r="WRX47" s="19"/>
      <c r="WRY47" s="19"/>
      <c r="WRZ47" s="21"/>
      <c r="WSA47" s="19"/>
      <c r="WSJ47" s="19"/>
      <c r="WSK47" s="19"/>
      <c r="WSL47" s="19"/>
      <c r="WSM47" s="19"/>
      <c r="WSN47" s="21"/>
      <c r="WSO47" s="19"/>
      <c r="WSX47" s="19"/>
      <c r="WSY47" s="19"/>
      <c r="WSZ47" s="19"/>
      <c r="WTA47" s="19"/>
      <c r="WTB47" s="21"/>
      <c r="WTC47" s="19"/>
      <c r="WTL47" s="19"/>
      <c r="WTM47" s="19"/>
      <c r="WTN47" s="19"/>
      <c r="WTO47" s="19"/>
      <c r="WTP47" s="21"/>
      <c r="WTQ47" s="19"/>
      <c r="WTZ47" s="19"/>
      <c r="WUA47" s="19"/>
      <c r="WUB47" s="19"/>
      <c r="WUC47" s="19"/>
      <c r="WUD47" s="21"/>
      <c r="WUE47" s="19"/>
      <c r="WUN47" s="19"/>
      <c r="WUO47" s="19"/>
      <c r="WUP47" s="19"/>
      <c r="WUQ47" s="19"/>
      <c r="WUR47" s="21"/>
      <c r="WUS47" s="19"/>
      <c r="WVB47" s="19"/>
      <c r="WVC47" s="19"/>
      <c r="WVD47" s="19"/>
      <c r="WVE47" s="19"/>
      <c r="WVF47" s="21"/>
      <c r="WVG47" s="19"/>
      <c r="WVP47" s="19"/>
      <c r="WVQ47" s="19"/>
      <c r="WVR47" s="19"/>
      <c r="WVS47" s="19"/>
      <c r="WVT47" s="21"/>
      <c r="WVU47" s="19"/>
      <c r="WWD47" s="19"/>
      <c r="WWE47" s="19"/>
      <c r="WWF47" s="19"/>
      <c r="WWG47" s="19"/>
      <c r="WWH47" s="21"/>
      <c r="WWI47" s="19"/>
      <c r="WWR47" s="19"/>
      <c r="WWS47" s="19"/>
      <c r="WWT47" s="19"/>
      <c r="WWU47" s="19"/>
      <c r="WWV47" s="21"/>
      <c r="WWW47" s="19"/>
      <c r="WXF47" s="19"/>
      <c r="WXG47" s="19"/>
      <c r="WXH47" s="19"/>
      <c r="WXI47" s="19"/>
      <c r="WXJ47" s="21"/>
      <c r="WXK47" s="19"/>
      <c r="WXT47" s="19"/>
      <c r="WXU47" s="19"/>
      <c r="WXV47" s="19"/>
      <c r="WXW47" s="19"/>
      <c r="WXX47" s="21"/>
      <c r="WXY47" s="19"/>
      <c r="WYH47" s="19"/>
      <c r="WYI47" s="19"/>
      <c r="WYJ47" s="19"/>
      <c r="WYK47" s="19"/>
      <c r="WYL47" s="21"/>
      <c r="WYM47" s="19"/>
      <c r="WYV47" s="19"/>
      <c r="WYW47" s="19"/>
      <c r="WYX47" s="19"/>
      <c r="WYY47" s="19"/>
      <c r="WYZ47" s="21"/>
      <c r="WZA47" s="19"/>
      <c r="WZJ47" s="19"/>
      <c r="WZK47" s="19"/>
      <c r="WZL47" s="19"/>
      <c r="WZM47" s="19"/>
      <c r="WZN47" s="21"/>
      <c r="WZO47" s="19"/>
      <c r="WZX47" s="19"/>
      <c r="WZY47" s="19"/>
      <c r="WZZ47" s="19"/>
      <c r="XAA47" s="19"/>
      <c r="XAB47" s="21"/>
      <c r="XAC47" s="19"/>
      <c r="XAL47" s="19"/>
      <c r="XAM47" s="19"/>
      <c r="XAN47" s="19"/>
      <c r="XAO47" s="19"/>
      <c r="XAP47" s="21"/>
      <c r="XAQ47" s="19"/>
      <c r="XAZ47" s="19"/>
      <c r="XBA47" s="19"/>
      <c r="XBB47" s="19"/>
      <c r="XBC47" s="19"/>
      <c r="XBD47" s="21"/>
      <c r="XBE47" s="19"/>
      <c r="XBN47" s="19"/>
      <c r="XBO47" s="19"/>
      <c r="XBP47" s="19"/>
      <c r="XBQ47" s="19"/>
      <c r="XBR47" s="21"/>
      <c r="XBS47" s="19"/>
      <c r="XCB47" s="19"/>
      <c r="XCC47" s="19"/>
      <c r="XCD47" s="19"/>
      <c r="XCE47" s="19"/>
      <c r="XCF47" s="21"/>
      <c r="XCG47" s="19"/>
      <c r="XCP47" s="19"/>
      <c r="XCQ47" s="19"/>
      <c r="XCR47" s="19"/>
      <c r="XCS47" s="19"/>
      <c r="XCT47" s="21"/>
      <c r="XCU47" s="19"/>
      <c r="XDD47" s="19"/>
      <c r="XDE47" s="19"/>
      <c r="XDF47" s="19"/>
      <c r="XDG47" s="19"/>
      <c r="XDH47" s="21"/>
      <c r="XDI47" s="19"/>
      <c r="XDR47" s="19"/>
      <c r="XDS47" s="19"/>
      <c r="XDT47" s="19"/>
      <c r="XDU47" s="19"/>
      <c r="XDV47" s="21"/>
      <c r="XDW47" s="19"/>
      <c r="XEF47" s="19"/>
      <c r="XEG47" s="19"/>
      <c r="XEH47" s="19"/>
      <c r="XEI47" s="19"/>
      <c r="XEJ47" s="21"/>
      <c r="XEK47" s="19"/>
    </row>
    <row r="48" spans="1:1021 1030:2043 2052:3065 3074:7167 7176:8189 8198:9211 9220:10233 10242:14335 14344:15357 15366:16365" s="20" customFormat="1">
      <c r="A48" s="19">
        <v>3</v>
      </c>
      <c r="B48" s="19">
        <v>15</v>
      </c>
      <c r="C48" s="19" t="s">
        <v>131</v>
      </c>
      <c r="D48" s="20">
        <v>0</v>
      </c>
      <c r="E48" s="20">
        <v>3</v>
      </c>
      <c r="F48" s="20">
        <v>0</v>
      </c>
      <c r="G48" s="20">
        <v>0</v>
      </c>
      <c r="H48" s="20">
        <v>3</v>
      </c>
      <c r="I48" s="20">
        <v>2</v>
      </c>
      <c r="J48" s="20">
        <v>8</v>
      </c>
      <c r="K48" s="20">
        <v>-6</v>
      </c>
      <c r="L48" s="27"/>
      <c r="M48" s="19"/>
      <c r="V48" s="19"/>
      <c r="W48" s="19"/>
      <c r="X48" s="19"/>
      <c r="Y48" s="19"/>
      <c r="Z48" s="21"/>
      <c r="AA48" s="19"/>
      <c r="AJ48" s="19"/>
      <c r="AK48" s="19"/>
      <c r="AL48" s="19"/>
      <c r="AM48" s="19"/>
      <c r="AN48" s="21"/>
      <c r="AO48" s="19"/>
      <c r="AX48" s="19"/>
      <c r="AY48" s="19"/>
      <c r="AZ48" s="19"/>
      <c r="BA48" s="19"/>
      <c r="BB48" s="21"/>
      <c r="BC48" s="19"/>
      <c r="BL48" s="19"/>
      <c r="BM48" s="19"/>
      <c r="BN48" s="19"/>
      <c r="BO48" s="19"/>
      <c r="BP48" s="21"/>
      <c r="BQ48" s="19"/>
      <c r="BZ48" s="19"/>
      <c r="CA48" s="19"/>
      <c r="CB48" s="19"/>
      <c r="CC48" s="19"/>
      <c r="CD48" s="21"/>
      <c r="CE48" s="19"/>
      <c r="CN48" s="19"/>
      <c r="CO48" s="19"/>
      <c r="CP48" s="19"/>
      <c r="CQ48" s="19"/>
      <c r="CR48" s="21"/>
      <c r="CS48" s="19"/>
      <c r="DB48" s="19"/>
      <c r="DC48" s="19"/>
      <c r="DD48" s="19"/>
      <c r="DE48" s="19"/>
      <c r="DF48" s="21"/>
      <c r="DG48" s="19"/>
      <c r="DP48" s="19"/>
      <c r="DQ48" s="19"/>
      <c r="DR48" s="19"/>
      <c r="DS48" s="19"/>
      <c r="DT48" s="21"/>
      <c r="DU48" s="19"/>
      <c r="ED48" s="19"/>
      <c r="EE48" s="19"/>
      <c r="EF48" s="19"/>
      <c r="EG48" s="19"/>
      <c r="EH48" s="21"/>
      <c r="EI48" s="19"/>
      <c r="ER48" s="19"/>
      <c r="ES48" s="19"/>
      <c r="ET48" s="19"/>
      <c r="EU48" s="19"/>
      <c r="EV48" s="21"/>
      <c r="EW48" s="19"/>
      <c r="FF48" s="19"/>
      <c r="FG48" s="19"/>
      <c r="FH48" s="19"/>
      <c r="FI48" s="19"/>
      <c r="FJ48" s="21"/>
      <c r="FK48" s="19"/>
      <c r="FT48" s="19"/>
      <c r="FU48" s="19"/>
      <c r="FV48" s="19"/>
      <c r="FW48" s="19"/>
      <c r="FX48" s="21"/>
      <c r="FY48" s="19"/>
      <c r="GH48" s="19"/>
      <c r="GI48" s="19"/>
      <c r="GJ48" s="19"/>
      <c r="GK48" s="19"/>
      <c r="GL48" s="21"/>
      <c r="GM48" s="19"/>
      <c r="GV48" s="19"/>
      <c r="GW48" s="19"/>
      <c r="GX48" s="19"/>
      <c r="GY48" s="19"/>
      <c r="GZ48" s="21"/>
      <c r="HA48" s="19"/>
      <c r="HJ48" s="19"/>
      <c r="HK48" s="19"/>
      <c r="HL48" s="19"/>
      <c r="HM48" s="19"/>
      <c r="HN48" s="21"/>
      <c r="HO48" s="19"/>
      <c r="HX48" s="19"/>
      <c r="HY48" s="19"/>
      <c r="HZ48" s="19"/>
      <c r="IA48" s="19"/>
      <c r="IB48" s="21"/>
      <c r="IC48" s="19"/>
      <c r="IL48" s="19"/>
      <c r="IM48" s="19"/>
      <c r="IN48" s="19"/>
      <c r="IO48" s="19"/>
      <c r="IP48" s="21"/>
      <c r="IQ48" s="19"/>
      <c r="IZ48" s="19"/>
      <c r="JA48" s="19"/>
      <c r="JB48" s="19"/>
      <c r="JC48" s="19"/>
      <c r="JD48" s="21"/>
      <c r="JE48" s="19"/>
      <c r="JN48" s="19"/>
      <c r="JO48" s="19"/>
      <c r="JP48" s="19"/>
      <c r="JQ48" s="19"/>
      <c r="JR48" s="21"/>
      <c r="JS48" s="19"/>
      <c r="KB48" s="19"/>
      <c r="KC48" s="19"/>
      <c r="KD48" s="19"/>
      <c r="KE48" s="19"/>
      <c r="KF48" s="21"/>
      <c r="KG48" s="19"/>
      <c r="KP48" s="19"/>
      <c r="KQ48" s="19"/>
      <c r="KR48" s="19"/>
      <c r="KS48" s="19"/>
      <c r="KT48" s="21"/>
      <c r="KU48" s="19"/>
      <c r="LD48" s="19"/>
      <c r="LE48" s="19"/>
      <c r="LF48" s="19"/>
      <c r="LG48" s="19"/>
      <c r="LH48" s="21"/>
      <c r="LI48" s="19"/>
      <c r="LR48" s="19"/>
      <c r="LS48" s="19"/>
      <c r="LT48" s="19"/>
      <c r="LU48" s="19"/>
      <c r="LV48" s="21"/>
      <c r="LW48" s="19"/>
      <c r="MF48" s="19"/>
      <c r="MG48" s="19"/>
      <c r="MH48" s="19"/>
      <c r="MI48" s="19"/>
      <c r="MJ48" s="21"/>
      <c r="MK48" s="19"/>
      <c r="MT48" s="19"/>
      <c r="MU48" s="19"/>
      <c r="MV48" s="19"/>
      <c r="MW48" s="19"/>
      <c r="MX48" s="21"/>
      <c r="MY48" s="19"/>
      <c r="NH48" s="19"/>
      <c r="NI48" s="19"/>
      <c r="NJ48" s="19"/>
      <c r="NK48" s="19"/>
      <c r="NL48" s="21"/>
      <c r="NM48" s="19"/>
      <c r="NV48" s="19"/>
      <c r="NW48" s="19"/>
      <c r="NX48" s="19"/>
      <c r="NY48" s="19"/>
      <c r="NZ48" s="21"/>
      <c r="OA48" s="19"/>
      <c r="OJ48" s="19"/>
      <c r="OK48" s="19"/>
      <c r="OL48" s="19"/>
      <c r="OM48" s="19"/>
      <c r="ON48" s="21"/>
      <c r="OO48" s="19"/>
      <c r="OX48" s="19"/>
      <c r="OY48" s="19"/>
      <c r="OZ48" s="19"/>
      <c r="PA48" s="19"/>
      <c r="PB48" s="21"/>
      <c r="PC48" s="19"/>
      <c r="PL48" s="19"/>
      <c r="PM48" s="19"/>
      <c r="PN48" s="19"/>
      <c r="PO48" s="19"/>
      <c r="PP48" s="21"/>
      <c r="PQ48" s="19"/>
      <c r="PZ48" s="19"/>
      <c r="QA48" s="19"/>
      <c r="QB48" s="19"/>
      <c r="QC48" s="19"/>
      <c r="QD48" s="21"/>
      <c r="QE48" s="19"/>
      <c r="QN48" s="19"/>
      <c r="QO48" s="19"/>
      <c r="QP48" s="19"/>
      <c r="QQ48" s="19"/>
      <c r="QR48" s="21"/>
      <c r="QS48" s="19"/>
      <c r="RB48" s="19"/>
      <c r="RC48" s="19"/>
      <c r="RD48" s="19"/>
      <c r="RE48" s="19"/>
      <c r="RF48" s="21"/>
      <c r="RG48" s="19"/>
      <c r="RP48" s="19"/>
      <c r="RQ48" s="19"/>
      <c r="RR48" s="19"/>
      <c r="RS48" s="19"/>
      <c r="RT48" s="21"/>
      <c r="RU48" s="19"/>
      <c r="SD48" s="19"/>
      <c r="SE48" s="19"/>
      <c r="SF48" s="19"/>
      <c r="SG48" s="19"/>
      <c r="SH48" s="21"/>
      <c r="SI48" s="19"/>
      <c r="SR48" s="19"/>
      <c r="SS48" s="19"/>
      <c r="ST48" s="19"/>
      <c r="SU48" s="19"/>
      <c r="SV48" s="21"/>
      <c r="SW48" s="19"/>
      <c r="TF48" s="19"/>
      <c r="TG48" s="19"/>
      <c r="TH48" s="19"/>
      <c r="TI48" s="19"/>
      <c r="TJ48" s="21"/>
      <c r="TK48" s="19"/>
      <c r="TT48" s="19"/>
      <c r="TU48" s="19"/>
      <c r="TV48" s="19"/>
      <c r="TW48" s="19"/>
      <c r="TX48" s="21"/>
      <c r="TY48" s="19"/>
      <c r="UH48" s="19"/>
      <c r="UI48" s="19"/>
      <c r="UJ48" s="19"/>
      <c r="UK48" s="19"/>
      <c r="UL48" s="21"/>
      <c r="UM48" s="19"/>
      <c r="UV48" s="19"/>
      <c r="UW48" s="19"/>
      <c r="UX48" s="19"/>
      <c r="UY48" s="19"/>
      <c r="UZ48" s="21"/>
      <c r="VA48" s="19"/>
      <c r="VJ48" s="19"/>
      <c r="VK48" s="19"/>
      <c r="VL48" s="19"/>
      <c r="VM48" s="19"/>
      <c r="VN48" s="21"/>
      <c r="VO48" s="19"/>
      <c r="VX48" s="19"/>
      <c r="VY48" s="19"/>
      <c r="VZ48" s="19"/>
      <c r="WA48" s="19"/>
      <c r="WB48" s="21"/>
      <c r="WC48" s="19"/>
      <c r="WL48" s="19"/>
      <c r="WM48" s="19"/>
      <c r="WN48" s="19"/>
      <c r="WO48" s="19"/>
      <c r="WP48" s="21"/>
      <c r="WQ48" s="19"/>
      <c r="WZ48" s="19"/>
      <c r="XA48" s="19"/>
      <c r="XB48" s="19"/>
      <c r="XC48" s="19"/>
      <c r="XD48" s="21"/>
      <c r="XE48" s="19"/>
      <c r="XN48" s="19"/>
      <c r="XO48" s="19"/>
      <c r="XP48" s="19"/>
      <c r="XQ48" s="19"/>
      <c r="XR48" s="21"/>
      <c r="XS48" s="19"/>
      <c r="YB48" s="19"/>
      <c r="YC48" s="19"/>
      <c r="YD48" s="19"/>
      <c r="YE48" s="19"/>
      <c r="YF48" s="21"/>
      <c r="YG48" s="19"/>
      <c r="YP48" s="19"/>
      <c r="YQ48" s="19"/>
      <c r="YR48" s="19"/>
      <c r="YS48" s="19"/>
      <c r="YT48" s="21"/>
      <c r="YU48" s="19"/>
      <c r="ZD48" s="19"/>
      <c r="ZE48" s="19"/>
      <c r="ZF48" s="19"/>
      <c r="ZG48" s="19"/>
      <c r="ZH48" s="21"/>
      <c r="ZI48" s="19"/>
      <c r="ZR48" s="19"/>
      <c r="ZS48" s="19"/>
      <c r="ZT48" s="19"/>
      <c r="ZU48" s="19"/>
      <c r="ZV48" s="21"/>
      <c r="ZW48" s="19"/>
      <c r="AAF48" s="19"/>
      <c r="AAG48" s="19"/>
      <c r="AAH48" s="19"/>
      <c r="AAI48" s="19"/>
      <c r="AAJ48" s="21"/>
      <c r="AAK48" s="19"/>
      <c r="AAT48" s="19"/>
      <c r="AAU48" s="19"/>
      <c r="AAV48" s="19"/>
      <c r="AAW48" s="19"/>
      <c r="AAX48" s="21"/>
      <c r="AAY48" s="19"/>
      <c r="ABH48" s="19"/>
      <c r="ABI48" s="19"/>
      <c r="ABJ48" s="19"/>
      <c r="ABK48" s="19"/>
      <c r="ABL48" s="21"/>
      <c r="ABM48" s="19"/>
      <c r="ABV48" s="19"/>
      <c r="ABW48" s="19"/>
      <c r="ABX48" s="19"/>
      <c r="ABY48" s="19"/>
      <c r="ABZ48" s="21"/>
      <c r="ACA48" s="19"/>
      <c r="ACJ48" s="19"/>
      <c r="ACK48" s="19"/>
      <c r="ACL48" s="19"/>
      <c r="ACM48" s="19"/>
      <c r="ACN48" s="21"/>
      <c r="ACO48" s="19"/>
      <c r="ACX48" s="19"/>
      <c r="ACY48" s="19"/>
      <c r="ACZ48" s="19"/>
      <c r="ADA48" s="19"/>
      <c r="ADB48" s="21"/>
      <c r="ADC48" s="19"/>
      <c r="ADL48" s="19"/>
      <c r="ADM48" s="19"/>
      <c r="ADN48" s="19"/>
      <c r="ADO48" s="19"/>
      <c r="ADP48" s="21"/>
      <c r="ADQ48" s="19"/>
      <c r="ADZ48" s="19"/>
      <c r="AEA48" s="19"/>
      <c r="AEB48" s="19"/>
      <c r="AEC48" s="19"/>
      <c r="AED48" s="21"/>
      <c r="AEE48" s="19"/>
      <c r="AEN48" s="19"/>
      <c r="AEO48" s="19"/>
      <c r="AEP48" s="19"/>
      <c r="AEQ48" s="19"/>
      <c r="AER48" s="21"/>
      <c r="AES48" s="19"/>
      <c r="AFB48" s="19"/>
      <c r="AFC48" s="19"/>
      <c r="AFD48" s="19"/>
      <c r="AFE48" s="19"/>
      <c r="AFF48" s="21"/>
      <c r="AFG48" s="19"/>
      <c r="AFP48" s="19"/>
      <c r="AFQ48" s="19"/>
      <c r="AFR48" s="19"/>
      <c r="AFS48" s="19"/>
      <c r="AFT48" s="21"/>
      <c r="AFU48" s="19"/>
      <c r="AGD48" s="19"/>
      <c r="AGE48" s="19"/>
      <c r="AGF48" s="19"/>
      <c r="AGG48" s="19"/>
      <c r="AGH48" s="21"/>
      <c r="AGI48" s="19"/>
      <c r="AGR48" s="19"/>
      <c r="AGS48" s="19"/>
      <c r="AGT48" s="19"/>
      <c r="AGU48" s="19"/>
      <c r="AGV48" s="21"/>
      <c r="AGW48" s="19"/>
      <c r="AHF48" s="19"/>
      <c r="AHG48" s="19"/>
      <c r="AHH48" s="19"/>
      <c r="AHI48" s="19"/>
      <c r="AHJ48" s="21"/>
      <c r="AHK48" s="19"/>
      <c r="AHT48" s="19"/>
      <c r="AHU48" s="19"/>
      <c r="AHV48" s="19"/>
      <c r="AHW48" s="19"/>
      <c r="AHX48" s="21"/>
      <c r="AHY48" s="19"/>
      <c r="AIH48" s="19"/>
      <c r="AII48" s="19"/>
      <c r="AIJ48" s="19"/>
      <c r="AIK48" s="19"/>
      <c r="AIL48" s="21"/>
      <c r="AIM48" s="19"/>
      <c r="AIV48" s="19"/>
      <c r="AIW48" s="19"/>
      <c r="AIX48" s="19"/>
      <c r="AIY48" s="19"/>
      <c r="AIZ48" s="21"/>
      <c r="AJA48" s="19"/>
      <c r="AJJ48" s="19"/>
      <c r="AJK48" s="19"/>
      <c r="AJL48" s="19"/>
      <c r="AJM48" s="19"/>
      <c r="AJN48" s="21"/>
      <c r="AJO48" s="19"/>
      <c r="AJX48" s="19"/>
      <c r="AJY48" s="19"/>
      <c r="AJZ48" s="19"/>
      <c r="AKA48" s="19"/>
      <c r="AKB48" s="21"/>
      <c r="AKC48" s="19"/>
      <c r="AKL48" s="19"/>
      <c r="AKM48" s="19"/>
      <c r="AKN48" s="19"/>
      <c r="AKO48" s="19"/>
      <c r="AKP48" s="21"/>
      <c r="AKQ48" s="19"/>
      <c r="AKZ48" s="19"/>
      <c r="ALA48" s="19"/>
      <c r="ALB48" s="19"/>
      <c r="ALC48" s="19"/>
      <c r="ALD48" s="21"/>
      <c r="ALE48" s="19"/>
      <c r="ALN48" s="19"/>
      <c r="ALO48" s="19"/>
      <c r="ALP48" s="19"/>
      <c r="ALQ48" s="19"/>
      <c r="ALR48" s="21"/>
      <c r="ALS48" s="19"/>
      <c r="AMB48" s="19"/>
      <c r="AMC48" s="19"/>
      <c r="AMD48" s="19"/>
      <c r="AME48" s="19"/>
      <c r="AMF48" s="21"/>
      <c r="AMG48" s="19"/>
      <c r="AMP48" s="19"/>
      <c r="AMQ48" s="19"/>
      <c r="AMR48" s="19"/>
      <c r="AMS48" s="19"/>
      <c r="AMT48" s="21"/>
      <c r="AMU48" s="19"/>
      <c r="AND48" s="19"/>
      <c r="ANE48" s="19"/>
      <c r="ANF48" s="19"/>
      <c r="ANG48" s="19"/>
      <c r="ANH48" s="21"/>
      <c r="ANI48" s="19"/>
      <c r="ANR48" s="19"/>
      <c r="ANS48" s="19"/>
      <c r="ANT48" s="19"/>
      <c r="ANU48" s="19"/>
      <c r="ANV48" s="21"/>
      <c r="ANW48" s="19"/>
      <c r="AOF48" s="19"/>
      <c r="AOG48" s="19"/>
      <c r="AOH48" s="19"/>
      <c r="AOI48" s="19"/>
      <c r="AOJ48" s="21"/>
      <c r="AOK48" s="19"/>
      <c r="AOT48" s="19"/>
      <c r="AOU48" s="19"/>
      <c r="AOV48" s="19"/>
      <c r="AOW48" s="19"/>
      <c r="AOX48" s="21"/>
      <c r="AOY48" s="19"/>
      <c r="APH48" s="19"/>
      <c r="API48" s="19"/>
      <c r="APJ48" s="19"/>
      <c r="APK48" s="19"/>
      <c r="APL48" s="21"/>
      <c r="APM48" s="19"/>
      <c r="APV48" s="19"/>
      <c r="APW48" s="19"/>
      <c r="APX48" s="19"/>
      <c r="APY48" s="19"/>
      <c r="APZ48" s="21"/>
      <c r="AQA48" s="19"/>
      <c r="AQJ48" s="19"/>
      <c r="AQK48" s="19"/>
      <c r="AQL48" s="19"/>
      <c r="AQM48" s="19"/>
      <c r="AQN48" s="21"/>
      <c r="AQO48" s="19"/>
      <c r="AQX48" s="19"/>
      <c r="AQY48" s="19"/>
      <c r="AQZ48" s="19"/>
      <c r="ARA48" s="19"/>
      <c r="ARB48" s="21"/>
      <c r="ARC48" s="19"/>
      <c r="ARL48" s="19"/>
      <c r="ARM48" s="19"/>
      <c r="ARN48" s="19"/>
      <c r="ARO48" s="19"/>
      <c r="ARP48" s="21"/>
      <c r="ARQ48" s="19"/>
      <c r="ARZ48" s="19"/>
      <c r="ASA48" s="19"/>
      <c r="ASB48" s="19"/>
      <c r="ASC48" s="19"/>
      <c r="ASD48" s="21"/>
      <c r="ASE48" s="19"/>
      <c r="ASN48" s="19"/>
      <c r="ASO48" s="19"/>
      <c r="ASP48" s="19"/>
      <c r="ASQ48" s="19"/>
      <c r="ASR48" s="21"/>
      <c r="ASS48" s="19"/>
      <c r="ATB48" s="19"/>
      <c r="ATC48" s="19"/>
      <c r="ATD48" s="19"/>
      <c r="ATE48" s="19"/>
      <c r="ATF48" s="21"/>
      <c r="ATG48" s="19"/>
      <c r="ATP48" s="19"/>
      <c r="ATQ48" s="19"/>
      <c r="ATR48" s="19"/>
      <c r="ATS48" s="19"/>
      <c r="ATT48" s="21"/>
      <c r="ATU48" s="19"/>
      <c r="AUD48" s="19"/>
      <c r="AUE48" s="19"/>
      <c r="AUF48" s="19"/>
      <c r="AUG48" s="19"/>
      <c r="AUH48" s="21"/>
      <c r="AUI48" s="19"/>
      <c r="AUR48" s="19"/>
      <c r="AUS48" s="19"/>
      <c r="AUT48" s="19"/>
      <c r="AUU48" s="19"/>
      <c r="AUV48" s="21"/>
      <c r="AUW48" s="19"/>
      <c r="AVF48" s="19"/>
      <c r="AVG48" s="19"/>
      <c r="AVH48" s="19"/>
      <c r="AVI48" s="19"/>
      <c r="AVJ48" s="21"/>
      <c r="AVK48" s="19"/>
      <c r="AVT48" s="19"/>
      <c r="AVU48" s="19"/>
      <c r="AVV48" s="19"/>
      <c r="AVW48" s="19"/>
      <c r="AVX48" s="21"/>
      <c r="AVY48" s="19"/>
      <c r="AWH48" s="19"/>
      <c r="AWI48" s="19"/>
      <c r="AWJ48" s="19"/>
      <c r="AWK48" s="19"/>
      <c r="AWL48" s="21"/>
      <c r="AWM48" s="19"/>
      <c r="AWV48" s="19"/>
      <c r="AWW48" s="19"/>
      <c r="AWX48" s="19"/>
      <c r="AWY48" s="19"/>
      <c r="AWZ48" s="21"/>
      <c r="AXA48" s="19"/>
      <c r="AXJ48" s="19"/>
      <c r="AXK48" s="19"/>
      <c r="AXL48" s="19"/>
      <c r="AXM48" s="19"/>
      <c r="AXN48" s="21"/>
      <c r="AXO48" s="19"/>
      <c r="AXX48" s="19"/>
      <c r="AXY48" s="19"/>
      <c r="AXZ48" s="19"/>
      <c r="AYA48" s="19"/>
      <c r="AYB48" s="21"/>
      <c r="AYC48" s="19"/>
      <c r="AYL48" s="19"/>
      <c r="AYM48" s="19"/>
      <c r="AYN48" s="19"/>
      <c r="AYO48" s="19"/>
      <c r="AYP48" s="21"/>
      <c r="AYQ48" s="19"/>
      <c r="AYZ48" s="19"/>
      <c r="AZA48" s="19"/>
      <c r="AZB48" s="19"/>
      <c r="AZC48" s="19"/>
      <c r="AZD48" s="21"/>
      <c r="AZE48" s="19"/>
      <c r="AZN48" s="19"/>
      <c r="AZO48" s="19"/>
      <c r="AZP48" s="19"/>
      <c r="AZQ48" s="19"/>
      <c r="AZR48" s="21"/>
      <c r="AZS48" s="19"/>
      <c r="BAB48" s="19"/>
      <c r="BAC48" s="19"/>
      <c r="BAD48" s="19"/>
      <c r="BAE48" s="19"/>
      <c r="BAF48" s="21"/>
      <c r="BAG48" s="19"/>
      <c r="BAP48" s="19"/>
      <c r="BAQ48" s="19"/>
      <c r="BAR48" s="19"/>
      <c r="BAS48" s="19"/>
      <c r="BAT48" s="21"/>
      <c r="BAU48" s="19"/>
      <c r="BBD48" s="19"/>
      <c r="BBE48" s="19"/>
      <c r="BBF48" s="19"/>
      <c r="BBG48" s="19"/>
      <c r="BBH48" s="21"/>
      <c r="BBI48" s="19"/>
      <c r="BBR48" s="19"/>
      <c r="BBS48" s="19"/>
      <c r="BBT48" s="19"/>
      <c r="BBU48" s="19"/>
      <c r="BBV48" s="21"/>
      <c r="BBW48" s="19"/>
      <c r="BCF48" s="19"/>
      <c r="BCG48" s="19"/>
      <c r="BCH48" s="19"/>
      <c r="BCI48" s="19"/>
      <c r="BCJ48" s="21"/>
      <c r="BCK48" s="19"/>
      <c r="BCT48" s="19"/>
      <c r="BCU48" s="19"/>
      <c r="BCV48" s="19"/>
      <c r="BCW48" s="19"/>
      <c r="BCX48" s="21"/>
      <c r="BCY48" s="19"/>
      <c r="BDH48" s="19"/>
      <c r="BDI48" s="19"/>
      <c r="BDJ48" s="19"/>
      <c r="BDK48" s="19"/>
      <c r="BDL48" s="21"/>
      <c r="BDM48" s="19"/>
      <c r="BDV48" s="19"/>
      <c r="BDW48" s="19"/>
      <c r="BDX48" s="19"/>
      <c r="BDY48" s="19"/>
      <c r="BDZ48" s="21"/>
      <c r="BEA48" s="19"/>
      <c r="BEJ48" s="19"/>
      <c r="BEK48" s="19"/>
      <c r="BEL48" s="19"/>
      <c r="BEM48" s="19"/>
      <c r="BEN48" s="21"/>
      <c r="BEO48" s="19"/>
      <c r="BEX48" s="19"/>
      <c r="BEY48" s="19"/>
      <c r="BEZ48" s="19"/>
      <c r="BFA48" s="19"/>
      <c r="BFB48" s="21"/>
      <c r="BFC48" s="19"/>
      <c r="BFL48" s="19"/>
      <c r="BFM48" s="19"/>
      <c r="BFN48" s="19"/>
      <c r="BFO48" s="19"/>
      <c r="BFP48" s="21"/>
      <c r="BFQ48" s="19"/>
      <c r="BFZ48" s="19"/>
      <c r="BGA48" s="19"/>
      <c r="BGB48" s="19"/>
      <c r="BGC48" s="19"/>
      <c r="BGD48" s="21"/>
      <c r="BGE48" s="19"/>
      <c r="BGN48" s="19"/>
      <c r="BGO48" s="19"/>
      <c r="BGP48" s="19"/>
      <c r="BGQ48" s="19"/>
      <c r="BGR48" s="21"/>
      <c r="BGS48" s="19"/>
      <c r="BHB48" s="19"/>
      <c r="BHC48" s="19"/>
      <c r="BHD48" s="19"/>
      <c r="BHE48" s="19"/>
      <c r="BHF48" s="21"/>
      <c r="BHG48" s="19"/>
      <c r="BHP48" s="19"/>
      <c r="BHQ48" s="19"/>
      <c r="BHR48" s="19"/>
      <c r="BHS48" s="19"/>
      <c r="BHT48" s="21"/>
      <c r="BHU48" s="19"/>
      <c r="BID48" s="19"/>
      <c r="BIE48" s="19"/>
      <c r="BIF48" s="19"/>
      <c r="BIG48" s="19"/>
      <c r="BIH48" s="21"/>
      <c r="BII48" s="19"/>
      <c r="BIR48" s="19"/>
      <c r="BIS48" s="19"/>
      <c r="BIT48" s="19"/>
      <c r="BIU48" s="19"/>
      <c r="BIV48" s="21"/>
      <c r="BIW48" s="19"/>
      <c r="BJF48" s="19"/>
      <c r="BJG48" s="19"/>
      <c r="BJH48" s="19"/>
      <c r="BJI48" s="19"/>
      <c r="BJJ48" s="21"/>
      <c r="BJK48" s="19"/>
      <c r="BJT48" s="19"/>
      <c r="BJU48" s="19"/>
      <c r="BJV48" s="19"/>
      <c r="BJW48" s="19"/>
      <c r="BJX48" s="21"/>
      <c r="BJY48" s="19"/>
      <c r="BKH48" s="19"/>
      <c r="BKI48" s="19"/>
      <c r="BKJ48" s="19"/>
      <c r="BKK48" s="19"/>
      <c r="BKL48" s="21"/>
      <c r="BKM48" s="19"/>
      <c r="BKV48" s="19"/>
      <c r="BKW48" s="19"/>
      <c r="BKX48" s="19"/>
      <c r="BKY48" s="19"/>
      <c r="BKZ48" s="21"/>
      <c r="BLA48" s="19"/>
      <c r="BLJ48" s="19"/>
      <c r="BLK48" s="19"/>
      <c r="BLL48" s="19"/>
      <c r="BLM48" s="19"/>
      <c r="BLN48" s="21"/>
      <c r="BLO48" s="19"/>
      <c r="BLX48" s="19"/>
      <c r="BLY48" s="19"/>
      <c r="BLZ48" s="19"/>
      <c r="BMA48" s="19"/>
      <c r="BMB48" s="21"/>
      <c r="BMC48" s="19"/>
      <c r="BML48" s="19"/>
      <c r="BMM48" s="19"/>
      <c r="BMN48" s="19"/>
      <c r="BMO48" s="19"/>
      <c r="BMP48" s="21"/>
      <c r="BMQ48" s="19"/>
      <c r="BMZ48" s="19"/>
      <c r="BNA48" s="19"/>
      <c r="BNB48" s="19"/>
      <c r="BNC48" s="19"/>
      <c r="BND48" s="21"/>
      <c r="BNE48" s="19"/>
      <c r="BNN48" s="19"/>
      <c r="BNO48" s="19"/>
      <c r="BNP48" s="19"/>
      <c r="BNQ48" s="19"/>
      <c r="BNR48" s="21"/>
      <c r="BNS48" s="19"/>
      <c r="BOB48" s="19"/>
      <c r="BOC48" s="19"/>
      <c r="BOD48" s="19"/>
      <c r="BOE48" s="19"/>
      <c r="BOF48" s="21"/>
      <c r="BOG48" s="19"/>
      <c r="BOP48" s="19"/>
      <c r="BOQ48" s="19"/>
      <c r="BOR48" s="19"/>
      <c r="BOS48" s="19"/>
      <c r="BOT48" s="21"/>
      <c r="BOU48" s="19"/>
      <c r="BPD48" s="19"/>
      <c r="BPE48" s="19"/>
      <c r="BPF48" s="19"/>
      <c r="BPG48" s="19"/>
      <c r="BPH48" s="21"/>
      <c r="BPI48" s="19"/>
      <c r="BPR48" s="19"/>
      <c r="BPS48" s="19"/>
      <c r="BPT48" s="19"/>
      <c r="BPU48" s="19"/>
      <c r="BPV48" s="21"/>
      <c r="BPW48" s="19"/>
      <c r="BQF48" s="19"/>
      <c r="BQG48" s="19"/>
      <c r="BQH48" s="19"/>
      <c r="BQI48" s="19"/>
      <c r="BQJ48" s="21"/>
      <c r="BQK48" s="19"/>
      <c r="BQT48" s="19"/>
      <c r="BQU48" s="19"/>
      <c r="BQV48" s="19"/>
      <c r="BQW48" s="19"/>
      <c r="BQX48" s="21"/>
      <c r="BQY48" s="19"/>
      <c r="BRH48" s="19"/>
      <c r="BRI48" s="19"/>
      <c r="BRJ48" s="19"/>
      <c r="BRK48" s="19"/>
      <c r="BRL48" s="21"/>
      <c r="BRM48" s="19"/>
      <c r="BRV48" s="19"/>
      <c r="BRW48" s="19"/>
      <c r="BRX48" s="19"/>
      <c r="BRY48" s="19"/>
      <c r="BRZ48" s="21"/>
      <c r="BSA48" s="19"/>
      <c r="BSJ48" s="19"/>
      <c r="BSK48" s="19"/>
      <c r="BSL48" s="19"/>
      <c r="BSM48" s="19"/>
      <c r="BSN48" s="21"/>
      <c r="BSO48" s="19"/>
      <c r="BSX48" s="19"/>
      <c r="BSY48" s="19"/>
      <c r="BSZ48" s="19"/>
      <c r="BTA48" s="19"/>
      <c r="BTB48" s="21"/>
      <c r="BTC48" s="19"/>
      <c r="BTL48" s="19"/>
      <c r="BTM48" s="19"/>
      <c r="BTN48" s="19"/>
      <c r="BTO48" s="19"/>
      <c r="BTP48" s="21"/>
      <c r="BTQ48" s="19"/>
      <c r="BTZ48" s="19"/>
      <c r="BUA48" s="19"/>
      <c r="BUB48" s="19"/>
      <c r="BUC48" s="19"/>
      <c r="BUD48" s="21"/>
      <c r="BUE48" s="19"/>
      <c r="BUN48" s="19"/>
      <c r="BUO48" s="19"/>
      <c r="BUP48" s="19"/>
      <c r="BUQ48" s="19"/>
      <c r="BUR48" s="21"/>
      <c r="BUS48" s="19"/>
      <c r="BVB48" s="19"/>
      <c r="BVC48" s="19"/>
      <c r="BVD48" s="19"/>
      <c r="BVE48" s="19"/>
      <c r="BVF48" s="21"/>
      <c r="BVG48" s="19"/>
      <c r="BVP48" s="19"/>
      <c r="BVQ48" s="19"/>
      <c r="BVR48" s="19"/>
      <c r="BVS48" s="19"/>
      <c r="BVT48" s="21"/>
      <c r="BVU48" s="19"/>
      <c r="BWD48" s="19"/>
      <c r="BWE48" s="19"/>
      <c r="BWF48" s="19"/>
      <c r="BWG48" s="19"/>
      <c r="BWH48" s="21"/>
      <c r="BWI48" s="19"/>
      <c r="BWR48" s="19"/>
      <c r="BWS48" s="19"/>
      <c r="BWT48" s="19"/>
      <c r="BWU48" s="19"/>
      <c r="BWV48" s="21"/>
      <c r="BWW48" s="19"/>
      <c r="BXF48" s="19"/>
      <c r="BXG48" s="19"/>
      <c r="BXH48" s="19"/>
      <c r="BXI48" s="19"/>
      <c r="BXJ48" s="21"/>
      <c r="BXK48" s="19"/>
      <c r="BXT48" s="19"/>
      <c r="BXU48" s="19"/>
      <c r="BXV48" s="19"/>
      <c r="BXW48" s="19"/>
      <c r="BXX48" s="21"/>
      <c r="BXY48" s="19"/>
      <c r="BYH48" s="19"/>
      <c r="BYI48" s="19"/>
      <c r="BYJ48" s="19"/>
      <c r="BYK48" s="19"/>
      <c r="BYL48" s="21"/>
      <c r="BYM48" s="19"/>
      <c r="BYV48" s="19"/>
      <c r="BYW48" s="19"/>
      <c r="BYX48" s="19"/>
      <c r="BYY48" s="19"/>
      <c r="BYZ48" s="21"/>
      <c r="BZA48" s="19"/>
      <c r="BZJ48" s="19"/>
      <c r="BZK48" s="19"/>
      <c r="BZL48" s="19"/>
      <c r="BZM48" s="19"/>
      <c r="BZN48" s="21"/>
      <c r="BZO48" s="19"/>
      <c r="BZX48" s="19"/>
      <c r="BZY48" s="19"/>
      <c r="BZZ48" s="19"/>
      <c r="CAA48" s="19"/>
      <c r="CAB48" s="21"/>
      <c r="CAC48" s="19"/>
      <c r="CAL48" s="19"/>
      <c r="CAM48" s="19"/>
      <c r="CAN48" s="19"/>
      <c r="CAO48" s="19"/>
      <c r="CAP48" s="21"/>
      <c r="CAQ48" s="19"/>
      <c r="CAZ48" s="19"/>
      <c r="CBA48" s="19"/>
      <c r="CBB48" s="19"/>
      <c r="CBC48" s="19"/>
      <c r="CBD48" s="21"/>
      <c r="CBE48" s="19"/>
      <c r="CBN48" s="19"/>
      <c r="CBO48" s="19"/>
      <c r="CBP48" s="19"/>
      <c r="CBQ48" s="19"/>
      <c r="CBR48" s="21"/>
      <c r="CBS48" s="19"/>
      <c r="CCB48" s="19"/>
      <c r="CCC48" s="19"/>
      <c r="CCD48" s="19"/>
      <c r="CCE48" s="19"/>
      <c r="CCF48" s="21"/>
      <c r="CCG48" s="19"/>
      <c r="CCP48" s="19"/>
      <c r="CCQ48" s="19"/>
      <c r="CCR48" s="19"/>
      <c r="CCS48" s="19"/>
      <c r="CCT48" s="21"/>
      <c r="CCU48" s="19"/>
      <c r="CDD48" s="19"/>
      <c r="CDE48" s="19"/>
      <c r="CDF48" s="19"/>
      <c r="CDG48" s="19"/>
      <c r="CDH48" s="21"/>
      <c r="CDI48" s="19"/>
      <c r="CDR48" s="19"/>
      <c r="CDS48" s="19"/>
      <c r="CDT48" s="19"/>
      <c r="CDU48" s="19"/>
      <c r="CDV48" s="21"/>
      <c r="CDW48" s="19"/>
      <c r="CEF48" s="19"/>
      <c r="CEG48" s="19"/>
      <c r="CEH48" s="19"/>
      <c r="CEI48" s="19"/>
      <c r="CEJ48" s="21"/>
      <c r="CEK48" s="19"/>
      <c r="CET48" s="19"/>
      <c r="CEU48" s="19"/>
      <c r="CEV48" s="19"/>
      <c r="CEW48" s="19"/>
      <c r="CEX48" s="21"/>
      <c r="CEY48" s="19"/>
      <c r="CFH48" s="19"/>
      <c r="CFI48" s="19"/>
      <c r="CFJ48" s="19"/>
      <c r="CFK48" s="19"/>
      <c r="CFL48" s="21"/>
      <c r="CFM48" s="19"/>
      <c r="CFV48" s="19"/>
      <c r="CFW48" s="19"/>
      <c r="CFX48" s="19"/>
      <c r="CFY48" s="19"/>
      <c r="CFZ48" s="21"/>
      <c r="CGA48" s="19"/>
      <c r="CGJ48" s="19"/>
      <c r="CGK48" s="19"/>
      <c r="CGL48" s="19"/>
      <c r="CGM48" s="19"/>
      <c r="CGN48" s="21"/>
      <c r="CGO48" s="19"/>
      <c r="CGX48" s="19"/>
      <c r="CGY48" s="19"/>
      <c r="CGZ48" s="19"/>
      <c r="CHA48" s="19"/>
      <c r="CHB48" s="21"/>
      <c r="CHC48" s="19"/>
      <c r="CHL48" s="19"/>
      <c r="CHM48" s="19"/>
      <c r="CHN48" s="19"/>
      <c r="CHO48" s="19"/>
      <c r="CHP48" s="21"/>
      <c r="CHQ48" s="19"/>
      <c r="CHZ48" s="19"/>
      <c r="CIA48" s="19"/>
      <c r="CIB48" s="19"/>
      <c r="CIC48" s="19"/>
      <c r="CID48" s="21"/>
      <c r="CIE48" s="19"/>
      <c r="CIN48" s="19"/>
      <c r="CIO48" s="19"/>
      <c r="CIP48" s="19"/>
      <c r="CIQ48" s="19"/>
      <c r="CIR48" s="21"/>
      <c r="CIS48" s="19"/>
      <c r="CJB48" s="19"/>
      <c r="CJC48" s="19"/>
      <c r="CJD48" s="19"/>
      <c r="CJE48" s="19"/>
      <c r="CJF48" s="21"/>
      <c r="CJG48" s="19"/>
      <c r="CJP48" s="19"/>
      <c r="CJQ48" s="19"/>
      <c r="CJR48" s="19"/>
      <c r="CJS48" s="19"/>
      <c r="CJT48" s="21"/>
      <c r="CJU48" s="19"/>
      <c r="CKD48" s="19"/>
      <c r="CKE48" s="19"/>
      <c r="CKF48" s="19"/>
      <c r="CKG48" s="19"/>
      <c r="CKH48" s="21"/>
      <c r="CKI48" s="19"/>
      <c r="CKR48" s="19"/>
      <c r="CKS48" s="19"/>
      <c r="CKT48" s="19"/>
      <c r="CKU48" s="19"/>
      <c r="CKV48" s="21"/>
      <c r="CKW48" s="19"/>
      <c r="CLF48" s="19"/>
      <c r="CLG48" s="19"/>
      <c r="CLH48" s="19"/>
      <c r="CLI48" s="19"/>
      <c r="CLJ48" s="21"/>
      <c r="CLK48" s="19"/>
      <c r="CLT48" s="19"/>
      <c r="CLU48" s="19"/>
      <c r="CLV48" s="19"/>
      <c r="CLW48" s="19"/>
      <c r="CLX48" s="21"/>
      <c r="CLY48" s="19"/>
      <c r="CMH48" s="19"/>
      <c r="CMI48" s="19"/>
      <c r="CMJ48" s="19"/>
      <c r="CMK48" s="19"/>
      <c r="CML48" s="21"/>
      <c r="CMM48" s="19"/>
      <c r="CMV48" s="19"/>
      <c r="CMW48" s="19"/>
      <c r="CMX48" s="19"/>
      <c r="CMY48" s="19"/>
      <c r="CMZ48" s="21"/>
      <c r="CNA48" s="19"/>
      <c r="CNJ48" s="19"/>
      <c r="CNK48" s="19"/>
      <c r="CNL48" s="19"/>
      <c r="CNM48" s="19"/>
      <c r="CNN48" s="21"/>
      <c r="CNO48" s="19"/>
      <c r="CNX48" s="19"/>
      <c r="CNY48" s="19"/>
      <c r="CNZ48" s="19"/>
      <c r="COA48" s="19"/>
      <c r="COB48" s="21"/>
      <c r="COC48" s="19"/>
      <c r="COL48" s="19"/>
      <c r="COM48" s="19"/>
      <c r="CON48" s="19"/>
      <c r="COO48" s="19"/>
      <c r="COP48" s="21"/>
      <c r="COQ48" s="19"/>
      <c r="COZ48" s="19"/>
      <c r="CPA48" s="19"/>
      <c r="CPB48" s="19"/>
      <c r="CPC48" s="19"/>
      <c r="CPD48" s="21"/>
      <c r="CPE48" s="19"/>
      <c r="CPN48" s="19"/>
      <c r="CPO48" s="19"/>
      <c r="CPP48" s="19"/>
      <c r="CPQ48" s="19"/>
      <c r="CPR48" s="21"/>
      <c r="CPS48" s="19"/>
      <c r="CQB48" s="19"/>
      <c r="CQC48" s="19"/>
      <c r="CQD48" s="19"/>
      <c r="CQE48" s="19"/>
      <c r="CQF48" s="21"/>
      <c r="CQG48" s="19"/>
      <c r="CQP48" s="19"/>
      <c r="CQQ48" s="19"/>
      <c r="CQR48" s="19"/>
      <c r="CQS48" s="19"/>
      <c r="CQT48" s="21"/>
      <c r="CQU48" s="19"/>
      <c r="CRD48" s="19"/>
      <c r="CRE48" s="19"/>
      <c r="CRF48" s="19"/>
      <c r="CRG48" s="19"/>
      <c r="CRH48" s="21"/>
      <c r="CRI48" s="19"/>
      <c r="CRR48" s="19"/>
      <c r="CRS48" s="19"/>
      <c r="CRT48" s="19"/>
      <c r="CRU48" s="19"/>
      <c r="CRV48" s="21"/>
      <c r="CRW48" s="19"/>
      <c r="CSF48" s="19"/>
      <c r="CSG48" s="19"/>
      <c r="CSH48" s="19"/>
      <c r="CSI48" s="19"/>
      <c r="CSJ48" s="21"/>
      <c r="CSK48" s="19"/>
      <c r="CST48" s="19"/>
      <c r="CSU48" s="19"/>
      <c r="CSV48" s="19"/>
      <c r="CSW48" s="19"/>
      <c r="CSX48" s="21"/>
      <c r="CSY48" s="19"/>
      <c r="CTH48" s="19"/>
      <c r="CTI48" s="19"/>
      <c r="CTJ48" s="19"/>
      <c r="CTK48" s="19"/>
      <c r="CTL48" s="21"/>
      <c r="CTM48" s="19"/>
      <c r="CTV48" s="19"/>
      <c r="CTW48" s="19"/>
      <c r="CTX48" s="19"/>
      <c r="CTY48" s="19"/>
      <c r="CTZ48" s="21"/>
      <c r="CUA48" s="19"/>
      <c r="CUJ48" s="19"/>
      <c r="CUK48" s="19"/>
      <c r="CUL48" s="19"/>
      <c r="CUM48" s="19"/>
      <c r="CUN48" s="21"/>
      <c r="CUO48" s="19"/>
      <c r="CUX48" s="19"/>
      <c r="CUY48" s="19"/>
      <c r="CUZ48" s="19"/>
      <c r="CVA48" s="19"/>
      <c r="CVB48" s="21"/>
      <c r="CVC48" s="19"/>
      <c r="CVL48" s="19"/>
      <c r="CVM48" s="19"/>
      <c r="CVN48" s="19"/>
      <c r="CVO48" s="19"/>
      <c r="CVP48" s="21"/>
      <c r="CVQ48" s="19"/>
      <c r="CVZ48" s="19"/>
      <c r="CWA48" s="19"/>
      <c r="CWB48" s="19"/>
      <c r="CWC48" s="19"/>
      <c r="CWD48" s="21"/>
      <c r="CWE48" s="19"/>
      <c r="CWN48" s="19"/>
      <c r="CWO48" s="19"/>
      <c r="CWP48" s="19"/>
      <c r="CWQ48" s="19"/>
      <c r="CWR48" s="21"/>
      <c r="CWS48" s="19"/>
      <c r="CXB48" s="19"/>
      <c r="CXC48" s="19"/>
      <c r="CXD48" s="19"/>
      <c r="CXE48" s="19"/>
      <c r="CXF48" s="21"/>
      <c r="CXG48" s="19"/>
      <c r="CXP48" s="19"/>
      <c r="CXQ48" s="19"/>
      <c r="CXR48" s="19"/>
      <c r="CXS48" s="19"/>
      <c r="CXT48" s="21"/>
      <c r="CXU48" s="19"/>
      <c r="CYD48" s="19"/>
      <c r="CYE48" s="19"/>
      <c r="CYF48" s="19"/>
      <c r="CYG48" s="19"/>
      <c r="CYH48" s="21"/>
      <c r="CYI48" s="19"/>
      <c r="CYR48" s="19"/>
      <c r="CYS48" s="19"/>
      <c r="CYT48" s="19"/>
      <c r="CYU48" s="19"/>
      <c r="CYV48" s="21"/>
      <c r="CYW48" s="19"/>
      <c r="CZF48" s="19"/>
      <c r="CZG48" s="19"/>
      <c r="CZH48" s="19"/>
      <c r="CZI48" s="19"/>
      <c r="CZJ48" s="21"/>
      <c r="CZK48" s="19"/>
      <c r="CZT48" s="19"/>
      <c r="CZU48" s="19"/>
      <c r="CZV48" s="19"/>
      <c r="CZW48" s="19"/>
      <c r="CZX48" s="21"/>
      <c r="CZY48" s="19"/>
      <c r="DAH48" s="19"/>
      <c r="DAI48" s="19"/>
      <c r="DAJ48" s="19"/>
      <c r="DAK48" s="19"/>
      <c r="DAL48" s="21"/>
      <c r="DAM48" s="19"/>
      <c r="DAV48" s="19"/>
      <c r="DAW48" s="19"/>
      <c r="DAX48" s="19"/>
      <c r="DAY48" s="19"/>
      <c r="DAZ48" s="21"/>
      <c r="DBA48" s="19"/>
      <c r="DBJ48" s="19"/>
      <c r="DBK48" s="19"/>
      <c r="DBL48" s="19"/>
      <c r="DBM48" s="19"/>
      <c r="DBN48" s="21"/>
      <c r="DBO48" s="19"/>
      <c r="DBX48" s="19"/>
      <c r="DBY48" s="19"/>
      <c r="DBZ48" s="19"/>
      <c r="DCA48" s="19"/>
      <c r="DCB48" s="21"/>
      <c r="DCC48" s="19"/>
      <c r="DCL48" s="19"/>
      <c r="DCM48" s="19"/>
      <c r="DCN48" s="19"/>
      <c r="DCO48" s="19"/>
      <c r="DCP48" s="21"/>
      <c r="DCQ48" s="19"/>
      <c r="DCZ48" s="19"/>
      <c r="DDA48" s="19"/>
      <c r="DDB48" s="19"/>
      <c r="DDC48" s="19"/>
      <c r="DDD48" s="21"/>
      <c r="DDE48" s="19"/>
      <c r="DDN48" s="19"/>
      <c r="DDO48" s="19"/>
      <c r="DDP48" s="19"/>
      <c r="DDQ48" s="19"/>
      <c r="DDR48" s="21"/>
      <c r="DDS48" s="19"/>
      <c r="DEB48" s="19"/>
      <c r="DEC48" s="19"/>
      <c r="DED48" s="19"/>
      <c r="DEE48" s="19"/>
      <c r="DEF48" s="21"/>
      <c r="DEG48" s="19"/>
      <c r="DEP48" s="19"/>
      <c r="DEQ48" s="19"/>
      <c r="DER48" s="19"/>
      <c r="DES48" s="19"/>
      <c r="DET48" s="21"/>
      <c r="DEU48" s="19"/>
      <c r="DFD48" s="19"/>
      <c r="DFE48" s="19"/>
      <c r="DFF48" s="19"/>
      <c r="DFG48" s="19"/>
      <c r="DFH48" s="21"/>
      <c r="DFI48" s="19"/>
      <c r="DFR48" s="19"/>
      <c r="DFS48" s="19"/>
      <c r="DFT48" s="19"/>
      <c r="DFU48" s="19"/>
      <c r="DFV48" s="21"/>
      <c r="DFW48" s="19"/>
      <c r="DGF48" s="19"/>
      <c r="DGG48" s="19"/>
      <c r="DGH48" s="19"/>
      <c r="DGI48" s="19"/>
      <c r="DGJ48" s="21"/>
      <c r="DGK48" s="19"/>
      <c r="DGT48" s="19"/>
      <c r="DGU48" s="19"/>
      <c r="DGV48" s="19"/>
      <c r="DGW48" s="19"/>
      <c r="DGX48" s="21"/>
      <c r="DGY48" s="19"/>
      <c r="DHH48" s="19"/>
      <c r="DHI48" s="19"/>
      <c r="DHJ48" s="19"/>
      <c r="DHK48" s="19"/>
      <c r="DHL48" s="21"/>
      <c r="DHM48" s="19"/>
      <c r="DHV48" s="19"/>
      <c r="DHW48" s="19"/>
      <c r="DHX48" s="19"/>
      <c r="DHY48" s="19"/>
      <c r="DHZ48" s="21"/>
      <c r="DIA48" s="19"/>
      <c r="DIJ48" s="19"/>
      <c r="DIK48" s="19"/>
      <c r="DIL48" s="19"/>
      <c r="DIM48" s="19"/>
      <c r="DIN48" s="21"/>
      <c r="DIO48" s="19"/>
      <c r="DIX48" s="19"/>
      <c r="DIY48" s="19"/>
      <c r="DIZ48" s="19"/>
      <c r="DJA48" s="19"/>
      <c r="DJB48" s="21"/>
      <c r="DJC48" s="19"/>
      <c r="DJL48" s="19"/>
      <c r="DJM48" s="19"/>
      <c r="DJN48" s="19"/>
      <c r="DJO48" s="19"/>
      <c r="DJP48" s="21"/>
      <c r="DJQ48" s="19"/>
      <c r="DJZ48" s="19"/>
      <c r="DKA48" s="19"/>
      <c r="DKB48" s="19"/>
      <c r="DKC48" s="19"/>
      <c r="DKD48" s="21"/>
      <c r="DKE48" s="19"/>
      <c r="DKN48" s="19"/>
      <c r="DKO48" s="19"/>
      <c r="DKP48" s="19"/>
      <c r="DKQ48" s="19"/>
      <c r="DKR48" s="21"/>
      <c r="DKS48" s="19"/>
      <c r="DLB48" s="19"/>
      <c r="DLC48" s="19"/>
      <c r="DLD48" s="19"/>
      <c r="DLE48" s="19"/>
      <c r="DLF48" s="21"/>
      <c r="DLG48" s="19"/>
      <c r="DLP48" s="19"/>
      <c r="DLQ48" s="19"/>
      <c r="DLR48" s="19"/>
      <c r="DLS48" s="19"/>
      <c r="DLT48" s="21"/>
      <c r="DLU48" s="19"/>
      <c r="DMD48" s="19"/>
      <c r="DME48" s="19"/>
      <c r="DMF48" s="19"/>
      <c r="DMG48" s="19"/>
      <c r="DMH48" s="21"/>
      <c r="DMI48" s="19"/>
      <c r="DMR48" s="19"/>
      <c r="DMS48" s="19"/>
      <c r="DMT48" s="19"/>
      <c r="DMU48" s="19"/>
      <c r="DMV48" s="21"/>
      <c r="DMW48" s="19"/>
      <c r="DNF48" s="19"/>
      <c r="DNG48" s="19"/>
      <c r="DNH48" s="19"/>
      <c r="DNI48" s="19"/>
      <c r="DNJ48" s="21"/>
      <c r="DNK48" s="19"/>
      <c r="DNT48" s="19"/>
      <c r="DNU48" s="19"/>
      <c r="DNV48" s="19"/>
      <c r="DNW48" s="19"/>
      <c r="DNX48" s="21"/>
      <c r="DNY48" s="19"/>
      <c r="DOH48" s="19"/>
      <c r="DOI48" s="19"/>
      <c r="DOJ48" s="19"/>
      <c r="DOK48" s="19"/>
      <c r="DOL48" s="21"/>
      <c r="DOM48" s="19"/>
      <c r="DOV48" s="19"/>
      <c r="DOW48" s="19"/>
      <c r="DOX48" s="19"/>
      <c r="DOY48" s="19"/>
      <c r="DOZ48" s="21"/>
      <c r="DPA48" s="19"/>
      <c r="DPJ48" s="19"/>
      <c r="DPK48" s="19"/>
      <c r="DPL48" s="19"/>
      <c r="DPM48" s="19"/>
      <c r="DPN48" s="21"/>
      <c r="DPO48" s="19"/>
      <c r="DPX48" s="19"/>
      <c r="DPY48" s="19"/>
      <c r="DPZ48" s="19"/>
      <c r="DQA48" s="19"/>
      <c r="DQB48" s="21"/>
      <c r="DQC48" s="19"/>
      <c r="DQL48" s="19"/>
      <c r="DQM48" s="19"/>
      <c r="DQN48" s="19"/>
      <c r="DQO48" s="19"/>
      <c r="DQP48" s="21"/>
      <c r="DQQ48" s="19"/>
      <c r="DQZ48" s="19"/>
      <c r="DRA48" s="19"/>
      <c r="DRB48" s="19"/>
      <c r="DRC48" s="19"/>
      <c r="DRD48" s="21"/>
      <c r="DRE48" s="19"/>
      <c r="DRN48" s="19"/>
      <c r="DRO48" s="19"/>
      <c r="DRP48" s="19"/>
      <c r="DRQ48" s="19"/>
      <c r="DRR48" s="21"/>
      <c r="DRS48" s="19"/>
      <c r="DSB48" s="19"/>
      <c r="DSC48" s="19"/>
      <c r="DSD48" s="19"/>
      <c r="DSE48" s="19"/>
      <c r="DSF48" s="21"/>
      <c r="DSG48" s="19"/>
      <c r="DSP48" s="19"/>
      <c r="DSQ48" s="19"/>
      <c r="DSR48" s="19"/>
      <c r="DSS48" s="19"/>
      <c r="DST48" s="21"/>
      <c r="DSU48" s="19"/>
      <c r="DTD48" s="19"/>
      <c r="DTE48" s="19"/>
      <c r="DTF48" s="19"/>
      <c r="DTG48" s="19"/>
      <c r="DTH48" s="21"/>
      <c r="DTI48" s="19"/>
      <c r="DTR48" s="19"/>
      <c r="DTS48" s="19"/>
      <c r="DTT48" s="19"/>
      <c r="DTU48" s="19"/>
      <c r="DTV48" s="21"/>
      <c r="DTW48" s="19"/>
      <c r="DUF48" s="19"/>
      <c r="DUG48" s="19"/>
      <c r="DUH48" s="19"/>
      <c r="DUI48" s="19"/>
      <c r="DUJ48" s="21"/>
      <c r="DUK48" s="19"/>
      <c r="DUT48" s="19"/>
      <c r="DUU48" s="19"/>
      <c r="DUV48" s="19"/>
      <c r="DUW48" s="19"/>
      <c r="DUX48" s="21"/>
      <c r="DUY48" s="19"/>
      <c r="DVH48" s="19"/>
      <c r="DVI48" s="19"/>
      <c r="DVJ48" s="19"/>
      <c r="DVK48" s="19"/>
      <c r="DVL48" s="21"/>
      <c r="DVM48" s="19"/>
      <c r="DVV48" s="19"/>
      <c r="DVW48" s="19"/>
      <c r="DVX48" s="19"/>
      <c r="DVY48" s="19"/>
      <c r="DVZ48" s="21"/>
      <c r="DWA48" s="19"/>
      <c r="DWJ48" s="19"/>
      <c r="DWK48" s="19"/>
      <c r="DWL48" s="19"/>
      <c r="DWM48" s="19"/>
      <c r="DWN48" s="21"/>
      <c r="DWO48" s="19"/>
      <c r="DWX48" s="19"/>
      <c r="DWY48" s="19"/>
      <c r="DWZ48" s="19"/>
      <c r="DXA48" s="19"/>
      <c r="DXB48" s="21"/>
      <c r="DXC48" s="19"/>
      <c r="DXL48" s="19"/>
      <c r="DXM48" s="19"/>
      <c r="DXN48" s="19"/>
      <c r="DXO48" s="19"/>
      <c r="DXP48" s="21"/>
      <c r="DXQ48" s="19"/>
      <c r="DXZ48" s="19"/>
      <c r="DYA48" s="19"/>
      <c r="DYB48" s="19"/>
      <c r="DYC48" s="19"/>
      <c r="DYD48" s="21"/>
      <c r="DYE48" s="19"/>
      <c r="DYN48" s="19"/>
      <c r="DYO48" s="19"/>
      <c r="DYP48" s="19"/>
      <c r="DYQ48" s="19"/>
      <c r="DYR48" s="21"/>
      <c r="DYS48" s="19"/>
      <c r="DZB48" s="19"/>
      <c r="DZC48" s="19"/>
      <c r="DZD48" s="19"/>
      <c r="DZE48" s="19"/>
      <c r="DZF48" s="21"/>
      <c r="DZG48" s="19"/>
      <c r="DZP48" s="19"/>
      <c r="DZQ48" s="19"/>
      <c r="DZR48" s="19"/>
      <c r="DZS48" s="19"/>
      <c r="DZT48" s="21"/>
      <c r="DZU48" s="19"/>
      <c r="EAD48" s="19"/>
      <c r="EAE48" s="19"/>
      <c r="EAF48" s="19"/>
      <c r="EAG48" s="19"/>
      <c r="EAH48" s="21"/>
      <c r="EAI48" s="19"/>
      <c r="EAR48" s="19"/>
      <c r="EAS48" s="19"/>
      <c r="EAT48" s="19"/>
      <c r="EAU48" s="19"/>
      <c r="EAV48" s="21"/>
      <c r="EAW48" s="19"/>
      <c r="EBF48" s="19"/>
      <c r="EBG48" s="19"/>
      <c r="EBH48" s="19"/>
      <c r="EBI48" s="19"/>
      <c r="EBJ48" s="21"/>
      <c r="EBK48" s="19"/>
      <c r="EBT48" s="19"/>
      <c r="EBU48" s="19"/>
      <c r="EBV48" s="19"/>
      <c r="EBW48" s="19"/>
      <c r="EBX48" s="21"/>
      <c r="EBY48" s="19"/>
      <c r="ECH48" s="19"/>
      <c r="ECI48" s="19"/>
      <c r="ECJ48" s="19"/>
      <c r="ECK48" s="19"/>
      <c r="ECL48" s="21"/>
      <c r="ECM48" s="19"/>
      <c r="ECV48" s="19"/>
      <c r="ECW48" s="19"/>
      <c r="ECX48" s="19"/>
      <c r="ECY48" s="19"/>
      <c r="ECZ48" s="21"/>
      <c r="EDA48" s="19"/>
      <c r="EDJ48" s="19"/>
      <c r="EDK48" s="19"/>
      <c r="EDL48" s="19"/>
      <c r="EDM48" s="19"/>
      <c r="EDN48" s="21"/>
      <c r="EDO48" s="19"/>
      <c r="EDX48" s="19"/>
      <c r="EDY48" s="19"/>
      <c r="EDZ48" s="19"/>
      <c r="EEA48" s="19"/>
      <c r="EEB48" s="21"/>
      <c r="EEC48" s="19"/>
      <c r="EEL48" s="19"/>
      <c r="EEM48" s="19"/>
      <c r="EEN48" s="19"/>
      <c r="EEO48" s="19"/>
      <c r="EEP48" s="21"/>
      <c r="EEQ48" s="19"/>
      <c r="EEZ48" s="19"/>
      <c r="EFA48" s="19"/>
      <c r="EFB48" s="19"/>
      <c r="EFC48" s="19"/>
      <c r="EFD48" s="21"/>
      <c r="EFE48" s="19"/>
      <c r="EFN48" s="19"/>
      <c r="EFO48" s="19"/>
      <c r="EFP48" s="19"/>
      <c r="EFQ48" s="19"/>
      <c r="EFR48" s="21"/>
      <c r="EFS48" s="19"/>
      <c r="EGB48" s="19"/>
      <c r="EGC48" s="19"/>
      <c r="EGD48" s="19"/>
      <c r="EGE48" s="19"/>
      <c r="EGF48" s="21"/>
      <c r="EGG48" s="19"/>
      <c r="EGP48" s="19"/>
      <c r="EGQ48" s="19"/>
      <c r="EGR48" s="19"/>
      <c r="EGS48" s="19"/>
      <c r="EGT48" s="21"/>
      <c r="EGU48" s="19"/>
      <c r="EHD48" s="19"/>
      <c r="EHE48" s="19"/>
      <c r="EHF48" s="19"/>
      <c r="EHG48" s="19"/>
      <c r="EHH48" s="21"/>
      <c r="EHI48" s="19"/>
      <c r="EHR48" s="19"/>
      <c r="EHS48" s="19"/>
      <c r="EHT48" s="19"/>
      <c r="EHU48" s="19"/>
      <c r="EHV48" s="21"/>
      <c r="EHW48" s="19"/>
      <c r="EIF48" s="19"/>
      <c r="EIG48" s="19"/>
      <c r="EIH48" s="19"/>
      <c r="EII48" s="19"/>
      <c r="EIJ48" s="21"/>
      <c r="EIK48" s="19"/>
      <c r="EIT48" s="19"/>
      <c r="EIU48" s="19"/>
      <c r="EIV48" s="19"/>
      <c r="EIW48" s="19"/>
      <c r="EIX48" s="21"/>
      <c r="EIY48" s="19"/>
      <c r="EJH48" s="19"/>
      <c r="EJI48" s="19"/>
      <c r="EJJ48" s="19"/>
      <c r="EJK48" s="19"/>
      <c r="EJL48" s="21"/>
      <c r="EJM48" s="19"/>
      <c r="EJV48" s="19"/>
      <c r="EJW48" s="19"/>
      <c r="EJX48" s="19"/>
      <c r="EJY48" s="19"/>
      <c r="EJZ48" s="21"/>
      <c r="EKA48" s="19"/>
      <c r="EKJ48" s="19"/>
      <c r="EKK48" s="19"/>
      <c r="EKL48" s="19"/>
      <c r="EKM48" s="19"/>
      <c r="EKN48" s="21"/>
      <c r="EKO48" s="19"/>
      <c r="EKX48" s="19"/>
      <c r="EKY48" s="19"/>
      <c r="EKZ48" s="19"/>
      <c r="ELA48" s="19"/>
      <c r="ELB48" s="21"/>
      <c r="ELC48" s="19"/>
      <c r="ELL48" s="19"/>
      <c r="ELM48" s="19"/>
      <c r="ELN48" s="19"/>
      <c r="ELO48" s="19"/>
      <c r="ELP48" s="21"/>
      <c r="ELQ48" s="19"/>
      <c r="ELZ48" s="19"/>
      <c r="EMA48" s="19"/>
      <c r="EMB48" s="19"/>
      <c r="EMC48" s="19"/>
      <c r="EMD48" s="21"/>
      <c r="EME48" s="19"/>
      <c r="EMN48" s="19"/>
      <c r="EMO48" s="19"/>
      <c r="EMP48" s="19"/>
      <c r="EMQ48" s="19"/>
      <c r="EMR48" s="21"/>
      <c r="EMS48" s="19"/>
      <c r="ENB48" s="19"/>
      <c r="ENC48" s="19"/>
      <c r="END48" s="19"/>
      <c r="ENE48" s="19"/>
      <c r="ENF48" s="21"/>
      <c r="ENG48" s="19"/>
      <c r="ENP48" s="19"/>
      <c r="ENQ48" s="19"/>
      <c r="ENR48" s="19"/>
      <c r="ENS48" s="19"/>
      <c r="ENT48" s="21"/>
      <c r="ENU48" s="19"/>
      <c r="EOD48" s="19"/>
      <c r="EOE48" s="19"/>
      <c r="EOF48" s="19"/>
      <c r="EOG48" s="19"/>
      <c r="EOH48" s="21"/>
      <c r="EOI48" s="19"/>
      <c r="EOR48" s="19"/>
      <c r="EOS48" s="19"/>
      <c r="EOT48" s="19"/>
      <c r="EOU48" s="19"/>
      <c r="EOV48" s="21"/>
      <c r="EOW48" s="19"/>
      <c r="EPF48" s="19"/>
      <c r="EPG48" s="19"/>
      <c r="EPH48" s="19"/>
      <c r="EPI48" s="19"/>
      <c r="EPJ48" s="21"/>
      <c r="EPK48" s="19"/>
      <c r="EPT48" s="19"/>
      <c r="EPU48" s="19"/>
      <c r="EPV48" s="19"/>
      <c r="EPW48" s="19"/>
      <c r="EPX48" s="21"/>
      <c r="EPY48" s="19"/>
      <c r="EQH48" s="19"/>
      <c r="EQI48" s="19"/>
      <c r="EQJ48" s="19"/>
      <c r="EQK48" s="19"/>
      <c r="EQL48" s="21"/>
      <c r="EQM48" s="19"/>
      <c r="EQV48" s="19"/>
      <c r="EQW48" s="19"/>
      <c r="EQX48" s="19"/>
      <c r="EQY48" s="19"/>
      <c r="EQZ48" s="21"/>
      <c r="ERA48" s="19"/>
      <c r="ERJ48" s="19"/>
      <c r="ERK48" s="19"/>
      <c r="ERL48" s="19"/>
      <c r="ERM48" s="19"/>
      <c r="ERN48" s="21"/>
      <c r="ERO48" s="19"/>
      <c r="ERX48" s="19"/>
      <c r="ERY48" s="19"/>
      <c r="ERZ48" s="19"/>
      <c r="ESA48" s="19"/>
      <c r="ESB48" s="21"/>
      <c r="ESC48" s="19"/>
      <c r="ESL48" s="19"/>
      <c r="ESM48" s="19"/>
      <c r="ESN48" s="19"/>
      <c r="ESO48" s="19"/>
      <c r="ESP48" s="21"/>
      <c r="ESQ48" s="19"/>
      <c r="ESZ48" s="19"/>
      <c r="ETA48" s="19"/>
      <c r="ETB48" s="19"/>
      <c r="ETC48" s="19"/>
      <c r="ETD48" s="21"/>
      <c r="ETE48" s="19"/>
      <c r="ETN48" s="19"/>
      <c r="ETO48" s="19"/>
      <c r="ETP48" s="19"/>
      <c r="ETQ48" s="19"/>
      <c r="ETR48" s="21"/>
      <c r="ETS48" s="19"/>
      <c r="EUB48" s="19"/>
      <c r="EUC48" s="19"/>
      <c r="EUD48" s="19"/>
      <c r="EUE48" s="19"/>
      <c r="EUF48" s="21"/>
      <c r="EUG48" s="19"/>
      <c r="EUP48" s="19"/>
      <c r="EUQ48" s="19"/>
      <c r="EUR48" s="19"/>
      <c r="EUS48" s="19"/>
      <c r="EUT48" s="21"/>
      <c r="EUU48" s="19"/>
      <c r="EVD48" s="19"/>
      <c r="EVE48" s="19"/>
      <c r="EVF48" s="19"/>
      <c r="EVG48" s="19"/>
      <c r="EVH48" s="21"/>
      <c r="EVI48" s="19"/>
      <c r="EVR48" s="19"/>
      <c r="EVS48" s="19"/>
      <c r="EVT48" s="19"/>
      <c r="EVU48" s="19"/>
      <c r="EVV48" s="21"/>
      <c r="EVW48" s="19"/>
      <c r="EWF48" s="19"/>
      <c r="EWG48" s="19"/>
      <c r="EWH48" s="19"/>
      <c r="EWI48" s="19"/>
      <c r="EWJ48" s="21"/>
      <c r="EWK48" s="19"/>
      <c r="EWT48" s="19"/>
      <c r="EWU48" s="19"/>
      <c r="EWV48" s="19"/>
      <c r="EWW48" s="19"/>
      <c r="EWX48" s="21"/>
      <c r="EWY48" s="19"/>
      <c r="EXH48" s="19"/>
      <c r="EXI48" s="19"/>
      <c r="EXJ48" s="19"/>
      <c r="EXK48" s="19"/>
      <c r="EXL48" s="21"/>
      <c r="EXM48" s="19"/>
      <c r="EXV48" s="19"/>
      <c r="EXW48" s="19"/>
      <c r="EXX48" s="19"/>
      <c r="EXY48" s="19"/>
      <c r="EXZ48" s="21"/>
      <c r="EYA48" s="19"/>
      <c r="EYJ48" s="19"/>
      <c r="EYK48" s="19"/>
      <c r="EYL48" s="19"/>
      <c r="EYM48" s="19"/>
      <c r="EYN48" s="21"/>
      <c r="EYO48" s="19"/>
      <c r="EYX48" s="19"/>
      <c r="EYY48" s="19"/>
      <c r="EYZ48" s="19"/>
      <c r="EZA48" s="19"/>
      <c r="EZB48" s="21"/>
      <c r="EZC48" s="19"/>
      <c r="EZL48" s="19"/>
      <c r="EZM48" s="19"/>
      <c r="EZN48" s="19"/>
      <c r="EZO48" s="19"/>
      <c r="EZP48" s="21"/>
      <c r="EZQ48" s="19"/>
      <c r="EZZ48" s="19"/>
      <c r="FAA48" s="19"/>
      <c r="FAB48" s="19"/>
      <c r="FAC48" s="19"/>
      <c r="FAD48" s="21"/>
      <c r="FAE48" s="19"/>
      <c r="FAN48" s="19"/>
      <c r="FAO48" s="19"/>
      <c r="FAP48" s="19"/>
      <c r="FAQ48" s="19"/>
      <c r="FAR48" s="21"/>
      <c r="FAS48" s="19"/>
      <c r="FBB48" s="19"/>
      <c r="FBC48" s="19"/>
      <c r="FBD48" s="19"/>
      <c r="FBE48" s="19"/>
      <c r="FBF48" s="21"/>
      <c r="FBG48" s="19"/>
      <c r="FBP48" s="19"/>
      <c r="FBQ48" s="19"/>
      <c r="FBR48" s="19"/>
      <c r="FBS48" s="19"/>
      <c r="FBT48" s="21"/>
      <c r="FBU48" s="19"/>
      <c r="FCD48" s="19"/>
      <c r="FCE48" s="19"/>
      <c r="FCF48" s="19"/>
      <c r="FCG48" s="19"/>
      <c r="FCH48" s="21"/>
      <c r="FCI48" s="19"/>
      <c r="FCR48" s="19"/>
      <c r="FCS48" s="19"/>
      <c r="FCT48" s="19"/>
      <c r="FCU48" s="19"/>
      <c r="FCV48" s="21"/>
      <c r="FCW48" s="19"/>
      <c r="FDF48" s="19"/>
      <c r="FDG48" s="19"/>
      <c r="FDH48" s="19"/>
      <c r="FDI48" s="19"/>
      <c r="FDJ48" s="21"/>
      <c r="FDK48" s="19"/>
      <c r="FDT48" s="19"/>
      <c r="FDU48" s="19"/>
      <c r="FDV48" s="19"/>
      <c r="FDW48" s="19"/>
      <c r="FDX48" s="21"/>
      <c r="FDY48" s="19"/>
      <c r="FEH48" s="19"/>
      <c r="FEI48" s="19"/>
      <c r="FEJ48" s="19"/>
      <c r="FEK48" s="19"/>
      <c r="FEL48" s="21"/>
      <c r="FEM48" s="19"/>
      <c r="FEV48" s="19"/>
      <c r="FEW48" s="19"/>
      <c r="FEX48" s="19"/>
      <c r="FEY48" s="19"/>
      <c r="FEZ48" s="21"/>
      <c r="FFA48" s="19"/>
      <c r="FFJ48" s="19"/>
      <c r="FFK48" s="19"/>
      <c r="FFL48" s="19"/>
      <c r="FFM48" s="19"/>
      <c r="FFN48" s="21"/>
      <c r="FFO48" s="19"/>
      <c r="FFX48" s="19"/>
      <c r="FFY48" s="19"/>
      <c r="FFZ48" s="19"/>
      <c r="FGA48" s="19"/>
      <c r="FGB48" s="21"/>
      <c r="FGC48" s="19"/>
      <c r="FGL48" s="19"/>
      <c r="FGM48" s="19"/>
      <c r="FGN48" s="19"/>
      <c r="FGO48" s="19"/>
      <c r="FGP48" s="21"/>
      <c r="FGQ48" s="19"/>
      <c r="FGZ48" s="19"/>
      <c r="FHA48" s="19"/>
      <c r="FHB48" s="19"/>
      <c r="FHC48" s="19"/>
      <c r="FHD48" s="21"/>
      <c r="FHE48" s="19"/>
      <c r="FHN48" s="19"/>
      <c r="FHO48" s="19"/>
      <c r="FHP48" s="19"/>
      <c r="FHQ48" s="19"/>
      <c r="FHR48" s="21"/>
      <c r="FHS48" s="19"/>
      <c r="FIB48" s="19"/>
      <c r="FIC48" s="19"/>
      <c r="FID48" s="19"/>
      <c r="FIE48" s="19"/>
      <c r="FIF48" s="21"/>
      <c r="FIG48" s="19"/>
      <c r="FIP48" s="19"/>
      <c r="FIQ48" s="19"/>
      <c r="FIR48" s="19"/>
      <c r="FIS48" s="19"/>
      <c r="FIT48" s="21"/>
      <c r="FIU48" s="19"/>
      <c r="FJD48" s="19"/>
      <c r="FJE48" s="19"/>
      <c r="FJF48" s="19"/>
      <c r="FJG48" s="19"/>
      <c r="FJH48" s="21"/>
      <c r="FJI48" s="19"/>
      <c r="FJR48" s="19"/>
      <c r="FJS48" s="19"/>
      <c r="FJT48" s="19"/>
      <c r="FJU48" s="19"/>
      <c r="FJV48" s="21"/>
      <c r="FJW48" s="19"/>
      <c r="FKF48" s="19"/>
      <c r="FKG48" s="19"/>
      <c r="FKH48" s="19"/>
      <c r="FKI48" s="19"/>
      <c r="FKJ48" s="21"/>
      <c r="FKK48" s="19"/>
      <c r="FKT48" s="19"/>
      <c r="FKU48" s="19"/>
      <c r="FKV48" s="19"/>
      <c r="FKW48" s="19"/>
      <c r="FKX48" s="21"/>
      <c r="FKY48" s="19"/>
      <c r="FLH48" s="19"/>
      <c r="FLI48" s="19"/>
      <c r="FLJ48" s="19"/>
      <c r="FLK48" s="19"/>
      <c r="FLL48" s="21"/>
      <c r="FLM48" s="19"/>
      <c r="FLV48" s="19"/>
      <c r="FLW48" s="19"/>
      <c r="FLX48" s="19"/>
      <c r="FLY48" s="19"/>
      <c r="FLZ48" s="21"/>
      <c r="FMA48" s="19"/>
      <c r="FMJ48" s="19"/>
      <c r="FMK48" s="19"/>
      <c r="FML48" s="19"/>
      <c r="FMM48" s="19"/>
      <c r="FMN48" s="21"/>
      <c r="FMO48" s="19"/>
      <c r="FMX48" s="19"/>
      <c r="FMY48" s="19"/>
      <c r="FMZ48" s="19"/>
      <c r="FNA48" s="19"/>
      <c r="FNB48" s="21"/>
      <c r="FNC48" s="19"/>
      <c r="FNL48" s="19"/>
      <c r="FNM48" s="19"/>
      <c r="FNN48" s="19"/>
      <c r="FNO48" s="19"/>
      <c r="FNP48" s="21"/>
      <c r="FNQ48" s="19"/>
      <c r="FNZ48" s="19"/>
      <c r="FOA48" s="19"/>
      <c r="FOB48" s="19"/>
      <c r="FOC48" s="19"/>
      <c r="FOD48" s="21"/>
      <c r="FOE48" s="19"/>
      <c r="FON48" s="19"/>
      <c r="FOO48" s="19"/>
      <c r="FOP48" s="19"/>
      <c r="FOQ48" s="19"/>
      <c r="FOR48" s="21"/>
      <c r="FOS48" s="19"/>
      <c r="FPB48" s="19"/>
      <c r="FPC48" s="19"/>
      <c r="FPD48" s="19"/>
      <c r="FPE48" s="19"/>
      <c r="FPF48" s="21"/>
      <c r="FPG48" s="19"/>
      <c r="FPP48" s="19"/>
      <c r="FPQ48" s="19"/>
      <c r="FPR48" s="19"/>
      <c r="FPS48" s="19"/>
      <c r="FPT48" s="21"/>
      <c r="FPU48" s="19"/>
      <c r="FQD48" s="19"/>
      <c r="FQE48" s="19"/>
      <c r="FQF48" s="19"/>
      <c r="FQG48" s="19"/>
      <c r="FQH48" s="21"/>
      <c r="FQI48" s="19"/>
      <c r="FQR48" s="19"/>
      <c r="FQS48" s="19"/>
      <c r="FQT48" s="19"/>
      <c r="FQU48" s="19"/>
      <c r="FQV48" s="21"/>
      <c r="FQW48" s="19"/>
      <c r="FRF48" s="19"/>
      <c r="FRG48" s="19"/>
      <c r="FRH48" s="19"/>
      <c r="FRI48" s="19"/>
      <c r="FRJ48" s="21"/>
      <c r="FRK48" s="19"/>
      <c r="FRT48" s="19"/>
      <c r="FRU48" s="19"/>
      <c r="FRV48" s="19"/>
      <c r="FRW48" s="19"/>
      <c r="FRX48" s="21"/>
      <c r="FRY48" s="19"/>
      <c r="FSH48" s="19"/>
      <c r="FSI48" s="19"/>
      <c r="FSJ48" s="19"/>
      <c r="FSK48" s="19"/>
      <c r="FSL48" s="21"/>
      <c r="FSM48" s="19"/>
      <c r="FSV48" s="19"/>
      <c r="FSW48" s="19"/>
      <c r="FSX48" s="19"/>
      <c r="FSY48" s="19"/>
      <c r="FSZ48" s="21"/>
      <c r="FTA48" s="19"/>
      <c r="FTJ48" s="19"/>
      <c r="FTK48" s="19"/>
      <c r="FTL48" s="19"/>
      <c r="FTM48" s="19"/>
      <c r="FTN48" s="21"/>
      <c r="FTO48" s="19"/>
      <c r="FTX48" s="19"/>
      <c r="FTY48" s="19"/>
      <c r="FTZ48" s="19"/>
      <c r="FUA48" s="19"/>
      <c r="FUB48" s="21"/>
      <c r="FUC48" s="19"/>
      <c r="FUL48" s="19"/>
      <c r="FUM48" s="19"/>
      <c r="FUN48" s="19"/>
      <c r="FUO48" s="19"/>
      <c r="FUP48" s="21"/>
      <c r="FUQ48" s="19"/>
      <c r="FUZ48" s="19"/>
      <c r="FVA48" s="19"/>
      <c r="FVB48" s="19"/>
      <c r="FVC48" s="19"/>
      <c r="FVD48" s="21"/>
      <c r="FVE48" s="19"/>
      <c r="FVN48" s="19"/>
      <c r="FVO48" s="19"/>
      <c r="FVP48" s="19"/>
      <c r="FVQ48" s="19"/>
      <c r="FVR48" s="21"/>
      <c r="FVS48" s="19"/>
      <c r="FWB48" s="19"/>
      <c r="FWC48" s="19"/>
      <c r="FWD48" s="19"/>
      <c r="FWE48" s="19"/>
      <c r="FWF48" s="21"/>
      <c r="FWG48" s="19"/>
      <c r="FWP48" s="19"/>
      <c r="FWQ48" s="19"/>
      <c r="FWR48" s="19"/>
      <c r="FWS48" s="19"/>
      <c r="FWT48" s="21"/>
      <c r="FWU48" s="19"/>
      <c r="FXD48" s="19"/>
      <c r="FXE48" s="19"/>
      <c r="FXF48" s="19"/>
      <c r="FXG48" s="19"/>
      <c r="FXH48" s="21"/>
      <c r="FXI48" s="19"/>
      <c r="FXR48" s="19"/>
      <c r="FXS48" s="19"/>
      <c r="FXT48" s="19"/>
      <c r="FXU48" s="19"/>
      <c r="FXV48" s="21"/>
      <c r="FXW48" s="19"/>
      <c r="FYF48" s="19"/>
      <c r="FYG48" s="19"/>
      <c r="FYH48" s="19"/>
      <c r="FYI48" s="19"/>
      <c r="FYJ48" s="21"/>
      <c r="FYK48" s="19"/>
      <c r="FYT48" s="19"/>
      <c r="FYU48" s="19"/>
      <c r="FYV48" s="19"/>
      <c r="FYW48" s="19"/>
      <c r="FYX48" s="21"/>
      <c r="FYY48" s="19"/>
      <c r="FZH48" s="19"/>
      <c r="FZI48" s="19"/>
      <c r="FZJ48" s="19"/>
      <c r="FZK48" s="19"/>
      <c r="FZL48" s="21"/>
      <c r="FZM48" s="19"/>
      <c r="FZV48" s="19"/>
      <c r="FZW48" s="19"/>
      <c r="FZX48" s="19"/>
      <c r="FZY48" s="19"/>
      <c r="FZZ48" s="21"/>
      <c r="GAA48" s="19"/>
      <c r="GAJ48" s="19"/>
      <c r="GAK48" s="19"/>
      <c r="GAL48" s="19"/>
      <c r="GAM48" s="19"/>
      <c r="GAN48" s="21"/>
      <c r="GAO48" s="19"/>
      <c r="GAX48" s="19"/>
      <c r="GAY48" s="19"/>
      <c r="GAZ48" s="19"/>
      <c r="GBA48" s="19"/>
      <c r="GBB48" s="21"/>
      <c r="GBC48" s="19"/>
      <c r="GBL48" s="19"/>
      <c r="GBM48" s="19"/>
      <c r="GBN48" s="19"/>
      <c r="GBO48" s="19"/>
      <c r="GBP48" s="21"/>
      <c r="GBQ48" s="19"/>
      <c r="GBZ48" s="19"/>
      <c r="GCA48" s="19"/>
      <c r="GCB48" s="19"/>
      <c r="GCC48" s="19"/>
      <c r="GCD48" s="21"/>
      <c r="GCE48" s="19"/>
      <c r="GCN48" s="19"/>
      <c r="GCO48" s="19"/>
      <c r="GCP48" s="19"/>
      <c r="GCQ48" s="19"/>
      <c r="GCR48" s="21"/>
      <c r="GCS48" s="19"/>
      <c r="GDB48" s="19"/>
      <c r="GDC48" s="19"/>
      <c r="GDD48" s="19"/>
      <c r="GDE48" s="19"/>
      <c r="GDF48" s="21"/>
      <c r="GDG48" s="19"/>
      <c r="GDP48" s="19"/>
      <c r="GDQ48" s="19"/>
      <c r="GDR48" s="19"/>
      <c r="GDS48" s="19"/>
      <c r="GDT48" s="21"/>
      <c r="GDU48" s="19"/>
      <c r="GED48" s="19"/>
      <c r="GEE48" s="19"/>
      <c r="GEF48" s="19"/>
      <c r="GEG48" s="19"/>
      <c r="GEH48" s="21"/>
      <c r="GEI48" s="19"/>
      <c r="GER48" s="19"/>
      <c r="GES48" s="19"/>
      <c r="GET48" s="19"/>
      <c r="GEU48" s="19"/>
      <c r="GEV48" s="21"/>
      <c r="GEW48" s="19"/>
      <c r="GFF48" s="19"/>
      <c r="GFG48" s="19"/>
      <c r="GFH48" s="19"/>
      <c r="GFI48" s="19"/>
      <c r="GFJ48" s="21"/>
      <c r="GFK48" s="19"/>
      <c r="GFT48" s="19"/>
      <c r="GFU48" s="19"/>
      <c r="GFV48" s="19"/>
      <c r="GFW48" s="19"/>
      <c r="GFX48" s="21"/>
      <c r="GFY48" s="19"/>
      <c r="GGH48" s="19"/>
      <c r="GGI48" s="19"/>
      <c r="GGJ48" s="19"/>
      <c r="GGK48" s="19"/>
      <c r="GGL48" s="21"/>
      <c r="GGM48" s="19"/>
      <c r="GGV48" s="19"/>
      <c r="GGW48" s="19"/>
      <c r="GGX48" s="19"/>
      <c r="GGY48" s="19"/>
      <c r="GGZ48" s="21"/>
      <c r="GHA48" s="19"/>
      <c r="GHJ48" s="19"/>
      <c r="GHK48" s="19"/>
      <c r="GHL48" s="19"/>
      <c r="GHM48" s="19"/>
      <c r="GHN48" s="21"/>
      <c r="GHO48" s="19"/>
      <c r="GHX48" s="19"/>
      <c r="GHY48" s="19"/>
      <c r="GHZ48" s="19"/>
      <c r="GIA48" s="19"/>
      <c r="GIB48" s="21"/>
      <c r="GIC48" s="19"/>
      <c r="GIL48" s="19"/>
      <c r="GIM48" s="19"/>
      <c r="GIN48" s="19"/>
      <c r="GIO48" s="19"/>
      <c r="GIP48" s="21"/>
      <c r="GIQ48" s="19"/>
      <c r="GIZ48" s="19"/>
      <c r="GJA48" s="19"/>
      <c r="GJB48" s="19"/>
      <c r="GJC48" s="19"/>
      <c r="GJD48" s="21"/>
      <c r="GJE48" s="19"/>
      <c r="GJN48" s="19"/>
      <c r="GJO48" s="19"/>
      <c r="GJP48" s="19"/>
      <c r="GJQ48" s="19"/>
      <c r="GJR48" s="21"/>
      <c r="GJS48" s="19"/>
      <c r="GKB48" s="19"/>
      <c r="GKC48" s="19"/>
      <c r="GKD48" s="19"/>
      <c r="GKE48" s="19"/>
      <c r="GKF48" s="21"/>
      <c r="GKG48" s="19"/>
      <c r="GKP48" s="19"/>
      <c r="GKQ48" s="19"/>
      <c r="GKR48" s="19"/>
      <c r="GKS48" s="19"/>
      <c r="GKT48" s="21"/>
      <c r="GKU48" s="19"/>
      <c r="GLD48" s="19"/>
      <c r="GLE48" s="19"/>
      <c r="GLF48" s="19"/>
      <c r="GLG48" s="19"/>
      <c r="GLH48" s="21"/>
      <c r="GLI48" s="19"/>
      <c r="GLR48" s="19"/>
      <c r="GLS48" s="19"/>
      <c r="GLT48" s="19"/>
      <c r="GLU48" s="19"/>
      <c r="GLV48" s="21"/>
      <c r="GLW48" s="19"/>
      <c r="GMF48" s="19"/>
      <c r="GMG48" s="19"/>
      <c r="GMH48" s="19"/>
      <c r="GMI48" s="19"/>
      <c r="GMJ48" s="21"/>
      <c r="GMK48" s="19"/>
      <c r="GMT48" s="19"/>
      <c r="GMU48" s="19"/>
      <c r="GMV48" s="19"/>
      <c r="GMW48" s="19"/>
      <c r="GMX48" s="21"/>
      <c r="GMY48" s="19"/>
      <c r="GNH48" s="19"/>
      <c r="GNI48" s="19"/>
      <c r="GNJ48" s="19"/>
      <c r="GNK48" s="19"/>
      <c r="GNL48" s="21"/>
      <c r="GNM48" s="19"/>
      <c r="GNV48" s="19"/>
      <c r="GNW48" s="19"/>
      <c r="GNX48" s="19"/>
      <c r="GNY48" s="19"/>
      <c r="GNZ48" s="21"/>
      <c r="GOA48" s="19"/>
      <c r="GOJ48" s="19"/>
      <c r="GOK48" s="19"/>
      <c r="GOL48" s="19"/>
      <c r="GOM48" s="19"/>
      <c r="GON48" s="21"/>
      <c r="GOO48" s="19"/>
      <c r="GOX48" s="19"/>
      <c r="GOY48" s="19"/>
      <c r="GOZ48" s="19"/>
      <c r="GPA48" s="19"/>
      <c r="GPB48" s="21"/>
      <c r="GPC48" s="19"/>
      <c r="GPL48" s="19"/>
      <c r="GPM48" s="19"/>
      <c r="GPN48" s="19"/>
      <c r="GPO48" s="19"/>
      <c r="GPP48" s="21"/>
      <c r="GPQ48" s="19"/>
      <c r="GPZ48" s="19"/>
      <c r="GQA48" s="19"/>
      <c r="GQB48" s="19"/>
      <c r="GQC48" s="19"/>
      <c r="GQD48" s="21"/>
      <c r="GQE48" s="19"/>
      <c r="GQN48" s="19"/>
      <c r="GQO48" s="19"/>
      <c r="GQP48" s="19"/>
      <c r="GQQ48" s="19"/>
      <c r="GQR48" s="21"/>
      <c r="GQS48" s="19"/>
      <c r="GRB48" s="19"/>
      <c r="GRC48" s="19"/>
      <c r="GRD48" s="19"/>
      <c r="GRE48" s="19"/>
      <c r="GRF48" s="21"/>
      <c r="GRG48" s="19"/>
      <c r="GRP48" s="19"/>
      <c r="GRQ48" s="19"/>
      <c r="GRR48" s="19"/>
      <c r="GRS48" s="19"/>
      <c r="GRT48" s="21"/>
      <c r="GRU48" s="19"/>
      <c r="GSD48" s="19"/>
      <c r="GSE48" s="19"/>
      <c r="GSF48" s="19"/>
      <c r="GSG48" s="19"/>
      <c r="GSH48" s="21"/>
      <c r="GSI48" s="19"/>
      <c r="GSR48" s="19"/>
      <c r="GSS48" s="19"/>
      <c r="GST48" s="19"/>
      <c r="GSU48" s="19"/>
      <c r="GSV48" s="21"/>
      <c r="GSW48" s="19"/>
      <c r="GTF48" s="19"/>
      <c r="GTG48" s="19"/>
      <c r="GTH48" s="19"/>
      <c r="GTI48" s="19"/>
      <c r="GTJ48" s="21"/>
      <c r="GTK48" s="19"/>
      <c r="GTT48" s="19"/>
      <c r="GTU48" s="19"/>
      <c r="GTV48" s="19"/>
      <c r="GTW48" s="19"/>
      <c r="GTX48" s="21"/>
      <c r="GTY48" s="19"/>
      <c r="GUH48" s="19"/>
      <c r="GUI48" s="19"/>
      <c r="GUJ48" s="19"/>
      <c r="GUK48" s="19"/>
      <c r="GUL48" s="21"/>
      <c r="GUM48" s="19"/>
      <c r="GUV48" s="19"/>
      <c r="GUW48" s="19"/>
      <c r="GUX48" s="19"/>
      <c r="GUY48" s="19"/>
      <c r="GUZ48" s="21"/>
      <c r="GVA48" s="19"/>
      <c r="GVJ48" s="19"/>
      <c r="GVK48" s="19"/>
      <c r="GVL48" s="19"/>
      <c r="GVM48" s="19"/>
      <c r="GVN48" s="21"/>
      <c r="GVO48" s="19"/>
      <c r="GVX48" s="19"/>
      <c r="GVY48" s="19"/>
      <c r="GVZ48" s="19"/>
      <c r="GWA48" s="19"/>
      <c r="GWB48" s="21"/>
      <c r="GWC48" s="19"/>
      <c r="GWL48" s="19"/>
      <c r="GWM48" s="19"/>
      <c r="GWN48" s="19"/>
      <c r="GWO48" s="19"/>
      <c r="GWP48" s="21"/>
      <c r="GWQ48" s="19"/>
      <c r="GWZ48" s="19"/>
      <c r="GXA48" s="19"/>
      <c r="GXB48" s="19"/>
      <c r="GXC48" s="19"/>
      <c r="GXD48" s="21"/>
      <c r="GXE48" s="19"/>
      <c r="GXN48" s="19"/>
      <c r="GXO48" s="19"/>
      <c r="GXP48" s="19"/>
      <c r="GXQ48" s="19"/>
      <c r="GXR48" s="21"/>
      <c r="GXS48" s="19"/>
      <c r="GYB48" s="19"/>
      <c r="GYC48" s="19"/>
      <c r="GYD48" s="19"/>
      <c r="GYE48" s="19"/>
      <c r="GYF48" s="21"/>
      <c r="GYG48" s="19"/>
      <c r="GYP48" s="19"/>
      <c r="GYQ48" s="19"/>
      <c r="GYR48" s="19"/>
      <c r="GYS48" s="19"/>
      <c r="GYT48" s="21"/>
      <c r="GYU48" s="19"/>
      <c r="GZD48" s="19"/>
      <c r="GZE48" s="19"/>
      <c r="GZF48" s="19"/>
      <c r="GZG48" s="19"/>
      <c r="GZH48" s="21"/>
      <c r="GZI48" s="19"/>
      <c r="GZR48" s="19"/>
      <c r="GZS48" s="19"/>
      <c r="GZT48" s="19"/>
      <c r="GZU48" s="19"/>
      <c r="GZV48" s="21"/>
      <c r="GZW48" s="19"/>
      <c r="HAF48" s="19"/>
      <c r="HAG48" s="19"/>
      <c r="HAH48" s="19"/>
      <c r="HAI48" s="19"/>
      <c r="HAJ48" s="21"/>
      <c r="HAK48" s="19"/>
      <c r="HAT48" s="19"/>
      <c r="HAU48" s="19"/>
      <c r="HAV48" s="19"/>
      <c r="HAW48" s="19"/>
      <c r="HAX48" s="21"/>
      <c r="HAY48" s="19"/>
      <c r="HBH48" s="19"/>
      <c r="HBI48" s="19"/>
      <c r="HBJ48" s="19"/>
      <c r="HBK48" s="19"/>
      <c r="HBL48" s="21"/>
      <c r="HBM48" s="19"/>
      <c r="HBV48" s="19"/>
      <c r="HBW48" s="19"/>
      <c r="HBX48" s="19"/>
      <c r="HBY48" s="19"/>
      <c r="HBZ48" s="21"/>
      <c r="HCA48" s="19"/>
      <c r="HCJ48" s="19"/>
      <c r="HCK48" s="19"/>
      <c r="HCL48" s="19"/>
      <c r="HCM48" s="19"/>
      <c r="HCN48" s="21"/>
      <c r="HCO48" s="19"/>
      <c r="HCX48" s="19"/>
      <c r="HCY48" s="19"/>
      <c r="HCZ48" s="19"/>
      <c r="HDA48" s="19"/>
      <c r="HDB48" s="21"/>
      <c r="HDC48" s="19"/>
      <c r="HDL48" s="19"/>
      <c r="HDM48" s="19"/>
      <c r="HDN48" s="19"/>
      <c r="HDO48" s="19"/>
      <c r="HDP48" s="21"/>
      <c r="HDQ48" s="19"/>
      <c r="HDZ48" s="19"/>
      <c r="HEA48" s="19"/>
      <c r="HEB48" s="19"/>
      <c r="HEC48" s="19"/>
      <c r="HED48" s="21"/>
      <c r="HEE48" s="19"/>
      <c r="HEN48" s="19"/>
      <c r="HEO48" s="19"/>
      <c r="HEP48" s="19"/>
      <c r="HEQ48" s="19"/>
      <c r="HER48" s="21"/>
      <c r="HES48" s="19"/>
      <c r="HFB48" s="19"/>
      <c r="HFC48" s="19"/>
      <c r="HFD48" s="19"/>
      <c r="HFE48" s="19"/>
      <c r="HFF48" s="21"/>
      <c r="HFG48" s="19"/>
      <c r="HFP48" s="19"/>
      <c r="HFQ48" s="19"/>
      <c r="HFR48" s="19"/>
      <c r="HFS48" s="19"/>
      <c r="HFT48" s="21"/>
      <c r="HFU48" s="19"/>
      <c r="HGD48" s="19"/>
      <c r="HGE48" s="19"/>
      <c r="HGF48" s="19"/>
      <c r="HGG48" s="19"/>
      <c r="HGH48" s="21"/>
      <c r="HGI48" s="19"/>
      <c r="HGR48" s="19"/>
      <c r="HGS48" s="19"/>
      <c r="HGT48" s="19"/>
      <c r="HGU48" s="19"/>
      <c r="HGV48" s="21"/>
      <c r="HGW48" s="19"/>
      <c r="HHF48" s="19"/>
      <c r="HHG48" s="19"/>
      <c r="HHH48" s="19"/>
      <c r="HHI48" s="19"/>
      <c r="HHJ48" s="21"/>
      <c r="HHK48" s="19"/>
      <c r="HHT48" s="19"/>
      <c r="HHU48" s="19"/>
      <c r="HHV48" s="19"/>
      <c r="HHW48" s="19"/>
      <c r="HHX48" s="21"/>
      <c r="HHY48" s="19"/>
      <c r="HIH48" s="19"/>
      <c r="HII48" s="19"/>
      <c r="HIJ48" s="19"/>
      <c r="HIK48" s="19"/>
      <c r="HIL48" s="21"/>
      <c r="HIM48" s="19"/>
      <c r="HIV48" s="19"/>
      <c r="HIW48" s="19"/>
      <c r="HIX48" s="19"/>
      <c r="HIY48" s="19"/>
      <c r="HIZ48" s="21"/>
      <c r="HJA48" s="19"/>
      <c r="HJJ48" s="19"/>
      <c r="HJK48" s="19"/>
      <c r="HJL48" s="19"/>
      <c r="HJM48" s="19"/>
      <c r="HJN48" s="21"/>
      <c r="HJO48" s="19"/>
      <c r="HJX48" s="19"/>
      <c r="HJY48" s="19"/>
      <c r="HJZ48" s="19"/>
      <c r="HKA48" s="19"/>
      <c r="HKB48" s="21"/>
      <c r="HKC48" s="19"/>
      <c r="HKL48" s="19"/>
      <c r="HKM48" s="19"/>
      <c r="HKN48" s="19"/>
      <c r="HKO48" s="19"/>
      <c r="HKP48" s="21"/>
      <c r="HKQ48" s="19"/>
      <c r="HKZ48" s="19"/>
      <c r="HLA48" s="19"/>
      <c r="HLB48" s="19"/>
      <c r="HLC48" s="19"/>
      <c r="HLD48" s="21"/>
      <c r="HLE48" s="19"/>
      <c r="HLN48" s="19"/>
      <c r="HLO48" s="19"/>
      <c r="HLP48" s="19"/>
      <c r="HLQ48" s="19"/>
      <c r="HLR48" s="21"/>
      <c r="HLS48" s="19"/>
      <c r="HMB48" s="19"/>
      <c r="HMC48" s="19"/>
      <c r="HMD48" s="19"/>
      <c r="HME48" s="19"/>
      <c r="HMF48" s="21"/>
      <c r="HMG48" s="19"/>
      <c r="HMP48" s="19"/>
      <c r="HMQ48" s="19"/>
      <c r="HMR48" s="19"/>
      <c r="HMS48" s="19"/>
      <c r="HMT48" s="21"/>
      <c r="HMU48" s="19"/>
      <c r="HND48" s="19"/>
      <c r="HNE48" s="19"/>
      <c r="HNF48" s="19"/>
      <c r="HNG48" s="19"/>
      <c r="HNH48" s="21"/>
      <c r="HNI48" s="19"/>
      <c r="HNR48" s="19"/>
      <c r="HNS48" s="19"/>
      <c r="HNT48" s="19"/>
      <c r="HNU48" s="19"/>
      <c r="HNV48" s="21"/>
      <c r="HNW48" s="19"/>
      <c r="HOF48" s="19"/>
      <c r="HOG48" s="19"/>
      <c r="HOH48" s="19"/>
      <c r="HOI48" s="19"/>
      <c r="HOJ48" s="21"/>
      <c r="HOK48" s="19"/>
      <c r="HOT48" s="19"/>
      <c r="HOU48" s="19"/>
      <c r="HOV48" s="19"/>
      <c r="HOW48" s="19"/>
      <c r="HOX48" s="21"/>
      <c r="HOY48" s="19"/>
      <c r="HPH48" s="19"/>
      <c r="HPI48" s="19"/>
      <c r="HPJ48" s="19"/>
      <c r="HPK48" s="19"/>
      <c r="HPL48" s="21"/>
      <c r="HPM48" s="19"/>
      <c r="HPV48" s="19"/>
      <c r="HPW48" s="19"/>
      <c r="HPX48" s="19"/>
      <c r="HPY48" s="19"/>
      <c r="HPZ48" s="21"/>
      <c r="HQA48" s="19"/>
      <c r="HQJ48" s="19"/>
      <c r="HQK48" s="19"/>
      <c r="HQL48" s="19"/>
      <c r="HQM48" s="19"/>
      <c r="HQN48" s="21"/>
      <c r="HQO48" s="19"/>
      <c r="HQX48" s="19"/>
      <c r="HQY48" s="19"/>
      <c r="HQZ48" s="19"/>
      <c r="HRA48" s="19"/>
      <c r="HRB48" s="21"/>
      <c r="HRC48" s="19"/>
      <c r="HRL48" s="19"/>
      <c r="HRM48" s="19"/>
      <c r="HRN48" s="19"/>
      <c r="HRO48" s="19"/>
      <c r="HRP48" s="21"/>
      <c r="HRQ48" s="19"/>
      <c r="HRZ48" s="19"/>
      <c r="HSA48" s="19"/>
      <c r="HSB48" s="19"/>
      <c r="HSC48" s="19"/>
      <c r="HSD48" s="21"/>
      <c r="HSE48" s="19"/>
      <c r="HSN48" s="19"/>
      <c r="HSO48" s="19"/>
      <c r="HSP48" s="19"/>
      <c r="HSQ48" s="19"/>
      <c r="HSR48" s="21"/>
      <c r="HSS48" s="19"/>
      <c r="HTB48" s="19"/>
      <c r="HTC48" s="19"/>
      <c r="HTD48" s="19"/>
      <c r="HTE48" s="19"/>
      <c r="HTF48" s="21"/>
      <c r="HTG48" s="19"/>
      <c r="HTP48" s="19"/>
      <c r="HTQ48" s="19"/>
      <c r="HTR48" s="19"/>
      <c r="HTS48" s="19"/>
      <c r="HTT48" s="21"/>
      <c r="HTU48" s="19"/>
      <c r="HUD48" s="19"/>
      <c r="HUE48" s="19"/>
      <c r="HUF48" s="19"/>
      <c r="HUG48" s="19"/>
      <c r="HUH48" s="21"/>
      <c r="HUI48" s="19"/>
      <c r="HUR48" s="19"/>
      <c r="HUS48" s="19"/>
      <c r="HUT48" s="19"/>
      <c r="HUU48" s="19"/>
      <c r="HUV48" s="21"/>
      <c r="HUW48" s="19"/>
      <c r="HVF48" s="19"/>
      <c r="HVG48" s="19"/>
      <c r="HVH48" s="19"/>
      <c r="HVI48" s="19"/>
      <c r="HVJ48" s="21"/>
      <c r="HVK48" s="19"/>
      <c r="HVT48" s="19"/>
      <c r="HVU48" s="19"/>
      <c r="HVV48" s="19"/>
      <c r="HVW48" s="19"/>
      <c r="HVX48" s="21"/>
      <c r="HVY48" s="19"/>
      <c r="HWH48" s="19"/>
      <c r="HWI48" s="19"/>
      <c r="HWJ48" s="19"/>
      <c r="HWK48" s="19"/>
      <c r="HWL48" s="21"/>
      <c r="HWM48" s="19"/>
      <c r="HWV48" s="19"/>
      <c r="HWW48" s="19"/>
      <c r="HWX48" s="19"/>
      <c r="HWY48" s="19"/>
      <c r="HWZ48" s="21"/>
      <c r="HXA48" s="19"/>
      <c r="HXJ48" s="19"/>
      <c r="HXK48" s="19"/>
      <c r="HXL48" s="19"/>
      <c r="HXM48" s="19"/>
      <c r="HXN48" s="21"/>
      <c r="HXO48" s="19"/>
      <c r="HXX48" s="19"/>
      <c r="HXY48" s="19"/>
      <c r="HXZ48" s="19"/>
      <c r="HYA48" s="19"/>
      <c r="HYB48" s="21"/>
      <c r="HYC48" s="19"/>
      <c r="HYL48" s="19"/>
      <c r="HYM48" s="19"/>
      <c r="HYN48" s="19"/>
      <c r="HYO48" s="19"/>
      <c r="HYP48" s="21"/>
      <c r="HYQ48" s="19"/>
      <c r="HYZ48" s="19"/>
      <c r="HZA48" s="19"/>
      <c r="HZB48" s="19"/>
      <c r="HZC48" s="19"/>
      <c r="HZD48" s="21"/>
      <c r="HZE48" s="19"/>
      <c r="HZN48" s="19"/>
      <c r="HZO48" s="19"/>
      <c r="HZP48" s="19"/>
      <c r="HZQ48" s="19"/>
      <c r="HZR48" s="21"/>
      <c r="HZS48" s="19"/>
      <c r="IAB48" s="19"/>
      <c r="IAC48" s="19"/>
      <c r="IAD48" s="19"/>
      <c r="IAE48" s="19"/>
      <c r="IAF48" s="21"/>
      <c r="IAG48" s="19"/>
      <c r="IAP48" s="19"/>
      <c r="IAQ48" s="19"/>
      <c r="IAR48" s="19"/>
      <c r="IAS48" s="19"/>
      <c r="IAT48" s="21"/>
      <c r="IAU48" s="19"/>
      <c r="IBD48" s="19"/>
      <c r="IBE48" s="19"/>
      <c r="IBF48" s="19"/>
      <c r="IBG48" s="19"/>
      <c r="IBH48" s="21"/>
      <c r="IBI48" s="19"/>
      <c r="IBR48" s="19"/>
      <c r="IBS48" s="19"/>
      <c r="IBT48" s="19"/>
      <c r="IBU48" s="19"/>
      <c r="IBV48" s="21"/>
      <c r="IBW48" s="19"/>
      <c r="ICF48" s="19"/>
      <c r="ICG48" s="19"/>
      <c r="ICH48" s="19"/>
      <c r="ICI48" s="19"/>
      <c r="ICJ48" s="21"/>
      <c r="ICK48" s="19"/>
      <c r="ICT48" s="19"/>
      <c r="ICU48" s="19"/>
      <c r="ICV48" s="19"/>
      <c r="ICW48" s="19"/>
      <c r="ICX48" s="21"/>
      <c r="ICY48" s="19"/>
      <c r="IDH48" s="19"/>
      <c r="IDI48" s="19"/>
      <c r="IDJ48" s="19"/>
      <c r="IDK48" s="19"/>
      <c r="IDL48" s="21"/>
      <c r="IDM48" s="19"/>
      <c r="IDV48" s="19"/>
      <c r="IDW48" s="19"/>
      <c r="IDX48" s="19"/>
      <c r="IDY48" s="19"/>
      <c r="IDZ48" s="21"/>
      <c r="IEA48" s="19"/>
      <c r="IEJ48" s="19"/>
      <c r="IEK48" s="19"/>
      <c r="IEL48" s="19"/>
      <c r="IEM48" s="19"/>
      <c r="IEN48" s="21"/>
      <c r="IEO48" s="19"/>
      <c r="IEX48" s="19"/>
      <c r="IEY48" s="19"/>
      <c r="IEZ48" s="19"/>
      <c r="IFA48" s="19"/>
      <c r="IFB48" s="21"/>
      <c r="IFC48" s="19"/>
      <c r="IFL48" s="19"/>
      <c r="IFM48" s="19"/>
      <c r="IFN48" s="19"/>
      <c r="IFO48" s="19"/>
      <c r="IFP48" s="21"/>
      <c r="IFQ48" s="19"/>
      <c r="IFZ48" s="19"/>
      <c r="IGA48" s="19"/>
      <c r="IGB48" s="19"/>
      <c r="IGC48" s="19"/>
      <c r="IGD48" s="21"/>
      <c r="IGE48" s="19"/>
      <c r="IGN48" s="19"/>
      <c r="IGO48" s="19"/>
      <c r="IGP48" s="19"/>
      <c r="IGQ48" s="19"/>
      <c r="IGR48" s="21"/>
      <c r="IGS48" s="19"/>
      <c r="IHB48" s="19"/>
      <c r="IHC48" s="19"/>
      <c r="IHD48" s="19"/>
      <c r="IHE48" s="19"/>
      <c r="IHF48" s="21"/>
      <c r="IHG48" s="19"/>
      <c r="IHP48" s="19"/>
      <c r="IHQ48" s="19"/>
      <c r="IHR48" s="19"/>
      <c r="IHS48" s="19"/>
      <c r="IHT48" s="21"/>
      <c r="IHU48" s="19"/>
      <c r="IID48" s="19"/>
      <c r="IIE48" s="19"/>
      <c r="IIF48" s="19"/>
      <c r="IIG48" s="19"/>
      <c r="IIH48" s="21"/>
      <c r="III48" s="19"/>
      <c r="IIR48" s="19"/>
      <c r="IIS48" s="19"/>
      <c r="IIT48" s="19"/>
      <c r="IIU48" s="19"/>
      <c r="IIV48" s="21"/>
      <c r="IIW48" s="19"/>
      <c r="IJF48" s="19"/>
      <c r="IJG48" s="19"/>
      <c r="IJH48" s="19"/>
      <c r="IJI48" s="19"/>
      <c r="IJJ48" s="21"/>
      <c r="IJK48" s="19"/>
      <c r="IJT48" s="19"/>
      <c r="IJU48" s="19"/>
      <c r="IJV48" s="19"/>
      <c r="IJW48" s="19"/>
      <c r="IJX48" s="21"/>
      <c r="IJY48" s="19"/>
      <c r="IKH48" s="19"/>
      <c r="IKI48" s="19"/>
      <c r="IKJ48" s="19"/>
      <c r="IKK48" s="19"/>
      <c r="IKL48" s="21"/>
      <c r="IKM48" s="19"/>
      <c r="IKV48" s="19"/>
      <c r="IKW48" s="19"/>
      <c r="IKX48" s="19"/>
      <c r="IKY48" s="19"/>
      <c r="IKZ48" s="21"/>
      <c r="ILA48" s="19"/>
      <c r="ILJ48" s="19"/>
      <c r="ILK48" s="19"/>
      <c r="ILL48" s="19"/>
      <c r="ILM48" s="19"/>
      <c r="ILN48" s="21"/>
      <c r="ILO48" s="19"/>
      <c r="ILX48" s="19"/>
      <c r="ILY48" s="19"/>
      <c r="ILZ48" s="19"/>
      <c r="IMA48" s="19"/>
      <c r="IMB48" s="21"/>
      <c r="IMC48" s="19"/>
      <c r="IML48" s="19"/>
      <c r="IMM48" s="19"/>
      <c r="IMN48" s="19"/>
      <c r="IMO48" s="19"/>
      <c r="IMP48" s="21"/>
      <c r="IMQ48" s="19"/>
      <c r="IMZ48" s="19"/>
      <c r="INA48" s="19"/>
      <c r="INB48" s="19"/>
      <c r="INC48" s="19"/>
      <c r="IND48" s="21"/>
      <c r="INE48" s="19"/>
      <c r="INN48" s="19"/>
      <c r="INO48" s="19"/>
      <c r="INP48" s="19"/>
      <c r="INQ48" s="19"/>
      <c r="INR48" s="21"/>
      <c r="INS48" s="19"/>
      <c r="IOB48" s="19"/>
      <c r="IOC48" s="19"/>
      <c r="IOD48" s="19"/>
      <c r="IOE48" s="19"/>
      <c r="IOF48" s="21"/>
      <c r="IOG48" s="19"/>
      <c r="IOP48" s="19"/>
      <c r="IOQ48" s="19"/>
      <c r="IOR48" s="19"/>
      <c r="IOS48" s="19"/>
      <c r="IOT48" s="21"/>
      <c r="IOU48" s="19"/>
      <c r="IPD48" s="19"/>
      <c r="IPE48" s="19"/>
      <c r="IPF48" s="19"/>
      <c r="IPG48" s="19"/>
      <c r="IPH48" s="21"/>
      <c r="IPI48" s="19"/>
      <c r="IPR48" s="19"/>
      <c r="IPS48" s="19"/>
      <c r="IPT48" s="19"/>
      <c r="IPU48" s="19"/>
      <c r="IPV48" s="21"/>
      <c r="IPW48" s="19"/>
      <c r="IQF48" s="19"/>
      <c r="IQG48" s="19"/>
      <c r="IQH48" s="19"/>
      <c r="IQI48" s="19"/>
      <c r="IQJ48" s="21"/>
      <c r="IQK48" s="19"/>
      <c r="IQT48" s="19"/>
      <c r="IQU48" s="19"/>
      <c r="IQV48" s="19"/>
      <c r="IQW48" s="19"/>
      <c r="IQX48" s="21"/>
      <c r="IQY48" s="19"/>
      <c r="IRH48" s="19"/>
      <c r="IRI48" s="19"/>
      <c r="IRJ48" s="19"/>
      <c r="IRK48" s="19"/>
      <c r="IRL48" s="21"/>
      <c r="IRM48" s="19"/>
      <c r="IRV48" s="19"/>
      <c r="IRW48" s="19"/>
      <c r="IRX48" s="19"/>
      <c r="IRY48" s="19"/>
      <c r="IRZ48" s="21"/>
      <c r="ISA48" s="19"/>
      <c r="ISJ48" s="19"/>
      <c r="ISK48" s="19"/>
      <c r="ISL48" s="19"/>
      <c r="ISM48" s="19"/>
      <c r="ISN48" s="21"/>
      <c r="ISO48" s="19"/>
      <c r="ISX48" s="19"/>
      <c r="ISY48" s="19"/>
      <c r="ISZ48" s="19"/>
      <c r="ITA48" s="19"/>
      <c r="ITB48" s="21"/>
      <c r="ITC48" s="19"/>
      <c r="ITL48" s="19"/>
      <c r="ITM48" s="19"/>
      <c r="ITN48" s="19"/>
      <c r="ITO48" s="19"/>
      <c r="ITP48" s="21"/>
      <c r="ITQ48" s="19"/>
      <c r="ITZ48" s="19"/>
      <c r="IUA48" s="19"/>
      <c r="IUB48" s="19"/>
      <c r="IUC48" s="19"/>
      <c r="IUD48" s="21"/>
      <c r="IUE48" s="19"/>
      <c r="IUN48" s="19"/>
      <c r="IUO48" s="19"/>
      <c r="IUP48" s="19"/>
      <c r="IUQ48" s="19"/>
      <c r="IUR48" s="21"/>
      <c r="IUS48" s="19"/>
      <c r="IVB48" s="19"/>
      <c r="IVC48" s="19"/>
      <c r="IVD48" s="19"/>
      <c r="IVE48" s="19"/>
      <c r="IVF48" s="21"/>
      <c r="IVG48" s="19"/>
      <c r="IVP48" s="19"/>
      <c r="IVQ48" s="19"/>
      <c r="IVR48" s="19"/>
      <c r="IVS48" s="19"/>
      <c r="IVT48" s="21"/>
      <c r="IVU48" s="19"/>
      <c r="IWD48" s="19"/>
      <c r="IWE48" s="19"/>
      <c r="IWF48" s="19"/>
      <c r="IWG48" s="19"/>
      <c r="IWH48" s="21"/>
      <c r="IWI48" s="19"/>
      <c r="IWR48" s="19"/>
      <c r="IWS48" s="19"/>
      <c r="IWT48" s="19"/>
      <c r="IWU48" s="19"/>
      <c r="IWV48" s="21"/>
      <c r="IWW48" s="19"/>
      <c r="IXF48" s="19"/>
      <c r="IXG48" s="19"/>
      <c r="IXH48" s="19"/>
      <c r="IXI48" s="19"/>
      <c r="IXJ48" s="21"/>
      <c r="IXK48" s="19"/>
      <c r="IXT48" s="19"/>
      <c r="IXU48" s="19"/>
      <c r="IXV48" s="19"/>
      <c r="IXW48" s="19"/>
      <c r="IXX48" s="21"/>
      <c r="IXY48" s="19"/>
      <c r="IYH48" s="19"/>
      <c r="IYI48" s="19"/>
      <c r="IYJ48" s="19"/>
      <c r="IYK48" s="19"/>
      <c r="IYL48" s="21"/>
      <c r="IYM48" s="19"/>
      <c r="IYV48" s="19"/>
      <c r="IYW48" s="19"/>
      <c r="IYX48" s="19"/>
      <c r="IYY48" s="19"/>
      <c r="IYZ48" s="21"/>
      <c r="IZA48" s="19"/>
      <c r="IZJ48" s="19"/>
      <c r="IZK48" s="19"/>
      <c r="IZL48" s="19"/>
      <c r="IZM48" s="19"/>
      <c r="IZN48" s="21"/>
      <c r="IZO48" s="19"/>
      <c r="IZX48" s="19"/>
      <c r="IZY48" s="19"/>
      <c r="IZZ48" s="19"/>
      <c r="JAA48" s="19"/>
      <c r="JAB48" s="21"/>
      <c r="JAC48" s="19"/>
      <c r="JAL48" s="19"/>
      <c r="JAM48" s="19"/>
      <c r="JAN48" s="19"/>
      <c r="JAO48" s="19"/>
      <c r="JAP48" s="21"/>
      <c r="JAQ48" s="19"/>
      <c r="JAZ48" s="19"/>
      <c r="JBA48" s="19"/>
      <c r="JBB48" s="19"/>
      <c r="JBC48" s="19"/>
      <c r="JBD48" s="21"/>
      <c r="JBE48" s="19"/>
      <c r="JBN48" s="19"/>
      <c r="JBO48" s="19"/>
      <c r="JBP48" s="19"/>
      <c r="JBQ48" s="19"/>
      <c r="JBR48" s="21"/>
      <c r="JBS48" s="19"/>
      <c r="JCB48" s="19"/>
      <c r="JCC48" s="19"/>
      <c r="JCD48" s="19"/>
      <c r="JCE48" s="19"/>
      <c r="JCF48" s="21"/>
      <c r="JCG48" s="19"/>
      <c r="JCP48" s="19"/>
      <c r="JCQ48" s="19"/>
      <c r="JCR48" s="19"/>
      <c r="JCS48" s="19"/>
      <c r="JCT48" s="21"/>
      <c r="JCU48" s="19"/>
      <c r="JDD48" s="19"/>
      <c r="JDE48" s="19"/>
      <c r="JDF48" s="19"/>
      <c r="JDG48" s="19"/>
      <c r="JDH48" s="21"/>
      <c r="JDI48" s="19"/>
      <c r="JDR48" s="19"/>
      <c r="JDS48" s="19"/>
      <c r="JDT48" s="19"/>
      <c r="JDU48" s="19"/>
      <c r="JDV48" s="21"/>
      <c r="JDW48" s="19"/>
      <c r="JEF48" s="19"/>
      <c r="JEG48" s="19"/>
      <c r="JEH48" s="19"/>
      <c r="JEI48" s="19"/>
      <c r="JEJ48" s="21"/>
      <c r="JEK48" s="19"/>
      <c r="JET48" s="19"/>
      <c r="JEU48" s="19"/>
      <c r="JEV48" s="19"/>
      <c r="JEW48" s="19"/>
      <c r="JEX48" s="21"/>
      <c r="JEY48" s="19"/>
      <c r="JFH48" s="19"/>
      <c r="JFI48" s="19"/>
      <c r="JFJ48" s="19"/>
      <c r="JFK48" s="19"/>
      <c r="JFL48" s="21"/>
      <c r="JFM48" s="19"/>
      <c r="JFV48" s="19"/>
      <c r="JFW48" s="19"/>
      <c r="JFX48" s="19"/>
      <c r="JFY48" s="19"/>
      <c r="JFZ48" s="21"/>
      <c r="JGA48" s="19"/>
      <c r="JGJ48" s="19"/>
      <c r="JGK48" s="19"/>
      <c r="JGL48" s="19"/>
      <c r="JGM48" s="19"/>
      <c r="JGN48" s="21"/>
      <c r="JGO48" s="19"/>
      <c r="JGX48" s="19"/>
      <c r="JGY48" s="19"/>
      <c r="JGZ48" s="19"/>
      <c r="JHA48" s="19"/>
      <c r="JHB48" s="21"/>
      <c r="JHC48" s="19"/>
      <c r="JHL48" s="19"/>
      <c r="JHM48" s="19"/>
      <c r="JHN48" s="19"/>
      <c r="JHO48" s="19"/>
      <c r="JHP48" s="21"/>
      <c r="JHQ48" s="19"/>
      <c r="JHZ48" s="19"/>
      <c r="JIA48" s="19"/>
      <c r="JIB48" s="19"/>
      <c r="JIC48" s="19"/>
      <c r="JID48" s="21"/>
      <c r="JIE48" s="19"/>
      <c r="JIN48" s="19"/>
      <c r="JIO48" s="19"/>
      <c r="JIP48" s="19"/>
      <c r="JIQ48" s="19"/>
      <c r="JIR48" s="21"/>
      <c r="JIS48" s="19"/>
      <c r="JJB48" s="19"/>
      <c r="JJC48" s="19"/>
      <c r="JJD48" s="19"/>
      <c r="JJE48" s="19"/>
      <c r="JJF48" s="21"/>
      <c r="JJG48" s="19"/>
      <c r="JJP48" s="19"/>
      <c r="JJQ48" s="19"/>
      <c r="JJR48" s="19"/>
      <c r="JJS48" s="19"/>
      <c r="JJT48" s="21"/>
      <c r="JJU48" s="19"/>
      <c r="JKD48" s="19"/>
      <c r="JKE48" s="19"/>
      <c r="JKF48" s="19"/>
      <c r="JKG48" s="19"/>
      <c r="JKH48" s="21"/>
      <c r="JKI48" s="19"/>
      <c r="JKR48" s="19"/>
      <c r="JKS48" s="19"/>
      <c r="JKT48" s="19"/>
      <c r="JKU48" s="19"/>
      <c r="JKV48" s="21"/>
      <c r="JKW48" s="19"/>
      <c r="JLF48" s="19"/>
      <c r="JLG48" s="19"/>
      <c r="JLH48" s="19"/>
      <c r="JLI48" s="19"/>
      <c r="JLJ48" s="21"/>
      <c r="JLK48" s="19"/>
      <c r="JLT48" s="19"/>
      <c r="JLU48" s="19"/>
      <c r="JLV48" s="19"/>
      <c r="JLW48" s="19"/>
      <c r="JLX48" s="21"/>
      <c r="JLY48" s="19"/>
      <c r="JMH48" s="19"/>
      <c r="JMI48" s="19"/>
      <c r="JMJ48" s="19"/>
      <c r="JMK48" s="19"/>
      <c r="JML48" s="21"/>
      <c r="JMM48" s="19"/>
      <c r="JMV48" s="19"/>
      <c r="JMW48" s="19"/>
      <c r="JMX48" s="19"/>
      <c r="JMY48" s="19"/>
      <c r="JMZ48" s="21"/>
      <c r="JNA48" s="19"/>
      <c r="JNJ48" s="19"/>
      <c r="JNK48" s="19"/>
      <c r="JNL48" s="19"/>
      <c r="JNM48" s="19"/>
      <c r="JNN48" s="21"/>
      <c r="JNO48" s="19"/>
      <c r="JNX48" s="19"/>
      <c r="JNY48" s="19"/>
      <c r="JNZ48" s="19"/>
      <c r="JOA48" s="19"/>
      <c r="JOB48" s="21"/>
      <c r="JOC48" s="19"/>
      <c r="JOL48" s="19"/>
      <c r="JOM48" s="19"/>
      <c r="JON48" s="19"/>
      <c r="JOO48" s="19"/>
      <c r="JOP48" s="21"/>
      <c r="JOQ48" s="19"/>
      <c r="JOZ48" s="19"/>
      <c r="JPA48" s="19"/>
      <c r="JPB48" s="19"/>
      <c r="JPC48" s="19"/>
      <c r="JPD48" s="21"/>
      <c r="JPE48" s="19"/>
      <c r="JPN48" s="19"/>
      <c r="JPO48" s="19"/>
      <c r="JPP48" s="19"/>
      <c r="JPQ48" s="19"/>
      <c r="JPR48" s="21"/>
      <c r="JPS48" s="19"/>
      <c r="JQB48" s="19"/>
      <c r="JQC48" s="19"/>
      <c r="JQD48" s="19"/>
      <c r="JQE48" s="19"/>
      <c r="JQF48" s="21"/>
      <c r="JQG48" s="19"/>
      <c r="JQP48" s="19"/>
      <c r="JQQ48" s="19"/>
      <c r="JQR48" s="19"/>
      <c r="JQS48" s="19"/>
      <c r="JQT48" s="21"/>
      <c r="JQU48" s="19"/>
      <c r="JRD48" s="19"/>
      <c r="JRE48" s="19"/>
      <c r="JRF48" s="19"/>
      <c r="JRG48" s="19"/>
      <c r="JRH48" s="21"/>
      <c r="JRI48" s="19"/>
      <c r="JRR48" s="19"/>
      <c r="JRS48" s="19"/>
      <c r="JRT48" s="19"/>
      <c r="JRU48" s="19"/>
      <c r="JRV48" s="21"/>
      <c r="JRW48" s="19"/>
      <c r="JSF48" s="19"/>
      <c r="JSG48" s="19"/>
      <c r="JSH48" s="19"/>
      <c r="JSI48" s="19"/>
      <c r="JSJ48" s="21"/>
      <c r="JSK48" s="19"/>
      <c r="JST48" s="19"/>
      <c r="JSU48" s="19"/>
      <c r="JSV48" s="19"/>
      <c r="JSW48" s="19"/>
      <c r="JSX48" s="21"/>
      <c r="JSY48" s="19"/>
      <c r="JTH48" s="19"/>
      <c r="JTI48" s="19"/>
      <c r="JTJ48" s="19"/>
      <c r="JTK48" s="19"/>
      <c r="JTL48" s="21"/>
      <c r="JTM48" s="19"/>
      <c r="JTV48" s="19"/>
      <c r="JTW48" s="19"/>
      <c r="JTX48" s="19"/>
      <c r="JTY48" s="19"/>
      <c r="JTZ48" s="21"/>
      <c r="JUA48" s="19"/>
      <c r="JUJ48" s="19"/>
      <c r="JUK48" s="19"/>
      <c r="JUL48" s="19"/>
      <c r="JUM48" s="19"/>
      <c r="JUN48" s="21"/>
      <c r="JUO48" s="19"/>
      <c r="JUX48" s="19"/>
      <c r="JUY48" s="19"/>
      <c r="JUZ48" s="19"/>
      <c r="JVA48" s="19"/>
      <c r="JVB48" s="21"/>
      <c r="JVC48" s="19"/>
      <c r="JVL48" s="19"/>
      <c r="JVM48" s="19"/>
      <c r="JVN48" s="19"/>
      <c r="JVO48" s="19"/>
      <c r="JVP48" s="21"/>
      <c r="JVQ48" s="19"/>
      <c r="JVZ48" s="19"/>
      <c r="JWA48" s="19"/>
      <c r="JWB48" s="19"/>
      <c r="JWC48" s="19"/>
      <c r="JWD48" s="21"/>
      <c r="JWE48" s="19"/>
      <c r="JWN48" s="19"/>
      <c r="JWO48" s="19"/>
      <c r="JWP48" s="19"/>
      <c r="JWQ48" s="19"/>
      <c r="JWR48" s="21"/>
      <c r="JWS48" s="19"/>
      <c r="JXB48" s="19"/>
      <c r="JXC48" s="19"/>
      <c r="JXD48" s="19"/>
      <c r="JXE48" s="19"/>
      <c r="JXF48" s="21"/>
      <c r="JXG48" s="19"/>
      <c r="JXP48" s="19"/>
      <c r="JXQ48" s="19"/>
      <c r="JXR48" s="19"/>
      <c r="JXS48" s="19"/>
      <c r="JXT48" s="21"/>
      <c r="JXU48" s="19"/>
      <c r="JYD48" s="19"/>
      <c r="JYE48" s="19"/>
      <c r="JYF48" s="19"/>
      <c r="JYG48" s="19"/>
      <c r="JYH48" s="21"/>
      <c r="JYI48" s="19"/>
      <c r="JYR48" s="19"/>
      <c r="JYS48" s="19"/>
      <c r="JYT48" s="19"/>
      <c r="JYU48" s="19"/>
      <c r="JYV48" s="21"/>
      <c r="JYW48" s="19"/>
      <c r="JZF48" s="19"/>
      <c r="JZG48" s="19"/>
      <c r="JZH48" s="19"/>
      <c r="JZI48" s="19"/>
      <c r="JZJ48" s="21"/>
      <c r="JZK48" s="19"/>
      <c r="JZT48" s="19"/>
      <c r="JZU48" s="19"/>
      <c r="JZV48" s="19"/>
      <c r="JZW48" s="19"/>
      <c r="JZX48" s="21"/>
      <c r="JZY48" s="19"/>
      <c r="KAH48" s="19"/>
      <c r="KAI48" s="19"/>
      <c r="KAJ48" s="19"/>
      <c r="KAK48" s="19"/>
      <c r="KAL48" s="21"/>
      <c r="KAM48" s="19"/>
      <c r="KAV48" s="19"/>
      <c r="KAW48" s="19"/>
      <c r="KAX48" s="19"/>
      <c r="KAY48" s="19"/>
      <c r="KAZ48" s="21"/>
      <c r="KBA48" s="19"/>
      <c r="KBJ48" s="19"/>
      <c r="KBK48" s="19"/>
      <c r="KBL48" s="19"/>
      <c r="KBM48" s="19"/>
      <c r="KBN48" s="21"/>
      <c r="KBO48" s="19"/>
      <c r="KBX48" s="19"/>
      <c r="KBY48" s="19"/>
      <c r="KBZ48" s="19"/>
      <c r="KCA48" s="19"/>
      <c r="KCB48" s="21"/>
      <c r="KCC48" s="19"/>
      <c r="KCL48" s="19"/>
      <c r="KCM48" s="19"/>
      <c r="KCN48" s="19"/>
      <c r="KCO48" s="19"/>
      <c r="KCP48" s="21"/>
      <c r="KCQ48" s="19"/>
      <c r="KCZ48" s="19"/>
      <c r="KDA48" s="19"/>
      <c r="KDB48" s="19"/>
      <c r="KDC48" s="19"/>
      <c r="KDD48" s="21"/>
      <c r="KDE48" s="19"/>
      <c r="KDN48" s="19"/>
      <c r="KDO48" s="19"/>
      <c r="KDP48" s="19"/>
      <c r="KDQ48" s="19"/>
      <c r="KDR48" s="21"/>
      <c r="KDS48" s="19"/>
      <c r="KEB48" s="19"/>
      <c r="KEC48" s="19"/>
      <c r="KED48" s="19"/>
      <c r="KEE48" s="19"/>
      <c r="KEF48" s="21"/>
      <c r="KEG48" s="19"/>
      <c r="KEP48" s="19"/>
      <c r="KEQ48" s="19"/>
      <c r="KER48" s="19"/>
      <c r="KES48" s="19"/>
      <c r="KET48" s="21"/>
      <c r="KEU48" s="19"/>
      <c r="KFD48" s="19"/>
      <c r="KFE48" s="19"/>
      <c r="KFF48" s="19"/>
      <c r="KFG48" s="19"/>
      <c r="KFH48" s="21"/>
      <c r="KFI48" s="19"/>
      <c r="KFR48" s="19"/>
      <c r="KFS48" s="19"/>
      <c r="KFT48" s="19"/>
      <c r="KFU48" s="19"/>
      <c r="KFV48" s="21"/>
      <c r="KFW48" s="19"/>
      <c r="KGF48" s="19"/>
      <c r="KGG48" s="19"/>
      <c r="KGH48" s="19"/>
      <c r="KGI48" s="19"/>
      <c r="KGJ48" s="21"/>
      <c r="KGK48" s="19"/>
      <c r="KGT48" s="19"/>
      <c r="KGU48" s="19"/>
      <c r="KGV48" s="19"/>
      <c r="KGW48" s="19"/>
      <c r="KGX48" s="21"/>
      <c r="KGY48" s="19"/>
      <c r="KHH48" s="19"/>
      <c r="KHI48" s="19"/>
      <c r="KHJ48" s="19"/>
      <c r="KHK48" s="19"/>
      <c r="KHL48" s="21"/>
      <c r="KHM48" s="19"/>
      <c r="KHV48" s="19"/>
      <c r="KHW48" s="19"/>
      <c r="KHX48" s="19"/>
      <c r="KHY48" s="19"/>
      <c r="KHZ48" s="21"/>
      <c r="KIA48" s="19"/>
      <c r="KIJ48" s="19"/>
      <c r="KIK48" s="19"/>
      <c r="KIL48" s="19"/>
      <c r="KIM48" s="19"/>
      <c r="KIN48" s="21"/>
      <c r="KIO48" s="19"/>
      <c r="KIX48" s="19"/>
      <c r="KIY48" s="19"/>
      <c r="KIZ48" s="19"/>
      <c r="KJA48" s="19"/>
      <c r="KJB48" s="21"/>
      <c r="KJC48" s="19"/>
      <c r="KJL48" s="19"/>
      <c r="KJM48" s="19"/>
      <c r="KJN48" s="19"/>
      <c r="KJO48" s="19"/>
      <c r="KJP48" s="21"/>
      <c r="KJQ48" s="19"/>
      <c r="KJZ48" s="19"/>
      <c r="KKA48" s="19"/>
      <c r="KKB48" s="19"/>
      <c r="KKC48" s="19"/>
      <c r="KKD48" s="21"/>
      <c r="KKE48" s="19"/>
      <c r="KKN48" s="19"/>
      <c r="KKO48" s="19"/>
      <c r="KKP48" s="19"/>
      <c r="KKQ48" s="19"/>
      <c r="KKR48" s="21"/>
      <c r="KKS48" s="19"/>
      <c r="KLB48" s="19"/>
      <c r="KLC48" s="19"/>
      <c r="KLD48" s="19"/>
      <c r="KLE48" s="19"/>
      <c r="KLF48" s="21"/>
      <c r="KLG48" s="19"/>
      <c r="KLP48" s="19"/>
      <c r="KLQ48" s="19"/>
      <c r="KLR48" s="19"/>
      <c r="KLS48" s="19"/>
      <c r="KLT48" s="21"/>
      <c r="KLU48" s="19"/>
      <c r="KMD48" s="19"/>
      <c r="KME48" s="19"/>
      <c r="KMF48" s="19"/>
      <c r="KMG48" s="19"/>
      <c r="KMH48" s="21"/>
      <c r="KMI48" s="19"/>
      <c r="KMR48" s="19"/>
      <c r="KMS48" s="19"/>
      <c r="KMT48" s="19"/>
      <c r="KMU48" s="19"/>
      <c r="KMV48" s="21"/>
      <c r="KMW48" s="19"/>
      <c r="KNF48" s="19"/>
      <c r="KNG48" s="19"/>
      <c r="KNH48" s="19"/>
      <c r="KNI48" s="19"/>
      <c r="KNJ48" s="21"/>
      <c r="KNK48" s="19"/>
      <c r="KNT48" s="19"/>
      <c r="KNU48" s="19"/>
      <c r="KNV48" s="19"/>
      <c r="KNW48" s="19"/>
      <c r="KNX48" s="21"/>
      <c r="KNY48" s="19"/>
      <c r="KOH48" s="19"/>
      <c r="KOI48" s="19"/>
      <c r="KOJ48" s="19"/>
      <c r="KOK48" s="19"/>
      <c r="KOL48" s="21"/>
      <c r="KOM48" s="19"/>
      <c r="KOV48" s="19"/>
      <c r="KOW48" s="19"/>
      <c r="KOX48" s="19"/>
      <c r="KOY48" s="19"/>
      <c r="KOZ48" s="21"/>
      <c r="KPA48" s="19"/>
      <c r="KPJ48" s="19"/>
      <c r="KPK48" s="19"/>
      <c r="KPL48" s="19"/>
      <c r="KPM48" s="19"/>
      <c r="KPN48" s="21"/>
      <c r="KPO48" s="19"/>
      <c r="KPX48" s="19"/>
      <c r="KPY48" s="19"/>
      <c r="KPZ48" s="19"/>
      <c r="KQA48" s="19"/>
      <c r="KQB48" s="21"/>
      <c r="KQC48" s="19"/>
      <c r="KQL48" s="19"/>
      <c r="KQM48" s="19"/>
      <c r="KQN48" s="19"/>
      <c r="KQO48" s="19"/>
      <c r="KQP48" s="21"/>
      <c r="KQQ48" s="19"/>
      <c r="KQZ48" s="19"/>
      <c r="KRA48" s="19"/>
      <c r="KRB48" s="19"/>
      <c r="KRC48" s="19"/>
      <c r="KRD48" s="21"/>
      <c r="KRE48" s="19"/>
      <c r="KRN48" s="19"/>
      <c r="KRO48" s="19"/>
      <c r="KRP48" s="19"/>
      <c r="KRQ48" s="19"/>
      <c r="KRR48" s="21"/>
      <c r="KRS48" s="19"/>
      <c r="KSB48" s="19"/>
      <c r="KSC48" s="19"/>
      <c r="KSD48" s="19"/>
      <c r="KSE48" s="19"/>
      <c r="KSF48" s="21"/>
      <c r="KSG48" s="19"/>
      <c r="KSP48" s="19"/>
      <c r="KSQ48" s="19"/>
      <c r="KSR48" s="19"/>
      <c r="KSS48" s="19"/>
      <c r="KST48" s="21"/>
      <c r="KSU48" s="19"/>
      <c r="KTD48" s="19"/>
      <c r="KTE48" s="19"/>
      <c r="KTF48" s="19"/>
      <c r="KTG48" s="19"/>
      <c r="KTH48" s="21"/>
      <c r="KTI48" s="19"/>
      <c r="KTR48" s="19"/>
      <c r="KTS48" s="19"/>
      <c r="KTT48" s="19"/>
      <c r="KTU48" s="19"/>
      <c r="KTV48" s="21"/>
      <c r="KTW48" s="19"/>
      <c r="KUF48" s="19"/>
      <c r="KUG48" s="19"/>
      <c r="KUH48" s="19"/>
      <c r="KUI48" s="19"/>
      <c r="KUJ48" s="21"/>
      <c r="KUK48" s="19"/>
      <c r="KUT48" s="19"/>
      <c r="KUU48" s="19"/>
      <c r="KUV48" s="19"/>
      <c r="KUW48" s="19"/>
      <c r="KUX48" s="21"/>
      <c r="KUY48" s="19"/>
      <c r="KVH48" s="19"/>
      <c r="KVI48" s="19"/>
      <c r="KVJ48" s="19"/>
      <c r="KVK48" s="19"/>
      <c r="KVL48" s="21"/>
      <c r="KVM48" s="19"/>
      <c r="KVV48" s="19"/>
      <c r="KVW48" s="19"/>
      <c r="KVX48" s="19"/>
      <c r="KVY48" s="19"/>
      <c r="KVZ48" s="21"/>
      <c r="KWA48" s="19"/>
      <c r="KWJ48" s="19"/>
      <c r="KWK48" s="19"/>
      <c r="KWL48" s="19"/>
      <c r="KWM48" s="19"/>
      <c r="KWN48" s="21"/>
      <c r="KWO48" s="19"/>
      <c r="KWX48" s="19"/>
      <c r="KWY48" s="19"/>
      <c r="KWZ48" s="19"/>
      <c r="KXA48" s="19"/>
      <c r="KXB48" s="21"/>
      <c r="KXC48" s="19"/>
      <c r="KXL48" s="19"/>
      <c r="KXM48" s="19"/>
      <c r="KXN48" s="19"/>
      <c r="KXO48" s="19"/>
      <c r="KXP48" s="21"/>
      <c r="KXQ48" s="19"/>
      <c r="KXZ48" s="19"/>
      <c r="KYA48" s="19"/>
      <c r="KYB48" s="19"/>
      <c r="KYC48" s="19"/>
      <c r="KYD48" s="21"/>
      <c r="KYE48" s="19"/>
      <c r="KYN48" s="19"/>
      <c r="KYO48" s="19"/>
      <c r="KYP48" s="19"/>
      <c r="KYQ48" s="19"/>
      <c r="KYR48" s="21"/>
      <c r="KYS48" s="19"/>
      <c r="KZB48" s="19"/>
      <c r="KZC48" s="19"/>
      <c r="KZD48" s="19"/>
      <c r="KZE48" s="19"/>
      <c r="KZF48" s="21"/>
      <c r="KZG48" s="19"/>
      <c r="KZP48" s="19"/>
      <c r="KZQ48" s="19"/>
      <c r="KZR48" s="19"/>
      <c r="KZS48" s="19"/>
      <c r="KZT48" s="21"/>
      <c r="KZU48" s="19"/>
      <c r="LAD48" s="19"/>
      <c r="LAE48" s="19"/>
      <c r="LAF48" s="19"/>
      <c r="LAG48" s="19"/>
      <c r="LAH48" s="21"/>
      <c r="LAI48" s="19"/>
      <c r="LAR48" s="19"/>
      <c r="LAS48" s="19"/>
      <c r="LAT48" s="19"/>
      <c r="LAU48" s="19"/>
      <c r="LAV48" s="21"/>
      <c r="LAW48" s="19"/>
      <c r="LBF48" s="19"/>
      <c r="LBG48" s="19"/>
      <c r="LBH48" s="19"/>
      <c r="LBI48" s="19"/>
      <c r="LBJ48" s="21"/>
      <c r="LBK48" s="19"/>
      <c r="LBT48" s="19"/>
      <c r="LBU48" s="19"/>
      <c r="LBV48" s="19"/>
      <c r="LBW48" s="19"/>
      <c r="LBX48" s="21"/>
      <c r="LBY48" s="19"/>
      <c r="LCH48" s="19"/>
      <c r="LCI48" s="19"/>
      <c r="LCJ48" s="19"/>
      <c r="LCK48" s="19"/>
      <c r="LCL48" s="21"/>
      <c r="LCM48" s="19"/>
      <c r="LCV48" s="19"/>
      <c r="LCW48" s="19"/>
      <c r="LCX48" s="19"/>
      <c r="LCY48" s="19"/>
      <c r="LCZ48" s="21"/>
      <c r="LDA48" s="19"/>
      <c r="LDJ48" s="19"/>
      <c r="LDK48" s="19"/>
      <c r="LDL48" s="19"/>
      <c r="LDM48" s="19"/>
      <c r="LDN48" s="21"/>
      <c r="LDO48" s="19"/>
      <c r="LDX48" s="19"/>
      <c r="LDY48" s="19"/>
      <c r="LDZ48" s="19"/>
      <c r="LEA48" s="19"/>
      <c r="LEB48" s="21"/>
      <c r="LEC48" s="19"/>
      <c r="LEL48" s="19"/>
      <c r="LEM48" s="19"/>
      <c r="LEN48" s="19"/>
      <c r="LEO48" s="19"/>
      <c r="LEP48" s="21"/>
      <c r="LEQ48" s="19"/>
      <c r="LEZ48" s="19"/>
      <c r="LFA48" s="19"/>
      <c r="LFB48" s="19"/>
      <c r="LFC48" s="19"/>
      <c r="LFD48" s="21"/>
      <c r="LFE48" s="19"/>
      <c r="LFN48" s="19"/>
      <c r="LFO48" s="19"/>
      <c r="LFP48" s="19"/>
      <c r="LFQ48" s="19"/>
      <c r="LFR48" s="21"/>
      <c r="LFS48" s="19"/>
      <c r="LGB48" s="19"/>
      <c r="LGC48" s="19"/>
      <c r="LGD48" s="19"/>
      <c r="LGE48" s="19"/>
      <c r="LGF48" s="21"/>
      <c r="LGG48" s="19"/>
      <c r="LGP48" s="19"/>
      <c r="LGQ48" s="19"/>
      <c r="LGR48" s="19"/>
      <c r="LGS48" s="19"/>
      <c r="LGT48" s="21"/>
      <c r="LGU48" s="19"/>
      <c r="LHD48" s="19"/>
      <c r="LHE48" s="19"/>
      <c r="LHF48" s="19"/>
      <c r="LHG48" s="19"/>
      <c r="LHH48" s="21"/>
      <c r="LHI48" s="19"/>
      <c r="LHR48" s="19"/>
      <c r="LHS48" s="19"/>
      <c r="LHT48" s="19"/>
      <c r="LHU48" s="19"/>
      <c r="LHV48" s="21"/>
      <c r="LHW48" s="19"/>
      <c r="LIF48" s="19"/>
      <c r="LIG48" s="19"/>
      <c r="LIH48" s="19"/>
      <c r="LII48" s="19"/>
      <c r="LIJ48" s="21"/>
      <c r="LIK48" s="19"/>
      <c r="LIT48" s="19"/>
      <c r="LIU48" s="19"/>
      <c r="LIV48" s="19"/>
      <c r="LIW48" s="19"/>
      <c r="LIX48" s="21"/>
      <c r="LIY48" s="19"/>
      <c r="LJH48" s="19"/>
      <c r="LJI48" s="19"/>
      <c r="LJJ48" s="19"/>
      <c r="LJK48" s="19"/>
      <c r="LJL48" s="21"/>
      <c r="LJM48" s="19"/>
      <c r="LJV48" s="19"/>
      <c r="LJW48" s="19"/>
      <c r="LJX48" s="19"/>
      <c r="LJY48" s="19"/>
      <c r="LJZ48" s="21"/>
      <c r="LKA48" s="19"/>
      <c r="LKJ48" s="19"/>
      <c r="LKK48" s="19"/>
      <c r="LKL48" s="19"/>
      <c r="LKM48" s="19"/>
      <c r="LKN48" s="21"/>
      <c r="LKO48" s="19"/>
      <c r="LKX48" s="19"/>
      <c r="LKY48" s="19"/>
      <c r="LKZ48" s="19"/>
      <c r="LLA48" s="19"/>
      <c r="LLB48" s="21"/>
      <c r="LLC48" s="19"/>
      <c r="LLL48" s="19"/>
      <c r="LLM48" s="19"/>
      <c r="LLN48" s="19"/>
      <c r="LLO48" s="19"/>
      <c r="LLP48" s="21"/>
      <c r="LLQ48" s="19"/>
      <c r="LLZ48" s="19"/>
      <c r="LMA48" s="19"/>
      <c r="LMB48" s="19"/>
      <c r="LMC48" s="19"/>
      <c r="LMD48" s="21"/>
      <c r="LME48" s="19"/>
      <c r="LMN48" s="19"/>
      <c r="LMO48" s="19"/>
      <c r="LMP48" s="19"/>
      <c r="LMQ48" s="19"/>
      <c r="LMR48" s="21"/>
      <c r="LMS48" s="19"/>
      <c r="LNB48" s="19"/>
      <c r="LNC48" s="19"/>
      <c r="LND48" s="19"/>
      <c r="LNE48" s="19"/>
      <c r="LNF48" s="21"/>
      <c r="LNG48" s="19"/>
      <c r="LNP48" s="19"/>
      <c r="LNQ48" s="19"/>
      <c r="LNR48" s="19"/>
      <c r="LNS48" s="19"/>
      <c r="LNT48" s="21"/>
      <c r="LNU48" s="19"/>
      <c r="LOD48" s="19"/>
      <c r="LOE48" s="19"/>
      <c r="LOF48" s="19"/>
      <c r="LOG48" s="19"/>
      <c r="LOH48" s="21"/>
      <c r="LOI48" s="19"/>
      <c r="LOR48" s="19"/>
      <c r="LOS48" s="19"/>
      <c r="LOT48" s="19"/>
      <c r="LOU48" s="19"/>
      <c r="LOV48" s="21"/>
      <c r="LOW48" s="19"/>
      <c r="LPF48" s="19"/>
      <c r="LPG48" s="19"/>
      <c r="LPH48" s="19"/>
      <c r="LPI48" s="19"/>
      <c r="LPJ48" s="21"/>
      <c r="LPK48" s="19"/>
      <c r="LPT48" s="19"/>
      <c r="LPU48" s="19"/>
      <c r="LPV48" s="19"/>
      <c r="LPW48" s="19"/>
      <c r="LPX48" s="21"/>
      <c r="LPY48" s="19"/>
      <c r="LQH48" s="19"/>
      <c r="LQI48" s="19"/>
      <c r="LQJ48" s="19"/>
      <c r="LQK48" s="19"/>
      <c r="LQL48" s="21"/>
      <c r="LQM48" s="19"/>
      <c r="LQV48" s="19"/>
      <c r="LQW48" s="19"/>
      <c r="LQX48" s="19"/>
      <c r="LQY48" s="19"/>
      <c r="LQZ48" s="21"/>
      <c r="LRA48" s="19"/>
      <c r="LRJ48" s="19"/>
      <c r="LRK48" s="19"/>
      <c r="LRL48" s="19"/>
      <c r="LRM48" s="19"/>
      <c r="LRN48" s="21"/>
      <c r="LRO48" s="19"/>
      <c r="LRX48" s="19"/>
      <c r="LRY48" s="19"/>
      <c r="LRZ48" s="19"/>
      <c r="LSA48" s="19"/>
      <c r="LSB48" s="21"/>
      <c r="LSC48" s="19"/>
      <c r="LSL48" s="19"/>
      <c r="LSM48" s="19"/>
      <c r="LSN48" s="19"/>
      <c r="LSO48" s="19"/>
      <c r="LSP48" s="21"/>
      <c r="LSQ48" s="19"/>
      <c r="LSZ48" s="19"/>
      <c r="LTA48" s="19"/>
      <c r="LTB48" s="19"/>
      <c r="LTC48" s="19"/>
      <c r="LTD48" s="21"/>
      <c r="LTE48" s="19"/>
      <c r="LTN48" s="19"/>
      <c r="LTO48" s="19"/>
      <c r="LTP48" s="19"/>
      <c r="LTQ48" s="19"/>
      <c r="LTR48" s="21"/>
      <c r="LTS48" s="19"/>
      <c r="LUB48" s="19"/>
      <c r="LUC48" s="19"/>
      <c r="LUD48" s="19"/>
      <c r="LUE48" s="19"/>
      <c r="LUF48" s="21"/>
      <c r="LUG48" s="19"/>
      <c r="LUP48" s="19"/>
      <c r="LUQ48" s="19"/>
      <c r="LUR48" s="19"/>
      <c r="LUS48" s="19"/>
      <c r="LUT48" s="21"/>
      <c r="LUU48" s="19"/>
      <c r="LVD48" s="19"/>
      <c r="LVE48" s="19"/>
      <c r="LVF48" s="19"/>
      <c r="LVG48" s="19"/>
      <c r="LVH48" s="21"/>
      <c r="LVI48" s="19"/>
      <c r="LVR48" s="19"/>
      <c r="LVS48" s="19"/>
      <c r="LVT48" s="19"/>
      <c r="LVU48" s="19"/>
      <c r="LVV48" s="21"/>
      <c r="LVW48" s="19"/>
      <c r="LWF48" s="19"/>
      <c r="LWG48" s="19"/>
      <c r="LWH48" s="19"/>
      <c r="LWI48" s="19"/>
      <c r="LWJ48" s="21"/>
      <c r="LWK48" s="19"/>
      <c r="LWT48" s="19"/>
      <c r="LWU48" s="19"/>
      <c r="LWV48" s="19"/>
      <c r="LWW48" s="19"/>
      <c r="LWX48" s="21"/>
      <c r="LWY48" s="19"/>
      <c r="LXH48" s="19"/>
      <c r="LXI48" s="19"/>
      <c r="LXJ48" s="19"/>
      <c r="LXK48" s="19"/>
      <c r="LXL48" s="21"/>
      <c r="LXM48" s="19"/>
      <c r="LXV48" s="19"/>
      <c r="LXW48" s="19"/>
      <c r="LXX48" s="19"/>
      <c r="LXY48" s="19"/>
      <c r="LXZ48" s="21"/>
      <c r="LYA48" s="19"/>
      <c r="LYJ48" s="19"/>
      <c r="LYK48" s="19"/>
      <c r="LYL48" s="19"/>
      <c r="LYM48" s="19"/>
      <c r="LYN48" s="21"/>
      <c r="LYO48" s="19"/>
      <c r="LYX48" s="19"/>
      <c r="LYY48" s="19"/>
      <c r="LYZ48" s="19"/>
      <c r="LZA48" s="19"/>
      <c r="LZB48" s="21"/>
      <c r="LZC48" s="19"/>
      <c r="LZL48" s="19"/>
      <c r="LZM48" s="19"/>
      <c r="LZN48" s="19"/>
      <c r="LZO48" s="19"/>
      <c r="LZP48" s="21"/>
      <c r="LZQ48" s="19"/>
      <c r="LZZ48" s="19"/>
      <c r="MAA48" s="19"/>
      <c r="MAB48" s="19"/>
      <c r="MAC48" s="19"/>
      <c r="MAD48" s="21"/>
      <c r="MAE48" s="19"/>
      <c r="MAN48" s="19"/>
      <c r="MAO48" s="19"/>
      <c r="MAP48" s="19"/>
      <c r="MAQ48" s="19"/>
      <c r="MAR48" s="21"/>
      <c r="MAS48" s="19"/>
      <c r="MBB48" s="19"/>
      <c r="MBC48" s="19"/>
      <c r="MBD48" s="19"/>
      <c r="MBE48" s="19"/>
      <c r="MBF48" s="21"/>
      <c r="MBG48" s="19"/>
      <c r="MBP48" s="19"/>
      <c r="MBQ48" s="19"/>
      <c r="MBR48" s="19"/>
      <c r="MBS48" s="19"/>
      <c r="MBT48" s="21"/>
      <c r="MBU48" s="19"/>
      <c r="MCD48" s="19"/>
      <c r="MCE48" s="19"/>
      <c r="MCF48" s="19"/>
      <c r="MCG48" s="19"/>
      <c r="MCH48" s="21"/>
      <c r="MCI48" s="19"/>
      <c r="MCR48" s="19"/>
      <c r="MCS48" s="19"/>
      <c r="MCT48" s="19"/>
      <c r="MCU48" s="19"/>
      <c r="MCV48" s="21"/>
      <c r="MCW48" s="19"/>
      <c r="MDF48" s="19"/>
      <c r="MDG48" s="19"/>
      <c r="MDH48" s="19"/>
      <c r="MDI48" s="19"/>
      <c r="MDJ48" s="21"/>
      <c r="MDK48" s="19"/>
      <c r="MDT48" s="19"/>
      <c r="MDU48" s="19"/>
      <c r="MDV48" s="19"/>
      <c r="MDW48" s="19"/>
      <c r="MDX48" s="21"/>
      <c r="MDY48" s="19"/>
      <c r="MEH48" s="19"/>
      <c r="MEI48" s="19"/>
      <c r="MEJ48" s="19"/>
      <c r="MEK48" s="19"/>
      <c r="MEL48" s="21"/>
      <c r="MEM48" s="19"/>
      <c r="MEV48" s="19"/>
      <c r="MEW48" s="19"/>
      <c r="MEX48" s="19"/>
      <c r="MEY48" s="19"/>
      <c r="MEZ48" s="21"/>
      <c r="MFA48" s="19"/>
      <c r="MFJ48" s="19"/>
      <c r="MFK48" s="19"/>
      <c r="MFL48" s="19"/>
      <c r="MFM48" s="19"/>
      <c r="MFN48" s="21"/>
      <c r="MFO48" s="19"/>
      <c r="MFX48" s="19"/>
      <c r="MFY48" s="19"/>
      <c r="MFZ48" s="19"/>
      <c r="MGA48" s="19"/>
      <c r="MGB48" s="21"/>
      <c r="MGC48" s="19"/>
      <c r="MGL48" s="19"/>
      <c r="MGM48" s="19"/>
      <c r="MGN48" s="19"/>
      <c r="MGO48" s="19"/>
      <c r="MGP48" s="21"/>
      <c r="MGQ48" s="19"/>
      <c r="MGZ48" s="19"/>
      <c r="MHA48" s="19"/>
      <c r="MHB48" s="19"/>
      <c r="MHC48" s="19"/>
      <c r="MHD48" s="21"/>
      <c r="MHE48" s="19"/>
      <c r="MHN48" s="19"/>
      <c r="MHO48" s="19"/>
      <c r="MHP48" s="19"/>
      <c r="MHQ48" s="19"/>
      <c r="MHR48" s="21"/>
      <c r="MHS48" s="19"/>
      <c r="MIB48" s="19"/>
      <c r="MIC48" s="19"/>
      <c r="MID48" s="19"/>
      <c r="MIE48" s="19"/>
      <c r="MIF48" s="21"/>
      <c r="MIG48" s="19"/>
      <c r="MIP48" s="19"/>
      <c r="MIQ48" s="19"/>
      <c r="MIR48" s="19"/>
      <c r="MIS48" s="19"/>
      <c r="MIT48" s="21"/>
      <c r="MIU48" s="19"/>
      <c r="MJD48" s="19"/>
      <c r="MJE48" s="19"/>
      <c r="MJF48" s="19"/>
      <c r="MJG48" s="19"/>
      <c r="MJH48" s="21"/>
      <c r="MJI48" s="19"/>
      <c r="MJR48" s="19"/>
      <c r="MJS48" s="19"/>
      <c r="MJT48" s="19"/>
      <c r="MJU48" s="19"/>
      <c r="MJV48" s="21"/>
      <c r="MJW48" s="19"/>
      <c r="MKF48" s="19"/>
      <c r="MKG48" s="19"/>
      <c r="MKH48" s="19"/>
      <c r="MKI48" s="19"/>
      <c r="MKJ48" s="21"/>
      <c r="MKK48" s="19"/>
      <c r="MKT48" s="19"/>
      <c r="MKU48" s="19"/>
      <c r="MKV48" s="19"/>
      <c r="MKW48" s="19"/>
      <c r="MKX48" s="21"/>
      <c r="MKY48" s="19"/>
      <c r="MLH48" s="19"/>
      <c r="MLI48" s="19"/>
      <c r="MLJ48" s="19"/>
      <c r="MLK48" s="19"/>
      <c r="MLL48" s="21"/>
      <c r="MLM48" s="19"/>
      <c r="MLV48" s="19"/>
      <c r="MLW48" s="19"/>
      <c r="MLX48" s="19"/>
      <c r="MLY48" s="19"/>
      <c r="MLZ48" s="21"/>
      <c r="MMA48" s="19"/>
      <c r="MMJ48" s="19"/>
      <c r="MMK48" s="19"/>
      <c r="MML48" s="19"/>
      <c r="MMM48" s="19"/>
      <c r="MMN48" s="21"/>
      <c r="MMO48" s="19"/>
      <c r="MMX48" s="19"/>
      <c r="MMY48" s="19"/>
      <c r="MMZ48" s="19"/>
      <c r="MNA48" s="19"/>
      <c r="MNB48" s="21"/>
      <c r="MNC48" s="19"/>
      <c r="MNL48" s="19"/>
      <c r="MNM48" s="19"/>
      <c r="MNN48" s="19"/>
      <c r="MNO48" s="19"/>
      <c r="MNP48" s="21"/>
      <c r="MNQ48" s="19"/>
      <c r="MNZ48" s="19"/>
      <c r="MOA48" s="19"/>
      <c r="MOB48" s="19"/>
      <c r="MOC48" s="19"/>
      <c r="MOD48" s="21"/>
      <c r="MOE48" s="19"/>
      <c r="MON48" s="19"/>
      <c r="MOO48" s="19"/>
      <c r="MOP48" s="19"/>
      <c r="MOQ48" s="19"/>
      <c r="MOR48" s="21"/>
      <c r="MOS48" s="19"/>
      <c r="MPB48" s="19"/>
      <c r="MPC48" s="19"/>
      <c r="MPD48" s="19"/>
      <c r="MPE48" s="19"/>
      <c r="MPF48" s="21"/>
      <c r="MPG48" s="19"/>
      <c r="MPP48" s="19"/>
      <c r="MPQ48" s="19"/>
      <c r="MPR48" s="19"/>
      <c r="MPS48" s="19"/>
      <c r="MPT48" s="21"/>
      <c r="MPU48" s="19"/>
      <c r="MQD48" s="19"/>
      <c r="MQE48" s="19"/>
      <c r="MQF48" s="19"/>
      <c r="MQG48" s="19"/>
      <c r="MQH48" s="21"/>
      <c r="MQI48" s="19"/>
      <c r="MQR48" s="19"/>
      <c r="MQS48" s="19"/>
      <c r="MQT48" s="19"/>
      <c r="MQU48" s="19"/>
      <c r="MQV48" s="21"/>
      <c r="MQW48" s="19"/>
      <c r="MRF48" s="19"/>
      <c r="MRG48" s="19"/>
      <c r="MRH48" s="19"/>
      <c r="MRI48" s="19"/>
      <c r="MRJ48" s="21"/>
      <c r="MRK48" s="19"/>
      <c r="MRT48" s="19"/>
      <c r="MRU48" s="19"/>
      <c r="MRV48" s="19"/>
      <c r="MRW48" s="19"/>
      <c r="MRX48" s="21"/>
      <c r="MRY48" s="19"/>
      <c r="MSH48" s="19"/>
      <c r="MSI48" s="19"/>
      <c r="MSJ48" s="19"/>
      <c r="MSK48" s="19"/>
      <c r="MSL48" s="21"/>
      <c r="MSM48" s="19"/>
      <c r="MSV48" s="19"/>
      <c r="MSW48" s="19"/>
      <c r="MSX48" s="19"/>
      <c r="MSY48" s="19"/>
      <c r="MSZ48" s="21"/>
      <c r="MTA48" s="19"/>
      <c r="MTJ48" s="19"/>
      <c r="MTK48" s="19"/>
      <c r="MTL48" s="19"/>
      <c r="MTM48" s="19"/>
      <c r="MTN48" s="21"/>
      <c r="MTO48" s="19"/>
      <c r="MTX48" s="19"/>
      <c r="MTY48" s="19"/>
      <c r="MTZ48" s="19"/>
      <c r="MUA48" s="19"/>
      <c r="MUB48" s="21"/>
      <c r="MUC48" s="19"/>
      <c r="MUL48" s="19"/>
      <c r="MUM48" s="19"/>
      <c r="MUN48" s="19"/>
      <c r="MUO48" s="19"/>
      <c r="MUP48" s="21"/>
      <c r="MUQ48" s="19"/>
      <c r="MUZ48" s="19"/>
      <c r="MVA48" s="19"/>
      <c r="MVB48" s="19"/>
      <c r="MVC48" s="19"/>
      <c r="MVD48" s="21"/>
      <c r="MVE48" s="19"/>
      <c r="MVN48" s="19"/>
      <c r="MVO48" s="19"/>
      <c r="MVP48" s="19"/>
      <c r="MVQ48" s="19"/>
      <c r="MVR48" s="21"/>
      <c r="MVS48" s="19"/>
      <c r="MWB48" s="19"/>
      <c r="MWC48" s="19"/>
      <c r="MWD48" s="19"/>
      <c r="MWE48" s="19"/>
      <c r="MWF48" s="21"/>
      <c r="MWG48" s="19"/>
      <c r="MWP48" s="19"/>
      <c r="MWQ48" s="19"/>
      <c r="MWR48" s="19"/>
      <c r="MWS48" s="19"/>
      <c r="MWT48" s="21"/>
      <c r="MWU48" s="19"/>
      <c r="MXD48" s="19"/>
      <c r="MXE48" s="19"/>
      <c r="MXF48" s="19"/>
      <c r="MXG48" s="19"/>
      <c r="MXH48" s="21"/>
      <c r="MXI48" s="19"/>
      <c r="MXR48" s="19"/>
      <c r="MXS48" s="19"/>
      <c r="MXT48" s="19"/>
      <c r="MXU48" s="19"/>
      <c r="MXV48" s="21"/>
      <c r="MXW48" s="19"/>
      <c r="MYF48" s="19"/>
      <c r="MYG48" s="19"/>
      <c r="MYH48" s="19"/>
      <c r="MYI48" s="19"/>
      <c r="MYJ48" s="21"/>
      <c r="MYK48" s="19"/>
      <c r="MYT48" s="19"/>
      <c r="MYU48" s="19"/>
      <c r="MYV48" s="19"/>
      <c r="MYW48" s="19"/>
      <c r="MYX48" s="21"/>
      <c r="MYY48" s="19"/>
      <c r="MZH48" s="19"/>
      <c r="MZI48" s="19"/>
      <c r="MZJ48" s="19"/>
      <c r="MZK48" s="19"/>
      <c r="MZL48" s="21"/>
      <c r="MZM48" s="19"/>
      <c r="MZV48" s="19"/>
      <c r="MZW48" s="19"/>
      <c r="MZX48" s="19"/>
      <c r="MZY48" s="19"/>
      <c r="MZZ48" s="21"/>
      <c r="NAA48" s="19"/>
      <c r="NAJ48" s="19"/>
      <c r="NAK48" s="19"/>
      <c r="NAL48" s="19"/>
      <c r="NAM48" s="19"/>
      <c r="NAN48" s="21"/>
      <c r="NAO48" s="19"/>
      <c r="NAX48" s="19"/>
      <c r="NAY48" s="19"/>
      <c r="NAZ48" s="19"/>
      <c r="NBA48" s="19"/>
      <c r="NBB48" s="21"/>
      <c r="NBC48" s="19"/>
      <c r="NBL48" s="19"/>
      <c r="NBM48" s="19"/>
      <c r="NBN48" s="19"/>
      <c r="NBO48" s="19"/>
      <c r="NBP48" s="21"/>
      <c r="NBQ48" s="19"/>
      <c r="NBZ48" s="19"/>
      <c r="NCA48" s="19"/>
      <c r="NCB48" s="19"/>
      <c r="NCC48" s="19"/>
      <c r="NCD48" s="21"/>
      <c r="NCE48" s="19"/>
      <c r="NCN48" s="19"/>
      <c r="NCO48" s="19"/>
      <c r="NCP48" s="19"/>
      <c r="NCQ48" s="19"/>
      <c r="NCR48" s="21"/>
      <c r="NCS48" s="19"/>
      <c r="NDB48" s="19"/>
      <c r="NDC48" s="19"/>
      <c r="NDD48" s="19"/>
      <c r="NDE48" s="19"/>
      <c r="NDF48" s="21"/>
      <c r="NDG48" s="19"/>
      <c r="NDP48" s="19"/>
      <c r="NDQ48" s="19"/>
      <c r="NDR48" s="19"/>
      <c r="NDS48" s="19"/>
      <c r="NDT48" s="21"/>
      <c r="NDU48" s="19"/>
      <c r="NED48" s="19"/>
      <c r="NEE48" s="19"/>
      <c r="NEF48" s="19"/>
      <c r="NEG48" s="19"/>
      <c r="NEH48" s="21"/>
      <c r="NEI48" s="19"/>
      <c r="NER48" s="19"/>
      <c r="NES48" s="19"/>
      <c r="NET48" s="19"/>
      <c r="NEU48" s="19"/>
      <c r="NEV48" s="21"/>
      <c r="NEW48" s="19"/>
      <c r="NFF48" s="19"/>
      <c r="NFG48" s="19"/>
      <c r="NFH48" s="19"/>
      <c r="NFI48" s="19"/>
      <c r="NFJ48" s="21"/>
      <c r="NFK48" s="19"/>
      <c r="NFT48" s="19"/>
      <c r="NFU48" s="19"/>
      <c r="NFV48" s="19"/>
      <c r="NFW48" s="19"/>
      <c r="NFX48" s="21"/>
      <c r="NFY48" s="19"/>
      <c r="NGH48" s="19"/>
      <c r="NGI48" s="19"/>
      <c r="NGJ48" s="19"/>
      <c r="NGK48" s="19"/>
      <c r="NGL48" s="21"/>
      <c r="NGM48" s="19"/>
      <c r="NGV48" s="19"/>
      <c r="NGW48" s="19"/>
      <c r="NGX48" s="19"/>
      <c r="NGY48" s="19"/>
      <c r="NGZ48" s="21"/>
      <c r="NHA48" s="19"/>
      <c r="NHJ48" s="19"/>
      <c r="NHK48" s="19"/>
      <c r="NHL48" s="19"/>
      <c r="NHM48" s="19"/>
      <c r="NHN48" s="21"/>
      <c r="NHO48" s="19"/>
      <c r="NHX48" s="19"/>
      <c r="NHY48" s="19"/>
      <c r="NHZ48" s="19"/>
      <c r="NIA48" s="19"/>
      <c r="NIB48" s="21"/>
      <c r="NIC48" s="19"/>
      <c r="NIL48" s="19"/>
      <c r="NIM48" s="19"/>
      <c r="NIN48" s="19"/>
      <c r="NIO48" s="19"/>
      <c r="NIP48" s="21"/>
      <c r="NIQ48" s="19"/>
      <c r="NIZ48" s="19"/>
      <c r="NJA48" s="19"/>
      <c r="NJB48" s="19"/>
      <c r="NJC48" s="19"/>
      <c r="NJD48" s="21"/>
      <c r="NJE48" s="19"/>
      <c r="NJN48" s="19"/>
      <c r="NJO48" s="19"/>
      <c r="NJP48" s="19"/>
      <c r="NJQ48" s="19"/>
      <c r="NJR48" s="21"/>
      <c r="NJS48" s="19"/>
      <c r="NKB48" s="19"/>
      <c r="NKC48" s="19"/>
      <c r="NKD48" s="19"/>
      <c r="NKE48" s="19"/>
      <c r="NKF48" s="21"/>
      <c r="NKG48" s="19"/>
      <c r="NKP48" s="19"/>
      <c r="NKQ48" s="19"/>
      <c r="NKR48" s="19"/>
      <c r="NKS48" s="19"/>
      <c r="NKT48" s="21"/>
      <c r="NKU48" s="19"/>
      <c r="NLD48" s="19"/>
      <c r="NLE48" s="19"/>
      <c r="NLF48" s="19"/>
      <c r="NLG48" s="19"/>
      <c r="NLH48" s="21"/>
      <c r="NLI48" s="19"/>
      <c r="NLR48" s="19"/>
      <c r="NLS48" s="19"/>
      <c r="NLT48" s="19"/>
      <c r="NLU48" s="19"/>
      <c r="NLV48" s="21"/>
      <c r="NLW48" s="19"/>
      <c r="NMF48" s="19"/>
      <c r="NMG48" s="19"/>
      <c r="NMH48" s="19"/>
      <c r="NMI48" s="19"/>
      <c r="NMJ48" s="21"/>
      <c r="NMK48" s="19"/>
      <c r="NMT48" s="19"/>
      <c r="NMU48" s="19"/>
      <c r="NMV48" s="19"/>
      <c r="NMW48" s="19"/>
      <c r="NMX48" s="21"/>
      <c r="NMY48" s="19"/>
      <c r="NNH48" s="19"/>
      <c r="NNI48" s="19"/>
      <c r="NNJ48" s="19"/>
      <c r="NNK48" s="19"/>
      <c r="NNL48" s="21"/>
      <c r="NNM48" s="19"/>
      <c r="NNV48" s="19"/>
      <c r="NNW48" s="19"/>
      <c r="NNX48" s="19"/>
      <c r="NNY48" s="19"/>
      <c r="NNZ48" s="21"/>
      <c r="NOA48" s="19"/>
      <c r="NOJ48" s="19"/>
      <c r="NOK48" s="19"/>
      <c r="NOL48" s="19"/>
      <c r="NOM48" s="19"/>
      <c r="NON48" s="21"/>
      <c r="NOO48" s="19"/>
      <c r="NOX48" s="19"/>
      <c r="NOY48" s="19"/>
      <c r="NOZ48" s="19"/>
      <c r="NPA48" s="19"/>
      <c r="NPB48" s="21"/>
      <c r="NPC48" s="19"/>
      <c r="NPL48" s="19"/>
      <c r="NPM48" s="19"/>
      <c r="NPN48" s="19"/>
      <c r="NPO48" s="19"/>
      <c r="NPP48" s="21"/>
      <c r="NPQ48" s="19"/>
      <c r="NPZ48" s="19"/>
      <c r="NQA48" s="19"/>
      <c r="NQB48" s="19"/>
      <c r="NQC48" s="19"/>
      <c r="NQD48" s="21"/>
      <c r="NQE48" s="19"/>
      <c r="NQN48" s="19"/>
      <c r="NQO48" s="19"/>
      <c r="NQP48" s="19"/>
      <c r="NQQ48" s="19"/>
      <c r="NQR48" s="21"/>
      <c r="NQS48" s="19"/>
      <c r="NRB48" s="19"/>
      <c r="NRC48" s="19"/>
      <c r="NRD48" s="19"/>
      <c r="NRE48" s="19"/>
      <c r="NRF48" s="21"/>
      <c r="NRG48" s="19"/>
      <c r="NRP48" s="19"/>
      <c r="NRQ48" s="19"/>
      <c r="NRR48" s="19"/>
      <c r="NRS48" s="19"/>
      <c r="NRT48" s="21"/>
      <c r="NRU48" s="19"/>
      <c r="NSD48" s="19"/>
      <c r="NSE48" s="19"/>
      <c r="NSF48" s="19"/>
      <c r="NSG48" s="19"/>
      <c r="NSH48" s="21"/>
      <c r="NSI48" s="19"/>
      <c r="NSR48" s="19"/>
      <c r="NSS48" s="19"/>
      <c r="NST48" s="19"/>
      <c r="NSU48" s="19"/>
      <c r="NSV48" s="21"/>
      <c r="NSW48" s="19"/>
      <c r="NTF48" s="19"/>
      <c r="NTG48" s="19"/>
      <c r="NTH48" s="19"/>
      <c r="NTI48" s="19"/>
      <c r="NTJ48" s="21"/>
      <c r="NTK48" s="19"/>
      <c r="NTT48" s="19"/>
      <c r="NTU48" s="19"/>
      <c r="NTV48" s="19"/>
      <c r="NTW48" s="19"/>
      <c r="NTX48" s="21"/>
      <c r="NTY48" s="19"/>
      <c r="NUH48" s="19"/>
      <c r="NUI48" s="19"/>
      <c r="NUJ48" s="19"/>
      <c r="NUK48" s="19"/>
      <c r="NUL48" s="21"/>
      <c r="NUM48" s="19"/>
      <c r="NUV48" s="19"/>
      <c r="NUW48" s="19"/>
      <c r="NUX48" s="19"/>
      <c r="NUY48" s="19"/>
      <c r="NUZ48" s="21"/>
      <c r="NVA48" s="19"/>
      <c r="NVJ48" s="19"/>
      <c r="NVK48" s="19"/>
      <c r="NVL48" s="19"/>
      <c r="NVM48" s="19"/>
      <c r="NVN48" s="21"/>
      <c r="NVO48" s="19"/>
      <c r="NVX48" s="19"/>
      <c r="NVY48" s="19"/>
      <c r="NVZ48" s="19"/>
      <c r="NWA48" s="19"/>
      <c r="NWB48" s="21"/>
      <c r="NWC48" s="19"/>
      <c r="NWL48" s="19"/>
      <c r="NWM48" s="19"/>
      <c r="NWN48" s="19"/>
      <c r="NWO48" s="19"/>
      <c r="NWP48" s="21"/>
      <c r="NWQ48" s="19"/>
      <c r="NWZ48" s="19"/>
      <c r="NXA48" s="19"/>
      <c r="NXB48" s="19"/>
      <c r="NXC48" s="19"/>
      <c r="NXD48" s="21"/>
      <c r="NXE48" s="19"/>
      <c r="NXN48" s="19"/>
      <c r="NXO48" s="19"/>
      <c r="NXP48" s="19"/>
      <c r="NXQ48" s="19"/>
      <c r="NXR48" s="21"/>
      <c r="NXS48" s="19"/>
      <c r="NYB48" s="19"/>
      <c r="NYC48" s="19"/>
      <c r="NYD48" s="19"/>
      <c r="NYE48" s="19"/>
      <c r="NYF48" s="21"/>
      <c r="NYG48" s="19"/>
      <c r="NYP48" s="19"/>
      <c r="NYQ48" s="19"/>
      <c r="NYR48" s="19"/>
      <c r="NYS48" s="19"/>
      <c r="NYT48" s="21"/>
      <c r="NYU48" s="19"/>
      <c r="NZD48" s="19"/>
      <c r="NZE48" s="19"/>
      <c r="NZF48" s="19"/>
      <c r="NZG48" s="19"/>
      <c r="NZH48" s="21"/>
      <c r="NZI48" s="19"/>
      <c r="NZR48" s="19"/>
      <c r="NZS48" s="19"/>
      <c r="NZT48" s="19"/>
      <c r="NZU48" s="19"/>
      <c r="NZV48" s="21"/>
      <c r="NZW48" s="19"/>
      <c r="OAF48" s="19"/>
      <c r="OAG48" s="19"/>
      <c r="OAH48" s="19"/>
      <c r="OAI48" s="19"/>
      <c r="OAJ48" s="21"/>
      <c r="OAK48" s="19"/>
      <c r="OAT48" s="19"/>
      <c r="OAU48" s="19"/>
      <c r="OAV48" s="19"/>
      <c r="OAW48" s="19"/>
      <c r="OAX48" s="21"/>
      <c r="OAY48" s="19"/>
      <c r="OBH48" s="19"/>
      <c r="OBI48" s="19"/>
      <c r="OBJ48" s="19"/>
      <c r="OBK48" s="19"/>
      <c r="OBL48" s="21"/>
      <c r="OBM48" s="19"/>
      <c r="OBV48" s="19"/>
      <c r="OBW48" s="19"/>
      <c r="OBX48" s="19"/>
      <c r="OBY48" s="19"/>
      <c r="OBZ48" s="21"/>
      <c r="OCA48" s="19"/>
      <c r="OCJ48" s="19"/>
      <c r="OCK48" s="19"/>
      <c r="OCL48" s="19"/>
      <c r="OCM48" s="19"/>
      <c r="OCN48" s="21"/>
      <c r="OCO48" s="19"/>
      <c r="OCX48" s="19"/>
      <c r="OCY48" s="19"/>
      <c r="OCZ48" s="19"/>
      <c r="ODA48" s="19"/>
      <c r="ODB48" s="21"/>
      <c r="ODC48" s="19"/>
      <c r="ODL48" s="19"/>
      <c r="ODM48" s="19"/>
      <c r="ODN48" s="19"/>
      <c r="ODO48" s="19"/>
      <c r="ODP48" s="21"/>
      <c r="ODQ48" s="19"/>
      <c r="ODZ48" s="19"/>
      <c r="OEA48" s="19"/>
      <c r="OEB48" s="19"/>
      <c r="OEC48" s="19"/>
      <c r="OED48" s="21"/>
      <c r="OEE48" s="19"/>
      <c r="OEN48" s="19"/>
      <c r="OEO48" s="19"/>
      <c r="OEP48" s="19"/>
      <c r="OEQ48" s="19"/>
      <c r="OER48" s="21"/>
      <c r="OES48" s="19"/>
      <c r="OFB48" s="19"/>
      <c r="OFC48" s="19"/>
      <c r="OFD48" s="19"/>
      <c r="OFE48" s="19"/>
      <c r="OFF48" s="21"/>
      <c r="OFG48" s="19"/>
      <c r="OFP48" s="19"/>
      <c r="OFQ48" s="19"/>
      <c r="OFR48" s="19"/>
      <c r="OFS48" s="19"/>
      <c r="OFT48" s="21"/>
      <c r="OFU48" s="19"/>
      <c r="OGD48" s="19"/>
      <c r="OGE48" s="19"/>
      <c r="OGF48" s="19"/>
      <c r="OGG48" s="19"/>
      <c r="OGH48" s="21"/>
      <c r="OGI48" s="19"/>
      <c r="OGR48" s="19"/>
      <c r="OGS48" s="19"/>
      <c r="OGT48" s="19"/>
      <c r="OGU48" s="19"/>
      <c r="OGV48" s="21"/>
      <c r="OGW48" s="19"/>
      <c r="OHF48" s="19"/>
      <c r="OHG48" s="19"/>
      <c r="OHH48" s="19"/>
      <c r="OHI48" s="19"/>
      <c r="OHJ48" s="21"/>
      <c r="OHK48" s="19"/>
      <c r="OHT48" s="19"/>
      <c r="OHU48" s="19"/>
      <c r="OHV48" s="19"/>
      <c r="OHW48" s="19"/>
      <c r="OHX48" s="21"/>
      <c r="OHY48" s="19"/>
      <c r="OIH48" s="19"/>
      <c r="OII48" s="19"/>
      <c r="OIJ48" s="19"/>
      <c r="OIK48" s="19"/>
      <c r="OIL48" s="21"/>
      <c r="OIM48" s="19"/>
      <c r="OIV48" s="19"/>
      <c r="OIW48" s="19"/>
      <c r="OIX48" s="19"/>
      <c r="OIY48" s="19"/>
      <c r="OIZ48" s="21"/>
      <c r="OJA48" s="19"/>
      <c r="OJJ48" s="19"/>
      <c r="OJK48" s="19"/>
      <c r="OJL48" s="19"/>
      <c r="OJM48" s="19"/>
      <c r="OJN48" s="21"/>
      <c r="OJO48" s="19"/>
      <c r="OJX48" s="19"/>
      <c r="OJY48" s="19"/>
      <c r="OJZ48" s="19"/>
      <c r="OKA48" s="19"/>
      <c r="OKB48" s="21"/>
      <c r="OKC48" s="19"/>
      <c r="OKL48" s="19"/>
      <c r="OKM48" s="19"/>
      <c r="OKN48" s="19"/>
      <c r="OKO48" s="19"/>
      <c r="OKP48" s="21"/>
      <c r="OKQ48" s="19"/>
      <c r="OKZ48" s="19"/>
      <c r="OLA48" s="19"/>
      <c r="OLB48" s="19"/>
      <c r="OLC48" s="19"/>
      <c r="OLD48" s="21"/>
      <c r="OLE48" s="19"/>
      <c r="OLN48" s="19"/>
      <c r="OLO48" s="19"/>
      <c r="OLP48" s="19"/>
      <c r="OLQ48" s="19"/>
      <c r="OLR48" s="21"/>
      <c r="OLS48" s="19"/>
      <c r="OMB48" s="19"/>
      <c r="OMC48" s="19"/>
      <c r="OMD48" s="19"/>
      <c r="OME48" s="19"/>
      <c r="OMF48" s="21"/>
      <c r="OMG48" s="19"/>
      <c r="OMP48" s="19"/>
      <c r="OMQ48" s="19"/>
      <c r="OMR48" s="19"/>
      <c r="OMS48" s="19"/>
      <c r="OMT48" s="21"/>
      <c r="OMU48" s="19"/>
      <c r="OND48" s="19"/>
      <c r="ONE48" s="19"/>
      <c r="ONF48" s="19"/>
      <c r="ONG48" s="19"/>
      <c r="ONH48" s="21"/>
      <c r="ONI48" s="19"/>
      <c r="ONR48" s="19"/>
      <c r="ONS48" s="19"/>
      <c r="ONT48" s="19"/>
      <c r="ONU48" s="19"/>
      <c r="ONV48" s="21"/>
      <c r="ONW48" s="19"/>
      <c r="OOF48" s="19"/>
      <c r="OOG48" s="19"/>
      <c r="OOH48" s="19"/>
      <c r="OOI48" s="19"/>
      <c r="OOJ48" s="21"/>
      <c r="OOK48" s="19"/>
      <c r="OOT48" s="19"/>
      <c r="OOU48" s="19"/>
      <c r="OOV48" s="19"/>
      <c r="OOW48" s="19"/>
      <c r="OOX48" s="21"/>
      <c r="OOY48" s="19"/>
      <c r="OPH48" s="19"/>
      <c r="OPI48" s="19"/>
      <c r="OPJ48" s="19"/>
      <c r="OPK48" s="19"/>
      <c r="OPL48" s="21"/>
      <c r="OPM48" s="19"/>
      <c r="OPV48" s="19"/>
      <c r="OPW48" s="19"/>
      <c r="OPX48" s="19"/>
      <c r="OPY48" s="19"/>
      <c r="OPZ48" s="21"/>
      <c r="OQA48" s="19"/>
      <c r="OQJ48" s="19"/>
      <c r="OQK48" s="19"/>
      <c r="OQL48" s="19"/>
      <c r="OQM48" s="19"/>
      <c r="OQN48" s="21"/>
      <c r="OQO48" s="19"/>
      <c r="OQX48" s="19"/>
      <c r="OQY48" s="19"/>
      <c r="OQZ48" s="19"/>
      <c r="ORA48" s="19"/>
      <c r="ORB48" s="21"/>
      <c r="ORC48" s="19"/>
      <c r="ORL48" s="19"/>
      <c r="ORM48" s="19"/>
      <c r="ORN48" s="19"/>
      <c r="ORO48" s="19"/>
      <c r="ORP48" s="21"/>
      <c r="ORQ48" s="19"/>
      <c r="ORZ48" s="19"/>
      <c r="OSA48" s="19"/>
      <c r="OSB48" s="19"/>
      <c r="OSC48" s="19"/>
      <c r="OSD48" s="21"/>
      <c r="OSE48" s="19"/>
      <c r="OSN48" s="19"/>
      <c r="OSO48" s="19"/>
      <c r="OSP48" s="19"/>
      <c r="OSQ48" s="19"/>
      <c r="OSR48" s="21"/>
      <c r="OSS48" s="19"/>
      <c r="OTB48" s="19"/>
      <c r="OTC48" s="19"/>
      <c r="OTD48" s="19"/>
      <c r="OTE48" s="19"/>
      <c r="OTF48" s="21"/>
      <c r="OTG48" s="19"/>
      <c r="OTP48" s="19"/>
      <c r="OTQ48" s="19"/>
      <c r="OTR48" s="19"/>
      <c r="OTS48" s="19"/>
      <c r="OTT48" s="21"/>
      <c r="OTU48" s="19"/>
      <c r="OUD48" s="19"/>
      <c r="OUE48" s="19"/>
      <c r="OUF48" s="19"/>
      <c r="OUG48" s="19"/>
      <c r="OUH48" s="21"/>
      <c r="OUI48" s="19"/>
      <c r="OUR48" s="19"/>
      <c r="OUS48" s="19"/>
      <c r="OUT48" s="19"/>
      <c r="OUU48" s="19"/>
      <c r="OUV48" s="21"/>
      <c r="OUW48" s="19"/>
      <c r="OVF48" s="19"/>
      <c r="OVG48" s="19"/>
      <c r="OVH48" s="19"/>
      <c r="OVI48" s="19"/>
      <c r="OVJ48" s="21"/>
      <c r="OVK48" s="19"/>
      <c r="OVT48" s="19"/>
      <c r="OVU48" s="19"/>
      <c r="OVV48" s="19"/>
      <c r="OVW48" s="19"/>
      <c r="OVX48" s="21"/>
      <c r="OVY48" s="19"/>
      <c r="OWH48" s="19"/>
      <c r="OWI48" s="19"/>
      <c r="OWJ48" s="19"/>
      <c r="OWK48" s="19"/>
      <c r="OWL48" s="21"/>
      <c r="OWM48" s="19"/>
      <c r="OWV48" s="19"/>
      <c r="OWW48" s="19"/>
      <c r="OWX48" s="19"/>
      <c r="OWY48" s="19"/>
      <c r="OWZ48" s="21"/>
      <c r="OXA48" s="19"/>
      <c r="OXJ48" s="19"/>
      <c r="OXK48" s="19"/>
      <c r="OXL48" s="19"/>
      <c r="OXM48" s="19"/>
      <c r="OXN48" s="21"/>
      <c r="OXO48" s="19"/>
      <c r="OXX48" s="19"/>
      <c r="OXY48" s="19"/>
      <c r="OXZ48" s="19"/>
      <c r="OYA48" s="19"/>
      <c r="OYB48" s="21"/>
      <c r="OYC48" s="19"/>
      <c r="OYL48" s="19"/>
      <c r="OYM48" s="19"/>
      <c r="OYN48" s="19"/>
      <c r="OYO48" s="19"/>
      <c r="OYP48" s="21"/>
      <c r="OYQ48" s="19"/>
      <c r="OYZ48" s="19"/>
      <c r="OZA48" s="19"/>
      <c r="OZB48" s="19"/>
      <c r="OZC48" s="19"/>
      <c r="OZD48" s="21"/>
      <c r="OZE48" s="19"/>
      <c r="OZN48" s="19"/>
      <c r="OZO48" s="19"/>
      <c r="OZP48" s="19"/>
      <c r="OZQ48" s="19"/>
      <c r="OZR48" s="21"/>
      <c r="OZS48" s="19"/>
      <c r="PAB48" s="19"/>
      <c r="PAC48" s="19"/>
      <c r="PAD48" s="19"/>
      <c r="PAE48" s="19"/>
      <c r="PAF48" s="21"/>
      <c r="PAG48" s="19"/>
      <c r="PAP48" s="19"/>
      <c r="PAQ48" s="19"/>
      <c r="PAR48" s="19"/>
      <c r="PAS48" s="19"/>
      <c r="PAT48" s="21"/>
      <c r="PAU48" s="19"/>
      <c r="PBD48" s="19"/>
      <c r="PBE48" s="19"/>
      <c r="PBF48" s="19"/>
      <c r="PBG48" s="19"/>
      <c r="PBH48" s="21"/>
      <c r="PBI48" s="19"/>
      <c r="PBR48" s="19"/>
      <c r="PBS48" s="19"/>
      <c r="PBT48" s="19"/>
      <c r="PBU48" s="19"/>
      <c r="PBV48" s="21"/>
      <c r="PBW48" s="19"/>
      <c r="PCF48" s="19"/>
      <c r="PCG48" s="19"/>
      <c r="PCH48" s="19"/>
      <c r="PCI48" s="19"/>
      <c r="PCJ48" s="21"/>
      <c r="PCK48" s="19"/>
      <c r="PCT48" s="19"/>
      <c r="PCU48" s="19"/>
      <c r="PCV48" s="19"/>
      <c r="PCW48" s="19"/>
      <c r="PCX48" s="21"/>
      <c r="PCY48" s="19"/>
      <c r="PDH48" s="19"/>
      <c r="PDI48" s="19"/>
      <c r="PDJ48" s="19"/>
      <c r="PDK48" s="19"/>
      <c r="PDL48" s="21"/>
      <c r="PDM48" s="19"/>
      <c r="PDV48" s="19"/>
      <c r="PDW48" s="19"/>
      <c r="PDX48" s="19"/>
      <c r="PDY48" s="19"/>
      <c r="PDZ48" s="21"/>
      <c r="PEA48" s="19"/>
      <c r="PEJ48" s="19"/>
      <c r="PEK48" s="19"/>
      <c r="PEL48" s="19"/>
      <c r="PEM48" s="19"/>
      <c r="PEN48" s="21"/>
      <c r="PEO48" s="19"/>
      <c r="PEX48" s="19"/>
      <c r="PEY48" s="19"/>
      <c r="PEZ48" s="19"/>
      <c r="PFA48" s="19"/>
      <c r="PFB48" s="21"/>
      <c r="PFC48" s="19"/>
      <c r="PFL48" s="19"/>
      <c r="PFM48" s="19"/>
      <c r="PFN48" s="19"/>
      <c r="PFO48" s="19"/>
      <c r="PFP48" s="21"/>
      <c r="PFQ48" s="19"/>
      <c r="PFZ48" s="19"/>
      <c r="PGA48" s="19"/>
      <c r="PGB48" s="19"/>
      <c r="PGC48" s="19"/>
      <c r="PGD48" s="21"/>
      <c r="PGE48" s="19"/>
      <c r="PGN48" s="19"/>
      <c r="PGO48" s="19"/>
      <c r="PGP48" s="19"/>
      <c r="PGQ48" s="19"/>
      <c r="PGR48" s="21"/>
      <c r="PGS48" s="19"/>
      <c r="PHB48" s="19"/>
      <c r="PHC48" s="19"/>
      <c r="PHD48" s="19"/>
      <c r="PHE48" s="19"/>
      <c r="PHF48" s="21"/>
      <c r="PHG48" s="19"/>
      <c r="PHP48" s="19"/>
      <c r="PHQ48" s="19"/>
      <c r="PHR48" s="19"/>
      <c r="PHS48" s="19"/>
      <c r="PHT48" s="21"/>
      <c r="PHU48" s="19"/>
      <c r="PID48" s="19"/>
      <c r="PIE48" s="19"/>
      <c r="PIF48" s="19"/>
      <c r="PIG48" s="19"/>
      <c r="PIH48" s="21"/>
      <c r="PII48" s="19"/>
      <c r="PIR48" s="19"/>
      <c r="PIS48" s="19"/>
      <c r="PIT48" s="19"/>
      <c r="PIU48" s="19"/>
      <c r="PIV48" s="21"/>
      <c r="PIW48" s="19"/>
      <c r="PJF48" s="19"/>
      <c r="PJG48" s="19"/>
      <c r="PJH48" s="19"/>
      <c r="PJI48" s="19"/>
      <c r="PJJ48" s="21"/>
      <c r="PJK48" s="19"/>
      <c r="PJT48" s="19"/>
      <c r="PJU48" s="19"/>
      <c r="PJV48" s="19"/>
      <c r="PJW48" s="19"/>
      <c r="PJX48" s="21"/>
      <c r="PJY48" s="19"/>
      <c r="PKH48" s="19"/>
      <c r="PKI48" s="19"/>
      <c r="PKJ48" s="19"/>
      <c r="PKK48" s="19"/>
      <c r="PKL48" s="21"/>
      <c r="PKM48" s="19"/>
      <c r="PKV48" s="19"/>
      <c r="PKW48" s="19"/>
      <c r="PKX48" s="19"/>
      <c r="PKY48" s="19"/>
      <c r="PKZ48" s="21"/>
      <c r="PLA48" s="19"/>
      <c r="PLJ48" s="19"/>
      <c r="PLK48" s="19"/>
      <c r="PLL48" s="19"/>
      <c r="PLM48" s="19"/>
      <c r="PLN48" s="21"/>
      <c r="PLO48" s="19"/>
      <c r="PLX48" s="19"/>
      <c r="PLY48" s="19"/>
      <c r="PLZ48" s="19"/>
      <c r="PMA48" s="19"/>
      <c r="PMB48" s="21"/>
      <c r="PMC48" s="19"/>
      <c r="PML48" s="19"/>
      <c r="PMM48" s="19"/>
      <c r="PMN48" s="19"/>
      <c r="PMO48" s="19"/>
      <c r="PMP48" s="21"/>
      <c r="PMQ48" s="19"/>
      <c r="PMZ48" s="19"/>
      <c r="PNA48" s="19"/>
      <c r="PNB48" s="19"/>
      <c r="PNC48" s="19"/>
      <c r="PND48" s="21"/>
      <c r="PNE48" s="19"/>
      <c r="PNN48" s="19"/>
      <c r="PNO48" s="19"/>
      <c r="PNP48" s="19"/>
      <c r="PNQ48" s="19"/>
      <c r="PNR48" s="21"/>
      <c r="PNS48" s="19"/>
      <c r="POB48" s="19"/>
      <c r="POC48" s="19"/>
      <c r="POD48" s="19"/>
      <c r="POE48" s="19"/>
      <c r="POF48" s="21"/>
      <c r="POG48" s="19"/>
      <c r="POP48" s="19"/>
      <c r="POQ48" s="19"/>
      <c r="POR48" s="19"/>
      <c r="POS48" s="19"/>
      <c r="POT48" s="21"/>
      <c r="POU48" s="19"/>
      <c r="PPD48" s="19"/>
      <c r="PPE48" s="19"/>
      <c r="PPF48" s="19"/>
      <c r="PPG48" s="19"/>
      <c r="PPH48" s="21"/>
      <c r="PPI48" s="19"/>
      <c r="PPR48" s="19"/>
      <c r="PPS48" s="19"/>
      <c r="PPT48" s="19"/>
      <c r="PPU48" s="19"/>
      <c r="PPV48" s="21"/>
      <c r="PPW48" s="19"/>
      <c r="PQF48" s="19"/>
      <c r="PQG48" s="19"/>
      <c r="PQH48" s="19"/>
      <c r="PQI48" s="19"/>
      <c r="PQJ48" s="21"/>
      <c r="PQK48" s="19"/>
      <c r="PQT48" s="19"/>
      <c r="PQU48" s="19"/>
      <c r="PQV48" s="19"/>
      <c r="PQW48" s="19"/>
      <c r="PQX48" s="21"/>
      <c r="PQY48" s="19"/>
      <c r="PRH48" s="19"/>
      <c r="PRI48" s="19"/>
      <c r="PRJ48" s="19"/>
      <c r="PRK48" s="19"/>
      <c r="PRL48" s="21"/>
      <c r="PRM48" s="19"/>
      <c r="PRV48" s="19"/>
      <c r="PRW48" s="19"/>
      <c r="PRX48" s="19"/>
      <c r="PRY48" s="19"/>
      <c r="PRZ48" s="21"/>
      <c r="PSA48" s="19"/>
      <c r="PSJ48" s="19"/>
      <c r="PSK48" s="19"/>
      <c r="PSL48" s="19"/>
      <c r="PSM48" s="19"/>
      <c r="PSN48" s="21"/>
      <c r="PSO48" s="19"/>
      <c r="PSX48" s="19"/>
      <c r="PSY48" s="19"/>
      <c r="PSZ48" s="19"/>
      <c r="PTA48" s="19"/>
      <c r="PTB48" s="21"/>
      <c r="PTC48" s="19"/>
      <c r="PTL48" s="19"/>
      <c r="PTM48" s="19"/>
      <c r="PTN48" s="19"/>
      <c r="PTO48" s="19"/>
      <c r="PTP48" s="21"/>
      <c r="PTQ48" s="19"/>
      <c r="PTZ48" s="19"/>
      <c r="PUA48" s="19"/>
      <c r="PUB48" s="19"/>
      <c r="PUC48" s="19"/>
      <c r="PUD48" s="21"/>
      <c r="PUE48" s="19"/>
      <c r="PUN48" s="19"/>
      <c r="PUO48" s="19"/>
      <c r="PUP48" s="19"/>
      <c r="PUQ48" s="19"/>
      <c r="PUR48" s="21"/>
      <c r="PUS48" s="19"/>
      <c r="PVB48" s="19"/>
      <c r="PVC48" s="19"/>
      <c r="PVD48" s="19"/>
      <c r="PVE48" s="19"/>
      <c r="PVF48" s="21"/>
      <c r="PVG48" s="19"/>
      <c r="PVP48" s="19"/>
      <c r="PVQ48" s="19"/>
      <c r="PVR48" s="19"/>
      <c r="PVS48" s="19"/>
      <c r="PVT48" s="21"/>
      <c r="PVU48" s="19"/>
      <c r="PWD48" s="19"/>
      <c r="PWE48" s="19"/>
      <c r="PWF48" s="19"/>
      <c r="PWG48" s="19"/>
      <c r="PWH48" s="21"/>
      <c r="PWI48" s="19"/>
      <c r="PWR48" s="19"/>
      <c r="PWS48" s="19"/>
      <c r="PWT48" s="19"/>
      <c r="PWU48" s="19"/>
      <c r="PWV48" s="21"/>
      <c r="PWW48" s="19"/>
      <c r="PXF48" s="19"/>
      <c r="PXG48" s="19"/>
      <c r="PXH48" s="19"/>
      <c r="PXI48" s="19"/>
      <c r="PXJ48" s="21"/>
      <c r="PXK48" s="19"/>
      <c r="PXT48" s="19"/>
      <c r="PXU48" s="19"/>
      <c r="PXV48" s="19"/>
      <c r="PXW48" s="19"/>
      <c r="PXX48" s="21"/>
      <c r="PXY48" s="19"/>
      <c r="PYH48" s="19"/>
      <c r="PYI48" s="19"/>
      <c r="PYJ48" s="19"/>
      <c r="PYK48" s="19"/>
      <c r="PYL48" s="21"/>
      <c r="PYM48" s="19"/>
      <c r="PYV48" s="19"/>
      <c r="PYW48" s="19"/>
      <c r="PYX48" s="19"/>
      <c r="PYY48" s="19"/>
      <c r="PYZ48" s="21"/>
      <c r="PZA48" s="19"/>
      <c r="PZJ48" s="19"/>
      <c r="PZK48" s="19"/>
      <c r="PZL48" s="19"/>
      <c r="PZM48" s="19"/>
      <c r="PZN48" s="21"/>
      <c r="PZO48" s="19"/>
      <c r="PZX48" s="19"/>
      <c r="PZY48" s="19"/>
      <c r="PZZ48" s="19"/>
      <c r="QAA48" s="19"/>
      <c r="QAB48" s="21"/>
      <c r="QAC48" s="19"/>
      <c r="QAL48" s="19"/>
      <c r="QAM48" s="19"/>
      <c r="QAN48" s="19"/>
      <c r="QAO48" s="19"/>
      <c r="QAP48" s="21"/>
      <c r="QAQ48" s="19"/>
      <c r="QAZ48" s="19"/>
      <c r="QBA48" s="19"/>
      <c r="QBB48" s="19"/>
      <c r="QBC48" s="19"/>
      <c r="QBD48" s="21"/>
      <c r="QBE48" s="19"/>
      <c r="QBN48" s="19"/>
      <c r="QBO48" s="19"/>
      <c r="QBP48" s="19"/>
      <c r="QBQ48" s="19"/>
      <c r="QBR48" s="21"/>
      <c r="QBS48" s="19"/>
      <c r="QCB48" s="19"/>
      <c r="QCC48" s="19"/>
      <c r="QCD48" s="19"/>
      <c r="QCE48" s="19"/>
      <c r="QCF48" s="21"/>
      <c r="QCG48" s="19"/>
      <c r="QCP48" s="19"/>
      <c r="QCQ48" s="19"/>
      <c r="QCR48" s="19"/>
      <c r="QCS48" s="19"/>
      <c r="QCT48" s="21"/>
      <c r="QCU48" s="19"/>
      <c r="QDD48" s="19"/>
      <c r="QDE48" s="19"/>
      <c r="QDF48" s="19"/>
      <c r="QDG48" s="19"/>
      <c r="QDH48" s="21"/>
      <c r="QDI48" s="19"/>
      <c r="QDR48" s="19"/>
      <c r="QDS48" s="19"/>
      <c r="QDT48" s="19"/>
      <c r="QDU48" s="19"/>
      <c r="QDV48" s="21"/>
      <c r="QDW48" s="19"/>
      <c r="QEF48" s="19"/>
      <c r="QEG48" s="19"/>
      <c r="QEH48" s="19"/>
      <c r="QEI48" s="19"/>
      <c r="QEJ48" s="21"/>
      <c r="QEK48" s="19"/>
      <c r="QET48" s="19"/>
      <c r="QEU48" s="19"/>
      <c r="QEV48" s="19"/>
      <c r="QEW48" s="19"/>
      <c r="QEX48" s="21"/>
      <c r="QEY48" s="19"/>
      <c r="QFH48" s="19"/>
      <c r="QFI48" s="19"/>
      <c r="QFJ48" s="19"/>
      <c r="QFK48" s="19"/>
      <c r="QFL48" s="21"/>
      <c r="QFM48" s="19"/>
      <c r="QFV48" s="19"/>
      <c r="QFW48" s="19"/>
      <c r="QFX48" s="19"/>
      <c r="QFY48" s="19"/>
      <c r="QFZ48" s="21"/>
      <c r="QGA48" s="19"/>
      <c r="QGJ48" s="19"/>
      <c r="QGK48" s="19"/>
      <c r="QGL48" s="19"/>
      <c r="QGM48" s="19"/>
      <c r="QGN48" s="21"/>
      <c r="QGO48" s="19"/>
      <c r="QGX48" s="19"/>
      <c r="QGY48" s="19"/>
      <c r="QGZ48" s="19"/>
      <c r="QHA48" s="19"/>
      <c r="QHB48" s="21"/>
      <c r="QHC48" s="19"/>
      <c r="QHL48" s="19"/>
      <c r="QHM48" s="19"/>
      <c r="QHN48" s="19"/>
      <c r="QHO48" s="19"/>
      <c r="QHP48" s="21"/>
      <c r="QHQ48" s="19"/>
      <c r="QHZ48" s="19"/>
      <c r="QIA48" s="19"/>
      <c r="QIB48" s="19"/>
      <c r="QIC48" s="19"/>
      <c r="QID48" s="21"/>
      <c r="QIE48" s="19"/>
      <c r="QIN48" s="19"/>
      <c r="QIO48" s="19"/>
      <c r="QIP48" s="19"/>
      <c r="QIQ48" s="19"/>
      <c r="QIR48" s="21"/>
      <c r="QIS48" s="19"/>
      <c r="QJB48" s="19"/>
      <c r="QJC48" s="19"/>
      <c r="QJD48" s="19"/>
      <c r="QJE48" s="19"/>
      <c r="QJF48" s="21"/>
      <c r="QJG48" s="19"/>
      <c r="QJP48" s="19"/>
      <c r="QJQ48" s="19"/>
      <c r="QJR48" s="19"/>
      <c r="QJS48" s="19"/>
      <c r="QJT48" s="21"/>
      <c r="QJU48" s="19"/>
      <c r="QKD48" s="19"/>
      <c r="QKE48" s="19"/>
      <c r="QKF48" s="19"/>
      <c r="QKG48" s="19"/>
      <c r="QKH48" s="21"/>
      <c r="QKI48" s="19"/>
      <c r="QKR48" s="19"/>
      <c r="QKS48" s="19"/>
      <c r="QKT48" s="19"/>
      <c r="QKU48" s="19"/>
      <c r="QKV48" s="21"/>
      <c r="QKW48" s="19"/>
      <c r="QLF48" s="19"/>
      <c r="QLG48" s="19"/>
      <c r="QLH48" s="19"/>
      <c r="QLI48" s="19"/>
      <c r="QLJ48" s="21"/>
      <c r="QLK48" s="19"/>
      <c r="QLT48" s="19"/>
      <c r="QLU48" s="19"/>
      <c r="QLV48" s="19"/>
      <c r="QLW48" s="19"/>
      <c r="QLX48" s="21"/>
      <c r="QLY48" s="19"/>
      <c r="QMH48" s="19"/>
      <c r="QMI48" s="19"/>
      <c r="QMJ48" s="19"/>
      <c r="QMK48" s="19"/>
      <c r="QML48" s="21"/>
      <c r="QMM48" s="19"/>
      <c r="QMV48" s="19"/>
      <c r="QMW48" s="19"/>
      <c r="QMX48" s="19"/>
      <c r="QMY48" s="19"/>
      <c r="QMZ48" s="21"/>
      <c r="QNA48" s="19"/>
      <c r="QNJ48" s="19"/>
      <c r="QNK48" s="19"/>
      <c r="QNL48" s="19"/>
      <c r="QNM48" s="19"/>
      <c r="QNN48" s="21"/>
      <c r="QNO48" s="19"/>
      <c r="QNX48" s="19"/>
      <c r="QNY48" s="19"/>
      <c r="QNZ48" s="19"/>
      <c r="QOA48" s="19"/>
      <c r="QOB48" s="21"/>
      <c r="QOC48" s="19"/>
      <c r="QOL48" s="19"/>
      <c r="QOM48" s="19"/>
      <c r="QON48" s="19"/>
      <c r="QOO48" s="19"/>
      <c r="QOP48" s="21"/>
      <c r="QOQ48" s="19"/>
      <c r="QOZ48" s="19"/>
      <c r="QPA48" s="19"/>
      <c r="QPB48" s="19"/>
      <c r="QPC48" s="19"/>
      <c r="QPD48" s="21"/>
      <c r="QPE48" s="19"/>
      <c r="QPN48" s="19"/>
      <c r="QPO48" s="19"/>
      <c r="QPP48" s="19"/>
      <c r="QPQ48" s="19"/>
      <c r="QPR48" s="21"/>
      <c r="QPS48" s="19"/>
      <c r="QQB48" s="19"/>
      <c r="QQC48" s="19"/>
      <c r="QQD48" s="19"/>
      <c r="QQE48" s="19"/>
      <c r="QQF48" s="21"/>
      <c r="QQG48" s="19"/>
      <c r="QQP48" s="19"/>
      <c r="QQQ48" s="19"/>
      <c r="QQR48" s="19"/>
      <c r="QQS48" s="19"/>
      <c r="QQT48" s="21"/>
      <c r="QQU48" s="19"/>
      <c r="QRD48" s="19"/>
      <c r="QRE48" s="19"/>
      <c r="QRF48" s="19"/>
      <c r="QRG48" s="19"/>
      <c r="QRH48" s="21"/>
      <c r="QRI48" s="19"/>
      <c r="QRR48" s="19"/>
      <c r="QRS48" s="19"/>
      <c r="QRT48" s="19"/>
      <c r="QRU48" s="19"/>
      <c r="QRV48" s="21"/>
      <c r="QRW48" s="19"/>
      <c r="QSF48" s="19"/>
      <c r="QSG48" s="19"/>
      <c r="QSH48" s="19"/>
      <c r="QSI48" s="19"/>
      <c r="QSJ48" s="21"/>
      <c r="QSK48" s="19"/>
      <c r="QST48" s="19"/>
      <c r="QSU48" s="19"/>
      <c r="QSV48" s="19"/>
      <c r="QSW48" s="19"/>
      <c r="QSX48" s="21"/>
      <c r="QSY48" s="19"/>
      <c r="QTH48" s="19"/>
      <c r="QTI48" s="19"/>
      <c r="QTJ48" s="19"/>
      <c r="QTK48" s="19"/>
      <c r="QTL48" s="21"/>
      <c r="QTM48" s="19"/>
      <c r="QTV48" s="19"/>
      <c r="QTW48" s="19"/>
      <c r="QTX48" s="19"/>
      <c r="QTY48" s="19"/>
      <c r="QTZ48" s="21"/>
      <c r="QUA48" s="19"/>
      <c r="QUJ48" s="19"/>
      <c r="QUK48" s="19"/>
      <c r="QUL48" s="19"/>
      <c r="QUM48" s="19"/>
      <c r="QUN48" s="21"/>
      <c r="QUO48" s="19"/>
      <c r="QUX48" s="19"/>
      <c r="QUY48" s="19"/>
      <c r="QUZ48" s="19"/>
      <c r="QVA48" s="19"/>
      <c r="QVB48" s="21"/>
      <c r="QVC48" s="19"/>
      <c r="QVL48" s="19"/>
      <c r="QVM48" s="19"/>
      <c r="QVN48" s="19"/>
      <c r="QVO48" s="19"/>
      <c r="QVP48" s="21"/>
      <c r="QVQ48" s="19"/>
      <c r="QVZ48" s="19"/>
      <c r="QWA48" s="19"/>
      <c r="QWB48" s="19"/>
      <c r="QWC48" s="19"/>
      <c r="QWD48" s="21"/>
      <c r="QWE48" s="19"/>
      <c r="QWN48" s="19"/>
      <c r="QWO48" s="19"/>
      <c r="QWP48" s="19"/>
      <c r="QWQ48" s="19"/>
      <c r="QWR48" s="21"/>
      <c r="QWS48" s="19"/>
      <c r="QXB48" s="19"/>
      <c r="QXC48" s="19"/>
      <c r="QXD48" s="19"/>
      <c r="QXE48" s="19"/>
      <c r="QXF48" s="21"/>
      <c r="QXG48" s="19"/>
      <c r="QXP48" s="19"/>
      <c r="QXQ48" s="19"/>
      <c r="QXR48" s="19"/>
      <c r="QXS48" s="19"/>
      <c r="QXT48" s="21"/>
      <c r="QXU48" s="19"/>
      <c r="QYD48" s="19"/>
      <c r="QYE48" s="19"/>
      <c r="QYF48" s="19"/>
      <c r="QYG48" s="19"/>
      <c r="QYH48" s="21"/>
      <c r="QYI48" s="19"/>
      <c r="QYR48" s="19"/>
      <c r="QYS48" s="19"/>
      <c r="QYT48" s="19"/>
      <c r="QYU48" s="19"/>
      <c r="QYV48" s="21"/>
      <c r="QYW48" s="19"/>
      <c r="QZF48" s="19"/>
      <c r="QZG48" s="19"/>
      <c r="QZH48" s="19"/>
      <c r="QZI48" s="19"/>
      <c r="QZJ48" s="21"/>
      <c r="QZK48" s="19"/>
      <c r="QZT48" s="19"/>
      <c r="QZU48" s="19"/>
      <c r="QZV48" s="19"/>
      <c r="QZW48" s="19"/>
      <c r="QZX48" s="21"/>
      <c r="QZY48" s="19"/>
      <c r="RAH48" s="19"/>
      <c r="RAI48" s="19"/>
      <c r="RAJ48" s="19"/>
      <c r="RAK48" s="19"/>
      <c r="RAL48" s="21"/>
      <c r="RAM48" s="19"/>
      <c r="RAV48" s="19"/>
      <c r="RAW48" s="19"/>
      <c r="RAX48" s="19"/>
      <c r="RAY48" s="19"/>
      <c r="RAZ48" s="21"/>
      <c r="RBA48" s="19"/>
      <c r="RBJ48" s="19"/>
      <c r="RBK48" s="19"/>
      <c r="RBL48" s="19"/>
      <c r="RBM48" s="19"/>
      <c r="RBN48" s="21"/>
      <c r="RBO48" s="19"/>
      <c r="RBX48" s="19"/>
      <c r="RBY48" s="19"/>
      <c r="RBZ48" s="19"/>
      <c r="RCA48" s="19"/>
      <c r="RCB48" s="21"/>
      <c r="RCC48" s="19"/>
      <c r="RCL48" s="19"/>
      <c r="RCM48" s="19"/>
      <c r="RCN48" s="19"/>
      <c r="RCO48" s="19"/>
      <c r="RCP48" s="21"/>
      <c r="RCQ48" s="19"/>
      <c r="RCZ48" s="19"/>
      <c r="RDA48" s="19"/>
      <c r="RDB48" s="19"/>
      <c r="RDC48" s="19"/>
      <c r="RDD48" s="21"/>
      <c r="RDE48" s="19"/>
      <c r="RDN48" s="19"/>
      <c r="RDO48" s="19"/>
      <c r="RDP48" s="19"/>
      <c r="RDQ48" s="19"/>
      <c r="RDR48" s="21"/>
      <c r="RDS48" s="19"/>
      <c r="REB48" s="19"/>
      <c r="REC48" s="19"/>
      <c r="RED48" s="19"/>
      <c r="REE48" s="19"/>
      <c r="REF48" s="21"/>
      <c r="REG48" s="19"/>
      <c r="REP48" s="19"/>
      <c r="REQ48" s="19"/>
      <c r="RER48" s="19"/>
      <c r="RES48" s="19"/>
      <c r="RET48" s="21"/>
      <c r="REU48" s="19"/>
      <c r="RFD48" s="19"/>
      <c r="RFE48" s="19"/>
      <c r="RFF48" s="19"/>
      <c r="RFG48" s="19"/>
      <c r="RFH48" s="21"/>
      <c r="RFI48" s="19"/>
      <c r="RFR48" s="19"/>
      <c r="RFS48" s="19"/>
      <c r="RFT48" s="19"/>
      <c r="RFU48" s="19"/>
      <c r="RFV48" s="21"/>
      <c r="RFW48" s="19"/>
      <c r="RGF48" s="19"/>
      <c r="RGG48" s="19"/>
      <c r="RGH48" s="19"/>
      <c r="RGI48" s="19"/>
      <c r="RGJ48" s="21"/>
      <c r="RGK48" s="19"/>
      <c r="RGT48" s="19"/>
      <c r="RGU48" s="19"/>
      <c r="RGV48" s="19"/>
      <c r="RGW48" s="19"/>
      <c r="RGX48" s="21"/>
      <c r="RGY48" s="19"/>
      <c r="RHH48" s="19"/>
      <c r="RHI48" s="19"/>
      <c r="RHJ48" s="19"/>
      <c r="RHK48" s="19"/>
      <c r="RHL48" s="21"/>
      <c r="RHM48" s="19"/>
      <c r="RHV48" s="19"/>
      <c r="RHW48" s="19"/>
      <c r="RHX48" s="19"/>
      <c r="RHY48" s="19"/>
      <c r="RHZ48" s="21"/>
      <c r="RIA48" s="19"/>
      <c r="RIJ48" s="19"/>
      <c r="RIK48" s="19"/>
      <c r="RIL48" s="19"/>
      <c r="RIM48" s="19"/>
      <c r="RIN48" s="21"/>
      <c r="RIO48" s="19"/>
      <c r="RIX48" s="19"/>
      <c r="RIY48" s="19"/>
      <c r="RIZ48" s="19"/>
      <c r="RJA48" s="19"/>
      <c r="RJB48" s="21"/>
      <c r="RJC48" s="19"/>
      <c r="RJL48" s="19"/>
      <c r="RJM48" s="19"/>
      <c r="RJN48" s="19"/>
      <c r="RJO48" s="19"/>
      <c r="RJP48" s="21"/>
      <c r="RJQ48" s="19"/>
      <c r="RJZ48" s="19"/>
      <c r="RKA48" s="19"/>
      <c r="RKB48" s="19"/>
      <c r="RKC48" s="19"/>
      <c r="RKD48" s="21"/>
      <c r="RKE48" s="19"/>
      <c r="RKN48" s="19"/>
      <c r="RKO48" s="19"/>
      <c r="RKP48" s="19"/>
      <c r="RKQ48" s="19"/>
      <c r="RKR48" s="21"/>
      <c r="RKS48" s="19"/>
      <c r="RLB48" s="19"/>
      <c r="RLC48" s="19"/>
      <c r="RLD48" s="19"/>
      <c r="RLE48" s="19"/>
      <c r="RLF48" s="21"/>
      <c r="RLG48" s="19"/>
      <c r="RLP48" s="19"/>
      <c r="RLQ48" s="19"/>
      <c r="RLR48" s="19"/>
      <c r="RLS48" s="19"/>
      <c r="RLT48" s="21"/>
      <c r="RLU48" s="19"/>
      <c r="RMD48" s="19"/>
      <c r="RME48" s="19"/>
      <c r="RMF48" s="19"/>
      <c r="RMG48" s="19"/>
      <c r="RMH48" s="21"/>
      <c r="RMI48" s="19"/>
      <c r="RMR48" s="19"/>
      <c r="RMS48" s="19"/>
      <c r="RMT48" s="19"/>
      <c r="RMU48" s="19"/>
      <c r="RMV48" s="21"/>
      <c r="RMW48" s="19"/>
      <c r="RNF48" s="19"/>
      <c r="RNG48" s="19"/>
      <c r="RNH48" s="19"/>
      <c r="RNI48" s="19"/>
      <c r="RNJ48" s="21"/>
      <c r="RNK48" s="19"/>
      <c r="RNT48" s="19"/>
      <c r="RNU48" s="19"/>
      <c r="RNV48" s="19"/>
      <c r="RNW48" s="19"/>
      <c r="RNX48" s="21"/>
      <c r="RNY48" s="19"/>
      <c r="ROH48" s="19"/>
      <c r="ROI48" s="19"/>
      <c r="ROJ48" s="19"/>
      <c r="ROK48" s="19"/>
      <c r="ROL48" s="21"/>
      <c r="ROM48" s="19"/>
      <c r="ROV48" s="19"/>
      <c r="ROW48" s="19"/>
      <c r="ROX48" s="19"/>
      <c r="ROY48" s="19"/>
      <c r="ROZ48" s="21"/>
      <c r="RPA48" s="19"/>
      <c r="RPJ48" s="19"/>
      <c r="RPK48" s="19"/>
      <c r="RPL48" s="19"/>
      <c r="RPM48" s="19"/>
      <c r="RPN48" s="21"/>
      <c r="RPO48" s="19"/>
      <c r="RPX48" s="19"/>
      <c r="RPY48" s="19"/>
      <c r="RPZ48" s="19"/>
      <c r="RQA48" s="19"/>
      <c r="RQB48" s="21"/>
      <c r="RQC48" s="19"/>
      <c r="RQL48" s="19"/>
      <c r="RQM48" s="19"/>
      <c r="RQN48" s="19"/>
      <c r="RQO48" s="19"/>
      <c r="RQP48" s="21"/>
      <c r="RQQ48" s="19"/>
      <c r="RQZ48" s="19"/>
      <c r="RRA48" s="19"/>
      <c r="RRB48" s="19"/>
      <c r="RRC48" s="19"/>
      <c r="RRD48" s="21"/>
      <c r="RRE48" s="19"/>
      <c r="RRN48" s="19"/>
      <c r="RRO48" s="19"/>
      <c r="RRP48" s="19"/>
      <c r="RRQ48" s="19"/>
      <c r="RRR48" s="21"/>
      <c r="RRS48" s="19"/>
      <c r="RSB48" s="19"/>
      <c r="RSC48" s="19"/>
      <c r="RSD48" s="19"/>
      <c r="RSE48" s="19"/>
      <c r="RSF48" s="21"/>
      <c r="RSG48" s="19"/>
      <c r="RSP48" s="19"/>
      <c r="RSQ48" s="19"/>
      <c r="RSR48" s="19"/>
      <c r="RSS48" s="19"/>
      <c r="RST48" s="21"/>
      <c r="RSU48" s="19"/>
      <c r="RTD48" s="19"/>
      <c r="RTE48" s="19"/>
      <c r="RTF48" s="19"/>
      <c r="RTG48" s="19"/>
      <c r="RTH48" s="21"/>
      <c r="RTI48" s="19"/>
      <c r="RTR48" s="19"/>
      <c r="RTS48" s="19"/>
      <c r="RTT48" s="19"/>
      <c r="RTU48" s="19"/>
      <c r="RTV48" s="21"/>
      <c r="RTW48" s="19"/>
      <c r="RUF48" s="19"/>
      <c r="RUG48" s="19"/>
      <c r="RUH48" s="19"/>
      <c r="RUI48" s="19"/>
      <c r="RUJ48" s="21"/>
      <c r="RUK48" s="19"/>
      <c r="RUT48" s="19"/>
      <c r="RUU48" s="19"/>
      <c r="RUV48" s="19"/>
      <c r="RUW48" s="19"/>
      <c r="RUX48" s="21"/>
      <c r="RUY48" s="19"/>
      <c r="RVH48" s="19"/>
      <c r="RVI48" s="19"/>
      <c r="RVJ48" s="19"/>
      <c r="RVK48" s="19"/>
      <c r="RVL48" s="21"/>
      <c r="RVM48" s="19"/>
      <c r="RVV48" s="19"/>
      <c r="RVW48" s="19"/>
      <c r="RVX48" s="19"/>
      <c r="RVY48" s="19"/>
      <c r="RVZ48" s="21"/>
      <c r="RWA48" s="19"/>
      <c r="RWJ48" s="19"/>
      <c r="RWK48" s="19"/>
      <c r="RWL48" s="19"/>
      <c r="RWM48" s="19"/>
      <c r="RWN48" s="21"/>
      <c r="RWO48" s="19"/>
      <c r="RWX48" s="19"/>
      <c r="RWY48" s="19"/>
      <c r="RWZ48" s="19"/>
      <c r="RXA48" s="19"/>
      <c r="RXB48" s="21"/>
      <c r="RXC48" s="19"/>
      <c r="RXL48" s="19"/>
      <c r="RXM48" s="19"/>
      <c r="RXN48" s="19"/>
      <c r="RXO48" s="19"/>
      <c r="RXP48" s="21"/>
      <c r="RXQ48" s="19"/>
      <c r="RXZ48" s="19"/>
      <c r="RYA48" s="19"/>
      <c r="RYB48" s="19"/>
      <c r="RYC48" s="19"/>
      <c r="RYD48" s="21"/>
      <c r="RYE48" s="19"/>
      <c r="RYN48" s="19"/>
      <c r="RYO48" s="19"/>
      <c r="RYP48" s="19"/>
      <c r="RYQ48" s="19"/>
      <c r="RYR48" s="21"/>
      <c r="RYS48" s="19"/>
      <c r="RZB48" s="19"/>
      <c r="RZC48" s="19"/>
      <c r="RZD48" s="19"/>
      <c r="RZE48" s="19"/>
      <c r="RZF48" s="21"/>
      <c r="RZG48" s="19"/>
      <c r="RZP48" s="19"/>
      <c r="RZQ48" s="19"/>
      <c r="RZR48" s="19"/>
      <c r="RZS48" s="19"/>
      <c r="RZT48" s="21"/>
      <c r="RZU48" s="19"/>
      <c r="SAD48" s="19"/>
      <c r="SAE48" s="19"/>
      <c r="SAF48" s="19"/>
      <c r="SAG48" s="19"/>
      <c r="SAH48" s="21"/>
      <c r="SAI48" s="19"/>
      <c r="SAR48" s="19"/>
      <c r="SAS48" s="19"/>
      <c r="SAT48" s="19"/>
      <c r="SAU48" s="19"/>
      <c r="SAV48" s="21"/>
      <c r="SAW48" s="19"/>
      <c r="SBF48" s="19"/>
      <c r="SBG48" s="19"/>
      <c r="SBH48" s="19"/>
      <c r="SBI48" s="19"/>
      <c r="SBJ48" s="21"/>
      <c r="SBK48" s="19"/>
      <c r="SBT48" s="19"/>
      <c r="SBU48" s="19"/>
      <c r="SBV48" s="19"/>
      <c r="SBW48" s="19"/>
      <c r="SBX48" s="21"/>
      <c r="SBY48" s="19"/>
      <c r="SCH48" s="19"/>
      <c r="SCI48" s="19"/>
      <c r="SCJ48" s="19"/>
      <c r="SCK48" s="19"/>
      <c r="SCL48" s="21"/>
      <c r="SCM48" s="19"/>
      <c r="SCV48" s="19"/>
      <c r="SCW48" s="19"/>
      <c r="SCX48" s="19"/>
      <c r="SCY48" s="19"/>
      <c r="SCZ48" s="21"/>
      <c r="SDA48" s="19"/>
      <c r="SDJ48" s="19"/>
      <c r="SDK48" s="19"/>
      <c r="SDL48" s="19"/>
      <c r="SDM48" s="19"/>
      <c r="SDN48" s="21"/>
      <c r="SDO48" s="19"/>
      <c r="SDX48" s="19"/>
      <c r="SDY48" s="19"/>
      <c r="SDZ48" s="19"/>
      <c r="SEA48" s="19"/>
      <c r="SEB48" s="21"/>
      <c r="SEC48" s="19"/>
      <c r="SEL48" s="19"/>
      <c r="SEM48" s="19"/>
      <c r="SEN48" s="19"/>
      <c r="SEO48" s="19"/>
      <c r="SEP48" s="21"/>
      <c r="SEQ48" s="19"/>
      <c r="SEZ48" s="19"/>
      <c r="SFA48" s="19"/>
      <c r="SFB48" s="19"/>
      <c r="SFC48" s="19"/>
      <c r="SFD48" s="21"/>
      <c r="SFE48" s="19"/>
      <c r="SFN48" s="19"/>
      <c r="SFO48" s="19"/>
      <c r="SFP48" s="19"/>
      <c r="SFQ48" s="19"/>
      <c r="SFR48" s="21"/>
      <c r="SFS48" s="19"/>
      <c r="SGB48" s="19"/>
      <c r="SGC48" s="19"/>
      <c r="SGD48" s="19"/>
      <c r="SGE48" s="19"/>
      <c r="SGF48" s="21"/>
      <c r="SGG48" s="19"/>
      <c r="SGP48" s="19"/>
      <c r="SGQ48" s="19"/>
      <c r="SGR48" s="19"/>
      <c r="SGS48" s="19"/>
      <c r="SGT48" s="21"/>
      <c r="SGU48" s="19"/>
      <c r="SHD48" s="19"/>
      <c r="SHE48" s="19"/>
      <c r="SHF48" s="19"/>
      <c r="SHG48" s="19"/>
      <c r="SHH48" s="21"/>
      <c r="SHI48" s="19"/>
      <c r="SHR48" s="19"/>
      <c r="SHS48" s="19"/>
      <c r="SHT48" s="19"/>
      <c r="SHU48" s="19"/>
      <c r="SHV48" s="21"/>
      <c r="SHW48" s="19"/>
      <c r="SIF48" s="19"/>
      <c r="SIG48" s="19"/>
      <c r="SIH48" s="19"/>
      <c r="SII48" s="19"/>
      <c r="SIJ48" s="21"/>
      <c r="SIK48" s="19"/>
      <c r="SIT48" s="19"/>
      <c r="SIU48" s="19"/>
      <c r="SIV48" s="19"/>
      <c r="SIW48" s="19"/>
      <c r="SIX48" s="21"/>
      <c r="SIY48" s="19"/>
      <c r="SJH48" s="19"/>
      <c r="SJI48" s="19"/>
      <c r="SJJ48" s="19"/>
      <c r="SJK48" s="19"/>
      <c r="SJL48" s="21"/>
      <c r="SJM48" s="19"/>
      <c r="SJV48" s="19"/>
      <c r="SJW48" s="19"/>
      <c r="SJX48" s="19"/>
      <c r="SJY48" s="19"/>
      <c r="SJZ48" s="21"/>
      <c r="SKA48" s="19"/>
      <c r="SKJ48" s="19"/>
      <c r="SKK48" s="19"/>
      <c r="SKL48" s="19"/>
      <c r="SKM48" s="19"/>
      <c r="SKN48" s="21"/>
      <c r="SKO48" s="19"/>
      <c r="SKX48" s="19"/>
      <c r="SKY48" s="19"/>
      <c r="SKZ48" s="19"/>
      <c r="SLA48" s="19"/>
      <c r="SLB48" s="21"/>
      <c r="SLC48" s="19"/>
      <c r="SLL48" s="19"/>
      <c r="SLM48" s="19"/>
      <c r="SLN48" s="19"/>
      <c r="SLO48" s="19"/>
      <c r="SLP48" s="21"/>
      <c r="SLQ48" s="19"/>
      <c r="SLZ48" s="19"/>
      <c r="SMA48" s="19"/>
      <c r="SMB48" s="19"/>
      <c r="SMC48" s="19"/>
      <c r="SMD48" s="21"/>
      <c r="SME48" s="19"/>
      <c r="SMN48" s="19"/>
      <c r="SMO48" s="19"/>
      <c r="SMP48" s="19"/>
      <c r="SMQ48" s="19"/>
      <c r="SMR48" s="21"/>
      <c r="SMS48" s="19"/>
      <c r="SNB48" s="19"/>
      <c r="SNC48" s="19"/>
      <c r="SND48" s="19"/>
      <c r="SNE48" s="19"/>
      <c r="SNF48" s="21"/>
      <c r="SNG48" s="19"/>
      <c r="SNP48" s="19"/>
      <c r="SNQ48" s="19"/>
      <c r="SNR48" s="19"/>
      <c r="SNS48" s="19"/>
      <c r="SNT48" s="21"/>
      <c r="SNU48" s="19"/>
      <c r="SOD48" s="19"/>
      <c r="SOE48" s="19"/>
      <c r="SOF48" s="19"/>
      <c r="SOG48" s="19"/>
      <c r="SOH48" s="21"/>
      <c r="SOI48" s="19"/>
      <c r="SOR48" s="19"/>
      <c r="SOS48" s="19"/>
      <c r="SOT48" s="19"/>
      <c r="SOU48" s="19"/>
      <c r="SOV48" s="21"/>
      <c r="SOW48" s="19"/>
      <c r="SPF48" s="19"/>
      <c r="SPG48" s="19"/>
      <c r="SPH48" s="19"/>
      <c r="SPI48" s="19"/>
      <c r="SPJ48" s="21"/>
      <c r="SPK48" s="19"/>
      <c r="SPT48" s="19"/>
      <c r="SPU48" s="19"/>
      <c r="SPV48" s="19"/>
      <c r="SPW48" s="19"/>
      <c r="SPX48" s="21"/>
      <c r="SPY48" s="19"/>
      <c r="SQH48" s="19"/>
      <c r="SQI48" s="19"/>
      <c r="SQJ48" s="19"/>
      <c r="SQK48" s="19"/>
      <c r="SQL48" s="21"/>
      <c r="SQM48" s="19"/>
      <c r="SQV48" s="19"/>
      <c r="SQW48" s="19"/>
      <c r="SQX48" s="19"/>
      <c r="SQY48" s="19"/>
      <c r="SQZ48" s="21"/>
      <c r="SRA48" s="19"/>
      <c r="SRJ48" s="19"/>
      <c r="SRK48" s="19"/>
      <c r="SRL48" s="19"/>
      <c r="SRM48" s="19"/>
      <c r="SRN48" s="21"/>
      <c r="SRO48" s="19"/>
      <c r="SRX48" s="19"/>
      <c r="SRY48" s="19"/>
      <c r="SRZ48" s="19"/>
      <c r="SSA48" s="19"/>
      <c r="SSB48" s="21"/>
      <c r="SSC48" s="19"/>
      <c r="SSL48" s="19"/>
      <c r="SSM48" s="19"/>
      <c r="SSN48" s="19"/>
      <c r="SSO48" s="19"/>
      <c r="SSP48" s="21"/>
      <c r="SSQ48" s="19"/>
      <c r="SSZ48" s="19"/>
      <c r="STA48" s="19"/>
      <c r="STB48" s="19"/>
      <c r="STC48" s="19"/>
      <c r="STD48" s="21"/>
      <c r="STE48" s="19"/>
      <c r="STN48" s="19"/>
      <c r="STO48" s="19"/>
      <c r="STP48" s="19"/>
      <c r="STQ48" s="19"/>
      <c r="STR48" s="21"/>
      <c r="STS48" s="19"/>
      <c r="SUB48" s="19"/>
      <c r="SUC48" s="19"/>
      <c r="SUD48" s="19"/>
      <c r="SUE48" s="19"/>
      <c r="SUF48" s="21"/>
      <c r="SUG48" s="19"/>
      <c r="SUP48" s="19"/>
      <c r="SUQ48" s="19"/>
      <c r="SUR48" s="19"/>
      <c r="SUS48" s="19"/>
      <c r="SUT48" s="21"/>
      <c r="SUU48" s="19"/>
      <c r="SVD48" s="19"/>
      <c r="SVE48" s="19"/>
      <c r="SVF48" s="19"/>
      <c r="SVG48" s="19"/>
      <c r="SVH48" s="21"/>
      <c r="SVI48" s="19"/>
      <c r="SVR48" s="19"/>
      <c r="SVS48" s="19"/>
      <c r="SVT48" s="19"/>
      <c r="SVU48" s="19"/>
      <c r="SVV48" s="21"/>
      <c r="SVW48" s="19"/>
      <c r="SWF48" s="19"/>
      <c r="SWG48" s="19"/>
      <c r="SWH48" s="19"/>
      <c r="SWI48" s="19"/>
      <c r="SWJ48" s="21"/>
      <c r="SWK48" s="19"/>
      <c r="SWT48" s="19"/>
      <c r="SWU48" s="19"/>
      <c r="SWV48" s="19"/>
      <c r="SWW48" s="19"/>
      <c r="SWX48" s="21"/>
      <c r="SWY48" s="19"/>
      <c r="SXH48" s="19"/>
      <c r="SXI48" s="19"/>
      <c r="SXJ48" s="19"/>
      <c r="SXK48" s="19"/>
      <c r="SXL48" s="21"/>
      <c r="SXM48" s="19"/>
      <c r="SXV48" s="19"/>
      <c r="SXW48" s="19"/>
      <c r="SXX48" s="19"/>
      <c r="SXY48" s="19"/>
      <c r="SXZ48" s="21"/>
      <c r="SYA48" s="19"/>
      <c r="SYJ48" s="19"/>
      <c r="SYK48" s="19"/>
      <c r="SYL48" s="19"/>
      <c r="SYM48" s="19"/>
      <c r="SYN48" s="21"/>
      <c r="SYO48" s="19"/>
      <c r="SYX48" s="19"/>
      <c r="SYY48" s="19"/>
      <c r="SYZ48" s="19"/>
      <c r="SZA48" s="19"/>
      <c r="SZB48" s="21"/>
      <c r="SZC48" s="19"/>
      <c r="SZL48" s="19"/>
      <c r="SZM48" s="19"/>
      <c r="SZN48" s="19"/>
      <c r="SZO48" s="19"/>
      <c r="SZP48" s="21"/>
      <c r="SZQ48" s="19"/>
      <c r="SZZ48" s="19"/>
      <c r="TAA48" s="19"/>
      <c r="TAB48" s="19"/>
      <c r="TAC48" s="19"/>
      <c r="TAD48" s="21"/>
      <c r="TAE48" s="19"/>
      <c r="TAN48" s="19"/>
      <c r="TAO48" s="19"/>
      <c r="TAP48" s="19"/>
      <c r="TAQ48" s="19"/>
      <c r="TAR48" s="21"/>
      <c r="TAS48" s="19"/>
      <c r="TBB48" s="19"/>
      <c r="TBC48" s="19"/>
      <c r="TBD48" s="19"/>
      <c r="TBE48" s="19"/>
      <c r="TBF48" s="21"/>
      <c r="TBG48" s="19"/>
      <c r="TBP48" s="19"/>
      <c r="TBQ48" s="19"/>
      <c r="TBR48" s="19"/>
      <c r="TBS48" s="19"/>
      <c r="TBT48" s="21"/>
      <c r="TBU48" s="19"/>
      <c r="TCD48" s="19"/>
      <c r="TCE48" s="19"/>
      <c r="TCF48" s="19"/>
      <c r="TCG48" s="19"/>
      <c r="TCH48" s="21"/>
      <c r="TCI48" s="19"/>
      <c r="TCR48" s="19"/>
      <c r="TCS48" s="19"/>
      <c r="TCT48" s="19"/>
      <c r="TCU48" s="19"/>
      <c r="TCV48" s="21"/>
      <c r="TCW48" s="19"/>
      <c r="TDF48" s="19"/>
      <c r="TDG48" s="19"/>
      <c r="TDH48" s="19"/>
      <c r="TDI48" s="19"/>
      <c r="TDJ48" s="21"/>
      <c r="TDK48" s="19"/>
      <c r="TDT48" s="19"/>
      <c r="TDU48" s="19"/>
      <c r="TDV48" s="19"/>
      <c r="TDW48" s="19"/>
      <c r="TDX48" s="21"/>
      <c r="TDY48" s="19"/>
      <c r="TEH48" s="19"/>
      <c r="TEI48" s="19"/>
      <c r="TEJ48" s="19"/>
      <c r="TEK48" s="19"/>
      <c r="TEL48" s="21"/>
      <c r="TEM48" s="19"/>
      <c r="TEV48" s="19"/>
      <c r="TEW48" s="19"/>
      <c r="TEX48" s="19"/>
      <c r="TEY48" s="19"/>
      <c r="TEZ48" s="21"/>
      <c r="TFA48" s="19"/>
      <c r="TFJ48" s="19"/>
      <c r="TFK48" s="19"/>
      <c r="TFL48" s="19"/>
      <c r="TFM48" s="19"/>
      <c r="TFN48" s="21"/>
      <c r="TFO48" s="19"/>
      <c r="TFX48" s="19"/>
      <c r="TFY48" s="19"/>
      <c r="TFZ48" s="19"/>
      <c r="TGA48" s="19"/>
      <c r="TGB48" s="21"/>
      <c r="TGC48" s="19"/>
      <c r="TGL48" s="19"/>
      <c r="TGM48" s="19"/>
      <c r="TGN48" s="19"/>
      <c r="TGO48" s="19"/>
      <c r="TGP48" s="21"/>
      <c r="TGQ48" s="19"/>
      <c r="TGZ48" s="19"/>
      <c r="THA48" s="19"/>
      <c r="THB48" s="19"/>
      <c r="THC48" s="19"/>
      <c r="THD48" s="21"/>
      <c r="THE48" s="19"/>
      <c r="THN48" s="19"/>
      <c r="THO48" s="19"/>
      <c r="THP48" s="19"/>
      <c r="THQ48" s="19"/>
      <c r="THR48" s="21"/>
      <c r="THS48" s="19"/>
      <c r="TIB48" s="19"/>
      <c r="TIC48" s="19"/>
      <c r="TID48" s="19"/>
      <c r="TIE48" s="19"/>
      <c r="TIF48" s="21"/>
      <c r="TIG48" s="19"/>
      <c r="TIP48" s="19"/>
      <c r="TIQ48" s="19"/>
      <c r="TIR48" s="19"/>
      <c r="TIS48" s="19"/>
      <c r="TIT48" s="21"/>
      <c r="TIU48" s="19"/>
      <c r="TJD48" s="19"/>
      <c r="TJE48" s="19"/>
      <c r="TJF48" s="19"/>
      <c r="TJG48" s="19"/>
      <c r="TJH48" s="21"/>
      <c r="TJI48" s="19"/>
      <c r="TJR48" s="19"/>
      <c r="TJS48" s="19"/>
      <c r="TJT48" s="19"/>
      <c r="TJU48" s="19"/>
      <c r="TJV48" s="21"/>
      <c r="TJW48" s="19"/>
      <c r="TKF48" s="19"/>
      <c r="TKG48" s="19"/>
      <c r="TKH48" s="19"/>
      <c r="TKI48" s="19"/>
      <c r="TKJ48" s="21"/>
      <c r="TKK48" s="19"/>
      <c r="TKT48" s="19"/>
      <c r="TKU48" s="19"/>
      <c r="TKV48" s="19"/>
      <c r="TKW48" s="19"/>
      <c r="TKX48" s="21"/>
      <c r="TKY48" s="19"/>
      <c r="TLH48" s="19"/>
      <c r="TLI48" s="19"/>
      <c r="TLJ48" s="19"/>
      <c r="TLK48" s="19"/>
      <c r="TLL48" s="21"/>
      <c r="TLM48" s="19"/>
      <c r="TLV48" s="19"/>
      <c r="TLW48" s="19"/>
      <c r="TLX48" s="19"/>
      <c r="TLY48" s="19"/>
      <c r="TLZ48" s="21"/>
      <c r="TMA48" s="19"/>
      <c r="TMJ48" s="19"/>
      <c r="TMK48" s="19"/>
      <c r="TML48" s="19"/>
      <c r="TMM48" s="19"/>
      <c r="TMN48" s="21"/>
      <c r="TMO48" s="19"/>
      <c r="TMX48" s="19"/>
      <c r="TMY48" s="19"/>
      <c r="TMZ48" s="19"/>
      <c r="TNA48" s="19"/>
      <c r="TNB48" s="21"/>
      <c r="TNC48" s="19"/>
      <c r="TNL48" s="19"/>
      <c r="TNM48" s="19"/>
      <c r="TNN48" s="19"/>
      <c r="TNO48" s="19"/>
      <c r="TNP48" s="21"/>
      <c r="TNQ48" s="19"/>
      <c r="TNZ48" s="19"/>
      <c r="TOA48" s="19"/>
      <c r="TOB48" s="19"/>
      <c r="TOC48" s="19"/>
      <c r="TOD48" s="21"/>
      <c r="TOE48" s="19"/>
      <c r="TON48" s="19"/>
      <c r="TOO48" s="19"/>
      <c r="TOP48" s="19"/>
      <c r="TOQ48" s="19"/>
      <c r="TOR48" s="21"/>
      <c r="TOS48" s="19"/>
      <c r="TPB48" s="19"/>
      <c r="TPC48" s="19"/>
      <c r="TPD48" s="19"/>
      <c r="TPE48" s="19"/>
      <c r="TPF48" s="21"/>
      <c r="TPG48" s="19"/>
      <c r="TPP48" s="19"/>
      <c r="TPQ48" s="19"/>
      <c r="TPR48" s="19"/>
      <c r="TPS48" s="19"/>
      <c r="TPT48" s="21"/>
      <c r="TPU48" s="19"/>
      <c r="TQD48" s="19"/>
      <c r="TQE48" s="19"/>
      <c r="TQF48" s="19"/>
      <c r="TQG48" s="19"/>
      <c r="TQH48" s="21"/>
      <c r="TQI48" s="19"/>
      <c r="TQR48" s="19"/>
      <c r="TQS48" s="19"/>
      <c r="TQT48" s="19"/>
      <c r="TQU48" s="19"/>
      <c r="TQV48" s="21"/>
      <c r="TQW48" s="19"/>
      <c r="TRF48" s="19"/>
      <c r="TRG48" s="19"/>
      <c r="TRH48" s="19"/>
      <c r="TRI48" s="19"/>
      <c r="TRJ48" s="21"/>
      <c r="TRK48" s="19"/>
      <c r="TRT48" s="19"/>
      <c r="TRU48" s="19"/>
      <c r="TRV48" s="19"/>
      <c r="TRW48" s="19"/>
      <c r="TRX48" s="21"/>
      <c r="TRY48" s="19"/>
      <c r="TSH48" s="19"/>
      <c r="TSI48" s="19"/>
      <c r="TSJ48" s="19"/>
      <c r="TSK48" s="19"/>
      <c r="TSL48" s="21"/>
      <c r="TSM48" s="19"/>
      <c r="TSV48" s="19"/>
      <c r="TSW48" s="19"/>
      <c r="TSX48" s="19"/>
      <c r="TSY48" s="19"/>
      <c r="TSZ48" s="21"/>
      <c r="TTA48" s="19"/>
      <c r="TTJ48" s="19"/>
      <c r="TTK48" s="19"/>
      <c r="TTL48" s="19"/>
      <c r="TTM48" s="19"/>
      <c r="TTN48" s="21"/>
      <c r="TTO48" s="19"/>
      <c r="TTX48" s="19"/>
      <c r="TTY48" s="19"/>
      <c r="TTZ48" s="19"/>
      <c r="TUA48" s="19"/>
      <c r="TUB48" s="21"/>
      <c r="TUC48" s="19"/>
      <c r="TUL48" s="19"/>
      <c r="TUM48" s="19"/>
      <c r="TUN48" s="19"/>
      <c r="TUO48" s="19"/>
      <c r="TUP48" s="21"/>
      <c r="TUQ48" s="19"/>
      <c r="TUZ48" s="19"/>
      <c r="TVA48" s="19"/>
      <c r="TVB48" s="19"/>
      <c r="TVC48" s="19"/>
      <c r="TVD48" s="21"/>
      <c r="TVE48" s="19"/>
      <c r="TVN48" s="19"/>
      <c r="TVO48" s="19"/>
      <c r="TVP48" s="19"/>
      <c r="TVQ48" s="19"/>
      <c r="TVR48" s="21"/>
      <c r="TVS48" s="19"/>
      <c r="TWB48" s="19"/>
      <c r="TWC48" s="19"/>
      <c r="TWD48" s="19"/>
      <c r="TWE48" s="19"/>
      <c r="TWF48" s="21"/>
      <c r="TWG48" s="19"/>
      <c r="TWP48" s="19"/>
      <c r="TWQ48" s="19"/>
      <c r="TWR48" s="19"/>
      <c r="TWS48" s="19"/>
      <c r="TWT48" s="21"/>
      <c r="TWU48" s="19"/>
      <c r="TXD48" s="19"/>
      <c r="TXE48" s="19"/>
      <c r="TXF48" s="19"/>
      <c r="TXG48" s="19"/>
      <c r="TXH48" s="21"/>
      <c r="TXI48" s="19"/>
      <c r="TXR48" s="19"/>
      <c r="TXS48" s="19"/>
      <c r="TXT48" s="19"/>
      <c r="TXU48" s="19"/>
      <c r="TXV48" s="21"/>
      <c r="TXW48" s="19"/>
      <c r="TYF48" s="19"/>
      <c r="TYG48" s="19"/>
      <c r="TYH48" s="19"/>
      <c r="TYI48" s="19"/>
      <c r="TYJ48" s="21"/>
      <c r="TYK48" s="19"/>
      <c r="TYT48" s="19"/>
      <c r="TYU48" s="19"/>
      <c r="TYV48" s="19"/>
      <c r="TYW48" s="19"/>
      <c r="TYX48" s="21"/>
      <c r="TYY48" s="19"/>
      <c r="TZH48" s="19"/>
      <c r="TZI48" s="19"/>
      <c r="TZJ48" s="19"/>
      <c r="TZK48" s="19"/>
      <c r="TZL48" s="21"/>
      <c r="TZM48" s="19"/>
      <c r="TZV48" s="19"/>
      <c r="TZW48" s="19"/>
      <c r="TZX48" s="19"/>
      <c r="TZY48" s="19"/>
      <c r="TZZ48" s="21"/>
      <c r="UAA48" s="19"/>
      <c r="UAJ48" s="19"/>
      <c r="UAK48" s="19"/>
      <c r="UAL48" s="19"/>
      <c r="UAM48" s="19"/>
      <c r="UAN48" s="21"/>
      <c r="UAO48" s="19"/>
      <c r="UAX48" s="19"/>
      <c r="UAY48" s="19"/>
      <c r="UAZ48" s="19"/>
      <c r="UBA48" s="19"/>
      <c r="UBB48" s="21"/>
      <c r="UBC48" s="19"/>
      <c r="UBL48" s="19"/>
      <c r="UBM48" s="19"/>
      <c r="UBN48" s="19"/>
      <c r="UBO48" s="19"/>
      <c r="UBP48" s="21"/>
      <c r="UBQ48" s="19"/>
      <c r="UBZ48" s="19"/>
      <c r="UCA48" s="19"/>
      <c r="UCB48" s="19"/>
      <c r="UCC48" s="19"/>
      <c r="UCD48" s="21"/>
      <c r="UCE48" s="19"/>
      <c r="UCN48" s="19"/>
      <c r="UCO48" s="19"/>
      <c r="UCP48" s="19"/>
      <c r="UCQ48" s="19"/>
      <c r="UCR48" s="21"/>
      <c r="UCS48" s="19"/>
      <c r="UDB48" s="19"/>
      <c r="UDC48" s="19"/>
      <c r="UDD48" s="19"/>
      <c r="UDE48" s="19"/>
      <c r="UDF48" s="21"/>
      <c r="UDG48" s="19"/>
      <c r="UDP48" s="19"/>
      <c r="UDQ48" s="19"/>
      <c r="UDR48" s="19"/>
      <c r="UDS48" s="19"/>
      <c r="UDT48" s="21"/>
      <c r="UDU48" s="19"/>
      <c r="UED48" s="19"/>
      <c r="UEE48" s="19"/>
      <c r="UEF48" s="19"/>
      <c r="UEG48" s="19"/>
      <c r="UEH48" s="21"/>
      <c r="UEI48" s="19"/>
      <c r="UER48" s="19"/>
      <c r="UES48" s="19"/>
      <c r="UET48" s="19"/>
      <c r="UEU48" s="19"/>
      <c r="UEV48" s="21"/>
      <c r="UEW48" s="19"/>
      <c r="UFF48" s="19"/>
      <c r="UFG48" s="19"/>
      <c r="UFH48" s="19"/>
      <c r="UFI48" s="19"/>
      <c r="UFJ48" s="21"/>
      <c r="UFK48" s="19"/>
      <c r="UFT48" s="19"/>
      <c r="UFU48" s="19"/>
      <c r="UFV48" s="19"/>
      <c r="UFW48" s="19"/>
      <c r="UFX48" s="21"/>
      <c r="UFY48" s="19"/>
      <c r="UGH48" s="19"/>
      <c r="UGI48" s="19"/>
      <c r="UGJ48" s="19"/>
      <c r="UGK48" s="19"/>
      <c r="UGL48" s="21"/>
      <c r="UGM48" s="19"/>
      <c r="UGV48" s="19"/>
      <c r="UGW48" s="19"/>
      <c r="UGX48" s="19"/>
      <c r="UGY48" s="19"/>
      <c r="UGZ48" s="21"/>
      <c r="UHA48" s="19"/>
      <c r="UHJ48" s="19"/>
      <c r="UHK48" s="19"/>
      <c r="UHL48" s="19"/>
      <c r="UHM48" s="19"/>
      <c r="UHN48" s="21"/>
      <c r="UHO48" s="19"/>
      <c r="UHX48" s="19"/>
      <c r="UHY48" s="19"/>
      <c r="UHZ48" s="19"/>
      <c r="UIA48" s="19"/>
      <c r="UIB48" s="21"/>
      <c r="UIC48" s="19"/>
      <c r="UIL48" s="19"/>
      <c r="UIM48" s="19"/>
      <c r="UIN48" s="19"/>
      <c r="UIO48" s="19"/>
      <c r="UIP48" s="21"/>
      <c r="UIQ48" s="19"/>
      <c r="UIZ48" s="19"/>
      <c r="UJA48" s="19"/>
      <c r="UJB48" s="19"/>
      <c r="UJC48" s="19"/>
      <c r="UJD48" s="21"/>
      <c r="UJE48" s="19"/>
      <c r="UJN48" s="19"/>
      <c r="UJO48" s="19"/>
      <c r="UJP48" s="19"/>
      <c r="UJQ48" s="19"/>
      <c r="UJR48" s="21"/>
      <c r="UJS48" s="19"/>
      <c r="UKB48" s="19"/>
      <c r="UKC48" s="19"/>
      <c r="UKD48" s="19"/>
      <c r="UKE48" s="19"/>
      <c r="UKF48" s="21"/>
      <c r="UKG48" s="19"/>
      <c r="UKP48" s="19"/>
      <c r="UKQ48" s="19"/>
      <c r="UKR48" s="19"/>
      <c r="UKS48" s="19"/>
      <c r="UKT48" s="21"/>
      <c r="UKU48" s="19"/>
      <c r="ULD48" s="19"/>
      <c r="ULE48" s="19"/>
      <c r="ULF48" s="19"/>
      <c r="ULG48" s="19"/>
      <c r="ULH48" s="21"/>
      <c r="ULI48" s="19"/>
      <c r="ULR48" s="19"/>
      <c r="ULS48" s="19"/>
      <c r="ULT48" s="19"/>
      <c r="ULU48" s="19"/>
      <c r="ULV48" s="21"/>
      <c r="ULW48" s="19"/>
      <c r="UMF48" s="19"/>
      <c r="UMG48" s="19"/>
      <c r="UMH48" s="19"/>
      <c r="UMI48" s="19"/>
      <c r="UMJ48" s="21"/>
      <c r="UMK48" s="19"/>
      <c r="UMT48" s="19"/>
      <c r="UMU48" s="19"/>
      <c r="UMV48" s="19"/>
      <c r="UMW48" s="19"/>
      <c r="UMX48" s="21"/>
      <c r="UMY48" s="19"/>
      <c r="UNH48" s="19"/>
      <c r="UNI48" s="19"/>
      <c r="UNJ48" s="19"/>
      <c r="UNK48" s="19"/>
      <c r="UNL48" s="21"/>
      <c r="UNM48" s="19"/>
      <c r="UNV48" s="19"/>
      <c r="UNW48" s="19"/>
      <c r="UNX48" s="19"/>
      <c r="UNY48" s="19"/>
      <c r="UNZ48" s="21"/>
      <c r="UOA48" s="19"/>
      <c r="UOJ48" s="19"/>
      <c r="UOK48" s="19"/>
      <c r="UOL48" s="19"/>
      <c r="UOM48" s="19"/>
      <c r="UON48" s="21"/>
      <c r="UOO48" s="19"/>
      <c r="UOX48" s="19"/>
      <c r="UOY48" s="19"/>
      <c r="UOZ48" s="19"/>
      <c r="UPA48" s="19"/>
      <c r="UPB48" s="21"/>
      <c r="UPC48" s="19"/>
      <c r="UPL48" s="19"/>
      <c r="UPM48" s="19"/>
      <c r="UPN48" s="19"/>
      <c r="UPO48" s="19"/>
      <c r="UPP48" s="21"/>
      <c r="UPQ48" s="19"/>
      <c r="UPZ48" s="19"/>
      <c r="UQA48" s="19"/>
      <c r="UQB48" s="19"/>
      <c r="UQC48" s="19"/>
      <c r="UQD48" s="21"/>
      <c r="UQE48" s="19"/>
      <c r="UQN48" s="19"/>
      <c r="UQO48" s="19"/>
      <c r="UQP48" s="19"/>
      <c r="UQQ48" s="19"/>
      <c r="UQR48" s="21"/>
      <c r="UQS48" s="19"/>
      <c r="URB48" s="19"/>
      <c r="URC48" s="19"/>
      <c r="URD48" s="19"/>
      <c r="URE48" s="19"/>
      <c r="URF48" s="21"/>
      <c r="URG48" s="19"/>
      <c r="URP48" s="19"/>
      <c r="URQ48" s="19"/>
      <c r="URR48" s="19"/>
      <c r="URS48" s="19"/>
      <c r="URT48" s="21"/>
      <c r="URU48" s="19"/>
      <c r="USD48" s="19"/>
      <c r="USE48" s="19"/>
      <c r="USF48" s="19"/>
      <c r="USG48" s="19"/>
      <c r="USH48" s="21"/>
      <c r="USI48" s="19"/>
      <c r="USR48" s="19"/>
      <c r="USS48" s="19"/>
      <c r="UST48" s="19"/>
      <c r="USU48" s="19"/>
      <c r="USV48" s="21"/>
      <c r="USW48" s="19"/>
      <c r="UTF48" s="19"/>
      <c r="UTG48" s="19"/>
      <c r="UTH48" s="19"/>
      <c r="UTI48" s="19"/>
      <c r="UTJ48" s="21"/>
      <c r="UTK48" s="19"/>
      <c r="UTT48" s="19"/>
      <c r="UTU48" s="19"/>
      <c r="UTV48" s="19"/>
      <c r="UTW48" s="19"/>
      <c r="UTX48" s="21"/>
      <c r="UTY48" s="19"/>
      <c r="UUH48" s="19"/>
      <c r="UUI48" s="19"/>
      <c r="UUJ48" s="19"/>
      <c r="UUK48" s="19"/>
      <c r="UUL48" s="21"/>
      <c r="UUM48" s="19"/>
      <c r="UUV48" s="19"/>
      <c r="UUW48" s="19"/>
      <c r="UUX48" s="19"/>
      <c r="UUY48" s="19"/>
      <c r="UUZ48" s="21"/>
      <c r="UVA48" s="19"/>
      <c r="UVJ48" s="19"/>
      <c r="UVK48" s="19"/>
      <c r="UVL48" s="19"/>
      <c r="UVM48" s="19"/>
      <c r="UVN48" s="21"/>
      <c r="UVO48" s="19"/>
      <c r="UVX48" s="19"/>
      <c r="UVY48" s="19"/>
      <c r="UVZ48" s="19"/>
      <c r="UWA48" s="19"/>
      <c r="UWB48" s="21"/>
      <c r="UWC48" s="19"/>
      <c r="UWL48" s="19"/>
      <c r="UWM48" s="19"/>
      <c r="UWN48" s="19"/>
      <c r="UWO48" s="19"/>
      <c r="UWP48" s="21"/>
      <c r="UWQ48" s="19"/>
      <c r="UWZ48" s="19"/>
      <c r="UXA48" s="19"/>
      <c r="UXB48" s="19"/>
      <c r="UXC48" s="19"/>
      <c r="UXD48" s="21"/>
      <c r="UXE48" s="19"/>
      <c r="UXN48" s="19"/>
      <c r="UXO48" s="19"/>
      <c r="UXP48" s="19"/>
      <c r="UXQ48" s="19"/>
      <c r="UXR48" s="21"/>
      <c r="UXS48" s="19"/>
      <c r="UYB48" s="19"/>
      <c r="UYC48" s="19"/>
      <c r="UYD48" s="19"/>
      <c r="UYE48" s="19"/>
      <c r="UYF48" s="21"/>
      <c r="UYG48" s="19"/>
      <c r="UYP48" s="19"/>
      <c r="UYQ48" s="19"/>
      <c r="UYR48" s="19"/>
      <c r="UYS48" s="19"/>
      <c r="UYT48" s="21"/>
      <c r="UYU48" s="19"/>
      <c r="UZD48" s="19"/>
      <c r="UZE48" s="19"/>
      <c r="UZF48" s="19"/>
      <c r="UZG48" s="19"/>
      <c r="UZH48" s="21"/>
      <c r="UZI48" s="19"/>
      <c r="UZR48" s="19"/>
      <c r="UZS48" s="19"/>
      <c r="UZT48" s="19"/>
      <c r="UZU48" s="19"/>
      <c r="UZV48" s="21"/>
      <c r="UZW48" s="19"/>
      <c r="VAF48" s="19"/>
      <c r="VAG48" s="19"/>
      <c r="VAH48" s="19"/>
      <c r="VAI48" s="19"/>
      <c r="VAJ48" s="21"/>
      <c r="VAK48" s="19"/>
      <c r="VAT48" s="19"/>
      <c r="VAU48" s="19"/>
      <c r="VAV48" s="19"/>
      <c r="VAW48" s="19"/>
      <c r="VAX48" s="21"/>
      <c r="VAY48" s="19"/>
      <c r="VBH48" s="19"/>
      <c r="VBI48" s="19"/>
      <c r="VBJ48" s="19"/>
      <c r="VBK48" s="19"/>
      <c r="VBL48" s="21"/>
      <c r="VBM48" s="19"/>
      <c r="VBV48" s="19"/>
      <c r="VBW48" s="19"/>
      <c r="VBX48" s="19"/>
      <c r="VBY48" s="19"/>
      <c r="VBZ48" s="21"/>
      <c r="VCA48" s="19"/>
      <c r="VCJ48" s="19"/>
      <c r="VCK48" s="19"/>
      <c r="VCL48" s="19"/>
      <c r="VCM48" s="19"/>
      <c r="VCN48" s="21"/>
      <c r="VCO48" s="19"/>
      <c r="VCX48" s="19"/>
      <c r="VCY48" s="19"/>
      <c r="VCZ48" s="19"/>
      <c r="VDA48" s="19"/>
      <c r="VDB48" s="21"/>
      <c r="VDC48" s="19"/>
      <c r="VDL48" s="19"/>
      <c r="VDM48" s="19"/>
      <c r="VDN48" s="19"/>
      <c r="VDO48" s="19"/>
      <c r="VDP48" s="21"/>
      <c r="VDQ48" s="19"/>
      <c r="VDZ48" s="19"/>
      <c r="VEA48" s="19"/>
      <c r="VEB48" s="19"/>
      <c r="VEC48" s="19"/>
      <c r="VED48" s="21"/>
      <c r="VEE48" s="19"/>
      <c r="VEN48" s="19"/>
      <c r="VEO48" s="19"/>
      <c r="VEP48" s="19"/>
      <c r="VEQ48" s="19"/>
      <c r="VER48" s="21"/>
      <c r="VES48" s="19"/>
      <c r="VFB48" s="19"/>
      <c r="VFC48" s="19"/>
      <c r="VFD48" s="19"/>
      <c r="VFE48" s="19"/>
      <c r="VFF48" s="21"/>
      <c r="VFG48" s="19"/>
      <c r="VFP48" s="19"/>
      <c r="VFQ48" s="19"/>
      <c r="VFR48" s="19"/>
      <c r="VFS48" s="19"/>
      <c r="VFT48" s="21"/>
      <c r="VFU48" s="19"/>
      <c r="VGD48" s="19"/>
      <c r="VGE48" s="19"/>
      <c r="VGF48" s="19"/>
      <c r="VGG48" s="19"/>
      <c r="VGH48" s="21"/>
      <c r="VGI48" s="19"/>
      <c r="VGR48" s="19"/>
      <c r="VGS48" s="19"/>
      <c r="VGT48" s="19"/>
      <c r="VGU48" s="19"/>
      <c r="VGV48" s="21"/>
      <c r="VGW48" s="19"/>
      <c r="VHF48" s="19"/>
      <c r="VHG48" s="19"/>
      <c r="VHH48" s="19"/>
      <c r="VHI48" s="19"/>
      <c r="VHJ48" s="21"/>
      <c r="VHK48" s="19"/>
      <c r="VHT48" s="19"/>
      <c r="VHU48" s="19"/>
      <c r="VHV48" s="19"/>
      <c r="VHW48" s="19"/>
      <c r="VHX48" s="21"/>
      <c r="VHY48" s="19"/>
      <c r="VIH48" s="19"/>
      <c r="VII48" s="19"/>
      <c r="VIJ48" s="19"/>
      <c r="VIK48" s="19"/>
      <c r="VIL48" s="21"/>
      <c r="VIM48" s="19"/>
      <c r="VIV48" s="19"/>
      <c r="VIW48" s="19"/>
      <c r="VIX48" s="19"/>
      <c r="VIY48" s="19"/>
      <c r="VIZ48" s="21"/>
      <c r="VJA48" s="19"/>
      <c r="VJJ48" s="19"/>
      <c r="VJK48" s="19"/>
      <c r="VJL48" s="19"/>
      <c r="VJM48" s="19"/>
      <c r="VJN48" s="21"/>
      <c r="VJO48" s="19"/>
      <c r="VJX48" s="19"/>
      <c r="VJY48" s="19"/>
      <c r="VJZ48" s="19"/>
      <c r="VKA48" s="19"/>
      <c r="VKB48" s="21"/>
      <c r="VKC48" s="19"/>
      <c r="VKL48" s="19"/>
      <c r="VKM48" s="19"/>
      <c r="VKN48" s="19"/>
      <c r="VKO48" s="19"/>
      <c r="VKP48" s="21"/>
      <c r="VKQ48" s="19"/>
      <c r="VKZ48" s="19"/>
      <c r="VLA48" s="19"/>
      <c r="VLB48" s="19"/>
      <c r="VLC48" s="19"/>
      <c r="VLD48" s="21"/>
      <c r="VLE48" s="19"/>
      <c r="VLN48" s="19"/>
      <c r="VLO48" s="19"/>
      <c r="VLP48" s="19"/>
      <c r="VLQ48" s="19"/>
      <c r="VLR48" s="21"/>
      <c r="VLS48" s="19"/>
      <c r="VMB48" s="19"/>
      <c r="VMC48" s="19"/>
      <c r="VMD48" s="19"/>
      <c r="VME48" s="19"/>
      <c r="VMF48" s="21"/>
      <c r="VMG48" s="19"/>
      <c r="VMP48" s="19"/>
      <c r="VMQ48" s="19"/>
      <c r="VMR48" s="19"/>
      <c r="VMS48" s="19"/>
      <c r="VMT48" s="21"/>
      <c r="VMU48" s="19"/>
      <c r="VND48" s="19"/>
      <c r="VNE48" s="19"/>
      <c r="VNF48" s="19"/>
      <c r="VNG48" s="19"/>
      <c r="VNH48" s="21"/>
      <c r="VNI48" s="19"/>
      <c r="VNR48" s="19"/>
      <c r="VNS48" s="19"/>
      <c r="VNT48" s="19"/>
      <c r="VNU48" s="19"/>
      <c r="VNV48" s="21"/>
      <c r="VNW48" s="19"/>
      <c r="VOF48" s="19"/>
      <c r="VOG48" s="19"/>
      <c r="VOH48" s="19"/>
      <c r="VOI48" s="19"/>
      <c r="VOJ48" s="21"/>
      <c r="VOK48" s="19"/>
      <c r="VOT48" s="19"/>
      <c r="VOU48" s="19"/>
      <c r="VOV48" s="19"/>
      <c r="VOW48" s="19"/>
      <c r="VOX48" s="21"/>
      <c r="VOY48" s="19"/>
      <c r="VPH48" s="19"/>
      <c r="VPI48" s="19"/>
      <c r="VPJ48" s="19"/>
      <c r="VPK48" s="19"/>
      <c r="VPL48" s="21"/>
      <c r="VPM48" s="19"/>
      <c r="VPV48" s="19"/>
      <c r="VPW48" s="19"/>
      <c r="VPX48" s="19"/>
      <c r="VPY48" s="19"/>
      <c r="VPZ48" s="21"/>
      <c r="VQA48" s="19"/>
      <c r="VQJ48" s="19"/>
      <c r="VQK48" s="19"/>
      <c r="VQL48" s="19"/>
      <c r="VQM48" s="19"/>
      <c r="VQN48" s="21"/>
      <c r="VQO48" s="19"/>
      <c r="VQX48" s="19"/>
      <c r="VQY48" s="19"/>
      <c r="VQZ48" s="19"/>
      <c r="VRA48" s="19"/>
      <c r="VRB48" s="21"/>
      <c r="VRC48" s="19"/>
      <c r="VRL48" s="19"/>
      <c r="VRM48" s="19"/>
      <c r="VRN48" s="19"/>
      <c r="VRO48" s="19"/>
      <c r="VRP48" s="21"/>
      <c r="VRQ48" s="19"/>
      <c r="VRZ48" s="19"/>
      <c r="VSA48" s="19"/>
      <c r="VSB48" s="19"/>
      <c r="VSC48" s="19"/>
      <c r="VSD48" s="21"/>
      <c r="VSE48" s="19"/>
      <c r="VSN48" s="19"/>
      <c r="VSO48" s="19"/>
      <c r="VSP48" s="19"/>
      <c r="VSQ48" s="19"/>
      <c r="VSR48" s="21"/>
      <c r="VSS48" s="19"/>
      <c r="VTB48" s="19"/>
      <c r="VTC48" s="19"/>
      <c r="VTD48" s="19"/>
      <c r="VTE48" s="19"/>
      <c r="VTF48" s="21"/>
      <c r="VTG48" s="19"/>
      <c r="VTP48" s="19"/>
      <c r="VTQ48" s="19"/>
      <c r="VTR48" s="19"/>
      <c r="VTS48" s="19"/>
      <c r="VTT48" s="21"/>
      <c r="VTU48" s="19"/>
      <c r="VUD48" s="19"/>
      <c r="VUE48" s="19"/>
      <c r="VUF48" s="19"/>
      <c r="VUG48" s="19"/>
      <c r="VUH48" s="21"/>
      <c r="VUI48" s="19"/>
      <c r="VUR48" s="19"/>
      <c r="VUS48" s="19"/>
      <c r="VUT48" s="19"/>
      <c r="VUU48" s="19"/>
      <c r="VUV48" s="21"/>
      <c r="VUW48" s="19"/>
      <c r="VVF48" s="19"/>
      <c r="VVG48" s="19"/>
      <c r="VVH48" s="19"/>
      <c r="VVI48" s="19"/>
      <c r="VVJ48" s="21"/>
      <c r="VVK48" s="19"/>
      <c r="VVT48" s="19"/>
      <c r="VVU48" s="19"/>
      <c r="VVV48" s="19"/>
      <c r="VVW48" s="19"/>
      <c r="VVX48" s="21"/>
      <c r="VVY48" s="19"/>
      <c r="VWH48" s="19"/>
      <c r="VWI48" s="19"/>
      <c r="VWJ48" s="19"/>
      <c r="VWK48" s="19"/>
      <c r="VWL48" s="21"/>
      <c r="VWM48" s="19"/>
      <c r="VWV48" s="19"/>
      <c r="VWW48" s="19"/>
      <c r="VWX48" s="19"/>
      <c r="VWY48" s="19"/>
      <c r="VWZ48" s="21"/>
      <c r="VXA48" s="19"/>
      <c r="VXJ48" s="19"/>
      <c r="VXK48" s="19"/>
      <c r="VXL48" s="19"/>
      <c r="VXM48" s="19"/>
      <c r="VXN48" s="21"/>
      <c r="VXO48" s="19"/>
      <c r="VXX48" s="19"/>
      <c r="VXY48" s="19"/>
      <c r="VXZ48" s="19"/>
      <c r="VYA48" s="19"/>
      <c r="VYB48" s="21"/>
      <c r="VYC48" s="19"/>
      <c r="VYL48" s="19"/>
      <c r="VYM48" s="19"/>
      <c r="VYN48" s="19"/>
      <c r="VYO48" s="19"/>
      <c r="VYP48" s="21"/>
      <c r="VYQ48" s="19"/>
      <c r="VYZ48" s="19"/>
      <c r="VZA48" s="19"/>
      <c r="VZB48" s="19"/>
      <c r="VZC48" s="19"/>
      <c r="VZD48" s="21"/>
      <c r="VZE48" s="19"/>
      <c r="VZN48" s="19"/>
      <c r="VZO48" s="19"/>
      <c r="VZP48" s="19"/>
      <c r="VZQ48" s="19"/>
      <c r="VZR48" s="21"/>
      <c r="VZS48" s="19"/>
      <c r="WAB48" s="19"/>
      <c r="WAC48" s="19"/>
      <c r="WAD48" s="19"/>
      <c r="WAE48" s="19"/>
      <c r="WAF48" s="21"/>
      <c r="WAG48" s="19"/>
      <c r="WAP48" s="19"/>
      <c r="WAQ48" s="19"/>
      <c r="WAR48" s="19"/>
      <c r="WAS48" s="19"/>
      <c r="WAT48" s="21"/>
      <c r="WAU48" s="19"/>
      <c r="WBD48" s="19"/>
      <c r="WBE48" s="19"/>
      <c r="WBF48" s="19"/>
      <c r="WBG48" s="19"/>
      <c r="WBH48" s="21"/>
      <c r="WBI48" s="19"/>
      <c r="WBR48" s="19"/>
      <c r="WBS48" s="19"/>
      <c r="WBT48" s="19"/>
      <c r="WBU48" s="19"/>
      <c r="WBV48" s="21"/>
      <c r="WBW48" s="19"/>
      <c r="WCF48" s="19"/>
      <c r="WCG48" s="19"/>
      <c r="WCH48" s="19"/>
      <c r="WCI48" s="19"/>
      <c r="WCJ48" s="21"/>
      <c r="WCK48" s="19"/>
      <c r="WCT48" s="19"/>
      <c r="WCU48" s="19"/>
      <c r="WCV48" s="19"/>
      <c r="WCW48" s="19"/>
      <c r="WCX48" s="21"/>
      <c r="WCY48" s="19"/>
      <c r="WDH48" s="19"/>
      <c r="WDI48" s="19"/>
      <c r="WDJ48" s="19"/>
      <c r="WDK48" s="19"/>
      <c r="WDL48" s="21"/>
      <c r="WDM48" s="19"/>
      <c r="WDV48" s="19"/>
      <c r="WDW48" s="19"/>
      <c r="WDX48" s="19"/>
      <c r="WDY48" s="19"/>
      <c r="WDZ48" s="21"/>
      <c r="WEA48" s="19"/>
      <c r="WEJ48" s="19"/>
      <c r="WEK48" s="19"/>
      <c r="WEL48" s="19"/>
      <c r="WEM48" s="19"/>
      <c r="WEN48" s="21"/>
      <c r="WEO48" s="19"/>
      <c r="WEX48" s="19"/>
      <c r="WEY48" s="19"/>
      <c r="WEZ48" s="19"/>
      <c r="WFA48" s="19"/>
      <c r="WFB48" s="21"/>
      <c r="WFC48" s="19"/>
      <c r="WFL48" s="19"/>
      <c r="WFM48" s="19"/>
      <c r="WFN48" s="19"/>
      <c r="WFO48" s="19"/>
      <c r="WFP48" s="21"/>
      <c r="WFQ48" s="19"/>
      <c r="WFZ48" s="19"/>
      <c r="WGA48" s="19"/>
      <c r="WGB48" s="19"/>
      <c r="WGC48" s="19"/>
      <c r="WGD48" s="21"/>
      <c r="WGE48" s="19"/>
      <c r="WGN48" s="19"/>
      <c r="WGO48" s="19"/>
      <c r="WGP48" s="19"/>
      <c r="WGQ48" s="19"/>
      <c r="WGR48" s="21"/>
      <c r="WGS48" s="19"/>
      <c r="WHB48" s="19"/>
      <c r="WHC48" s="19"/>
      <c r="WHD48" s="19"/>
      <c r="WHE48" s="19"/>
      <c r="WHF48" s="21"/>
      <c r="WHG48" s="19"/>
      <c r="WHP48" s="19"/>
      <c r="WHQ48" s="19"/>
      <c r="WHR48" s="19"/>
      <c r="WHS48" s="19"/>
      <c r="WHT48" s="21"/>
      <c r="WHU48" s="19"/>
      <c r="WID48" s="19"/>
      <c r="WIE48" s="19"/>
      <c r="WIF48" s="19"/>
      <c r="WIG48" s="19"/>
      <c r="WIH48" s="21"/>
      <c r="WII48" s="19"/>
      <c r="WIR48" s="19"/>
      <c r="WIS48" s="19"/>
      <c r="WIT48" s="19"/>
      <c r="WIU48" s="19"/>
      <c r="WIV48" s="21"/>
      <c r="WIW48" s="19"/>
      <c r="WJF48" s="19"/>
      <c r="WJG48" s="19"/>
      <c r="WJH48" s="19"/>
      <c r="WJI48" s="19"/>
      <c r="WJJ48" s="21"/>
      <c r="WJK48" s="19"/>
      <c r="WJT48" s="19"/>
      <c r="WJU48" s="19"/>
      <c r="WJV48" s="19"/>
      <c r="WJW48" s="19"/>
      <c r="WJX48" s="21"/>
      <c r="WJY48" s="19"/>
      <c r="WKH48" s="19"/>
      <c r="WKI48" s="19"/>
      <c r="WKJ48" s="19"/>
      <c r="WKK48" s="19"/>
      <c r="WKL48" s="21"/>
      <c r="WKM48" s="19"/>
      <c r="WKV48" s="19"/>
      <c r="WKW48" s="19"/>
      <c r="WKX48" s="19"/>
      <c r="WKY48" s="19"/>
      <c r="WKZ48" s="21"/>
      <c r="WLA48" s="19"/>
      <c r="WLJ48" s="19"/>
      <c r="WLK48" s="19"/>
      <c r="WLL48" s="19"/>
      <c r="WLM48" s="19"/>
      <c r="WLN48" s="21"/>
      <c r="WLO48" s="19"/>
      <c r="WLX48" s="19"/>
      <c r="WLY48" s="19"/>
      <c r="WLZ48" s="19"/>
      <c r="WMA48" s="19"/>
      <c r="WMB48" s="21"/>
      <c r="WMC48" s="19"/>
      <c r="WML48" s="19"/>
      <c r="WMM48" s="19"/>
      <c r="WMN48" s="19"/>
      <c r="WMO48" s="19"/>
      <c r="WMP48" s="21"/>
      <c r="WMQ48" s="19"/>
      <c r="WMZ48" s="19"/>
      <c r="WNA48" s="19"/>
      <c r="WNB48" s="19"/>
      <c r="WNC48" s="19"/>
      <c r="WND48" s="21"/>
      <c r="WNE48" s="19"/>
      <c r="WNN48" s="19"/>
      <c r="WNO48" s="19"/>
      <c r="WNP48" s="19"/>
      <c r="WNQ48" s="19"/>
      <c r="WNR48" s="21"/>
      <c r="WNS48" s="19"/>
      <c r="WOB48" s="19"/>
      <c r="WOC48" s="19"/>
      <c r="WOD48" s="19"/>
      <c r="WOE48" s="19"/>
      <c r="WOF48" s="21"/>
      <c r="WOG48" s="19"/>
      <c r="WOP48" s="19"/>
      <c r="WOQ48" s="19"/>
      <c r="WOR48" s="19"/>
      <c r="WOS48" s="19"/>
      <c r="WOT48" s="21"/>
      <c r="WOU48" s="19"/>
      <c r="WPD48" s="19"/>
      <c r="WPE48" s="19"/>
      <c r="WPF48" s="19"/>
      <c r="WPG48" s="19"/>
      <c r="WPH48" s="21"/>
      <c r="WPI48" s="19"/>
      <c r="WPR48" s="19"/>
      <c r="WPS48" s="19"/>
      <c r="WPT48" s="19"/>
      <c r="WPU48" s="19"/>
      <c r="WPV48" s="21"/>
      <c r="WPW48" s="19"/>
      <c r="WQF48" s="19"/>
      <c r="WQG48" s="19"/>
      <c r="WQH48" s="19"/>
      <c r="WQI48" s="19"/>
      <c r="WQJ48" s="21"/>
      <c r="WQK48" s="19"/>
      <c r="WQT48" s="19"/>
      <c r="WQU48" s="19"/>
      <c r="WQV48" s="19"/>
      <c r="WQW48" s="19"/>
      <c r="WQX48" s="21"/>
      <c r="WQY48" s="19"/>
      <c r="WRH48" s="19"/>
      <c r="WRI48" s="19"/>
      <c r="WRJ48" s="19"/>
      <c r="WRK48" s="19"/>
      <c r="WRL48" s="21"/>
      <c r="WRM48" s="19"/>
      <c r="WRV48" s="19"/>
      <c r="WRW48" s="19"/>
      <c r="WRX48" s="19"/>
      <c r="WRY48" s="19"/>
      <c r="WRZ48" s="21"/>
      <c r="WSA48" s="19"/>
      <c r="WSJ48" s="19"/>
      <c r="WSK48" s="19"/>
      <c r="WSL48" s="19"/>
      <c r="WSM48" s="19"/>
      <c r="WSN48" s="21"/>
      <c r="WSO48" s="19"/>
      <c r="WSX48" s="19"/>
      <c r="WSY48" s="19"/>
      <c r="WSZ48" s="19"/>
      <c r="WTA48" s="19"/>
      <c r="WTB48" s="21"/>
      <c r="WTC48" s="19"/>
      <c r="WTL48" s="19"/>
      <c r="WTM48" s="19"/>
      <c r="WTN48" s="19"/>
      <c r="WTO48" s="19"/>
      <c r="WTP48" s="21"/>
      <c r="WTQ48" s="19"/>
      <c r="WTZ48" s="19"/>
      <c r="WUA48" s="19"/>
      <c r="WUB48" s="19"/>
      <c r="WUC48" s="19"/>
      <c r="WUD48" s="21"/>
      <c r="WUE48" s="19"/>
      <c r="WUN48" s="19"/>
      <c r="WUO48" s="19"/>
      <c r="WUP48" s="19"/>
      <c r="WUQ48" s="19"/>
      <c r="WUR48" s="21"/>
      <c r="WUS48" s="19"/>
      <c r="WVB48" s="19"/>
      <c r="WVC48" s="19"/>
      <c r="WVD48" s="19"/>
      <c r="WVE48" s="19"/>
      <c r="WVF48" s="21"/>
      <c r="WVG48" s="19"/>
      <c r="WVP48" s="19"/>
      <c r="WVQ48" s="19"/>
      <c r="WVR48" s="19"/>
      <c r="WVS48" s="19"/>
      <c r="WVT48" s="21"/>
      <c r="WVU48" s="19"/>
      <c r="WWD48" s="19"/>
      <c r="WWE48" s="19"/>
      <c r="WWF48" s="19"/>
      <c r="WWG48" s="19"/>
      <c r="WWH48" s="21"/>
      <c r="WWI48" s="19"/>
      <c r="WWR48" s="19"/>
      <c r="WWS48" s="19"/>
      <c r="WWT48" s="19"/>
      <c r="WWU48" s="19"/>
      <c r="WWV48" s="21"/>
      <c r="WWW48" s="19"/>
      <c r="WXF48" s="19"/>
      <c r="WXG48" s="19"/>
      <c r="WXH48" s="19"/>
      <c r="WXI48" s="19"/>
      <c r="WXJ48" s="21"/>
      <c r="WXK48" s="19"/>
      <c r="WXT48" s="19"/>
      <c r="WXU48" s="19"/>
      <c r="WXV48" s="19"/>
      <c r="WXW48" s="19"/>
      <c r="WXX48" s="21"/>
      <c r="WXY48" s="19"/>
      <c r="WYH48" s="19"/>
      <c r="WYI48" s="19"/>
      <c r="WYJ48" s="19"/>
      <c r="WYK48" s="19"/>
      <c r="WYL48" s="21"/>
      <c r="WYM48" s="19"/>
      <c r="WYV48" s="19"/>
      <c r="WYW48" s="19"/>
      <c r="WYX48" s="19"/>
      <c r="WYY48" s="19"/>
      <c r="WYZ48" s="21"/>
      <c r="WZA48" s="19"/>
      <c r="WZJ48" s="19"/>
      <c r="WZK48" s="19"/>
      <c r="WZL48" s="19"/>
      <c r="WZM48" s="19"/>
      <c r="WZN48" s="21"/>
      <c r="WZO48" s="19"/>
      <c r="WZX48" s="19"/>
      <c r="WZY48" s="19"/>
      <c r="WZZ48" s="19"/>
      <c r="XAA48" s="19"/>
      <c r="XAB48" s="21"/>
      <c r="XAC48" s="19"/>
      <c r="XAL48" s="19"/>
      <c r="XAM48" s="19"/>
      <c r="XAN48" s="19"/>
      <c r="XAO48" s="19"/>
      <c r="XAP48" s="21"/>
      <c r="XAQ48" s="19"/>
      <c r="XAZ48" s="19"/>
      <c r="XBA48" s="19"/>
      <c r="XBB48" s="19"/>
      <c r="XBC48" s="19"/>
      <c r="XBD48" s="21"/>
      <c r="XBE48" s="19"/>
      <c r="XBN48" s="19"/>
      <c r="XBO48" s="19"/>
      <c r="XBP48" s="19"/>
      <c r="XBQ48" s="19"/>
      <c r="XBR48" s="21"/>
      <c r="XBS48" s="19"/>
      <c r="XCB48" s="19"/>
      <c r="XCC48" s="19"/>
      <c r="XCD48" s="19"/>
      <c r="XCE48" s="19"/>
      <c r="XCF48" s="21"/>
      <c r="XCG48" s="19"/>
      <c r="XCP48" s="19"/>
      <c r="XCQ48" s="19"/>
      <c r="XCR48" s="19"/>
      <c r="XCS48" s="19"/>
      <c r="XCT48" s="21"/>
      <c r="XCU48" s="19"/>
      <c r="XDD48" s="19"/>
      <c r="XDE48" s="19"/>
      <c r="XDF48" s="19"/>
      <c r="XDG48" s="19"/>
      <c r="XDH48" s="21"/>
      <c r="XDI48" s="19"/>
      <c r="XDR48" s="19"/>
      <c r="XDS48" s="19"/>
      <c r="XDT48" s="19"/>
      <c r="XDU48" s="19"/>
      <c r="XDV48" s="21"/>
      <c r="XDW48" s="19"/>
      <c r="XEF48" s="19"/>
      <c r="XEG48" s="19"/>
      <c r="XEH48" s="19"/>
      <c r="XEI48" s="19"/>
      <c r="XEJ48" s="21"/>
      <c r="XEK48" s="19"/>
    </row>
    <row r="49" spans="1:1021 1030:2043 2052:3065 3074:7167 7176:8189 8198:9211 9220:10233 10242:14335 14344:15357 15366:16365" s="20" customFormat="1">
      <c r="A49" s="19">
        <v>3</v>
      </c>
      <c r="B49" s="19">
        <v>16</v>
      </c>
      <c r="C49" s="19" t="s">
        <v>133</v>
      </c>
      <c r="D49" s="20">
        <v>0</v>
      </c>
      <c r="E49" s="20">
        <v>3</v>
      </c>
      <c r="F49" s="20">
        <v>0</v>
      </c>
      <c r="G49" s="20">
        <v>0</v>
      </c>
      <c r="H49" s="20">
        <v>3</v>
      </c>
      <c r="I49" s="20">
        <v>1</v>
      </c>
      <c r="J49" s="20">
        <v>7</v>
      </c>
      <c r="K49" s="20">
        <v>-6</v>
      </c>
      <c r="L49" s="27"/>
      <c r="M49" s="19"/>
      <c r="V49" s="19"/>
      <c r="W49" s="19"/>
      <c r="X49" s="19"/>
      <c r="Y49" s="19"/>
      <c r="Z49" s="21"/>
      <c r="AA49" s="19"/>
      <c r="AJ49" s="19"/>
      <c r="AK49" s="19"/>
      <c r="AL49" s="19"/>
      <c r="AM49" s="19"/>
      <c r="AN49" s="21"/>
      <c r="AO49" s="19"/>
      <c r="AX49" s="19"/>
      <c r="AY49" s="19"/>
      <c r="AZ49" s="19"/>
      <c r="BA49" s="19"/>
      <c r="BB49" s="21"/>
      <c r="BC49" s="19"/>
      <c r="BL49" s="19"/>
      <c r="BM49" s="19"/>
      <c r="BN49" s="19"/>
      <c r="BO49" s="19"/>
      <c r="BP49" s="21"/>
      <c r="BQ49" s="19"/>
      <c r="BZ49" s="19"/>
      <c r="CA49" s="19"/>
      <c r="CB49" s="19"/>
      <c r="CC49" s="19"/>
      <c r="CD49" s="21"/>
      <c r="CE49" s="19"/>
      <c r="CN49" s="19"/>
      <c r="CO49" s="19"/>
      <c r="CP49" s="19"/>
      <c r="CQ49" s="19"/>
      <c r="CR49" s="21"/>
      <c r="CS49" s="19"/>
      <c r="DB49" s="19"/>
      <c r="DC49" s="19"/>
      <c r="DD49" s="19"/>
      <c r="DE49" s="19"/>
      <c r="DF49" s="21"/>
      <c r="DG49" s="19"/>
      <c r="DP49" s="19"/>
      <c r="DQ49" s="19"/>
      <c r="DR49" s="19"/>
      <c r="DS49" s="19"/>
      <c r="DT49" s="21"/>
      <c r="DU49" s="19"/>
      <c r="ED49" s="19"/>
      <c r="EE49" s="19"/>
      <c r="EF49" s="19"/>
      <c r="EG49" s="19"/>
      <c r="EH49" s="21"/>
      <c r="EI49" s="19"/>
      <c r="ER49" s="19"/>
      <c r="ES49" s="19"/>
      <c r="ET49" s="19"/>
      <c r="EU49" s="19"/>
      <c r="EV49" s="21"/>
      <c r="EW49" s="19"/>
      <c r="FF49" s="19"/>
      <c r="FG49" s="19"/>
      <c r="FH49" s="19"/>
      <c r="FI49" s="19"/>
      <c r="FJ49" s="21"/>
      <c r="FK49" s="19"/>
      <c r="FT49" s="19"/>
      <c r="FU49" s="19"/>
      <c r="FV49" s="19"/>
      <c r="FW49" s="19"/>
      <c r="FX49" s="21"/>
      <c r="FY49" s="19"/>
      <c r="GH49" s="19"/>
      <c r="GI49" s="19"/>
      <c r="GJ49" s="19"/>
      <c r="GK49" s="19"/>
      <c r="GL49" s="21"/>
      <c r="GM49" s="19"/>
      <c r="GV49" s="19"/>
      <c r="GW49" s="19"/>
      <c r="GX49" s="19"/>
      <c r="GY49" s="19"/>
      <c r="GZ49" s="21"/>
      <c r="HA49" s="19"/>
      <c r="HJ49" s="19"/>
      <c r="HK49" s="19"/>
      <c r="HL49" s="19"/>
      <c r="HM49" s="19"/>
      <c r="HN49" s="21"/>
      <c r="HO49" s="19"/>
      <c r="HX49" s="19"/>
      <c r="HY49" s="19"/>
      <c r="HZ49" s="19"/>
      <c r="IA49" s="19"/>
      <c r="IB49" s="21"/>
      <c r="IC49" s="19"/>
      <c r="IL49" s="19"/>
      <c r="IM49" s="19"/>
      <c r="IN49" s="19"/>
      <c r="IO49" s="19"/>
      <c r="IP49" s="21"/>
      <c r="IQ49" s="19"/>
      <c r="IZ49" s="19"/>
      <c r="JA49" s="19"/>
      <c r="JB49" s="19"/>
      <c r="JC49" s="19"/>
      <c r="JD49" s="21"/>
      <c r="JE49" s="19"/>
      <c r="JN49" s="19"/>
      <c r="JO49" s="19"/>
      <c r="JP49" s="19"/>
      <c r="JQ49" s="19"/>
      <c r="JR49" s="21"/>
      <c r="JS49" s="19"/>
      <c r="KB49" s="19"/>
      <c r="KC49" s="19"/>
      <c r="KD49" s="19"/>
      <c r="KE49" s="19"/>
      <c r="KF49" s="21"/>
      <c r="KG49" s="19"/>
      <c r="KP49" s="19"/>
      <c r="KQ49" s="19"/>
      <c r="KR49" s="19"/>
      <c r="KS49" s="19"/>
      <c r="KT49" s="21"/>
      <c r="KU49" s="19"/>
      <c r="LD49" s="19"/>
      <c r="LE49" s="19"/>
      <c r="LF49" s="19"/>
      <c r="LG49" s="19"/>
      <c r="LH49" s="21"/>
      <c r="LI49" s="19"/>
      <c r="LR49" s="19"/>
      <c r="LS49" s="19"/>
      <c r="LT49" s="19"/>
      <c r="LU49" s="19"/>
      <c r="LV49" s="21"/>
      <c r="LW49" s="19"/>
      <c r="MF49" s="19"/>
      <c r="MG49" s="19"/>
      <c r="MH49" s="19"/>
      <c r="MI49" s="19"/>
      <c r="MJ49" s="21"/>
      <c r="MK49" s="19"/>
      <c r="MT49" s="19"/>
      <c r="MU49" s="19"/>
      <c r="MV49" s="19"/>
      <c r="MW49" s="19"/>
      <c r="MX49" s="21"/>
      <c r="MY49" s="19"/>
      <c r="NH49" s="19"/>
      <c r="NI49" s="19"/>
      <c r="NJ49" s="19"/>
      <c r="NK49" s="19"/>
      <c r="NL49" s="21"/>
      <c r="NM49" s="19"/>
      <c r="NV49" s="19"/>
      <c r="NW49" s="19"/>
      <c r="NX49" s="19"/>
      <c r="NY49" s="19"/>
      <c r="NZ49" s="21"/>
      <c r="OA49" s="19"/>
      <c r="OJ49" s="19"/>
      <c r="OK49" s="19"/>
      <c r="OL49" s="19"/>
      <c r="OM49" s="19"/>
      <c r="ON49" s="21"/>
      <c r="OO49" s="19"/>
      <c r="OX49" s="19"/>
      <c r="OY49" s="19"/>
      <c r="OZ49" s="19"/>
      <c r="PA49" s="19"/>
      <c r="PB49" s="21"/>
      <c r="PC49" s="19"/>
      <c r="PL49" s="19"/>
      <c r="PM49" s="19"/>
      <c r="PN49" s="19"/>
      <c r="PO49" s="19"/>
      <c r="PP49" s="21"/>
      <c r="PQ49" s="19"/>
      <c r="PZ49" s="19"/>
      <c r="QA49" s="19"/>
      <c r="QB49" s="19"/>
      <c r="QC49" s="19"/>
      <c r="QD49" s="21"/>
      <c r="QE49" s="19"/>
      <c r="QN49" s="19"/>
      <c r="QO49" s="19"/>
      <c r="QP49" s="19"/>
      <c r="QQ49" s="19"/>
      <c r="QR49" s="21"/>
      <c r="QS49" s="19"/>
      <c r="RB49" s="19"/>
      <c r="RC49" s="19"/>
      <c r="RD49" s="19"/>
      <c r="RE49" s="19"/>
      <c r="RF49" s="21"/>
      <c r="RG49" s="19"/>
      <c r="RP49" s="19"/>
      <c r="RQ49" s="19"/>
      <c r="RR49" s="19"/>
      <c r="RS49" s="19"/>
      <c r="RT49" s="21"/>
      <c r="RU49" s="19"/>
      <c r="SD49" s="19"/>
      <c r="SE49" s="19"/>
      <c r="SF49" s="19"/>
      <c r="SG49" s="19"/>
      <c r="SH49" s="21"/>
      <c r="SI49" s="19"/>
      <c r="SR49" s="19"/>
      <c r="SS49" s="19"/>
      <c r="ST49" s="19"/>
      <c r="SU49" s="19"/>
      <c r="SV49" s="21"/>
      <c r="SW49" s="19"/>
      <c r="TF49" s="19"/>
      <c r="TG49" s="19"/>
      <c r="TH49" s="19"/>
      <c r="TI49" s="19"/>
      <c r="TJ49" s="21"/>
      <c r="TK49" s="19"/>
      <c r="TT49" s="19"/>
      <c r="TU49" s="19"/>
      <c r="TV49" s="19"/>
      <c r="TW49" s="19"/>
      <c r="TX49" s="21"/>
      <c r="TY49" s="19"/>
      <c r="UH49" s="19"/>
      <c r="UI49" s="19"/>
      <c r="UJ49" s="19"/>
      <c r="UK49" s="19"/>
      <c r="UL49" s="21"/>
      <c r="UM49" s="19"/>
      <c r="UV49" s="19"/>
      <c r="UW49" s="19"/>
      <c r="UX49" s="19"/>
      <c r="UY49" s="19"/>
      <c r="UZ49" s="21"/>
      <c r="VA49" s="19"/>
      <c r="VJ49" s="19"/>
      <c r="VK49" s="19"/>
      <c r="VL49" s="19"/>
      <c r="VM49" s="19"/>
      <c r="VN49" s="21"/>
      <c r="VO49" s="19"/>
      <c r="VX49" s="19"/>
      <c r="VY49" s="19"/>
      <c r="VZ49" s="19"/>
      <c r="WA49" s="19"/>
      <c r="WB49" s="21"/>
      <c r="WC49" s="19"/>
      <c r="WL49" s="19"/>
      <c r="WM49" s="19"/>
      <c r="WN49" s="19"/>
      <c r="WO49" s="19"/>
      <c r="WP49" s="21"/>
      <c r="WQ49" s="19"/>
      <c r="WZ49" s="19"/>
      <c r="XA49" s="19"/>
      <c r="XB49" s="19"/>
      <c r="XC49" s="19"/>
      <c r="XD49" s="21"/>
      <c r="XE49" s="19"/>
      <c r="XN49" s="19"/>
      <c r="XO49" s="19"/>
      <c r="XP49" s="19"/>
      <c r="XQ49" s="19"/>
      <c r="XR49" s="21"/>
      <c r="XS49" s="19"/>
      <c r="YB49" s="19"/>
      <c r="YC49" s="19"/>
      <c r="YD49" s="19"/>
      <c r="YE49" s="19"/>
      <c r="YF49" s="21"/>
      <c r="YG49" s="19"/>
      <c r="YP49" s="19"/>
      <c r="YQ49" s="19"/>
      <c r="YR49" s="19"/>
      <c r="YS49" s="19"/>
      <c r="YT49" s="21"/>
      <c r="YU49" s="19"/>
      <c r="ZD49" s="19"/>
      <c r="ZE49" s="19"/>
      <c r="ZF49" s="19"/>
      <c r="ZG49" s="19"/>
      <c r="ZH49" s="21"/>
      <c r="ZI49" s="19"/>
      <c r="ZR49" s="19"/>
      <c r="ZS49" s="19"/>
      <c r="ZT49" s="19"/>
      <c r="ZU49" s="19"/>
      <c r="ZV49" s="21"/>
      <c r="ZW49" s="19"/>
      <c r="AAF49" s="19"/>
      <c r="AAG49" s="19"/>
      <c r="AAH49" s="19"/>
      <c r="AAI49" s="19"/>
      <c r="AAJ49" s="21"/>
      <c r="AAK49" s="19"/>
      <c r="AAT49" s="19"/>
      <c r="AAU49" s="19"/>
      <c r="AAV49" s="19"/>
      <c r="AAW49" s="19"/>
      <c r="AAX49" s="21"/>
      <c r="AAY49" s="19"/>
      <c r="ABH49" s="19"/>
      <c r="ABI49" s="19"/>
      <c r="ABJ49" s="19"/>
      <c r="ABK49" s="19"/>
      <c r="ABL49" s="21"/>
      <c r="ABM49" s="19"/>
      <c r="ABV49" s="19"/>
      <c r="ABW49" s="19"/>
      <c r="ABX49" s="19"/>
      <c r="ABY49" s="19"/>
      <c r="ABZ49" s="21"/>
      <c r="ACA49" s="19"/>
      <c r="ACJ49" s="19"/>
      <c r="ACK49" s="19"/>
      <c r="ACL49" s="19"/>
      <c r="ACM49" s="19"/>
      <c r="ACN49" s="21"/>
      <c r="ACO49" s="19"/>
      <c r="ACX49" s="19"/>
      <c r="ACY49" s="19"/>
      <c r="ACZ49" s="19"/>
      <c r="ADA49" s="19"/>
      <c r="ADB49" s="21"/>
      <c r="ADC49" s="19"/>
      <c r="ADL49" s="19"/>
      <c r="ADM49" s="19"/>
      <c r="ADN49" s="19"/>
      <c r="ADO49" s="19"/>
      <c r="ADP49" s="21"/>
      <c r="ADQ49" s="19"/>
      <c r="ADZ49" s="19"/>
      <c r="AEA49" s="19"/>
      <c r="AEB49" s="19"/>
      <c r="AEC49" s="19"/>
      <c r="AED49" s="21"/>
      <c r="AEE49" s="19"/>
      <c r="AEN49" s="19"/>
      <c r="AEO49" s="19"/>
      <c r="AEP49" s="19"/>
      <c r="AEQ49" s="19"/>
      <c r="AER49" s="21"/>
      <c r="AES49" s="19"/>
      <c r="AFB49" s="19"/>
      <c r="AFC49" s="19"/>
      <c r="AFD49" s="19"/>
      <c r="AFE49" s="19"/>
      <c r="AFF49" s="21"/>
      <c r="AFG49" s="19"/>
      <c r="AFP49" s="19"/>
      <c r="AFQ49" s="19"/>
      <c r="AFR49" s="19"/>
      <c r="AFS49" s="19"/>
      <c r="AFT49" s="21"/>
      <c r="AFU49" s="19"/>
      <c r="AGD49" s="19"/>
      <c r="AGE49" s="19"/>
      <c r="AGF49" s="19"/>
      <c r="AGG49" s="19"/>
      <c r="AGH49" s="21"/>
      <c r="AGI49" s="19"/>
      <c r="AGR49" s="19"/>
      <c r="AGS49" s="19"/>
      <c r="AGT49" s="19"/>
      <c r="AGU49" s="19"/>
      <c r="AGV49" s="21"/>
      <c r="AGW49" s="19"/>
      <c r="AHF49" s="19"/>
      <c r="AHG49" s="19"/>
      <c r="AHH49" s="19"/>
      <c r="AHI49" s="19"/>
      <c r="AHJ49" s="21"/>
      <c r="AHK49" s="19"/>
      <c r="AHT49" s="19"/>
      <c r="AHU49" s="19"/>
      <c r="AHV49" s="19"/>
      <c r="AHW49" s="19"/>
      <c r="AHX49" s="21"/>
      <c r="AHY49" s="19"/>
      <c r="AIH49" s="19"/>
      <c r="AII49" s="19"/>
      <c r="AIJ49" s="19"/>
      <c r="AIK49" s="19"/>
      <c r="AIL49" s="21"/>
      <c r="AIM49" s="19"/>
      <c r="AIV49" s="19"/>
      <c r="AIW49" s="19"/>
      <c r="AIX49" s="19"/>
      <c r="AIY49" s="19"/>
      <c r="AIZ49" s="21"/>
      <c r="AJA49" s="19"/>
      <c r="AJJ49" s="19"/>
      <c r="AJK49" s="19"/>
      <c r="AJL49" s="19"/>
      <c r="AJM49" s="19"/>
      <c r="AJN49" s="21"/>
      <c r="AJO49" s="19"/>
      <c r="AJX49" s="19"/>
      <c r="AJY49" s="19"/>
      <c r="AJZ49" s="19"/>
      <c r="AKA49" s="19"/>
      <c r="AKB49" s="21"/>
      <c r="AKC49" s="19"/>
      <c r="AKL49" s="19"/>
      <c r="AKM49" s="19"/>
      <c r="AKN49" s="19"/>
      <c r="AKO49" s="19"/>
      <c r="AKP49" s="21"/>
      <c r="AKQ49" s="19"/>
      <c r="AKZ49" s="19"/>
      <c r="ALA49" s="19"/>
      <c r="ALB49" s="19"/>
      <c r="ALC49" s="19"/>
      <c r="ALD49" s="21"/>
      <c r="ALE49" s="19"/>
      <c r="ALN49" s="19"/>
      <c r="ALO49" s="19"/>
      <c r="ALP49" s="19"/>
      <c r="ALQ49" s="19"/>
      <c r="ALR49" s="21"/>
      <c r="ALS49" s="19"/>
      <c r="AMB49" s="19"/>
      <c r="AMC49" s="19"/>
      <c r="AMD49" s="19"/>
      <c r="AME49" s="19"/>
      <c r="AMF49" s="21"/>
      <c r="AMG49" s="19"/>
      <c r="AMP49" s="19"/>
      <c r="AMQ49" s="19"/>
      <c r="AMR49" s="19"/>
      <c r="AMS49" s="19"/>
      <c r="AMT49" s="21"/>
      <c r="AMU49" s="19"/>
      <c r="AND49" s="19"/>
      <c r="ANE49" s="19"/>
      <c r="ANF49" s="19"/>
      <c r="ANG49" s="19"/>
      <c r="ANH49" s="21"/>
      <c r="ANI49" s="19"/>
      <c r="ANR49" s="19"/>
      <c r="ANS49" s="19"/>
      <c r="ANT49" s="19"/>
      <c r="ANU49" s="19"/>
      <c r="ANV49" s="21"/>
      <c r="ANW49" s="19"/>
      <c r="AOF49" s="19"/>
      <c r="AOG49" s="19"/>
      <c r="AOH49" s="19"/>
      <c r="AOI49" s="19"/>
      <c r="AOJ49" s="21"/>
      <c r="AOK49" s="19"/>
      <c r="AOT49" s="19"/>
      <c r="AOU49" s="19"/>
      <c r="AOV49" s="19"/>
      <c r="AOW49" s="19"/>
      <c r="AOX49" s="21"/>
      <c r="AOY49" s="19"/>
      <c r="APH49" s="19"/>
      <c r="API49" s="19"/>
      <c r="APJ49" s="19"/>
      <c r="APK49" s="19"/>
      <c r="APL49" s="21"/>
      <c r="APM49" s="19"/>
      <c r="APV49" s="19"/>
      <c r="APW49" s="19"/>
      <c r="APX49" s="19"/>
      <c r="APY49" s="19"/>
      <c r="APZ49" s="21"/>
      <c r="AQA49" s="19"/>
      <c r="AQJ49" s="19"/>
      <c r="AQK49" s="19"/>
      <c r="AQL49" s="19"/>
      <c r="AQM49" s="19"/>
      <c r="AQN49" s="21"/>
      <c r="AQO49" s="19"/>
      <c r="AQX49" s="19"/>
      <c r="AQY49" s="19"/>
      <c r="AQZ49" s="19"/>
      <c r="ARA49" s="19"/>
      <c r="ARB49" s="21"/>
      <c r="ARC49" s="19"/>
      <c r="ARL49" s="19"/>
      <c r="ARM49" s="19"/>
      <c r="ARN49" s="19"/>
      <c r="ARO49" s="19"/>
      <c r="ARP49" s="21"/>
      <c r="ARQ49" s="19"/>
      <c r="ARZ49" s="19"/>
      <c r="ASA49" s="19"/>
      <c r="ASB49" s="19"/>
      <c r="ASC49" s="19"/>
      <c r="ASD49" s="21"/>
      <c r="ASE49" s="19"/>
      <c r="ASN49" s="19"/>
      <c r="ASO49" s="19"/>
      <c r="ASP49" s="19"/>
      <c r="ASQ49" s="19"/>
      <c r="ASR49" s="21"/>
      <c r="ASS49" s="19"/>
      <c r="ATB49" s="19"/>
      <c r="ATC49" s="19"/>
      <c r="ATD49" s="19"/>
      <c r="ATE49" s="19"/>
      <c r="ATF49" s="21"/>
      <c r="ATG49" s="19"/>
      <c r="ATP49" s="19"/>
      <c r="ATQ49" s="19"/>
      <c r="ATR49" s="19"/>
      <c r="ATS49" s="19"/>
      <c r="ATT49" s="21"/>
      <c r="ATU49" s="19"/>
      <c r="AUD49" s="19"/>
      <c r="AUE49" s="19"/>
      <c r="AUF49" s="19"/>
      <c r="AUG49" s="19"/>
      <c r="AUH49" s="21"/>
      <c r="AUI49" s="19"/>
      <c r="AUR49" s="19"/>
      <c r="AUS49" s="19"/>
      <c r="AUT49" s="19"/>
      <c r="AUU49" s="19"/>
      <c r="AUV49" s="21"/>
      <c r="AUW49" s="19"/>
      <c r="AVF49" s="19"/>
      <c r="AVG49" s="19"/>
      <c r="AVH49" s="19"/>
      <c r="AVI49" s="19"/>
      <c r="AVJ49" s="21"/>
      <c r="AVK49" s="19"/>
      <c r="AVT49" s="19"/>
      <c r="AVU49" s="19"/>
      <c r="AVV49" s="19"/>
      <c r="AVW49" s="19"/>
      <c r="AVX49" s="21"/>
      <c r="AVY49" s="19"/>
      <c r="AWH49" s="19"/>
      <c r="AWI49" s="19"/>
      <c r="AWJ49" s="19"/>
      <c r="AWK49" s="19"/>
      <c r="AWL49" s="21"/>
      <c r="AWM49" s="19"/>
      <c r="AWV49" s="19"/>
      <c r="AWW49" s="19"/>
      <c r="AWX49" s="19"/>
      <c r="AWY49" s="19"/>
      <c r="AWZ49" s="21"/>
      <c r="AXA49" s="19"/>
      <c r="AXJ49" s="19"/>
      <c r="AXK49" s="19"/>
      <c r="AXL49" s="19"/>
      <c r="AXM49" s="19"/>
      <c r="AXN49" s="21"/>
      <c r="AXO49" s="19"/>
      <c r="AXX49" s="19"/>
      <c r="AXY49" s="19"/>
      <c r="AXZ49" s="19"/>
      <c r="AYA49" s="19"/>
      <c r="AYB49" s="21"/>
      <c r="AYC49" s="19"/>
      <c r="AYL49" s="19"/>
      <c r="AYM49" s="19"/>
      <c r="AYN49" s="19"/>
      <c r="AYO49" s="19"/>
      <c r="AYP49" s="21"/>
      <c r="AYQ49" s="19"/>
      <c r="AYZ49" s="19"/>
      <c r="AZA49" s="19"/>
      <c r="AZB49" s="19"/>
      <c r="AZC49" s="19"/>
      <c r="AZD49" s="21"/>
      <c r="AZE49" s="19"/>
      <c r="AZN49" s="19"/>
      <c r="AZO49" s="19"/>
      <c r="AZP49" s="19"/>
      <c r="AZQ49" s="19"/>
      <c r="AZR49" s="21"/>
      <c r="AZS49" s="19"/>
      <c r="BAB49" s="19"/>
      <c r="BAC49" s="19"/>
      <c r="BAD49" s="19"/>
      <c r="BAE49" s="19"/>
      <c r="BAF49" s="21"/>
      <c r="BAG49" s="19"/>
      <c r="BAP49" s="19"/>
      <c r="BAQ49" s="19"/>
      <c r="BAR49" s="19"/>
      <c r="BAS49" s="19"/>
      <c r="BAT49" s="21"/>
      <c r="BAU49" s="19"/>
      <c r="BBD49" s="19"/>
      <c r="BBE49" s="19"/>
      <c r="BBF49" s="19"/>
      <c r="BBG49" s="19"/>
      <c r="BBH49" s="21"/>
      <c r="BBI49" s="19"/>
      <c r="BBR49" s="19"/>
      <c r="BBS49" s="19"/>
      <c r="BBT49" s="19"/>
      <c r="BBU49" s="19"/>
      <c r="BBV49" s="21"/>
      <c r="BBW49" s="19"/>
      <c r="BCF49" s="19"/>
      <c r="BCG49" s="19"/>
      <c r="BCH49" s="19"/>
      <c r="BCI49" s="19"/>
      <c r="BCJ49" s="21"/>
      <c r="BCK49" s="19"/>
      <c r="BCT49" s="19"/>
      <c r="BCU49" s="19"/>
      <c r="BCV49" s="19"/>
      <c r="BCW49" s="19"/>
      <c r="BCX49" s="21"/>
      <c r="BCY49" s="19"/>
      <c r="BDH49" s="19"/>
      <c r="BDI49" s="19"/>
      <c r="BDJ49" s="19"/>
      <c r="BDK49" s="19"/>
      <c r="BDL49" s="21"/>
      <c r="BDM49" s="19"/>
      <c r="BDV49" s="19"/>
      <c r="BDW49" s="19"/>
      <c r="BDX49" s="19"/>
      <c r="BDY49" s="19"/>
      <c r="BDZ49" s="21"/>
      <c r="BEA49" s="19"/>
      <c r="BEJ49" s="19"/>
      <c r="BEK49" s="19"/>
      <c r="BEL49" s="19"/>
      <c r="BEM49" s="19"/>
      <c r="BEN49" s="21"/>
      <c r="BEO49" s="19"/>
      <c r="BEX49" s="19"/>
      <c r="BEY49" s="19"/>
      <c r="BEZ49" s="19"/>
      <c r="BFA49" s="19"/>
      <c r="BFB49" s="21"/>
      <c r="BFC49" s="19"/>
      <c r="BFL49" s="19"/>
      <c r="BFM49" s="19"/>
      <c r="BFN49" s="19"/>
      <c r="BFO49" s="19"/>
      <c r="BFP49" s="21"/>
      <c r="BFQ49" s="19"/>
      <c r="BFZ49" s="19"/>
      <c r="BGA49" s="19"/>
      <c r="BGB49" s="19"/>
      <c r="BGC49" s="19"/>
      <c r="BGD49" s="21"/>
      <c r="BGE49" s="19"/>
      <c r="BGN49" s="19"/>
      <c r="BGO49" s="19"/>
      <c r="BGP49" s="19"/>
      <c r="BGQ49" s="19"/>
      <c r="BGR49" s="21"/>
      <c r="BGS49" s="19"/>
      <c r="BHB49" s="19"/>
      <c r="BHC49" s="19"/>
      <c r="BHD49" s="19"/>
      <c r="BHE49" s="19"/>
      <c r="BHF49" s="21"/>
      <c r="BHG49" s="19"/>
      <c r="BHP49" s="19"/>
      <c r="BHQ49" s="19"/>
      <c r="BHR49" s="19"/>
      <c r="BHS49" s="19"/>
      <c r="BHT49" s="21"/>
      <c r="BHU49" s="19"/>
      <c r="BID49" s="19"/>
      <c r="BIE49" s="19"/>
      <c r="BIF49" s="19"/>
      <c r="BIG49" s="19"/>
      <c r="BIH49" s="21"/>
      <c r="BII49" s="19"/>
      <c r="BIR49" s="19"/>
      <c r="BIS49" s="19"/>
      <c r="BIT49" s="19"/>
      <c r="BIU49" s="19"/>
      <c r="BIV49" s="21"/>
      <c r="BIW49" s="19"/>
      <c r="BJF49" s="19"/>
      <c r="BJG49" s="19"/>
      <c r="BJH49" s="19"/>
      <c r="BJI49" s="19"/>
      <c r="BJJ49" s="21"/>
      <c r="BJK49" s="19"/>
      <c r="BJT49" s="19"/>
      <c r="BJU49" s="19"/>
      <c r="BJV49" s="19"/>
      <c r="BJW49" s="19"/>
      <c r="BJX49" s="21"/>
      <c r="BJY49" s="19"/>
      <c r="BKH49" s="19"/>
      <c r="BKI49" s="19"/>
      <c r="BKJ49" s="19"/>
      <c r="BKK49" s="19"/>
      <c r="BKL49" s="21"/>
      <c r="BKM49" s="19"/>
      <c r="BKV49" s="19"/>
      <c r="BKW49" s="19"/>
      <c r="BKX49" s="19"/>
      <c r="BKY49" s="19"/>
      <c r="BKZ49" s="21"/>
      <c r="BLA49" s="19"/>
      <c r="BLJ49" s="19"/>
      <c r="BLK49" s="19"/>
      <c r="BLL49" s="19"/>
      <c r="BLM49" s="19"/>
      <c r="BLN49" s="21"/>
      <c r="BLO49" s="19"/>
      <c r="BLX49" s="19"/>
      <c r="BLY49" s="19"/>
      <c r="BLZ49" s="19"/>
      <c r="BMA49" s="19"/>
      <c r="BMB49" s="21"/>
      <c r="BMC49" s="19"/>
      <c r="BML49" s="19"/>
      <c r="BMM49" s="19"/>
      <c r="BMN49" s="19"/>
      <c r="BMO49" s="19"/>
      <c r="BMP49" s="21"/>
      <c r="BMQ49" s="19"/>
      <c r="BMZ49" s="19"/>
      <c r="BNA49" s="19"/>
      <c r="BNB49" s="19"/>
      <c r="BNC49" s="19"/>
      <c r="BND49" s="21"/>
      <c r="BNE49" s="19"/>
      <c r="BNN49" s="19"/>
      <c r="BNO49" s="19"/>
      <c r="BNP49" s="19"/>
      <c r="BNQ49" s="19"/>
      <c r="BNR49" s="21"/>
      <c r="BNS49" s="19"/>
      <c r="BOB49" s="19"/>
      <c r="BOC49" s="19"/>
      <c r="BOD49" s="19"/>
      <c r="BOE49" s="19"/>
      <c r="BOF49" s="21"/>
      <c r="BOG49" s="19"/>
      <c r="BOP49" s="19"/>
      <c r="BOQ49" s="19"/>
      <c r="BOR49" s="19"/>
      <c r="BOS49" s="19"/>
      <c r="BOT49" s="21"/>
      <c r="BOU49" s="19"/>
      <c r="BPD49" s="19"/>
      <c r="BPE49" s="19"/>
      <c r="BPF49" s="19"/>
      <c r="BPG49" s="19"/>
      <c r="BPH49" s="21"/>
      <c r="BPI49" s="19"/>
      <c r="BPR49" s="19"/>
      <c r="BPS49" s="19"/>
      <c r="BPT49" s="19"/>
      <c r="BPU49" s="19"/>
      <c r="BPV49" s="21"/>
      <c r="BPW49" s="19"/>
      <c r="BQF49" s="19"/>
      <c r="BQG49" s="19"/>
      <c r="BQH49" s="19"/>
      <c r="BQI49" s="19"/>
      <c r="BQJ49" s="21"/>
      <c r="BQK49" s="19"/>
      <c r="BQT49" s="19"/>
      <c r="BQU49" s="19"/>
      <c r="BQV49" s="19"/>
      <c r="BQW49" s="19"/>
      <c r="BQX49" s="21"/>
      <c r="BQY49" s="19"/>
      <c r="BRH49" s="19"/>
      <c r="BRI49" s="19"/>
      <c r="BRJ49" s="19"/>
      <c r="BRK49" s="19"/>
      <c r="BRL49" s="21"/>
      <c r="BRM49" s="19"/>
      <c r="BRV49" s="19"/>
      <c r="BRW49" s="19"/>
      <c r="BRX49" s="19"/>
      <c r="BRY49" s="19"/>
      <c r="BRZ49" s="21"/>
      <c r="BSA49" s="19"/>
      <c r="BSJ49" s="19"/>
      <c r="BSK49" s="19"/>
      <c r="BSL49" s="19"/>
      <c r="BSM49" s="19"/>
      <c r="BSN49" s="21"/>
      <c r="BSO49" s="19"/>
      <c r="BSX49" s="19"/>
      <c r="BSY49" s="19"/>
      <c r="BSZ49" s="19"/>
      <c r="BTA49" s="19"/>
      <c r="BTB49" s="21"/>
      <c r="BTC49" s="19"/>
      <c r="BTL49" s="19"/>
      <c r="BTM49" s="19"/>
      <c r="BTN49" s="19"/>
      <c r="BTO49" s="19"/>
      <c r="BTP49" s="21"/>
      <c r="BTQ49" s="19"/>
      <c r="BTZ49" s="19"/>
      <c r="BUA49" s="19"/>
      <c r="BUB49" s="19"/>
      <c r="BUC49" s="19"/>
      <c r="BUD49" s="21"/>
      <c r="BUE49" s="19"/>
      <c r="BUN49" s="19"/>
      <c r="BUO49" s="19"/>
      <c r="BUP49" s="19"/>
      <c r="BUQ49" s="19"/>
      <c r="BUR49" s="21"/>
      <c r="BUS49" s="19"/>
      <c r="BVB49" s="19"/>
      <c r="BVC49" s="19"/>
      <c r="BVD49" s="19"/>
      <c r="BVE49" s="19"/>
      <c r="BVF49" s="21"/>
      <c r="BVG49" s="19"/>
      <c r="BVP49" s="19"/>
      <c r="BVQ49" s="19"/>
      <c r="BVR49" s="19"/>
      <c r="BVS49" s="19"/>
      <c r="BVT49" s="21"/>
      <c r="BVU49" s="19"/>
      <c r="BWD49" s="19"/>
      <c r="BWE49" s="19"/>
      <c r="BWF49" s="19"/>
      <c r="BWG49" s="19"/>
      <c r="BWH49" s="21"/>
      <c r="BWI49" s="19"/>
      <c r="BWR49" s="19"/>
      <c r="BWS49" s="19"/>
      <c r="BWT49" s="19"/>
      <c r="BWU49" s="19"/>
      <c r="BWV49" s="21"/>
      <c r="BWW49" s="19"/>
      <c r="BXF49" s="19"/>
      <c r="BXG49" s="19"/>
      <c r="BXH49" s="19"/>
      <c r="BXI49" s="19"/>
      <c r="BXJ49" s="21"/>
      <c r="BXK49" s="19"/>
      <c r="BXT49" s="19"/>
      <c r="BXU49" s="19"/>
      <c r="BXV49" s="19"/>
      <c r="BXW49" s="19"/>
      <c r="BXX49" s="21"/>
      <c r="BXY49" s="19"/>
      <c r="BYH49" s="19"/>
      <c r="BYI49" s="19"/>
      <c r="BYJ49" s="19"/>
      <c r="BYK49" s="19"/>
      <c r="BYL49" s="21"/>
      <c r="BYM49" s="19"/>
      <c r="BYV49" s="19"/>
      <c r="BYW49" s="19"/>
      <c r="BYX49" s="19"/>
      <c r="BYY49" s="19"/>
      <c r="BYZ49" s="21"/>
      <c r="BZA49" s="19"/>
      <c r="BZJ49" s="19"/>
      <c r="BZK49" s="19"/>
      <c r="BZL49" s="19"/>
      <c r="BZM49" s="19"/>
      <c r="BZN49" s="21"/>
      <c r="BZO49" s="19"/>
      <c r="BZX49" s="19"/>
      <c r="BZY49" s="19"/>
      <c r="BZZ49" s="19"/>
      <c r="CAA49" s="19"/>
      <c r="CAB49" s="21"/>
      <c r="CAC49" s="19"/>
      <c r="CAL49" s="19"/>
      <c r="CAM49" s="19"/>
      <c r="CAN49" s="19"/>
      <c r="CAO49" s="19"/>
      <c r="CAP49" s="21"/>
      <c r="CAQ49" s="19"/>
      <c r="CAZ49" s="19"/>
      <c r="CBA49" s="19"/>
      <c r="CBB49" s="19"/>
      <c r="CBC49" s="19"/>
      <c r="CBD49" s="21"/>
      <c r="CBE49" s="19"/>
      <c r="CBN49" s="19"/>
      <c r="CBO49" s="19"/>
      <c r="CBP49" s="19"/>
      <c r="CBQ49" s="19"/>
      <c r="CBR49" s="21"/>
      <c r="CBS49" s="19"/>
      <c r="CCB49" s="19"/>
      <c r="CCC49" s="19"/>
      <c r="CCD49" s="19"/>
      <c r="CCE49" s="19"/>
      <c r="CCF49" s="21"/>
      <c r="CCG49" s="19"/>
      <c r="CCP49" s="19"/>
      <c r="CCQ49" s="19"/>
      <c r="CCR49" s="19"/>
      <c r="CCS49" s="19"/>
      <c r="CCT49" s="21"/>
      <c r="CCU49" s="19"/>
      <c r="CDD49" s="19"/>
      <c r="CDE49" s="19"/>
      <c r="CDF49" s="19"/>
      <c r="CDG49" s="19"/>
      <c r="CDH49" s="21"/>
      <c r="CDI49" s="19"/>
      <c r="CDR49" s="19"/>
      <c r="CDS49" s="19"/>
      <c r="CDT49" s="19"/>
      <c r="CDU49" s="19"/>
      <c r="CDV49" s="21"/>
      <c r="CDW49" s="19"/>
      <c r="CEF49" s="19"/>
      <c r="CEG49" s="19"/>
      <c r="CEH49" s="19"/>
      <c r="CEI49" s="19"/>
      <c r="CEJ49" s="21"/>
      <c r="CEK49" s="19"/>
      <c r="CET49" s="19"/>
      <c r="CEU49" s="19"/>
      <c r="CEV49" s="19"/>
      <c r="CEW49" s="19"/>
      <c r="CEX49" s="21"/>
      <c r="CEY49" s="19"/>
      <c r="CFH49" s="19"/>
      <c r="CFI49" s="19"/>
      <c r="CFJ49" s="19"/>
      <c r="CFK49" s="19"/>
      <c r="CFL49" s="21"/>
      <c r="CFM49" s="19"/>
      <c r="CFV49" s="19"/>
      <c r="CFW49" s="19"/>
      <c r="CFX49" s="19"/>
      <c r="CFY49" s="19"/>
      <c r="CFZ49" s="21"/>
      <c r="CGA49" s="19"/>
      <c r="CGJ49" s="19"/>
      <c r="CGK49" s="19"/>
      <c r="CGL49" s="19"/>
      <c r="CGM49" s="19"/>
      <c r="CGN49" s="21"/>
      <c r="CGO49" s="19"/>
      <c r="CGX49" s="19"/>
      <c r="CGY49" s="19"/>
      <c r="CGZ49" s="19"/>
      <c r="CHA49" s="19"/>
      <c r="CHB49" s="21"/>
      <c r="CHC49" s="19"/>
      <c r="CHL49" s="19"/>
      <c r="CHM49" s="19"/>
      <c r="CHN49" s="19"/>
      <c r="CHO49" s="19"/>
      <c r="CHP49" s="21"/>
      <c r="CHQ49" s="19"/>
      <c r="CHZ49" s="19"/>
      <c r="CIA49" s="19"/>
      <c r="CIB49" s="19"/>
      <c r="CIC49" s="19"/>
      <c r="CID49" s="21"/>
      <c r="CIE49" s="19"/>
      <c r="CIN49" s="19"/>
      <c r="CIO49" s="19"/>
      <c r="CIP49" s="19"/>
      <c r="CIQ49" s="19"/>
      <c r="CIR49" s="21"/>
      <c r="CIS49" s="19"/>
      <c r="CJB49" s="19"/>
      <c r="CJC49" s="19"/>
      <c r="CJD49" s="19"/>
      <c r="CJE49" s="19"/>
      <c r="CJF49" s="21"/>
      <c r="CJG49" s="19"/>
      <c r="CJP49" s="19"/>
      <c r="CJQ49" s="19"/>
      <c r="CJR49" s="19"/>
      <c r="CJS49" s="19"/>
      <c r="CJT49" s="21"/>
      <c r="CJU49" s="19"/>
      <c r="CKD49" s="19"/>
      <c r="CKE49" s="19"/>
      <c r="CKF49" s="19"/>
      <c r="CKG49" s="19"/>
      <c r="CKH49" s="21"/>
      <c r="CKI49" s="19"/>
      <c r="CKR49" s="19"/>
      <c r="CKS49" s="19"/>
      <c r="CKT49" s="19"/>
      <c r="CKU49" s="19"/>
      <c r="CKV49" s="21"/>
      <c r="CKW49" s="19"/>
      <c r="CLF49" s="19"/>
      <c r="CLG49" s="19"/>
      <c r="CLH49" s="19"/>
      <c r="CLI49" s="19"/>
      <c r="CLJ49" s="21"/>
      <c r="CLK49" s="19"/>
      <c r="CLT49" s="19"/>
      <c r="CLU49" s="19"/>
      <c r="CLV49" s="19"/>
      <c r="CLW49" s="19"/>
      <c r="CLX49" s="21"/>
      <c r="CLY49" s="19"/>
      <c r="CMH49" s="19"/>
      <c r="CMI49" s="19"/>
      <c r="CMJ49" s="19"/>
      <c r="CMK49" s="19"/>
      <c r="CML49" s="21"/>
      <c r="CMM49" s="19"/>
      <c r="CMV49" s="19"/>
      <c r="CMW49" s="19"/>
      <c r="CMX49" s="19"/>
      <c r="CMY49" s="19"/>
      <c r="CMZ49" s="21"/>
      <c r="CNA49" s="19"/>
      <c r="CNJ49" s="19"/>
      <c r="CNK49" s="19"/>
      <c r="CNL49" s="19"/>
      <c r="CNM49" s="19"/>
      <c r="CNN49" s="21"/>
      <c r="CNO49" s="19"/>
      <c r="CNX49" s="19"/>
      <c r="CNY49" s="19"/>
      <c r="CNZ49" s="19"/>
      <c r="COA49" s="19"/>
      <c r="COB49" s="21"/>
      <c r="COC49" s="19"/>
      <c r="COL49" s="19"/>
      <c r="COM49" s="19"/>
      <c r="CON49" s="19"/>
      <c r="COO49" s="19"/>
      <c r="COP49" s="21"/>
      <c r="COQ49" s="19"/>
      <c r="COZ49" s="19"/>
      <c r="CPA49" s="19"/>
      <c r="CPB49" s="19"/>
      <c r="CPC49" s="19"/>
      <c r="CPD49" s="21"/>
      <c r="CPE49" s="19"/>
      <c r="CPN49" s="19"/>
      <c r="CPO49" s="19"/>
      <c r="CPP49" s="19"/>
      <c r="CPQ49" s="19"/>
      <c r="CPR49" s="21"/>
      <c r="CPS49" s="19"/>
      <c r="CQB49" s="19"/>
      <c r="CQC49" s="19"/>
      <c r="CQD49" s="19"/>
      <c r="CQE49" s="19"/>
      <c r="CQF49" s="21"/>
      <c r="CQG49" s="19"/>
      <c r="CQP49" s="19"/>
      <c r="CQQ49" s="19"/>
      <c r="CQR49" s="19"/>
      <c r="CQS49" s="19"/>
      <c r="CQT49" s="21"/>
      <c r="CQU49" s="19"/>
      <c r="CRD49" s="19"/>
      <c r="CRE49" s="19"/>
      <c r="CRF49" s="19"/>
      <c r="CRG49" s="19"/>
      <c r="CRH49" s="21"/>
      <c r="CRI49" s="19"/>
      <c r="CRR49" s="19"/>
      <c r="CRS49" s="19"/>
      <c r="CRT49" s="19"/>
      <c r="CRU49" s="19"/>
      <c r="CRV49" s="21"/>
      <c r="CRW49" s="19"/>
      <c r="CSF49" s="19"/>
      <c r="CSG49" s="19"/>
      <c r="CSH49" s="19"/>
      <c r="CSI49" s="19"/>
      <c r="CSJ49" s="21"/>
      <c r="CSK49" s="19"/>
      <c r="CST49" s="19"/>
      <c r="CSU49" s="19"/>
      <c r="CSV49" s="19"/>
      <c r="CSW49" s="19"/>
      <c r="CSX49" s="21"/>
      <c r="CSY49" s="19"/>
      <c r="CTH49" s="19"/>
      <c r="CTI49" s="19"/>
      <c r="CTJ49" s="19"/>
      <c r="CTK49" s="19"/>
      <c r="CTL49" s="21"/>
      <c r="CTM49" s="19"/>
      <c r="CTV49" s="19"/>
      <c r="CTW49" s="19"/>
      <c r="CTX49" s="19"/>
      <c r="CTY49" s="19"/>
      <c r="CTZ49" s="21"/>
      <c r="CUA49" s="19"/>
      <c r="CUJ49" s="19"/>
      <c r="CUK49" s="19"/>
      <c r="CUL49" s="19"/>
      <c r="CUM49" s="19"/>
      <c r="CUN49" s="21"/>
      <c r="CUO49" s="19"/>
      <c r="CUX49" s="19"/>
      <c r="CUY49" s="19"/>
      <c r="CUZ49" s="19"/>
      <c r="CVA49" s="19"/>
      <c r="CVB49" s="21"/>
      <c r="CVC49" s="19"/>
      <c r="CVL49" s="19"/>
      <c r="CVM49" s="19"/>
      <c r="CVN49" s="19"/>
      <c r="CVO49" s="19"/>
      <c r="CVP49" s="21"/>
      <c r="CVQ49" s="19"/>
      <c r="CVZ49" s="19"/>
      <c r="CWA49" s="19"/>
      <c r="CWB49" s="19"/>
      <c r="CWC49" s="19"/>
      <c r="CWD49" s="21"/>
      <c r="CWE49" s="19"/>
      <c r="CWN49" s="19"/>
      <c r="CWO49" s="19"/>
      <c r="CWP49" s="19"/>
      <c r="CWQ49" s="19"/>
      <c r="CWR49" s="21"/>
      <c r="CWS49" s="19"/>
      <c r="CXB49" s="19"/>
      <c r="CXC49" s="19"/>
      <c r="CXD49" s="19"/>
      <c r="CXE49" s="19"/>
      <c r="CXF49" s="21"/>
      <c r="CXG49" s="19"/>
      <c r="CXP49" s="19"/>
      <c r="CXQ49" s="19"/>
      <c r="CXR49" s="19"/>
      <c r="CXS49" s="19"/>
      <c r="CXT49" s="21"/>
      <c r="CXU49" s="19"/>
      <c r="CYD49" s="19"/>
      <c r="CYE49" s="19"/>
      <c r="CYF49" s="19"/>
      <c r="CYG49" s="19"/>
      <c r="CYH49" s="21"/>
      <c r="CYI49" s="19"/>
      <c r="CYR49" s="19"/>
      <c r="CYS49" s="19"/>
      <c r="CYT49" s="19"/>
      <c r="CYU49" s="19"/>
      <c r="CYV49" s="21"/>
      <c r="CYW49" s="19"/>
      <c r="CZF49" s="19"/>
      <c r="CZG49" s="19"/>
      <c r="CZH49" s="19"/>
      <c r="CZI49" s="19"/>
      <c r="CZJ49" s="21"/>
      <c r="CZK49" s="19"/>
      <c r="CZT49" s="19"/>
      <c r="CZU49" s="19"/>
      <c r="CZV49" s="19"/>
      <c r="CZW49" s="19"/>
      <c r="CZX49" s="21"/>
      <c r="CZY49" s="19"/>
      <c r="DAH49" s="19"/>
      <c r="DAI49" s="19"/>
      <c r="DAJ49" s="19"/>
      <c r="DAK49" s="19"/>
      <c r="DAL49" s="21"/>
      <c r="DAM49" s="19"/>
      <c r="DAV49" s="19"/>
      <c r="DAW49" s="19"/>
      <c r="DAX49" s="19"/>
      <c r="DAY49" s="19"/>
      <c r="DAZ49" s="21"/>
      <c r="DBA49" s="19"/>
      <c r="DBJ49" s="19"/>
      <c r="DBK49" s="19"/>
      <c r="DBL49" s="19"/>
      <c r="DBM49" s="19"/>
      <c r="DBN49" s="21"/>
      <c r="DBO49" s="19"/>
      <c r="DBX49" s="19"/>
      <c r="DBY49" s="19"/>
      <c r="DBZ49" s="19"/>
      <c r="DCA49" s="19"/>
      <c r="DCB49" s="21"/>
      <c r="DCC49" s="19"/>
      <c r="DCL49" s="19"/>
      <c r="DCM49" s="19"/>
      <c r="DCN49" s="19"/>
      <c r="DCO49" s="19"/>
      <c r="DCP49" s="21"/>
      <c r="DCQ49" s="19"/>
      <c r="DCZ49" s="19"/>
      <c r="DDA49" s="19"/>
      <c r="DDB49" s="19"/>
      <c r="DDC49" s="19"/>
      <c r="DDD49" s="21"/>
      <c r="DDE49" s="19"/>
      <c r="DDN49" s="19"/>
      <c r="DDO49" s="19"/>
      <c r="DDP49" s="19"/>
      <c r="DDQ49" s="19"/>
      <c r="DDR49" s="21"/>
      <c r="DDS49" s="19"/>
      <c r="DEB49" s="19"/>
      <c r="DEC49" s="19"/>
      <c r="DED49" s="19"/>
      <c r="DEE49" s="19"/>
      <c r="DEF49" s="21"/>
      <c r="DEG49" s="19"/>
      <c r="DEP49" s="19"/>
      <c r="DEQ49" s="19"/>
      <c r="DER49" s="19"/>
      <c r="DES49" s="19"/>
      <c r="DET49" s="21"/>
      <c r="DEU49" s="19"/>
      <c r="DFD49" s="19"/>
      <c r="DFE49" s="19"/>
      <c r="DFF49" s="19"/>
      <c r="DFG49" s="19"/>
      <c r="DFH49" s="21"/>
      <c r="DFI49" s="19"/>
      <c r="DFR49" s="19"/>
      <c r="DFS49" s="19"/>
      <c r="DFT49" s="19"/>
      <c r="DFU49" s="19"/>
      <c r="DFV49" s="21"/>
      <c r="DFW49" s="19"/>
      <c r="DGF49" s="19"/>
      <c r="DGG49" s="19"/>
      <c r="DGH49" s="19"/>
      <c r="DGI49" s="19"/>
      <c r="DGJ49" s="21"/>
      <c r="DGK49" s="19"/>
      <c r="DGT49" s="19"/>
      <c r="DGU49" s="19"/>
      <c r="DGV49" s="19"/>
      <c r="DGW49" s="19"/>
      <c r="DGX49" s="21"/>
      <c r="DGY49" s="19"/>
      <c r="DHH49" s="19"/>
      <c r="DHI49" s="19"/>
      <c r="DHJ49" s="19"/>
      <c r="DHK49" s="19"/>
      <c r="DHL49" s="21"/>
      <c r="DHM49" s="19"/>
      <c r="DHV49" s="19"/>
      <c r="DHW49" s="19"/>
      <c r="DHX49" s="19"/>
      <c r="DHY49" s="19"/>
      <c r="DHZ49" s="21"/>
      <c r="DIA49" s="19"/>
      <c r="DIJ49" s="19"/>
      <c r="DIK49" s="19"/>
      <c r="DIL49" s="19"/>
      <c r="DIM49" s="19"/>
      <c r="DIN49" s="21"/>
      <c r="DIO49" s="19"/>
      <c r="DIX49" s="19"/>
      <c r="DIY49" s="19"/>
      <c r="DIZ49" s="19"/>
      <c r="DJA49" s="19"/>
      <c r="DJB49" s="21"/>
      <c r="DJC49" s="19"/>
      <c r="DJL49" s="19"/>
      <c r="DJM49" s="19"/>
      <c r="DJN49" s="19"/>
      <c r="DJO49" s="19"/>
      <c r="DJP49" s="21"/>
      <c r="DJQ49" s="19"/>
      <c r="DJZ49" s="19"/>
      <c r="DKA49" s="19"/>
      <c r="DKB49" s="19"/>
      <c r="DKC49" s="19"/>
      <c r="DKD49" s="21"/>
      <c r="DKE49" s="19"/>
      <c r="DKN49" s="19"/>
      <c r="DKO49" s="19"/>
      <c r="DKP49" s="19"/>
      <c r="DKQ49" s="19"/>
      <c r="DKR49" s="21"/>
      <c r="DKS49" s="19"/>
      <c r="DLB49" s="19"/>
      <c r="DLC49" s="19"/>
      <c r="DLD49" s="19"/>
      <c r="DLE49" s="19"/>
      <c r="DLF49" s="21"/>
      <c r="DLG49" s="19"/>
      <c r="DLP49" s="19"/>
      <c r="DLQ49" s="19"/>
      <c r="DLR49" s="19"/>
      <c r="DLS49" s="19"/>
      <c r="DLT49" s="21"/>
      <c r="DLU49" s="19"/>
      <c r="DMD49" s="19"/>
      <c r="DME49" s="19"/>
      <c r="DMF49" s="19"/>
      <c r="DMG49" s="19"/>
      <c r="DMH49" s="21"/>
      <c r="DMI49" s="19"/>
      <c r="DMR49" s="19"/>
      <c r="DMS49" s="19"/>
      <c r="DMT49" s="19"/>
      <c r="DMU49" s="19"/>
      <c r="DMV49" s="21"/>
      <c r="DMW49" s="19"/>
      <c r="DNF49" s="19"/>
      <c r="DNG49" s="19"/>
      <c r="DNH49" s="19"/>
      <c r="DNI49" s="19"/>
      <c r="DNJ49" s="21"/>
      <c r="DNK49" s="19"/>
      <c r="DNT49" s="19"/>
      <c r="DNU49" s="19"/>
      <c r="DNV49" s="19"/>
      <c r="DNW49" s="19"/>
      <c r="DNX49" s="21"/>
      <c r="DNY49" s="19"/>
      <c r="DOH49" s="19"/>
      <c r="DOI49" s="19"/>
      <c r="DOJ49" s="19"/>
      <c r="DOK49" s="19"/>
      <c r="DOL49" s="21"/>
      <c r="DOM49" s="19"/>
      <c r="DOV49" s="19"/>
      <c r="DOW49" s="19"/>
      <c r="DOX49" s="19"/>
      <c r="DOY49" s="19"/>
      <c r="DOZ49" s="21"/>
      <c r="DPA49" s="19"/>
      <c r="DPJ49" s="19"/>
      <c r="DPK49" s="19"/>
      <c r="DPL49" s="19"/>
      <c r="DPM49" s="19"/>
      <c r="DPN49" s="21"/>
      <c r="DPO49" s="19"/>
      <c r="DPX49" s="19"/>
      <c r="DPY49" s="19"/>
      <c r="DPZ49" s="19"/>
      <c r="DQA49" s="19"/>
      <c r="DQB49" s="21"/>
      <c r="DQC49" s="19"/>
      <c r="DQL49" s="19"/>
      <c r="DQM49" s="19"/>
      <c r="DQN49" s="19"/>
      <c r="DQO49" s="19"/>
      <c r="DQP49" s="21"/>
      <c r="DQQ49" s="19"/>
      <c r="DQZ49" s="19"/>
      <c r="DRA49" s="19"/>
      <c r="DRB49" s="19"/>
      <c r="DRC49" s="19"/>
      <c r="DRD49" s="21"/>
      <c r="DRE49" s="19"/>
      <c r="DRN49" s="19"/>
      <c r="DRO49" s="19"/>
      <c r="DRP49" s="19"/>
      <c r="DRQ49" s="19"/>
      <c r="DRR49" s="21"/>
      <c r="DRS49" s="19"/>
      <c r="DSB49" s="19"/>
      <c r="DSC49" s="19"/>
      <c r="DSD49" s="19"/>
      <c r="DSE49" s="19"/>
      <c r="DSF49" s="21"/>
      <c r="DSG49" s="19"/>
      <c r="DSP49" s="19"/>
      <c r="DSQ49" s="19"/>
      <c r="DSR49" s="19"/>
      <c r="DSS49" s="19"/>
      <c r="DST49" s="21"/>
      <c r="DSU49" s="19"/>
      <c r="DTD49" s="19"/>
      <c r="DTE49" s="19"/>
      <c r="DTF49" s="19"/>
      <c r="DTG49" s="19"/>
      <c r="DTH49" s="21"/>
      <c r="DTI49" s="19"/>
      <c r="DTR49" s="19"/>
      <c r="DTS49" s="19"/>
      <c r="DTT49" s="19"/>
      <c r="DTU49" s="19"/>
      <c r="DTV49" s="21"/>
      <c r="DTW49" s="19"/>
      <c r="DUF49" s="19"/>
      <c r="DUG49" s="19"/>
      <c r="DUH49" s="19"/>
      <c r="DUI49" s="19"/>
      <c r="DUJ49" s="21"/>
      <c r="DUK49" s="19"/>
      <c r="DUT49" s="19"/>
      <c r="DUU49" s="19"/>
      <c r="DUV49" s="19"/>
      <c r="DUW49" s="19"/>
      <c r="DUX49" s="21"/>
      <c r="DUY49" s="19"/>
      <c r="DVH49" s="19"/>
      <c r="DVI49" s="19"/>
      <c r="DVJ49" s="19"/>
      <c r="DVK49" s="19"/>
      <c r="DVL49" s="21"/>
      <c r="DVM49" s="19"/>
      <c r="DVV49" s="19"/>
      <c r="DVW49" s="19"/>
      <c r="DVX49" s="19"/>
      <c r="DVY49" s="19"/>
      <c r="DVZ49" s="21"/>
      <c r="DWA49" s="19"/>
      <c r="DWJ49" s="19"/>
      <c r="DWK49" s="19"/>
      <c r="DWL49" s="19"/>
      <c r="DWM49" s="19"/>
      <c r="DWN49" s="21"/>
      <c r="DWO49" s="19"/>
      <c r="DWX49" s="19"/>
      <c r="DWY49" s="19"/>
      <c r="DWZ49" s="19"/>
      <c r="DXA49" s="19"/>
      <c r="DXB49" s="21"/>
      <c r="DXC49" s="19"/>
      <c r="DXL49" s="19"/>
      <c r="DXM49" s="19"/>
      <c r="DXN49" s="19"/>
      <c r="DXO49" s="19"/>
      <c r="DXP49" s="21"/>
      <c r="DXQ49" s="19"/>
      <c r="DXZ49" s="19"/>
      <c r="DYA49" s="19"/>
      <c r="DYB49" s="19"/>
      <c r="DYC49" s="19"/>
      <c r="DYD49" s="21"/>
      <c r="DYE49" s="19"/>
      <c r="DYN49" s="19"/>
      <c r="DYO49" s="19"/>
      <c r="DYP49" s="19"/>
      <c r="DYQ49" s="19"/>
      <c r="DYR49" s="21"/>
      <c r="DYS49" s="19"/>
      <c r="DZB49" s="19"/>
      <c r="DZC49" s="19"/>
      <c r="DZD49" s="19"/>
      <c r="DZE49" s="19"/>
      <c r="DZF49" s="21"/>
      <c r="DZG49" s="19"/>
      <c r="DZP49" s="19"/>
      <c r="DZQ49" s="19"/>
      <c r="DZR49" s="19"/>
      <c r="DZS49" s="19"/>
      <c r="DZT49" s="21"/>
      <c r="DZU49" s="19"/>
      <c r="EAD49" s="19"/>
      <c r="EAE49" s="19"/>
      <c r="EAF49" s="19"/>
      <c r="EAG49" s="19"/>
      <c r="EAH49" s="21"/>
      <c r="EAI49" s="19"/>
      <c r="EAR49" s="19"/>
      <c r="EAS49" s="19"/>
      <c r="EAT49" s="19"/>
      <c r="EAU49" s="19"/>
      <c r="EAV49" s="21"/>
      <c r="EAW49" s="19"/>
      <c r="EBF49" s="19"/>
      <c r="EBG49" s="19"/>
      <c r="EBH49" s="19"/>
      <c r="EBI49" s="19"/>
      <c r="EBJ49" s="21"/>
      <c r="EBK49" s="19"/>
      <c r="EBT49" s="19"/>
      <c r="EBU49" s="19"/>
      <c r="EBV49" s="19"/>
      <c r="EBW49" s="19"/>
      <c r="EBX49" s="21"/>
      <c r="EBY49" s="19"/>
      <c r="ECH49" s="19"/>
      <c r="ECI49" s="19"/>
      <c r="ECJ49" s="19"/>
      <c r="ECK49" s="19"/>
      <c r="ECL49" s="21"/>
      <c r="ECM49" s="19"/>
      <c r="ECV49" s="19"/>
      <c r="ECW49" s="19"/>
      <c r="ECX49" s="19"/>
      <c r="ECY49" s="19"/>
      <c r="ECZ49" s="21"/>
      <c r="EDA49" s="19"/>
      <c r="EDJ49" s="19"/>
      <c r="EDK49" s="19"/>
      <c r="EDL49" s="19"/>
      <c r="EDM49" s="19"/>
      <c r="EDN49" s="21"/>
      <c r="EDO49" s="19"/>
      <c r="EDX49" s="19"/>
      <c r="EDY49" s="19"/>
      <c r="EDZ49" s="19"/>
      <c r="EEA49" s="19"/>
      <c r="EEB49" s="21"/>
      <c r="EEC49" s="19"/>
      <c r="EEL49" s="19"/>
      <c r="EEM49" s="19"/>
      <c r="EEN49" s="19"/>
      <c r="EEO49" s="19"/>
      <c r="EEP49" s="21"/>
      <c r="EEQ49" s="19"/>
      <c r="EEZ49" s="19"/>
      <c r="EFA49" s="19"/>
      <c r="EFB49" s="19"/>
      <c r="EFC49" s="19"/>
      <c r="EFD49" s="21"/>
      <c r="EFE49" s="19"/>
      <c r="EFN49" s="19"/>
      <c r="EFO49" s="19"/>
      <c r="EFP49" s="19"/>
      <c r="EFQ49" s="19"/>
      <c r="EFR49" s="21"/>
      <c r="EFS49" s="19"/>
      <c r="EGB49" s="19"/>
      <c r="EGC49" s="19"/>
      <c r="EGD49" s="19"/>
      <c r="EGE49" s="19"/>
      <c r="EGF49" s="21"/>
      <c r="EGG49" s="19"/>
      <c r="EGP49" s="19"/>
      <c r="EGQ49" s="19"/>
      <c r="EGR49" s="19"/>
      <c r="EGS49" s="19"/>
      <c r="EGT49" s="21"/>
      <c r="EGU49" s="19"/>
      <c r="EHD49" s="19"/>
      <c r="EHE49" s="19"/>
      <c r="EHF49" s="19"/>
      <c r="EHG49" s="19"/>
      <c r="EHH49" s="21"/>
      <c r="EHI49" s="19"/>
      <c r="EHR49" s="19"/>
      <c r="EHS49" s="19"/>
      <c r="EHT49" s="19"/>
      <c r="EHU49" s="19"/>
      <c r="EHV49" s="21"/>
      <c r="EHW49" s="19"/>
      <c r="EIF49" s="19"/>
      <c r="EIG49" s="19"/>
      <c r="EIH49" s="19"/>
      <c r="EII49" s="19"/>
      <c r="EIJ49" s="21"/>
      <c r="EIK49" s="19"/>
      <c r="EIT49" s="19"/>
      <c r="EIU49" s="19"/>
      <c r="EIV49" s="19"/>
      <c r="EIW49" s="19"/>
      <c r="EIX49" s="21"/>
      <c r="EIY49" s="19"/>
      <c r="EJH49" s="19"/>
      <c r="EJI49" s="19"/>
      <c r="EJJ49" s="19"/>
      <c r="EJK49" s="19"/>
      <c r="EJL49" s="21"/>
      <c r="EJM49" s="19"/>
      <c r="EJV49" s="19"/>
      <c r="EJW49" s="19"/>
      <c r="EJX49" s="19"/>
      <c r="EJY49" s="19"/>
      <c r="EJZ49" s="21"/>
      <c r="EKA49" s="19"/>
      <c r="EKJ49" s="19"/>
      <c r="EKK49" s="19"/>
      <c r="EKL49" s="19"/>
      <c r="EKM49" s="19"/>
      <c r="EKN49" s="21"/>
      <c r="EKO49" s="19"/>
      <c r="EKX49" s="19"/>
      <c r="EKY49" s="19"/>
      <c r="EKZ49" s="19"/>
      <c r="ELA49" s="19"/>
      <c r="ELB49" s="21"/>
      <c r="ELC49" s="19"/>
      <c r="ELL49" s="19"/>
      <c r="ELM49" s="19"/>
      <c r="ELN49" s="19"/>
      <c r="ELO49" s="19"/>
      <c r="ELP49" s="21"/>
      <c r="ELQ49" s="19"/>
      <c r="ELZ49" s="19"/>
      <c r="EMA49" s="19"/>
      <c r="EMB49" s="19"/>
      <c r="EMC49" s="19"/>
      <c r="EMD49" s="21"/>
      <c r="EME49" s="19"/>
      <c r="EMN49" s="19"/>
      <c r="EMO49" s="19"/>
      <c r="EMP49" s="19"/>
      <c r="EMQ49" s="19"/>
      <c r="EMR49" s="21"/>
      <c r="EMS49" s="19"/>
      <c r="ENB49" s="19"/>
      <c r="ENC49" s="19"/>
      <c r="END49" s="19"/>
      <c r="ENE49" s="19"/>
      <c r="ENF49" s="21"/>
      <c r="ENG49" s="19"/>
      <c r="ENP49" s="19"/>
      <c r="ENQ49" s="19"/>
      <c r="ENR49" s="19"/>
      <c r="ENS49" s="19"/>
      <c r="ENT49" s="21"/>
      <c r="ENU49" s="19"/>
      <c r="EOD49" s="19"/>
      <c r="EOE49" s="19"/>
      <c r="EOF49" s="19"/>
      <c r="EOG49" s="19"/>
      <c r="EOH49" s="21"/>
      <c r="EOI49" s="19"/>
      <c r="EOR49" s="19"/>
      <c r="EOS49" s="19"/>
      <c r="EOT49" s="19"/>
      <c r="EOU49" s="19"/>
      <c r="EOV49" s="21"/>
      <c r="EOW49" s="19"/>
      <c r="EPF49" s="19"/>
      <c r="EPG49" s="19"/>
      <c r="EPH49" s="19"/>
      <c r="EPI49" s="19"/>
      <c r="EPJ49" s="21"/>
      <c r="EPK49" s="19"/>
      <c r="EPT49" s="19"/>
      <c r="EPU49" s="19"/>
      <c r="EPV49" s="19"/>
      <c r="EPW49" s="19"/>
      <c r="EPX49" s="21"/>
      <c r="EPY49" s="19"/>
      <c r="EQH49" s="19"/>
      <c r="EQI49" s="19"/>
      <c r="EQJ49" s="19"/>
      <c r="EQK49" s="19"/>
      <c r="EQL49" s="21"/>
      <c r="EQM49" s="19"/>
      <c r="EQV49" s="19"/>
      <c r="EQW49" s="19"/>
      <c r="EQX49" s="19"/>
      <c r="EQY49" s="19"/>
      <c r="EQZ49" s="21"/>
      <c r="ERA49" s="19"/>
      <c r="ERJ49" s="19"/>
      <c r="ERK49" s="19"/>
      <c r="ERL49" s="19"/>
      <c r="ERM49" s="19"/>
      <c r="ERN49" s="21"/>
      <c r="ERO49" s="19"/>
      <c r="ERX49" s="19"/>
      <c r="ERY49" s="19"/>
      <c r="ERZ49" s="19"/>
      <c r="ESA49" s="19"/>
      <c r="ESB49" s="21"/>
      <c r="ESC49" s="19"/>
      <c r="ESL49" s="19"/>
      <c r="ESM49" s="19"/>
      <c r="ESN49" s="19"/>
      <c r="ESO49" s="19"/>
      <c r="ESP49" s="21"/>
      <c r="ESQ49" s="19"/>
      <c r="ESZ49" s="19"/>
      <c r="ETA49" s="19"/>
      <c r="ETB49" s="19"/>
      <c r="ETC49" s="19"/>
      <c r="ETD49" s="21"/>
      <c r="ETE49" s="19"/>
      <c r="ETN49" s="19"/>
      <c r="ETO49" s="19"/>
      <c r="ETP49" s="19"/>
      <c r="ETQ49" s="19"/>
      <c r="ETR49" s="21"/>
      <c r="ETS49" s="19"/>
      <c r="EUB49" s="19"/>
      <c r="EUC49" s="19"/>
      <c r="EUD49" s="19"/>
      <c r="EUE49" s="19"/>
      <c r="EUF49" s="21"/>
      <c r="EUG49" s="19"/>
      <c r="EUP49" s="19"/>
      <c r="EUQ49" s="19"/>
      <c r="EUR49" s="19"/>
      <c r="EUS49" s="19"/>
      <c r="EUT49" s="21"/>
      <c r="EUU49" s="19"/>
      <c r="EVD49" s="19"/>
      <c r="EVE49" s="19"/>
      <c r="EVF49" s="19"/>
      <c r="EVG49" s="19"/>
      <c r="EVH49" s="21"/>
      <c r="EVI49" s="19"/>
      <c r="EVR49" s="19"/>
      <c r="EVS49" s="19"/>
      <c r="EVT49" s="19"/>
      <c r="EVU49" s="19"/>
      <c r="EVV49" s="21"/>
      <c r="EVW49" s="19"/>
      <c r="EWF49" s="19"/>
      <c r="EWG49" s="19"/>
      <c r="EWH49" s="19"/>
      <c r="EWI49" s="19"/>
      <c r="EWJ49" s="21"/>
      <c r="EWK49" s="19"/>
      <c r="EWT49" s="19"/>
      <c r="EWU49" s="19"/>
      <c r="EWV49" s="19"/>
      <c r="EWW49" s="19"/>
      <c r="EWX49" s="21"/>
      <c r="EWY49" s="19"/>
      <c r="EXH49" s="19"/>
      <c r="EXI49" s="19"/>
      <c r="EXJ49" s="19"/>
      <c r="EXK49" s="19"/>
      <c r="EXL49" s="21"/>
      <c r="EXM49" s="19"/>
      <c r="EXV49" s="19"/>
      <c r="EXW49" s="19"/>
      <c r="EXX49" s="19"/>
      <c r="EXY49" s="19"/>
      <c r="EXZ49" s="21"/>
      <c r="EYA49" s="19"/>
      <c r="EYJ49" s="19"/>
      <c r="EYK49" s="19"/>
      <c r="EYL49" s="19"/>
      <c r="EYM49" s="19"/>
      <c r="EYN49" s="21"/>
      <c r="EYO49" s="19"/>
      <c r="EYX49" s="19"/>
      <c r="EYY49" s="19"/>
      <c r="EYZ49" s="19"/>
      <c r="EZA49" s="19"/>
      <c r="EZB49" s="21"/>
      <c r="EZC49" s="19"/>
      <c r="EZL49" s="19"/>
      <c r="EZM49" s="19"/>
      <c r="EZN49" s="19"/>
      <c r="EZO49" s="19"/>
      <c r="EZP49" s="21"/>
      <c r="EZQ49" s="19"/>
      <c r="EZZ49" s="19"/>
      <c r="FAA49" s="19"/>
      <c r="FAB49" s="19"/>
      <c r="FAC49" s="19"/>
      <c r="FAD49" s="21"/>
      <c r="FAE49" s="19"/>
      <c r="FAN49" s="19"/>
      <c r="FAO49" s="19"/>
      <c r="FAP49" s="19"/>
      <c r="FAQ49" s="19"/>
      <c r="FAR49" s="21"/>
      <c r="FAS49" s="19"/>
      <c r="FBB49" s="19"/>
      <c r="FBC49" s="19"/>
      <c r="FBD49" s="19"/>
      <c r="FBE49" s="19"/>
      <c r="FBF49" s="21"/>
      <c r="FBG49" s="19"/>
      <c r="FBP49" s="19"/>
      <c r="FBQ49" s="19"/>
      <c r="FBR49" s="19"/>
      <c r="FBS49" s="19"/>
      <c r="FBT49" s="21"/>
      <c r="FBU49" s="19"/>
      <c r="FCD49" s="19"/>
      <c r="FCE49" s="19"/>
      <c r="FCF49" s="19"/>
      <c r="FCG49" s="19"/>
      <c r="FCH49" s="21"/>
      <c r="FCI49" s="19"/>
      <c r="FCR49" s="19"/>
      <c r="FCS49" s="19"/>
      <c r="FCT49" s="19"/>
      <c r="FCU49" s="19"/>
      <c r="FCV49" s="21"/>
      <c r="FCW49" s="19"/>
      <c r="FDF49" s="19"/>
      <c r="FDG49" s="19"/>
      <c r="FDH49" s="19"/>
      <c r="FDI49" s="19"/>
      <c r="FDJ49" s="21"/>
      <c r="FDK49" s="19"/>
      <c r="FDT49" s="19"/>
      <c r="FDU49" s="19"/>
      <c r="FDV49" s="19"/>
      <c r="FDW49" s="19"/>
      <c r="FDX49" s="21"/>
      <c r="FDY49" s="19"/>
      <c r="FEH49" s="19"/>
      <c r="FEI49" s="19"/>
      <c r="FEJ49" s="19"/>
      <c r="FEK49" s="19"/>
      <c r="FEL49" s="21"/>
      <c r="FEM49" s="19"/>
      <c r="FEV49" s="19"/>
      <c r="FEW49" s="19"/>
      <c r="FEX49" s="19"/>
      <c r="FEY49" s="19"/>
      <c r="FEZ49" s="21"/>
      <c r="FFA49" s="19"/>
      <c r="FFJ49" s="19"/>
      <c r="FFK49" s="19"/>
      <c r="FFL49" s="19"/>
      <c r="FFM49" s="19"/>
      <c r="FFN49" s="21"/>
      <c r="FFO49" s="19"/>
      <c r="FFX49" s="19"/>
      <c r="FFY49" s="19"/>
      <c r="FFZ49" s="19"/>
      <c r="FGA49" s="19"/>
      <c r="FGB49" s="21"/>
      <c r="FGC49" s="19"/>
      <c r="FGL49" s="19"/>
      <c r="FGM49" s="19"/>
      <c r="FGN49" s="19"/>
      <c r="FGO49" s="19"/>
      <c r="FGP49" s="21"/>
      <c r="FGQ49" s="19"/>
      <c r="FGZ49" s="19"/>
      <c r="FHA49" s="19"/>
      <c r="FHB49" s="19"/>
      <c r="FHC49" s="19"/>
      <c r="FHD49" s="21"/>
      <c r="FHE49" s="19"/>
      <c r="FHN49" s="19"/>
      <c r="FHO49" s="19"/>
      <c r="FHP49" s="19"/>
      <c r="FHQ49" s="19"/>
      <c r="FHR49" s="21"/>
      <c r="FHS49" s="19"/>
      <c r="FIB49" s="19"/>
      <c r="FIC49" s="19"/>
      <c r="FID49" s="19"/>
      <c r="FIE49" s="19"/>
      <c r="FIF49" s="21"/>
      <c r="FIG49" s="19"/>
      <c r="FIP49" s="19"/>
      <c r="FIQ49" s="19"/>
      <c r="FIR49" s="19"/>
      <c r="FIS49" s="19"/>
      <c r="FIT49" s="21"/>
      <c r="FIU49" s="19"/>
      <c r="FJD49" s="19"/>
      <c r="FJE49" s="19"/>
      <c r="FJF49" s="19"/>
      <c r="FJG49" s="19"/>
      <c r="FJH49" s="21"/>
      <c r="FJI49" s="19"/>
      <c r="FJR49" s="19"/>
      <c r="FJS49" s="19"/>
      <c r="FJT49" s="19"/>
      <c r="FJU49" s="19"/>
      <c r="FJV49" s="21"/>
      <c r="FJW49" s="19"/>
      <c r="FKF49" s="19"/>
      <c r="FKG49" s="19"/>
      <c r="FKH49" s="19"/>
      <c r="FKI49" s="19"/>
      <c r="FKJ49" s="21"/>
      <c r="FKK49" s="19"/>
      <c r="FKT49" s="19"/>
      <c r="FKU49" s="19"/>
      <c r="FKV49" s="19"/>
      <c r="FKW49" s="19"/>
      <c r="FKX49" s="21"/>
      <c r="FKY49" s="19"/>
      <c r="FLH49" s="19"/>
      <c r="FLI49" s="19"/>
      <c r="FLJ49" s="19"/>
      <c r="FLK49" s="19"/>
      <c r="FLL49" s="21"/>
      <c r="FLM49" s="19"/>
      <c r="FLV49" s="19"/>
      <c r="FLW49" s="19"/>
      <c r="FLX49" s="19"/>
      <c r="FLY49" s="19"/>
      <c r="FLZ49" s="21"/>
      <c r="FMA49" s="19"/>
      <c r="FMJ49" s="19"/>
      <c r="FMK49" s="19"/>
      <c r="FML49" s="19"/>
      <c r="FMM49" s="19"/>
      <c r="FMN49" s="21"/>
      <c r="FMO49" s="19"/>
      <c r="FMX49" s="19"/>
      <c r="FMY49" s="19"/>
      <c r="FMZ49" s="19"/>
      <c r="FNA49" s="19"/>
      <c r="FNB49" s="21"/>
      <c r="FNC49" s="19"/>
      <c r="FNL49" s="19"/>
      <c r="FNM49" s="19"/>
      <c r="FNN49" s="19"/>
      <c r="FNO49" s="19"/>
      <c r="FNP49" s="21"/>
      <c r="FNQ49" s="19"/>
      <c r="FNZ49" s="19"/>
      <c r="FOA49" s="19"/>
      <c r="FOB49" s="19"/>
      <c r="FOC49" s="19"/>
      <c r="FOD49" s="21"/>
      <c r="FOE49" s="19"/>
      <c r="FON49" s="19"/>
      <c r="FOO49" s="19"/>
      <c r="FOP49" s="19"/>
      <c r="FOQ49" s="19"/>
      <c r="FOR49" s="21"/>
      <c r="FOS49" s="19"/>
      <c r="FPB49" s="19"/>
      <c r="FPC49" s="19"/>
      <c r="FPD49" s="19"/>
      <c r="FPE49" s="19"/>
      <c r="FPF49" s="21"/>
      <c r="FPG49" s="19"/>
      <c r="FPP49" s="19"/>
      <c r="FPQ49" s="19"/>
      <c r="FPR49" s="19"/>
      <c r="FPS49" s="19"/>
      <c r="FPT49" s="21"/>
      <c r="FPU49" s="19"/>
      <c r="FQD49" s="19"/>
      <c r="FQE49" s="19"/>
      <c r="FQF49" s="19"/>
      <c r="FQG49" s="19"/>
      <c r="FQH49" s="21"/>
      <c r="FQI49" s="19"/>
      <c r="FQR49" s="19"/>
      <c r="FQS49" s="19"/>
      <c r="FQT49" s="19"/>
      <c r="FQU49" s="19"/>
      <c r="FQV49" s="21"/>
      <c r="FQW49" s="19"/>
      <c r="FRF49" s="19"/>
      <c r="FRG49" s="19"/>
      <c r="FRH49" s="19"/>
      <c r="FRI49" s="19"/>
      <c r="FRJ49" s="21"/>
      <c r="FRK49" s="19"/>
      <c r="FRT49" s="19"/>
      <c r="FRU49" s="19"/>
      <c r="FRV49" s="19"/>
      <c r="FRW49" s="19"/>
      <c r="FRX49" s="21"/>
      <c r="FRY49" s="19"/>
      <c r="FSH49" s="19"/>
      <c r="FSI49" s="19"/>
      <c r="FSJ49" s="19"/>
      <c r="FSK49" s="19"/>
      <c r="FSL49" s="21"/>
      <c r="FSM49" s="19"/>
      <c r="FSV49" s="19"/>
      <c r="FSW49" s="19"/>
      <c r="FSX49" s="19"/>
      <c r="FSY49" s="19"/>
      <c r="FSZ49" s="21"/>
      <c r="FTA49" s="19"/>
      <c r="FTJ49" s="19"/>
      <c r="FTK49" s="19"/>
      <c r="FTL49" s="19"/>
      <c r="FTM49" s="19"/>
      <c r="FTN49" s="21"/>
      <c r="FTO49" s="19"/>
      <c r="FTX49" s="19"/>
      <c r="FTY49" s="19"/>
      <c r="FTZ49" s="19"/>
      <c r="FUA49" s="19"/>
      <c r="FUB49" s="21"/>
      <c r="FUC49" s="19"/>
      <c r="FUL49" s="19"/>
      <c r="FUM49" s="19"/>
      <c r="FUN49" s="19"/>
      <c r="FUO49" s="19"/>
      <c r="FUP49" s="21"/>
      <c r="FUQ49" s="19"/>
      <c r="FUZ49" s="19"/>
      <c r="FVA49" s="19"/>
      <c r="FVB49" s="19"/>
      <c r="FVC49" s="19"/>
      <c r="FVD49" s="21"/>
      <c r="FVE49" s="19"/>
      <c r="FVN49" s="19"/>
      <c r="FVO49" s="19"/>
      <c r="FVP49" s="19"/>
      <c r="FVQ49" s="19"/>
      <c r="FVR49" s="21"/>
      <c r="FVS49" s="19"/>
      <c r="FWB49" s="19"/>
      <c r="FWC49" s="19"/>
      <c r="FWD49" s="19"/>
      <c r="FWE49" s="19"/>
      <c r="FWF49" s="21"/>
      <c r="FWG49" s="19"/>
      <c r="FWP49" s="19"/>
      <c r="FWQ49" s="19"/>
      <c r="FWR49" s="19"/>
      <c r="FWS49" s="19"/>
      <c r="FWT49" s="21"/>
      <c r="FWU49" s="19"/>
      <c r="FXD49" s="19"/>
      <c r="FXE49" s="19"/>
      <c r="FXF49" s="19"/>
      <c r="FXG49" s="19"/>
      <c r="FXH49" s="21"/>
      <c r="FXI49" s="19"/>
      <c r="FXR49" s="19"/>
      <c r="FXS49" s="19"/>
      <c r="FXT49" s="19"/>
      <c r="FXU49" s="19"/>
      <c r="FXV49" s="21"/>
      <c r="FXW49" s="19"/>
      <c r="FYF49" s="19"/>
      <c r="FYG49" s="19"/>
      <c r="FYH49" s="19"/>
      <c r="FYI49" s="19"/>
      <c r="FYJ49" s="21"/>
      <c r="FYK49" s="19"/>
      <c r="FYT49" s="19"/>
      <c r="FYU49" s="19"/>
      <c r="FYV49" s="19"/>
      <c r="FYW49" s="19"/>
      <c r="FYX49" s="21"/>
      <c r="FYY49" s="19"/>
      <c r="FZH49" s="19"/>
      <c r="FZI49" s="19"/>
      <c r="FZJ49" s="19"/>
      <c r="FZK49" s="19"/>
      <c r="FZL49" s="21"/>
      <c r="FZM49" s="19"/>
      <c r="FZV49" s="19"/>
      <c r="FZW49" s="19"/>
      <c r="FZX49" s="19"/>
      <c r="FZY49" s="19"/>
      <c r="FZZ49" s="21"/>
      <c r="GAA49" s="19"/>
      <c r="GAJ49" s="19"/>
      <c r="GAK49" s="19"/>
      <c r="GAL49" s="19"/>
      <c r="GAM49" s="19"/>
      <c r="GAN49" s="21"/>
      <c r="GAO49" s="19"/>
      <c r="GAX49" s="19"/>
      <c r="GAY49" s="19"/>
      <c r="GAZ49" s="19"/>
      <c r="GBA49" s="19"/>
      <c r="GBB49" s="21"/>
      <c r="GBC49" s="19"/>
      <c r="GBL49" s="19"/>
      <c r="GBM49" s="19"/>
      <c r="GBN49" s="19"/>
      <c r="GBO49" s="19"/>
      <c r="GBP49" s="21"/>
      <c r="GBQ49" s="19"/>
      <c r="GBZ49" s="19"/>
      <c r="GCA49" s="19"/>
      <c r="GCB49" s="19"/>
      <c r="GCC49" s="19"/>
      <c r="GCD49" s="21"/>
      <c r="GCE49" s="19"/>
      <c r="GCN49" s="19"/>
      <c r="GCO49" s="19"/>
      <c r="GCP49" s="19"/>
      <c r="GCQ49" s="19"/>
      <c r="GCR49" s="21"/>
      <c r="GCS49" s="19"/>
      <c r="GDB49" s="19"/>
      <c r="GDC49" s="19"/>
      <c r="GDD49" s="19"/>
      <c r="GDE49" s="19"/>
      <c r="GDF49" s="21"/>
      <c r="GDG49" s="19"/>
      <c r="GDP49" s="19"/>
      <c r="GDQ49" s="19"/>
      <c r="GDR49" s="19"/>
      <c r="GDS49" s="19"/>
      <c r="GDT49" s="21"/>
      <c r="GDU49" s="19"/>
      <c r="GED49" s="19"/>
      <c r="GEE49" s="19"/>
      <c r="GEF49" s="19"/>
      <c r="GEG49" s="19"/>
      <c r="GEH49" s="21"/>
      <c r="GEI49" s="19"/>
      <c r="GER49" s="19"/>
      <c r="GES49" s="19"/>
      <c r="GET49" s="19"/>
      <c r="GEU49" s="19"/>
      <c r="GEV49" s="21"/>
      <c r="GEW49" s="19"/>
      <c r="GFF49" s="19"/>
      <c r="GFG49" s="19"/>
      <c r="GFH49" s="19"/>
      <c r="GFI49" s="19"/>
      <c r="GFJ49" s="21"/>
      <c r="GFK49" s="19"/>
      <c r="GFT49" s="19"/>
      <c r="GFU49" s="19"/>
      <c r="GFV49" s="19"/>
      <c r="GFW49" s="19"/>
      <c r="GFX49" s="21"/>
      <c r="GFY49" s="19"/>
      <c r="GGH49" s="19"/>
      <c r="GGI49" s="19"/>
      <c r="GGJ49" s="19"/>
      <c r="GGK49" s="19"/>
      <c r="GGL49" s="21"/>
      <c r="GGM49" s="19"/>
      <c r="GGV49" s="19"/>
      <c r="GGW49" s="19"/>
      <c r="GGX49" s="19"/>
      <c r="GGY49" s="19"/>
      <c r="GGZ49" s="21"/>
      <c r="GHA49" s="19"/>
      <c r="GHJ49" s="19"/>
      <c r="GHK49" s="19"/>
      <c r="GHL49" s="19"/>
      <c r="GHM49" s="19"/>
      <c r="GHN49" s="21"/>
      <c r="GHO49" s="19"/>
      <c r="GHX49" s="19"/>
      <c r="GHY49" s="19"/>
      <c r="GHZ49" s="19"/>
      <c r="GIA49" s="19"/>
      <c r="GIB49" s="21"/>
      <c r="GIC49" s="19"/>
      <c r="GIL49" s="19"/>
      <c r="GIM49" s="19"/>
      <c r="GIN49" s="19"/>
      <c r="GIO49" s="19"/>
      <c r="GIP49" s="21"/>
      <c r="GIQ49" s="19"/>
      <c r="GIZ49" s="19"/>
      <c r="GJA49" s="19"/>
      <c r="GJB49" s="19"/>
      <c r="GJC49" s="19"/>
      <c r="GJD49" s="21"/>
      <c r="GJE49" s="19"/>
      <c r="GJN49" s="19"/>
      <c r="GJO49" s="19"/>
      <c r="GJP49" s="19"/>
      <c r="GJQ49" s="19"/>
      <c r="GJR49" s="21"/>
      <c r="GJS49" s="19"/>
      <c r="GKB49" s="19"/>
      <c r="GKC49" s="19"/>
      <c r="GKD49" s="19"/>
      <c r="GKE49" s="19"/>
      <c r="GKF49" s="21"/>
      <c r="GKG49" s="19"/>
      <c r="GKP49" s="19"/>
      <c r="GKQ49" s="19"/>
      <c r="GKR49" s="19"/>
      <c r="GKS49" s="19"/>
      <c r="GKT49" s="21"/>
      <c r="GKU49" s="19"/>
      <c r="GLD49" s="19"/>
      <c r="GLE49" s="19"/>
      <c r="GLF49" s="19"/>
      <c r="GLG49" s="19"/>
      <c r="GLH49" s="21"/>
      <c r="GLI49" s="19"/>
      <c r="GLR49" s="19"/>
      <c r="GLS49" s="19"/>
      <c r="GLT49" s="19"/>
      <c r="GLU49" s="19"/>
      <c r="GLV49" s="21"/>
      <c r="GLW49" s="19"/>
      <c r="GMF49" s="19"/>
      <c r="GMG49" s="19"/>
      <c r="GMH49" s="19"/>
      <c r="GMI49" s="19"/>
      <c r="GMJ49" s="21"/>
      <c r="GMK49" s="19"/>
      <c r="GMT49" s="19"/>
      <c r="GMU49" s="19"/>
      <c r="GMV49" s="19"/>
      <c r="GMW49" s="19"/>
      <c r="GMX49" s="21"/>
      <c r="GMY49" s="19"/>
      <c r="GNH49" s="19"/>
      <c r="GNI49" s="19"/>
      <c r="GNJ49" s="19"/>
      <c r="GNK49" s="19"/>
      <c r="GNL49" s="21"/>
      <c r="GNM49" s="19"/>
      <c r="GNV49" s="19"/>
      <c r="GNW49" s="19"/>
      <c r="GNX49" s="19"/>
      <c r="GNY49" s="19"/>
      <c r="GNZ49" s="21"/>
      <c r="GOA49" s="19"/>
      <c r="GOJ49" s="19"/>
      <c r="GOK49" s="19"/>
      <c r="GOL49" s="19"/>
      <c r="GOM49" s="19"/>
      <c r="GON49" s="21"/>
      <c r="GOO49" s="19"/>
      <c r="GOX49" s="19"/>
      <c r="GOY49" s="19"/>
      <c r="GOZ49" s="19"/>
      <c r="GPA49" s="19"/>
      <c r="GPB49" s="21"/>
      <c r="GPC49" s="19"/>
      <c r="GPL49" s="19"/>
      <c r="GPM49" s="19"/>
      <c r="GPN49" s="19"/>
      <c r="GPO49" s="19"/>
      <c r="GPP49" s="21"/>
      <c r="GPQ49" s="19"/>
      <c r="GPZ49" s="19"/>
      <c r="GQA49" s="19"/>
      <c r="GQB49" s="19"/>
      <c r="GQC49" s="19"/>
      <c r="GQD49" s="21"/>
      <c r="GQE49" s="19"/>
      <c r="GQN49" s="19"/>
      <c r="GQO49" s="19"/>
      <c r="GQP49" s="19"/>
      <c r="GQQ49" s="19"/>
      <c r="GQR49" s="21"/>
      <c r="GQS49" s="19"/>
      <c r="GRB49" s="19"/>
      <c r="GRC49" s="19"/>
      <c r="GRD49" s="19"/>
      <c r="GRE49" s="19"/>
      <c r="GRF49" s="21"/>
      <c r="GRG49" s="19"/>
      <c r="GRP49" s="19"/>
      <c r="GRQ49" s="19"/>
      <c r="GRR49" s="19"/>
      <c r="GRS49" s="19"/>
      <c r="GRT49" s="21"/>
      <c r="GRU49" s="19"/>
      <c r="GSD49" s="19"/>
      <c r="GSE49" s="19"/>
      <c r="GSF49" s="19"/>
      <c r="GSG49" s="19"/>
      <c r="GSH49" s="21"/>
      <c r="GSI49" s="19"/>
      <c r="GSR49" s="19"/>
      <c r="GSS49" s="19"/>
      <c r="GST49" s="19"/>
      <c r="GSU49" s="19"/>
      <c r="GSV49" s="21"/>
      <c r="GSW49" s="19"/>
      <c r="GTF49" s="19"/>
      <c r="GTG49" s="19"/>
      <c r="GTH49" s="19"/>
      <c r="GTI49" s="19"/>
      <c r="GTJ49" s="21"/>
      <c r="GTK49" s="19"/>
      <c r="GTT49" s="19"/>
      <c r="GTU49" s="19"/>
      <c r="GTV49" s="19"/>
      <c r="GTW49" s="19"/>
      <c r="GTX49" s="21"/>
      <c r="GTY49" s="19"/>
      <c r="GUH49" s="19"/>
      <c r="GUI49" s="19"/>
      <c r="GUJ49" s="19"/>
      <c r="GUK49" s="19"/>
      <c r="GUL49" s="21"/>
      <c r="GUM49" s="19"/>
      <c r="GUV49" s="19"/>
      <c r="GUW49" s="19"/>
      <c r="GUX49" s="19"/>
      <c r="GUY49" s="19"/>
      <c r="GUZ49" s="21"/>
      <c r="GVA49" s="19"/>
      <c r="GVJ49" s="19"/>
      <c r="GVK49" s="19"/>
      <c r="GVL49" s="19"/>
      <c r="GVM49" s="19"/>
      <c r="GVN49" s="21"/>
      <c r="GVO49" s="19"/>
      <c r="GVX49" s="19"/>
      <c r="GVY49" s="19"/>
      <c r="GVZ49" s="19"/>
      <c r="GWA49" s="19"/>
      <c r="GWB49" s="21"/>
      <c r="GWC49" s="19"/>
      <c r="GWL49" s="19"/>
      <c r="GWM49" s="19"/>
      <c r="GWN49" s="19"/>
      <c r="GWO49" s="19"/>
      <c r="GWP49" s="21"/>
      <c r="GWQ49" s="19"/>
      <c r="GWZ49" s="19"/>
      <c r="GXA49" s="19"/>
      <c r="GXB49" s="19"/>
      <c r="GXC49" s="19"/>
      <c r="GXD49" s="21"/>
      <c r="GXE49" s="19"/>
      <c r="GXN49" s="19"/>
      <c r="GXO49" s="19"/>
      <c r="GXP49" s="19"/>
      <c r="GXQ49" s="19"/>
      <c r="GXR49" s="21"/>
      <c r="GXS49" s="19"/>
      <c r="GYB49" s="19"/>
      <c r="GYC49" s="19"/>
      <c r="GYD49" s="19"/>
      <c r="GYE49" s="19"/>
      <c r="GYF49" s="21"/>
      <c r="GYG49" s="19"/>
      <c r="GYP49" s="19"/>
      <c r="GYQ49" s="19"/>
      <c r="GYR49" s="19"/>
      <c r="GYS49" s="19"/>
      <c r="GYT49" s="21"/>
      <c r="GYU49" s="19"/>
      <c r="GZD49" s="19"/>
      <c r="GZE49" s="19"/>
      <c r="GZF49" s="19"/>
      <c r="GZG49" s="19"/>
      <c r="GZH49" s="21"/>
      <c r="GZI49" s="19"/>
      <c r="GZR49" s="19"/>
      <c r="GZS49" s="19"/>
      <c r="GZT49" s="19"/>
      <c r="GZU49" s="19"/>
      <c r="GZV49" s="21"/>
      <c r="GZW49" s="19"/>
      <c r="HAF49" s="19"/>
      <c r="HAG49" s="19"/>
      <c r="HAH49" s="19"/>
      <c r="HAI49" s="19"/>
      <c r="HAJ49" s="21"/>
      <c r="HAK49" s="19"/>
      <c r="HAT49" s="19"/>
      <c r="HAU49" s="19"/>
      <c r="HAV49" s="19"/>
      <c r="HAW49" s="19"/>
      <c r="HAX49" s="21"/>
      <c r="HAY49" s="19"/>
      <c r="HBH49" s="19"/>
      <c r="HBI49" s="19"/>
      <c r="HBJ49" s="19"/>
      <c r="HBK49" s="19"/>
      <c r="HBL49" s="21"/>
      <c r="HBM49" s="19"/>
      <c r="HBV49" s="19"/>
      <c r="HBW49" s="19"/>
      <c r="HBX49" s="19"/>
      <c r="HBY49" s="19"/>
      <c r="HBZ49" s="21"/>
      <c r="HCA49" s="19"/>
      <c r="HCJ49" s="19"/>
      <c r="HCK49" s="19"/>
      <c r="HCL49" s="19"/>
      <c r="HCM49" s="19"/>
      <c r="HCN49" s="21"/>
      <c r="HCO49" s="19"/>
      <c r="HCX49" s="19"/>
      <c r="HCY49" s="19"/>
      <c r="HCZ49" s="19"/>
      <c r="HDA49" s="19"/>
      <c r="HDB49" s="21"/>
      <c r="HDC49" s="19"/>
      <c r="HDL49" s="19"/>
      <c r="HDM49" s="19"/>
      <c r="HDN49" s="19"/>
      <c r="HDO49" s="19"/>
      <c r="HDP49" s="21"/>
      <c r="HDQ49" s="19"/>
      <c r="HDZ49" s="19"/>
      <c r="HEA49" s="19"/>
      <c r="HEB49" s="19"/>
      <c r="HEC49" s="19"/>
      <c r="HED49" s="21"/>
      <c r="HEE49" s="19"/>
      <c r="HEN49" s="19"/>
      <c r="HEO49" s="19"/>
      <c r="HEP49" s="19"/>
      <c r="HEQ49" s="19"/>
      <c r="HER49" s="21"/>
      <c r="HES49" s="19"/>
      <c r="HFB49" s="19"/>
      <c r="HFC49" s="19"/>
      <c r="HFD49" s="19"/>
      <c r="HFE49" s="19"/>
      <c r="HFF49" s="21"/>
      <c r="HFG49" s="19"/>
      <c r="HFP49" s="19"/>
      <c r="HFQ49" s="19"/>
      <c r="HFR49" s="19"/>
      <c r="HFS49" s="19"/>
      <c r="HFT49" s="21"/>
      <c r="HFU49" s="19"/>
      <c r="HGD49" s="19"/>
      <c r="HGE49" s="19"/>
      <c r="HGF49" s="19"/>
      <c r="HGG49" s="19"/>
      <c r="HGH49" s="21"/>
      <c r="HGI49" s="19"/>
      <c r="HGR49" s="19"/>
      <c r="HGS49" s="19"/>
      <c r="HGT49" s="19"/>
      <c r="HGU49" s="19"/>
      <c r="HGV49" s="21"/>
      <c r="HGW49" s="19"/>
      <c r="HHF49" s="19"/>
      <c r="HHG49" s="19"/>
      <c r="HHH49" s="19"/>
      <c r="HHI49" s="19"/>
      <c r="HHJ49" s="21"/>
      <c r="HHK49" s="19"/>
      <c r="HHT49" s="19"/>
      <c r="HHU49" s="19"/>
      <c r="HHV49" s="19"/>
      <c r="HHW49" s="19"/>
      <c r="HHX49" s="21"/>
      <c r="HHY49" s="19"/>
      <c r="HIH49" s="19"/>
      <c r="HII49" s="19"/>
      <c r="HIJ49" s="19"/>
      <c r="HIK49" s="19"/>
      <c r="HIL49" s="21"/>
      <c r="HIM49" s="19"/>
      <c r="HIV49" s="19"/>
      <c r="HIW49" s="19"/>
      <c r="HIX49" s="19"/>
      <c r="HIY49" s="19"/>
      <c r="HIZ49" s="21"/>
      <c r="HJA49" s="19"/>
      <c r="HJJ49" s="19"/>
      <c r="HJK49" s="19"/>
      <c r="HJL49" s="19"/>
      <c r="HJM49" s="19"/>
      <c r="HJN49" s="21"/>
      <c r="HJO49" s="19"/>
      <c r="HJX49" s="19"/>
      <c r="HJY49" s="19"/>
      <c r="HJZ49" s="19"/>
      <c r="HKA49" s="19"/>
      <c r="HKB49" s="21"/>
      <c r="HKC49" s="19"/>
      <c r="HKL49" s="19"/>
      <c r="HKM49" s="19"/>
      <c r="HKN49" s="19"/>
      <c r="HKO49" s="19"/>
      <c r="HKP49" s="21"/>
      <c r="HKQ49" s="19"/>
      <c r="HKZ49" s="19"/>
      <c r="HLA49" s="19"/>
      <c r="HLB49" s="19"/>
      <c r="HLC49" s="19"/>
      <c r="HLD49" s="21"/>
      <c r="HLE49" s="19"/>
      <c r="HLN49" s="19"/>
      <c r="HLO49" s="19"/>
      <c r="HLP49" s="19"/>
      <c r="HLQ49" s="19"/>
      <c r="HLR49" s="21"/>
      <c r="HLS49" s="19"/>
      <c r="HMB49" s="19"/>
      <c r="HMC49" s="19"/>
      <c r="HMD49" s="19"/>
      <c r="HME49" s="19"/>
      <c r="HMF49" s="21"/>
      <c r="HMG49" s="19"/>
      <c r="HMP49" s="19"/>
      <c r="HMQ49" s="19"/>
      <c r="HMR49" s="19"/>
      <c r="HMS49" s="19"/>
      <c r="HMT49" s="21"/>
      <c r="HMU49" s="19"/>
      <c r="HND49" s="19"/>
      <c r="HNE49" s="19"/>
      <c r="HNF49" s="19"/>
      <c r="HNG49" s="19"/>
      <c r="HNH49" s="21"/>
      <c r="HNI49" s="19"/>
      <c r="HNR49" s="19"/>
      <c r="HNS49" s="19"/>
      <c r="HNT49" s="19"/>
      <c r="HNU49" s="19"/>
      <c r="HNV49" s="21"/>
      <c r="HNW49" s="19"/>
      <c r="HOF49" s="19"/>
      <c r="HOG49" s="19"/>
      <c r="HOH49" s="19"/>
      <c r="HOI49" s="19"/>
      <c r="HOJ49" s="21"/>
      <c r="HOK49" s="19"/>
      <c r="HOT49" s="19"/>
      <c r="HOU49" s="19"/>
      <c r="HOV49" s="19"/>
      <c r="HOW49" s="19"/>
      <c r="HOX49" s="21"/>
      <c r="HOY49" s="19"/>
      <c r="HPH49" s="19"/>
      <c r="HPI49" s="19"/>
      <c r="HPJ49" s="19"/>
      <c r="HPK49" s="19"/>
      <c r="HPL49" s="21"/>
      <c r="HPM49" s="19"/>
      <c r="HPV49" s="19"/>
      <c r="HPW49" s="19"/>
      <c r="HPX49" s="19"/>
      <c r="HPY49" s="19"/>
      <c r="HPZ49" s="21"/>
      <c r="HQA49" s="19"/>
      <c r="HQJ49" s="19"/>
      <c r="HQK49" s="19"/>
      <c r="HQL49" s="19"/>
      <c r="HQM49" s="19"/>
      <c r="HQN49" s="21"/>
      <c r="HQO49" s="19"/>
      <c r="HQX49" s="19"/>
      <c r="HQY49" s="19"/>
      <c r="HQZ49" s="19"/>
      <c r="HRA49" s="19"/>
      <c r="HRB49" s="21"/>
      <c r="HRC49" s="19"/>
      <c r="HRL49" s="19"/>
      <c r="HRM49" s="19"/>
      <c r="HRN49" s="19"/>
      <c r="HRO49" s="19"/>
      <c r="HRP49" s="21"/>
      <c r="HRQ49" s="19"/>
      <c r="HRZ49" s="19"/>
      <c r="HSA49" s="19"/>
      <c r="HSB49" s="19"/>
      <c r="HSC49" s="19"/>
      <c r="HSD49" s="21"/>
      <c r="HSE49" s="19"/>
      <c r="HSN49" s="19"/>
      <c r="HSO49" s="19"/>
      <c r="HSP49" s="19"/>
      <c r="HSQ49" s="19"/>
      <c r="HSR49" s="21"/>
      <c r="HSS49" s="19"/>
      <c r="HTB49" s="19"/>
      <c r="HTC49" s="19"/>
      <c r="HTD49" s="19"/>
      <c r="HTE49" s="19"/>
      <c r="HTF49" s="21"/>
      <c r="HTG49" s="19"/>
      <c r="HTP49" s="19"/>
      <c r="HTQ49" s="19"/>
      <c r="HTR49" s="19"/>
      <c r="HTS49" s="19"/>
      <c r="HTT49" s="21"/>
      <c r="HTU49" s="19"/>
      <c r="HUD49" s="19"/>
      <c r="HUE49" s="19"/>
      <c r="HUF49" s="19"/>
      <c r="HUG49" s="19"/>
      <c r="HUH49" s="21"/>
      <c r="HUI49" s="19"/>
      <c r="HUR49" s="19"/>
      <c r="HUS49" s="19"/>
      <c r="HUT49" s="19"/>
      <c r="HUU49" s="19"/>
      <c r="HUV49" s="21"/>
      <c r="HUW49" s="19"/>
      <c r="HVF49" s="19"/>
      <c r="HVG49" s="19"/>
      <c r="HVH49" s="19"/>
      <c r="HVI49" s="19"/>
      <c r="HVJ49" s="21"/>
      <c r="HVK49" s="19"/>
      <c r="HVT49" s="19"/>
      <c r="HVU49" s="19"/>
      <c r="HVV49" s="19"/>
      <c r="HVW49" s="19"/>
      <c r="HVX49" s="21"/>
      <c r="HVY49" s="19"/>
      <c r="HWH49" s="19"/>
      <c r="HWI49" s="19"/>
      <c r="HWJ49" s="19"/>
      <c r="HWK49" s="19"/>
      <c r="HWL49" s="21"/>
      <c r="HWM49" s="19"/>
      <c r="HWV49" s="19"/>
      <c r="HWW49" s="19"/>
      <c r="HWX49" s="19"/>
      <c r="HWY49" s="19"/>
      <c r="HWZ49" s="21"/>
      <c r="HXA49" s="19"/>
      <c r="HXJ49" s="19"/>
      <c r="HXK49" s="19"/>
      <c r="HXL49" s="19"/>
      <c r="HXM49" s="19"/>
      <c r="HXN49" s="21"/>
      <c r="HXO49" s="19"/>
      <c r="HXX49" s="19"/>
      <c r="HXY49" s="19"/>
      <c r="HXZ49" s="19"/>
      <c r="HYA49" s="19"/>
      <c r="HYB49" s="21"/>
      <c r="HYC49" s="19"/>
      <c r="HYL49" s="19"/>
      <c r="HYM49" s="19"/>
      <c r="HYN49" s="19"/>
      <c r="HYO49" s="19"/>
      <c r="HYP49" s="21"/>
      <c r="HYQ49" s="19"/>
      <c r="HYZ49" s="19"/>
      <c r="HZA49" s="19"/>
      <c r="HZB49" s="19"/>
      <c r="HZC49" s="19"/>
      <c r="HZD49" s="21"/>
      <c r="HZE49" s="19"/>
      <c r="HZN49" s="19"/>
      <c r="HZO49" s="19"/>
      <c r="HZP49" s="19"/>
      <c r="HZQ49" s="19"/>
      <c r="HZR49" s="21"/>
      <c r="HZS49" s="19"/>
      <c r="IAB49" s="19"/>
      <c r="IAC49" s="19"/>
      <c r="IAD49" s="19"/>
      <c r="IAE49" s="19"/>
      <c r="IAF49" s="21"/>
      <c r="IAG49" s="19"/>
      <c r="IAP49" s="19"/>
      <c r="IAQ49" s="19"/>
      <c r="IAR49" s="19"/>
      <c r="IAS49" s="19"/>
      <c r="IAT49" s="21"/>
      <c r="IAU49" s="19"/>
      <c r="IBD49" s="19"/>
      <c r="IBE49" s="19"/>
      <c r="IBF49" s="19"/>
      <c r="IBG49" s="19"/>
      <c r="IBH49" s="21"/>
      <c r="IBI49" s="19"/>
      <c r="IBR49" s="19"/>
      <c r="IBS49" s="19"/>
      <c r="IBT49" s="19"/>
      <c r="IBU49" s="19"/>
      <c r="IBV49" s="21"/>
      <c r="IBW49" s="19"/>
      <c r="ICF49" s="19"/>
      <c r="ICG49" s="19"/>
      <c r="ICH49" s="19"/>
      <c r="ICI49" s="19"/>
      <c r="ICJ49" s="21"/>
      <c r="ICK49" s="19"/>
      <c r="ICT49" s="19"/>
      <c r="ICU49" s="19"/>
      <c r="ICV49" s="19"/>
      <c r="ICW49" s="19"/>
      <c r="ICX49" s="21"/>
      <c r="ICY49" s="19"/>
      <c r="IDH49" s="19"/>
      <c r="IDI49" s="19"/>
      <c r="IDJ49" s="19"/>
      <c r="IDK49" s="19"/>
      <c r="IDL49" s="21"/>
      <c r="IDM49" s="19"/>
      <c r="IDV49" s="19"/>
      <c r="IDW49" s="19"/>
      <c r="IDX49" s="19"/>
      <c r="IDY49" s="19"/>
      <c r="IDZ49" s="21"/>
      <c r="IEA49" s="19"/>
      <c r="IEJ49" s="19"/>
      <c r="IEK49" s="19"/>
      <c r="IEL49" s="19"/>
      <c r="IEM49" s="19"/>
      <c r="IEN49" s="21"/>
      <c r="IEO49" s="19"/>
      <c r="IEX49" s="19"/>
      <c r="IEY49" s="19"/>
      <c r="IEZ49" s="19"/>
      <c r="IFA49" s="19"/>
      <c r="IFB49" s="21"/>
      <c r="IFC49" s="19"/>
      <c r="IFL49" s="19"/>
      <c r="IFM49" s="19"/>
      <c r="IFN49" s="19"/>
      <c r="IFO49" s="19"/>
      <c r="IFP49" s="21"/>
      <c r="IFQ49" s="19"/>
      <c r="IFZ49" s="19"/>
      <c r="IGA49" s="19"/>
      <c r="IGB49" s="19"/>
      <c r="IGC49" s="19"/>
      <c r="IGD49" s="21"/>
      <c r="IGE49" s="19"/>
      <c r="IGN49" s="19"/>
      <c r="IGO49" s="19"/>
      <c r="IGP49" s="19"/>
      <c r="IGQ49" s="19"/>
      <c r="IGR49" s="21"/>
      <c r="IGS49" s="19"/>
      <c r="IHB49" s="19"/>
      <c r="IHC49" s="19"/>
      <c r="IHD49" s="19"/>
      <c r="IHE49" s="19"/>
      <c r="IHF49" s="21"/>
      <c r="IHG49" s="19"/>
      <c r="IHP49" s="19"/>
      <c r="IHQ49" s="19"/>
      <c r="IHR49" s="19"/>
      <c r="IHS49" s="19"/>
      <c r="IHT49" s="21"/>
      <c r="IHU49" s="19"/>
      <c r="IID49" s="19"/>
      <c r="IIE49" s="19"/>
      <c r="IIF49" s="19"/>
      <c r="IIG49" s="19"/>
      <c r="IIH49" s="21"/>
      <c r="III49" s="19"/>
      <c r="IIR49" s="19"/>
      <c r="IIS49" s="19"/>
      <c r="IIT49" s="19"/>
      <c r="IIU49" s="19"/>
      <c r="IIV49" s="21"/>
      <c r="IIW49" s="19"/>
      <c r="IJF49" s="19"/>
      <c r="IJG49" s="19"/>
      <c r="IJH49" s="19"/>
      <c r="IJI49" s="19"/>
      <c r="IJJ49" s="21"/>
      <c r="IJK49" s="19"/>
      <c r="IJT49" s="19"/>
      <c r="IJU49" s="19"/>
      <c r="IJV49" s="19"/>
      <c r="IJW49" s="19"/>
      <c r="IJX49" s="21"/>
      <c r="IJY49" s="19"/>
      <c r="IKH49" s="19"/>
      <c r="IKI49" s="19"/>
      <c r="IKJ49" s="19"/>
      <c r="IKK49" s="19"/>
      <c r="IKL49" s="21"/>
      <c r="IKM49" s="19"/>
      <c r="IKV49" s="19"/>
      <c r="IKW49" s="19"/>
      <c r="IKX49" s="19"/>
      <c r="IKY49" s="19"/>
      <c r="IKZ49" s="21"/>
      <c r="ILA49" s="19"/>
      <c r="ILJ49" s="19"/>
      <c r="ILK49" s="19"/>
      <c r="ILL49" s="19"/>
      <c r="ILM49" s="19"/>
      <c r="ILN49" s="21"/>
      <c r="ILO49" s="19"/>
      <c r="ILX49" s="19"/>
      <c r="ILY49" s="19"/>
      <c r="ILZ49" s="19"/>
      <c r="IMA49" s="19"/>
      <c r="IMB49" s="21"/>
      <c r="IMC49" s="19"/>
      <c r="IML49" s="19"/>
      <c r="IMM49" s="19"/>
      <c r="IMN49" s="19"/>
      <c r="IMO49" s="19"/>
      <c r="IMP49" s="21"/>
      <c r="IMQ49" s="19"/>
      <c r="IMZ49" s="19"/>
      <c r="INA49" s="19"/>
      <c r="INB49" s="19"/>
      <c r="INC49" s="19"/>
      <c r="IND49" s="21"/>
      <c r="INE49" s="19"/>
      <c r="INN49" s="19"/>
      <c r="INO49" s="19"/>
      <c r="INP49" s="19"/>
      <c r="INQ49" s="19"/>
      <c r="INR49" s="21"/>
      <c r="INS49" s="19"/>
      <c r="IOB49" s="19"/>
      <c r="IOC49" s="19"/>
      <c r="IOD49" s="19"/>
      <c r="IOE49" s="19"/>
      <c r="IOF49" s="21"/>
      <c r="IOG49" s="19"/>
      <c r="IOP49" s="19"/>
      <c r="IOQ49" s="19"/>
      <c r="IOR49" s="19"/>
      <c r="IOS49" s="19"/>
      <c r="IOT49" s="21"/>
      <c r="IOU49" s="19"/>
      <c r="IPD49" s="19"/>
      <c r="IPE49" s="19"/>
      <c r="IPF49" s="19"/>
      <c r="IPG49" s="19"/>
      <c r="IPH49" s="21"/>
      <c r="IPI49" s="19"/>
      <c r="IPR49" s="19"/>
      <c r="IPS49" s="19"/>
      <c r="IPT49" s="19"/>
      <c r="IPU49" s="19"/>
      <c r="IPV49" s="21"/>
      <c r="IPW49" s="19"/>
      <c r="IQF49" s="19"/>
      <c r="IQG49" s="19"/>
      <c r="IQH49" s="19"/>
      <c r="IQI49" s="19"/>
      <c r="IQJ49" s="21"/>
      <c r="IQK49" s="19"/>
      <c r="IQT49" s="19"/>
      <c r="IQU49" s="19"/>
      <c r="IQV49" s="19"/>
      <c r="IQW49" s="19"/>
      <c r="IQX49" s="21"/>
      <c r="IQY49" s="19"/>
      <c r="IRH49" s="19"/>
      <c r="IRI49" s="19"/>
      <c r="IRJ49" s="19"/>
      <c r="IRK49" s="19"/>
      <c r="IRL49" s="21"/>
      <c r="IRM49" s="19"/>
      <c r="IRV49" s="19"/>
      <c r="IRW49" s="19"/>
      <c r="IRX49" s="19"/>
      <c r="IRY49" s="19"/>
      <c r="IRZ49" s="21"/>
      <c r="ISA49" s="19"/>
      <c r="ISJ49" s="19"/>
      <c r="ISK49" s="19"/>
      <c r="ISL49" s="19"/>
      <c r="ISM49" s="19"/>
      <c r="ISN49" s="21"/>
      <c r="ISO49" s="19"/>
      <c r="ISX49" s="19"/>
      <c r="ISY49" s="19"/>
      <c r="ISZ49" s="19"/>
      <c r="ITA49" s="19"/>
      <c r="ITB49" s="21"/>
      <c r="ITC49" s="19"/>
      <c r="ITL49" s="19"/>
      <c r="ITM49" s="19"/>
      <c r="ITN49" s="19"/>
      <c r="ITO49" s="19"/>
      <c r="ITP49" s="21"/>
      <c r="ITQ49" s="19"/>
      <c r="ITZ49" s="19"/>
      <c r="IUA49" s="19"/>
      <c r="IUB49" s="19"/>
      <c r="IUC49" s="19"/>
      <c r="IUD49" s="21"/>
      <c r="IUE49" s="19"/>
      <c r="IUN49" s="19"/>
      <c r="IUO49" s="19"/>
      <c r="IUP49" s="19"/>
      <c r="IUQ49" s="19"/>
      <c r="IUR49" s="21"/>
      <c r="IUS49" s="19"/>
      <c r="IVB49" s="19"/>
      <c r="IVC49" s="19"/>
      <c r="IVD49" s="19"/>
      <c r="IVE49" s="19"/>
      <c r="IVF49" s="21"/>
      <c r="IVG49" s="19"/>
      <c r="IVP49" s="19"/>
      <c r="IVQ49" s="19"/>
      <c r="IVR49" s="19"/>
      <c r="IVS49" s="19"/>
      <c r="IVT49" s="21"/>
      <c r="IVU49" s="19"/>
      <c r="IWD49" s="19"/>
      <c r="IWE49" s="19"/>
      <c r="IWF49" s="19"/>
      <c r="IWG49" s="19"/>
      <c r="IWH49" s="21"/>
      <c r="IWI49" s="19"/>
      <c r="IWR49" s="19"/>
      <c r="IWS49" s="19"/>
      <c r="IWT49" s="19"/>
      <c r="IWU49" s="19"/>
      <c r="IWV49" s="21"/>
      <c r="IWW49" s="19"/>
      <c r="IXF49" s="19"/>
      <c r="IXG49" s="19"/>
      <c r="IXH49" s="19"/>
      <c r="IXI49" s="19"/>
      <c r="IXJ49" s="21"/>
      <c r="IXK49" s="19"/>
      <c r="IXT49" s="19"/>
      <c r="IXU49" s="19"/>
      <c r="IXV49" s="19"/>
      <c r="IXW49" s="19"/>
      <c r="IXX49" s="21"/>
      <c r="IXY49" s="19"/>
      <c r="IYH49" s="19"/>
      <c r="IYI49" s="19"/>
      <c r="IYJ49" s="19"/>
      <c r="IYK49" s="19"/>
      <c r="IYL49" s="21"/>
      <c r="IYM49" s="19"/>
      <c r="IYV49" s="19"/>
      <c r="IYW49" s="19"/>
      <c r="IYX49" s="19"/>
      <c r="IYY49" s="19"/>
      <c r="IYZ49" s="21"/>
      <c r="IZA49" s="19"/>
      <c r="IZJ49" s="19"/>
      <c r="IZK49" s="19"/>
      <c r="IZL49" s="19"/>
      <c r="IZM49" s="19"/>
      <c r="IZN49" s="21"/>
      <c r="IZO49" s="19"/>
      <c r="IZX49" s="19"/>
      <c r="IZY49" s="19"/>
      <c r="IZZ49" s="19"/>
      <c r="JAA49" s="19"/>
      <c r="JAB49" s="21"/>
      <c r="JAC49" s="19"/>
      <c r="JAL49" s="19"/>
      <c r="JAM49" s="19"/>
      <c r="JAN49" s="19"/>
      <c r="JAO49" s="19"/>
      <c r="JAP49" s="21"/>
      <c r="JAQ49" s="19"/>
      <c r="JAZ49" s="19"/>
      <c r="JBA49" s="19"/>
      <c r="JBB49" s="19"/>
      <c r="JBC49" s="19"/>
      <c r="JBD49" s="21"/>
      <c r="JBE49" s="19"/>
      <c r="JBN49" s="19"/>
      <c r="JBO49" s="19"/>
      <c r="JBP49" s="19"/>
      <c r="JBQ49" s="19"/>
      <c r="JBR49" s="21"/>
      <c r="JBS49" s="19"/>
      <c r="JCB49" s="19"/>
      <c r="JCC49" s="19"/>
      <c r="JCD49" s="19"/>
      <c r="JCE49" s="19"/>
      <c r="JCF49" s="21"/>
      <c r="JCG49" s="19"/>
      <c r="JCP49" s="19"/>
      <c r="JCQ49" s="19"/>
      <c r="JCR49" s="19"/>
      <c r="JCS49" s="19"/>
      <c r="JCT49" s="21"/>
      <c r="JCU49" s="19"/>
      <c r="JDD49" s="19"/>
      <c r="JDE49" s="19"/>
      <c r="JDF49" s="19"/>
      <c r="JDG49" s="19"/>
      <c r="JDH49" s="21"/>
      <c r="JDI49" s="19"/>
      <c r="JDR49" s="19"/>
      <c r="JDS49" s="19"/>
      <c r="JDT49" s="19"/>
      <c r="JDU49" s="19"/>
      <c r="JDV49" s="21"/>
      <c r="JDW49" s="19"/>
      <c r="JEF49" s="19"/>
      <c r="JEG49" s="19"/>
      <c r="JEH49" s="19"/>
      <c r="JEI49" s="19"/>
      <c r="JEJ49" s="21"/>
      <c r="JEK49" s="19"/>
      <c r="JET49" s="19"/>
      <c r="JEU49" s="19"/>
      <c r="JEV49" s="19"/>
      <c r="JEW49" s="19"/>
      <c r="JEX49" s="21"/>
      <c r="JEY49" s="19"/>
      <c r="JFH49" s="19"/>
      <c r="JFI49" s="19"/>
      <c r="JFJ49" s="19"/>
      <c r="JFK49" s="19"/>
      <c r="JFL49" s="21"/>
      <c r="JFM49" s="19"/>
      <c r="JFV49" s="19"/>
      <c r="JFW49" s="19"/>
      <c r="JFX49" s="19"/>
      <c r="JFY49" s="19"/>
      <c r="JFZ49" s="21"/>
      <c r="JGA49" s="19"/>
      <c r="JGJ49" s="19"/>
      <c r="JGK49" s="19"/>
      <c r="JGL49" s="19"/>
      <c r="JGM49" s="19"/>
      <c r="JGN49" s="21"/>
      <c r="JGO49" s="19"/>
      <c r="JGX49" s="19"/>
      <c r="JGY49" s="19"/>
      <c r="JGZ49" s="19"/>
      <c r="JHA49" s="19"/>
      <c r="JHB49" s="21"/>
      <c r="JHC49" s="19"/>
      <c r="JHL49" s="19"/>
      <c r="JHM49" s="19"/>
      <c r="JHN49" s="19"/>
      <c r="JHO49" s="19"/>
      <c r="JHP49" s="21"/>
      <c r="JHQ49" s="19"/>
      <c r="JHZ49" s="19"/>
      <c r="JIA49" s="19"/>
      <c r="JIB49" s="19"/>
      <c r="JIC49" s="19"/>
      <c r="JID49" s="21"/>
      <c r="JIE49" s="19"/>
      <c r="JIN49" s="19"/>
      <c r="JIO49" s="19"/>
      <c r="JIP49" s="19"/>
      <c r="JIQ49" s="19"/>
      <c r="JIR49" s="21"/>
      <c r="JIS49" s="19"/>
      <c r="JJB49" s="19"/>
      <c r="JJC49" s="19"/>
      <c r="JJD49" s="19"/>
      <c r="JJE49" s="19"/>
      <c r="JJF49" s="21"/>
      <c r="JJG49" s="19"/>
      <c r="JJP49" s="19"/>
      <c r="JJQ49" s="19"/>
      <c r="JJR49" s="19"/>
      <c r="JJS49" s="19"/>
      <c r="JJT49" s="21"/>
      <c r="JJU49" s="19"/>
      <c r="JKD49" s="19"/>
      <c r="JKE49" s="19"/>
      <c r="JKF49" s="19"/>
      <c r="JKG49" s="19"/>
      <c r="JKH49" s="21"/>
      <c r="JKI49" s="19"/>
      <c r="JKR49" s="19"/>
      <c r="JKS49" s="19"/>
      <c r="JKT49" s="19"/>
      <c r="JKU49" s="19"/>
      <c r="JKV49" s="21"/>
      <c r="JKW49" s="19"/>
      <c r="JLF49" s="19"/>
      <c r="JLG49" s="19"/>
      <c r="JLH49" s="19"/>
      <c r="JLI49" s="19"/>
      <c r="JLJ49" s="21"/>
      <c r="JLK49" s="19"/>
      <c r="JLT49" s="19"/>
      <c r="JLU49" s="19"/>
      <c r="JLV49" s="19"/>
      <c r="JLW49" s="19"/>
      <c r="JLX49" s="21"/>
      <c r="JLY49" s="19"/>
      <c r="JMH49" s="19"/>
      <c r="JMI49" s="19"/>
      <c r="JMJ49" s="19"/>
      <c r="JMK49" s="19"/>
      <c r="JML49" s="21"/>
      <c r="JMM49" s="19"/>
      <c r="JMV49" s="19"/>
      <c r="JMW49" s="19"/>
      <c r="JMX49" s="19"/>
      <c r="JMY49" s="19"/>
      <c r="JMZ49" s="21"/>
      <c r="JNA49" s="19"/>
      <c r="JNJ49" s="19"/>
      <c r="JNK49" s="19"/>
      <c r="JNL49" s="19"/>
      <c r="JNM49" s="19"/>
      <c r="JNN49" s="21"/>
      <c r="JNO49" s="19"/>
      <c r="JNX49" s="19"/>
      <c r="JNY49" s="19"/>
      <c r="JNZ49" s="19"/>
      <c r="JOA49" s="19"/>
      <c r="JOB49" s="21"/>
      <c r="JOC49" s="19"/>
      <c r="JOL49" s="19"/>
      <c r="JOM49" s="19"/>
      <c r="JON49" s="19"/>
      <c r="JOO49" s="19"/>
      <c r="JOP49" s="21"/>
      <c r="JOQ49" s="19"/>
      <c r="JOZ49" s="19"/>
      <c r="JPA49" s="19"/>
      <c r="JPB49" s="19"/>
      <c r="JPC49" s="19"/>
      <c r="JPD49" s="21"/>
      <c r="JPE49" s="19"/>
      <c r="JPN49" s="19"/>
      <c r="JPO49" s="19"/>
      <c r="JPP49" s="19"/>
      <c r="JPQ49" s="19"/>
      <c r="JPR49" s="21"/>
      <c r="JPS49" s="19"/>
      <c r="JQB49" s="19"/>
      <c r="JQC49" s="19"/>
      <c r="JQD49" s="19"/>
      <c r="JQE49" s="19"/>
      <c r="JQF49" s="21"/>
      <c r="JQG49" s="19"/>
      <c r="JQP49" s="19"/>
      <c r="JQQ49" s="19"/>
      <c r="JQR49" s="19"/>
      <c r="JQS49" s="19"/>
      <c r="JQT49" s="21"/>
      <c r="JQU49" s="19"/>
      <c r="JRD49" s="19"/>
      <c r="JRE49" s="19"/>
      <c r="JRF49" s="19"/>
      <c r="JRG49" s="19"/>
      <c r="JRH49" s="21"/>
      <c r="JRI49" s="19"/>
      <c r="JRR49" s="19"/>
      <c r="JRS49" s="19"/>
      <c r="JRT49" s="19"/>
      <c r="JRU49" s="19"/>
      <c r="JRV49" s="21"/>
      <c r="JRW49" s="19"/>
      <c r="JSF49" s="19"/>
      <c r="JSG49" s="19"/>
      <c r="JSH49" s="19"/>
      <c r="JSI49" s="19"/>
      <c r="JSJ49" s="21"/>
      <c r="JSK49" s="19"/>
      <c r="JST49" s="19"/>
      <c r="JSU49" s="19"/>
      <c r="JSV49" s="19"/>
      <c r="JSW49" s="19"/>
      <c r="JSX49" s="21"/>
      <c r="JSY49" s="19"/>
      <c r="JTH49" s="19"/>
      <c r="JTI49" s="19"/>
      <c r="JTJ49" s="19"/>
      <c r="JTK49" s="19"/>
      <c r="JTL49" s="21"/>
      <c r="JTM49" s="19"/>
      <c r="JTV49" s="19"/>
      <c r="JTW49" s="19"/>
      <c r="JTX49" s="19"/>
      <c r="JTY49" s="19"/>
      <c r="JTZ49" s="21"/>
      <c r="JUA49" s="19"/>
      <c r="JUJ49" s="19"/>
      <c r="JUK49" s="19"/>
      <c r="JUL49" s="19"/>
      <c r="JUM49" s="19"/>
      <c r="JUN49" s="21"/>
      <c r="JUO49" s="19"/>
      <c r="JUX49" s="19"/>
      <c r="JUY49" s="19"/>
      <c r="JUZ49" s="19"/>
      <c r="JVA49" s="19"/>
      <c r="JVB49" s="21"/>
      <c r="JVC49" s="19"/>
      <c r="JVL49" s="19"/>
      <c r="JVM49" s="19"/>
      <c r="JVN49" s="19"/>
      <c r="JVO49" s="19"/>
      <c r="JVP49" s="21"/>
      <c r="JVQ49" s="19"/>
      <c r="JVZ49" s="19"/>
      <c r="JWA49" s="19"/>
      <c r="JWB49" s="19"/>
      <c r="JWC49" s="19"/>
      <c r="JWD49" s="21"/>
      <c r="JWE49" s="19"/>
      <c r="JWN49" s="19"/>
      <c r="JWO49" s="19"/>
      <c r="JWP49" s="19"/>
      <c r="JWQ49" s="19"/>
      <c r="JWR49" s="21"/>
      <c r="JWS49" s="19"/>
      <c r="JXB49" s="19"/>
      <c r="JXC49" s="19"/>
      <c r="JXD49" s="19"/>
      <c r="JXE49" s="19"/>
      <c r="JXF49" s="21"/>
      <c r="JXG49" s="19"/>
      <c r="JXP49" s="19"/>
      <c r="JXQ49" s="19"/>
      <c r="JXR49" s="19"/>
      <c r="JXS49" s="19"/>
      <c r="JXT49" s="21"/>
      <c r="JXU49" s="19"/>
      <c r="JYD49" s="19"/>
      <c r="JYE49" s="19"/>
      <c r="JYF49" s="19"/>
      <c r="JYG49" s="19"/>
      <c r="JYH49" s="21"/>
      <c r="JYI49" s="19"/>
      <c r="JYR49" s="19"/>
      <c r="JYS49" s="19"/>
      <c r="JYT49" s="19"/>
      <c r="JYU49" s="19"/>
      <c r="JYV49" s="21"/>
      <c r="JYW49" s="19"/>
      <c r="JZF49" s="19"/>
      <c r="JZG49" s="19"/>
      <c r="JZH49" s="19"/>
      <c r="JZI49" s="19"/>
      <c r="JZJ49" s="21"/>
      <c r="JZK49" s="19"/>
      <c r="JZT49" s="19"/>
      <c r="JZU49" s="19"/>
      <c r="JZV49" s="19"/>
      <c r="JZW49" s="19"/>
      <c r="JZX49" s="21"/>
      <c r="JZY49" s="19"/>
      <c r="KAH49" s="19"/>
      <c r="KAI49" s="19"/>
      <c r="KAJ49" s="19"/>
      <c r="KAK49" s="19"/>
      <c r="KAL49" s="21"/>
      <c r="KAM49" s="19"/>
      <c r="KAV49" s="19"/>
      <c r="KAW49" s="19"/>
      <c r="KAX49" s="19"/>
      <c r="KAY49" s="19"/>
      <c r="KAZ49" s="21"/>
      <c r="KBA49" s="19"/>
      <c r="KBJ49" s="19"/>
      <c r="KBK49" s="19"/>
      <c r="KBL49" s="19"/>
      <c r="KBM49" s="19"/>
      <c r="KBN49" s="21"/>
      <c r="KBO49" s="19"/>
      <c r="KBX49" s="19"/>
      <c r="KBY49" s="19"/>
      <c r="KBZ49" s="19"/>
      <c r="KCA49" s="19"/>
      <c r="KCB49" s="21"/>
      <c r="KCC49" s="19"/>
      <c r="KCL49" s="19"/>
      <c r="KCM49" s="19"/>
      <c r="KCN49" s="19"/>
      <c r="KCO49" s="19"/>
      <c r="KCP49" s="21"/>
      <c r="KCQ49" s="19"/>
      <c r="KCZ49" s="19"/>
      <c r="KDA49" s="19"/>
      <c r="KDB49" s="19"/>
      <c r="KDC49" s="19"/>
      <c r="KDD49" s="21"/>
      <c r="KDE49" s="19"/>
      <c r="KDN49" s="19"/>
      <c r="KDO49" s="19"/>
      <c r="KDP49" s="19"/>
      <c r="KDQ49" s="19"/>
      <c r="KDR49" s="21"/>
      <c r="KDS49" s="19"/>
      <c r="KEB49" s="19"/>
      <c r="KEC49" s="19"/>
      <c r="KED49" s="19"/>
      <c r="KEE49" s="19"/>
      <c r="KEF49" s="21"/>
      <c r="KEG49" s="19"/>
      <c r="KEP49" s="19"/>
      <c r="KEQ49" s="19"/>
      <c r="KER49" s="19"/>
      <c r="KES49" s="19"/>
      <c r="KET49" s="21"/>
      <c r="KEU49" s="19"/>
      <c r="KFD49" s="19"/>
      <c r="KFE49" s="19"/>
      <c r="KFF49" s="19"/>
      <c r="KFG49" s="19"/>
      <c r="KFH49" s="21"/>
      <c r="KFI49" s="19"/>
      <c r="KFR49" s="19"/>
      <c r="KFS49" s="19"/>
      <c r="KFT49" s="19"/>
      <c r="KFU49" s="19"/>
      <c r="KFV49" s="21"/>
      <c r="KFW49" s="19"/>
      <c r="KGF49" s="19"/>
      <c r="KGG49" s="19"/>
      <c r="KGH49" s="19"/>
      <c r="KGI49" s="19"/>
      <c r="KGJ49" s="21"/>
      <c r="KGK49" s="19"/>
      <c r="KGT49" s="19"/>
      <c r="KGU49" s="19"/>
      <c r="KGV49" s="19"/>
      <c r="KGW49" s="19"/>
      <c r="KGX49" s="21"/>
      <c r="KGY49" s="19"/>
      <c r="KHH49" s="19"/>
      <c r="KHI49" s="19"/>
      <c r="KHJ49" s="19"/>
      <c r="KHK49" s="19"/>
      <c r="KHL49" s="21"/>
      <c r="KHM49" s="19"/>
      <c r="KHV49" s="19"/>
      <c r="KHW49" s="19"/>
      <c r="KHX49" s="19"/>
      <c r="KHY49" s="19"/>
      <c r="KHZ49" s="21"/>
      <c r="KIA49" s="19"/>
      <c r="KIJ49" s="19"/>
      <c r="KIK49" s="19"/>
      <c r="KIL49" s="19"/>
      <c r="KIM49" s="19"/>
      <c r="KIN49" s="21"/>
      <c r="KIO49" s="19"/>
      <c r="KIX49" s="19"/>
      <c r="KIY49" s="19"/>
      <c r="KIZ49" s="19"/>
      <c r="KJA49" s="19"/>
      <c r="KJB49" s="21"/>
      <c r="KJC49" s="19"/>
      <c r="KJL49" s="19"/>
      <c r="KJM49" s="19"/>
      <c r="KJN49" s="19"/>
      <c r="KJO49" s="19"/>
      <c r="KJP49" s="21"/>
      <c r="KJQ49" s="19"/>
      <c r="KJZ49" s="19"/>
      <c r="KKA49" s="19"/>
      <c r="KKB49" s="19"/>
      <c r="KKC49" s="19"/>
      <c r="KKD49" s="21"/>
      <c r="KKE49" s="19"/>
      <c r="KKN49" s="19"/>
      <c r="KKO49" s="19"/>
      <c r="KKP49" s="19"/>
      <c r="KKQ49" s="19"/>
      <c r="KKR49" s="21"/>
      <c r="KKS49" s="19"/>
      <c r="KLB49" s="19"/>
      <c r="KLC49" s="19"/>
      <c r="KLD49" s="19"/>
      <c r="KLE49" s="19"/>
      <c r="KLF49" s="21"/>
      <c r="KLG49" s="19"/>
      <c r="KLP49" s="19"/>
      <c r="KLQ49" s="19"/>
      <c r="KLR49" s="19"/>
      <c r="KLS49" s="19"/>
      <c r="KLT49" s="21"/>
      <c r="KLU49" s="19"/>
      <c r="KMD49" s="19"/>
      <c r="KME49" s="19"/>
      <c r="KMF49" s="19"/>
      <c r="KMG49" s="19"/>
      <c r="KMH49" s="21"/>
      <c r="KMI49" s="19"/>
      <c r="KMR49" s="19"/>
      <c r="KMS49" s="19"/>
      <c r="KMT49" s="19"/>
      <c r="KMU49" s="19"/>
      <c r="KMV49" s="21"/>
      <c r="KMW49" s="19"/>
      <c r="KNF49" s="19"/>
      <c r="KNG49" s="19"/>
      <c r="KNH49" s="19"/>
      <c r="KNI49" s="19"/>
      <c r="KNJ49" s="21"/>
      <c r="KNK49" s="19"/>
      <c r="KNT49" s="19"/>
      <c r="KNU49" s="19"/>
      <c r="KNV49" s="19"/>
      <c r="KNW49" s="19"/>
      <c r="KNX49" s="21"/>
      <c r="KNY49" s="19"/>
      <c r="KOH49" s="19"/>
      <c r="KOI49" s="19"/>
      <c r="KOJ49" s="19"/>
      <c r="KOK49" s="19"/>
      <c r="KOL49" s="21"/>
      <c r="KOM49" s="19"/>
      <c r="KOV49" s="19"/>
      <c r="KOW49" s="19"/>
      <c r="KOX49" s="19"/>
      <c r="KOY49" s="19"/>
      <c r="KOZ49" s="21"/>
      <c r="KPA49" s="19"/>
      <c r="KPJ49" s="19"/>
      <c r="KPK49" s="19"/>
      <c r="KPL49" s="19"/>
      <c r="KPM49" s="19"/>
      <c r="KPN49" s="21"/>
      <c r="KPO49" s="19"/>
      <c r="KPX49" s="19"/>
      <c r="KPY49" s="19"/>
      <c r="KPZ49" s="19"/>
      <c r="KQA49" s="19"/>
      <c r="KQB49" s="21"/>
      <c r="KQC49" s="19"/>
      <c r="KQL49" s="19"/>
      <c r="KQM49" s="19"/>
      <c r="KQN49" s="19"/>
      <c r="KQO49" s="19"/>
      <c r="KQP49" s="21"/>
      <c r="KQQ49" s="19"/>
      <c r="KQZ49" s="19"/>
      <c r="KRA49" s="19"/>
      <c r="KRB49" s="19"/>
      <c r="KRC49" s="19"/>
      <c r="KRD49" s="21"/>
      <c r="KRE49" s="19"/>
      <c r="KRN49" s="19"/>
      <c r="KRO49" s="19"/>
      <c r="KRP49" s="19"/>
      <c r="KRQ49" s="19"/>
      <c r="KRR49" s="21"/>
      <c r="KRS49" s="19"/>
      <c r="KSB49" s="19"/>
      <c r="KSC49" s="19"/>
      <c r="KSD49" s="19"/>
      <c r="KSE49" s="19"/>
      <c r="KSF49" s="21"/>
      <c r="KSG49" s="19"/>
      <c r="KSP49" s="19"/>
      <c r="KSQ49" s="19"/>
      <c r="KSR49" s="19"/>
      <c r="KSS49" s="19"/>
      <c r="KST49" s="21"/>
      <c r="KSU49" s="19"/>
      <c r="KTD49" s="19"/>
      <c r="KTE49" s="19"/>
      <c r="KTF49" s="19"/>
      <c r="KTG49" s="19"/>
      <c r="KTH49" s="21"/>
      <c r="KTI49" s="19"/>
      <c r="KTR49" s="19"/>
      <c r="KTS49" s="19"/>
      <c r="KTT49" s="19"/>
      <c r="KTU49" s="19"/>
      <c r="KTV49" s="21"/>
      <c r="KTW49" s="19"/>
      <c r="KUF49" s="19"/>
      <c r="KUG49" s="19"/>
      <c r="KUH49" s="19"/>
      <c r="KUI49" s="19"/>
      <c r="KUJ49" s="21"/>
      <c r="KUK49" s="19"/>
      <c r="KUT49" s="19"/>
      <c r="KUU49" s="19"/>
      <c r="KUV49" s="19"/>
      <c r="KUW49" s="19"/>
      <c r="KUX49" s="21"/>
      <c r="KUY49" s="19"/>
      <c r="KVH49" s="19"/>
      <c r="KVI49" s="19"/>
      <c r="KVJ49" s="19"/>
      <c r="KVK49" s="19"/>
      <c r="KVL49" s="21"/>
      <c r="KVM49" s="19"/>
      <c r="KVV49" s="19"/>
      <c r="KVW49" s="19"/>
      <c r="KVX49" s="19"/>
      <c r="KVY49" s="19"/>
      <c r="KVZ49" s="21"/>
      <c r="KWA49" s="19"/>
      <c r="KWJ49" s="19"/>
      <c r="KWK49" s="19"/>
      <c r="KWL49" s="19"/>
      <c r="KWM49" s="19"/>
      <c r="KWN49" s="21"/>
      <c r="KWO49" s="19"/>
      <c r="KWX49" s="19"/>
      <c r="KWY49" s="19"/>
      <c r="KWZ49" s="19"/>
      <c r="KXA49" s="19"/>
      <c r="KXB49" s="21"/>
      <c r="KXC49" s="19"/>
      <c r="KXL49" s="19"/>
      <c r="KXM49" s="19"/>
      <c r="KXN49" s="19"/>
      <c r="KXO49" s="19"/>
      <c r="KXP49" s="21"/>
      <c r="KXQ49" s="19"/>
      <c r="KXZ49" s="19"/>
      <c r="KYA49" s="19"/>
      <c r="KYB49" s="19"/>
      <c r="KYC49" s="19"/>
      <c r="KYD49" s="21"/>
      <c r="KYE49" s="19"/>
      <c r="KYN49" s="19"/>
      <c r="KYO49" s="19"/>
      <c r="KYP49" s="19"/>
      <c r="KYQ49" s="19"/>
      <c r="KYR49" s="21"/>
      <c r="KYS49" s="19"/>
      <c r="KZB49" s="19"/>
      <c r="KZC49" s="19"/>
      <c r="KZD49" s="19"/>
      <c r="KZE49" s="19"/>
      <c r="KZF49" s="21"/>
      <c r="KZG49" s="19"/>
      <c r="KZP49" s="19"/>
      <c r="KZQ49" s="19"/>
      <c r="KZR49" s="19"/>
      <c r="KZS49" s="19"/>
      <c r="KZT49" s="21"/>
      <c r="KZU49" s="19"/>
      <c r="LAD49" s="19"/>
      <c r="LAE49" s="19"/>
      <c r="LAF49" s="19"/>
      <c r="LAG49" s="19"/>
      <c r="LAH49" s="21"/>
      <c r="LAI49" s="19"/>
      <c r="LAR49" s="19"/>
      <c r="LAS49" s="19"/>
      <c r="LAT49" s="19"/>
      <c r="LAU49" s="19"/>
      <c r="LAV49" s="21"/>
      <c r="LAW49" s="19"/>
      <c r="LBF49" s="19"/>
      <c r="LBG49" s="19"/>
      <c r="LBH49" s="19"/>
      <c r="LBI49" s="19"/>
      <c r="LBJ49" s="21"/>
      <c r="LBK49" s="19"/>
      <c r="LBT49" s="19"/>
      <c r="LBU49" s="19"/>
      <c r="LBV49" s="19"/>
      <c r="LBW49" s="19"/>
      <c r="LBX49" s="21"/>
      <c r="LBY49" s="19"/>
      <c r="LCH49" s="19"/>
      <c r="LCI49" s="19"/>
      <c r="LCJ49" s="19"/>
      <c r="LCK49" s="19"/>
      <c r="LCL49" s="21"/>
      <c r="LCM49" s="19"/>
      <c r="LCV49" s="19"/>
      <c r="LCW49" s="19"/>
      <c r="LCX49" s="19"/>
      <c r="LCY49" s="19"/>
      <c r="LCZ49" s="21"/>
      <c r="LDA49" s="19"/>
      <c r="LDJ49" s="19"/>
      <c r="LDK49" s="19"/>
      <c r="LDL49" s="19"/>
      <c r="LDM49" s="19"/>
      <c r="LDN49" s="21"/>
      <c r="LDO49" s="19"/>
      <c r="LDX49" s="19"/>
      <c r="LDY49" s="19"/>
      <c r="LDZ49" s="19"/>
      <c r="LEA49" s="19"/>
      <c r="LEB49" s="21"/>
      <c r="LEC49" s="19"/>
      <c r="LEL49" s="19"/>
      <c r="LEM49" s="19"/>
      <c r="LEN49" s="19"/>
      <c r="LEO49" s="19"/>
      <c r="LEP49" s="21"/>
      <c r="LEQ49" s="19"/>
      <c r="LEZ49" s="19"/>
      <c r="LFA49" s="19"/>
      <c r="LFB49" s="19"/>
      <c r="LFC49" s="19"/>
      <c r="LFD49" s="21"/>
      <c r="LFE49" s="19"/>
      <c r="LFN49" s="19"/>
      <c r="LFO49" s="19"/>
      <c r="LFP49" s="19"/>
      <c r="LFQ49" s="19"/>
      <c r="LFR49" s="21"/>
      <c r="LFS49" s="19"/>
      <c r="LGB49" s="19"/>
      <c r="LGC49" s="19"/>
      <c r="LGD49" s="19"/>
      <c r="LGE49" s="19"/>
      <c r="LGF49" s="21"/>
      <c r="LGG49" s="19"/>
      <c r="LGP49" s="19"/>
      <c r="LGQ49" s="19"/>
      <c r="LGR49" s="19"/>
      <c r="LGS49" s="19"/>
      <c r="LGT49" s="21"/>
      <c r="LGU49" s="19"/>
      <c r="LHD49" s="19"/>
      <c r="LHE49" s="19"/>
      <c r="LHF49" s="19"/>
      <c r="LHG49" s="19"/>
      <c r="LHH49" s="21"/>
      <c r="LHI49" s="19"/>
      <c r="LHR49" s="19"/>
      <c r="LHS49" s="19"/>
      <c r="LHT49" s="19"/>
      <c r="LHU49" s="19"/>
      <c r="LHV49" s="21"/>
      <c r="LHW49" s="19"/>
      <c r="LIF49" s="19"/>
      <c r="LIG49" s="19"/>
      <c r="LIH49" s="19"/>
      <c r="LII49" s="19"/>
      <c r="LIJ49" s="21"/>
      <c r="LIK49" s="19"/>
      <c r="LIT49" s="19"/>
      <c r="LIU49" s="19"/>
      <c r="LIV49" s="19"/>
      <c r="LIW49" s="19"/>
      <c r="LIX49" s="21"/>
      <c r="LIY49" s="19"/>
      <c r="LJH49" s="19"/>
      <c r="LJI49" s="19"/>
      <c r="LJJ49" s="19"/>
      <c r="LJK49" s="19"/>
      <c r="LJL49" s="21"/>
      <c r="LJM49" s="19"/>
      <c r="LJV49" s="19"/>
      <c r="LJW49" s="19"/>
      <c r="LJX49" s="19"/>
      <c r="LJY49" s="19"/>
      <c r="LJZ49" s="21"/>
      <c r="LKA49" s="19"/>
      <c r="LKJ49" s="19"/>
      <c r="LKK49" s="19"/>
      <c r="LKL49" s="19"/>
      <c r="LKM49" s="19"/>
      <c r="LKN49" s="21"/>
      <c r="LKO49" s="19"/>
      <c r="LKX49" s="19"/>
      <c r="LKY49" s="19"/>
      <c r="LKZ49" s="19"/>
      <c r="LLA49" s="19"/>
      <c r="LLB49" s="21"/>
      <c r="LLC49" s="19"/>
      <c r="LLL49" s="19"/>
      <c r="LLM49" s="19"/>
      <c r="LLN49" s="19"/>
      <c r="LLO49" s="19"/>
      <c r="LLP49" s="21"/>
      <c r="LLQ49" s="19"/>
      <c r="LLZ49" s="19"/>
      <c r="LMA49" s="19"/>
      <c r="LMB49" s="19"/>
      <c r="LMC49" s="19"/>
      <c r="LMD49" s="21"/>
      <c r="LME49" s="19"/>
      <c r="LMN49" s="19"/>
      <c r="LMO49" s="19"/>
      <c r="LMP49" s="19"/>
      <c r="LMQ49" s="19"/>
      <c r="LMR49" s="21"/>
      <c r="LMS49" s="19"/>
      <c r="LNB49" s="19"/>
      <c r="LNC49" s="19"/>
      <c r="LND49" s="19"/>
      <c r="LNE49" s="19"/>
      <c r="LNF49" s="21"/>
      <c r="LNG49" s="19"/>
      <c r="LNP49" s="19"/>
      <c r="LNQ49" s="19"/>
      <c r="LNR49" s="19"/>
      <c r="LNS49" s="19"/>
      <c r="LNT49" s="21"/>
      <c r="LNU49" s="19"/>
      <c r="LOD49" s="19"/>
      <c r="LOE49" s="19"/>
      <c r="LOF49" s="19"/>
      <c r="LOG49" s="19"/>
      <c r="LOH49" s="21"/>
      <c r="LOI49" s="19"/>
      <c r="LOR49" s="19"/>
      <c r="LOS49" s="19"/>
      <c r="LOT49" s="19"/>
      <c r="LOU49" s="19"/>
      <c r="LOV49" s="21"/>
      <c r="LOW49" s="19"/>
      <c r="LPF49" s="19"/>
      <c r="LPG49" s="19"/>
      <c r="LPH49" s="19"/>
      <c r="LPI49" s="19"/>
      <c r="LPJ49" s="21"/>
      <c r="LPK49" s="19"/>
      <c r="LPT49" s="19"/>
      <c r="LPU49" s="19"/>
      <c r="LPV49" s="19"/>
      <c r="LPW49" s="19"/>
      <c r="LPX49" s="21"/>
      <c r="LPY49" s="19"/>
      <c r="LQH49" s="19"/>
      <c r="LQI49" s="19"/>
      <c r="LQJ49" s="19"/>
      <c r="LQK49" s="19"/>
      <c r="LQL49" s="21"/>
      <c r="LQM49" s="19"/>
      <c r="LQV49" s="19"/>
      <c r="LQW49" s="19"/>
      <c r="LQX49" s="19"/>
      <c r="LQY49" s="19"/>
      <c r="LQZ49" s="21"/>
      <c r="LRA49" s="19"/>
      <c r="LRJ49" s="19"/>
      <c r="LRK49" s="19"/>
      <c r="LRL49" s="19"/>
      <c r="LRM49" s="19"/>
      <c r="LRN49" s="21"/>
      <c r="LRO49" s="19"/>
      <c r="LRX49" s="19"/>
      <c r="LRY49" s="19"/>
      <c r="LRZ49" s="19"/>
      <c r="LSA49" s="19"/>
      <c r="LSB49" s="21"/>
      <c r="LSC49" s="19"/>
      <c r="LSL49" s="19"/>
      <c r="LSM49" s="19"/>
      <c r="LSN49" s="19"/>
      <c r="LSO49" s="19"/>
      <c r="LSP49" s="21"/>
      <c r="LSQ49" s="19"/>
      <c r="LSZ49" s="19"/>
      <c r="LTA49" s="19"/>
      <c r="LTB49" s="19"/>
      <c r="LTC49" s="19"/>
      <c r="LTD49" s="21"/>
      <c r="LTE49" s="19"/>
      <c r="LTN49" s="19"/>
      <c r="LTO49" s="19"/>
      <c r="LTP49" s="19"/>
      <c r="LTQ49" s="19"/>
      <c r="LTR49" s="21"/>
      <c r="LTS49" s="19"/>
      <c r="LUB49" s="19"/>
      <c r="LUC49" s="19"/>
      <c r="LUD49" s="19"/>
      <c r="LUE49" s="19"/>
      <c r="LUF49" s="21"/>
      <c r="LUG49" s="19"/>
      <c r="LUP49" s="19"/>
      <c r="LUQ49" s="19"/>
      <c r="LUR49" s="19"/>
      <c r="LUS49" s="19"/>
      <c r="LUT49" s="21"/>
      <c r="LUU49" s="19"/>
      <c r="LVD49" s="19"/>
      <c r="LVE49" s="19"/>
      <c r="LVF49" s="19"/>
      <c r="LVG49" s="19"/>
      <c r="LVH49" s="21"/>
      <c r="LVI49" s="19"/>
      <c r="LVR49" s="19"/>
      <c r="LVS49" s="19"/>
      <c r="LVT49" s="19"/>
      <c r="LVU49" s="19"/>
      <c r="LVV49" s="21"/>
      <c r="LVW49" s="19"/>
      <c r="LWF49" s="19"/>
      <c r="LWG49" s="19"/>
      <c r="LWH49" s="19"/>
      <c r="LWI49" s="19"/>
      <c r="LWJ49" s="21"/>
      <c r="LWK49" s="19"/>
      <c r="LWT49" s="19"/>
      <c r="LWU49" s="19"/>
      <c r="LWV49" s="19"/>
      <c r="LWW49" s="19"/>
      <c r="LWX49" s="21"/>
      <c r="LWY49" s="19"/>
      <c r="LXH49" s="19"/>
      <c r="LXI49" s="19"/>
      <c r="LXJ49" s="19"/>
      <c r="LXK49" s="19"/>
      <c r="LXL49" s="21"/>
      <c r="LXM49" s="19"/>
      <c r="LXV49" s="19"/>
      <c r="LXW49" s="19"/>
      <c r="LXX49" s="19"/>
      <c r="LXY49" s="19"/>
      <c r="LXZ49" s="21"/>
      <c r="LYA49" s="19"/>
      <c r="LYJ49" s="19"/>
      <c r="LYK49" s="19"/>
      <c r="LYL49" s="19"/>
      <c r="LYM49" s="19"/>
      <c r="LYN49" s="21"/>
      <c r="LYO49" s="19"/>
      <c r="LYX49" s="19"/>
      <c r="LYY49" s="19"/>
      <c r="LYZ49" s="19"/>
      <c r="LZA49" s="19"/>
      <c r="LZB49" s="21"/>
      <c r="LZC49" s="19"/>
      <c r="LZL49" s="19"/>
      <c r="LZM49" s="19"/>
      <c r="LZN49" s="19"/>
      <c r="LZO49" s="19"/>
      <c r="LZP49" s="21"/>
      <c r="LZQ49" s="19"/>
      <c r="LZZ49" s="19"/>
      <c r="MAA49" s="19"/>
      <c r="MAB49" s="19"/>
      <c r="MAC49" s="19"/>
      <c r="MAD49" s="21"/>
      <c r="MAE49" s="19"/>
      <c r="MAN49" s="19"/>
      <c r="MAO49" s="19"/>
      <c r="MAP49" s="19"/>
      <c r="MAQ49" s="19"/>
      <c r="MAR49" s="21"/>
      <c r="MAS49" s="19"/>
      <c r="MBB49" s="19"/>
      <c r="MBC49" s="19"/>
      <c r="MBD49" s="19"/>
      <c r="MBE49" s="19"/>
      <c r="MBF49" s="21"/>
      <c r="MBG49" s="19"/>
      <c r="MBP49" s="19"/>
      <c r="MBQ49" s="19"/>
      <c r="MBR49" s="19"/>
      <c r="MBS49" s="19"/>
      <c r="MBT49" s="21"/>
      <c r="MBU49" s="19"/>
      <c r="MCD49" s="19"/>
      <c r="MCE49" s="19"/>
      <c r="MCF49" s="19"/>
      <c r="MCG49" s="19"/>
      <c r="MCH49" s="21"/>
      <c r="MCI49" s="19"/>
      <c r="MCR49" s="19"/>
      <c r="MCS49" s="19"/>
      <c r="MCT49" s="19"/>
      <c r="MCU49" s="19"/>
      <c r="MCV49" s="21"/>
      <c r="MCW49" s="19"/>
      <c r="MDF49" s="19"/>
      <c r="MDG49" s="19"/>
      <c r="MDH49" s="19"/>
      <c r="MDI49" s="19"/>
      <c r="MDJ49" s="21"/>
      <c r="MDK49" s="19"/>
      <c r="MDT49" s="19"/>
      <c r="MDU49" s="19"/>
      <c r="MDV49" s="19"/>
      <c r="MDW49" s="19"/>
      <c r="MDX49" s="21"/>
      <c r="MDY49" s="19"/>
      <c r="MEH49" s="19"/>
      <c r="MEI49" s="19"/>
      <c r="MEJ49" s="19"/>
      <c r="MEK49" s="19"/>
      <c r="MEL49" s="21"/>
      <c r="MEM49" s="19"/>
      <c r="MEV49" s="19"/>
      <c r="MEW49" s="19"/>
      <c r="MEX49" s="19"/>
      <c r="MEY49" s="19"/>
      <c r="MEZ49" s="21"/>
      <c r="MFA49" s="19"/>
      <c r="MFJ49" s="19"/>
      <c r="MFK49" s="19"/>
      <c r="MFL49" s="19"/>
      <c r="MFM49" s="19"/>
      <c r="MFN49" s="21"/>
      <c r="MFO49" s="19"/>
      <c r="MFX49" s="19"/>
      <c r="MFY49" s="19"/>
      <c r="MFZ49" s="19"/>
      <c r="MGA49" s="19"/>
      <c r="MGB49" s="21"/>
      <c r="MGC49" s="19"/>
      <c r="MGL49" s="19"/>
      <c r="MGM49" s="19"/>
      <c r="MGN49" s="19"/>
      <c r="MGO49" s="19"/>
      <c r="MGP49" s="21"/>
      <c r="MGQ49" s="19"/>
      <c r="MGZ49" s="19"/>
      <c r="MHA49" s="19"/>
      <c r="MHB49" s="19"/>
      <c r="MHC49" s="19"/>
      <c r="MHD49" s="21"/>
      <c r="MHE49" s="19"/>
      <c r="MHN49" s="19"/>
      <c r="MHO49" s="19"/>
      <c r="MHP49" s="19"/>
      <c r="MHQ49" s="19"/>
      <c r="MHR49" s="21"/>
      <c r="MHS49" s="19"/>
      <c r="MIB49" s="19"/>
      <c r="MIC49" s="19"/>
      <c r="MID49" s="19"/>
      <c r="MIE49" s="19"/>
      <c r="MIF49" s="21"/>
      <c r="MIG49" s="19"/>
      <c r="MIP49" s="19"/>
      <c r="MIQ49" s="19"/>
      <c r="MIR49" s="19"/>
      <c r="MIS49" s="19"/>
      <c r="MIT49" s="21"/>
      <c r="MIU49" s="19"/>
      <c r="MJD49" s="19"/>
      <c r="MJE49" s="19"/>
      <c r="MJF49" s="19"/>
      <c r="MJG49" s="19"/>
      <c r="MJH49" s="21"/>
      <c r="MJI49" s="19"/>
      <c r="MJR49" s="19"/>
      <c r="MJS49" s="19"/>
      <c r="MJT49" s="19"/>
      <c r="MJU49" s="19"/>
      <c r="MJV49" s="21"/>
      <c r="MJW49" s="19"/>
      <c r="MKF49" s="19"/>
      <c r="MKG49" s="19"/>
      <c r="MKH49" s="19"/>
      <c r="MKI49" s="19"/>
      <c r="MKJ49" s="21"/>
      <c r="MKK49" s="19"/>
      <c r="MKT49" s="19"/>
      <c r="MKU49" s="19"/>
      <c r="MKV49" s="19"/>
      <c r="MKW49" s="19"/>
      <c r="MKX49" s="21"/>
      <c r="MKY49" s="19"/>
      <c r="MLH49" s="19"/>
      <c r="MLI49" s="19"/>
      <c r="MLJ49" s="19"/>
      <c r="MLK49" s="19"/>
      <c r="MLL49" s="21"/>
      <c r="MLM49" s="19"/>
      <c r="MLV49" s="19"/>
      <c r="MLW49" s="19"/>
      <c r="MLX49" s="19"/>
      <c r="MLY49" s="19"/>
      <c r="MLZ49" s="21"/>
      <c r="MMA49" s="19"/>
      <c r="MMJ49" s="19"/>
      <c r="MMK49" s="19"/>
      <c r="MML49" s="19"/>
      <c r="MMM49" s="19"/>
      <c r="MMN49" s="21"/>
      <c r="MMO49" s="19"/>
      <c r="MMX49" s="19"/>
      <c r="MMY49" s="19"/>
      <c r="MMZ49" s="19"/>
      <c r="MNA49" s="19"/>
      <c r="MNB49" s="21"/>
      <c r="MNC49" s="19"/>
      <c r="MNL49" s="19"/>
      <c r="MNM49" s="19"/>
      <c r="MNN49" s="19"/>
      <c r="MNO49" s="19"/>
      <c r="MNP49" s="21"/>
      <c r="MNQ49" s="19"/>
      <c r="MNZ49" s="19"/>
      <c r="MOA49" s="19"/>
      <c r="MOB49" s="19"/>
      <c r="MOC49" s="19"/>
      <c r="MOD49" s="21"/>
      <c r="MOE49" s="19"/>
      <c r="MON49" s="19"/>
      <c r="MOO49" s="19"/>
      <c r="MOP49" s="19"/>
      <c r="MOQ49" s="19"/>
      <c r="MOR49" s="21"/>
      <c r="MOS49" s="19"/>
      <c r="MPB49" s="19"/>
      <c r="MPC49" s="19"/>
      <c r="MPD49" s="19"/>
      <c r="MPE49" s="19"/>
      <c r="MPF49" s="21"/>
      <c r="MPG49" s="19"/>
      <c r="MPP49" s="19"/>
      <c r="MPQ49" s="19"/>
      <c r="MPR49" s="19"/>
      <c r="MPS49" s="19"/>
      <c r="MPT49" s="21"/>
      <c r="MPU49" s="19"/>
      <c r="MQD49" s="19"/>
      <c r="MQE49" s="19"/>
      <c r="MQF49" s="19"/>
      <c r="MQG49" s="19"/>
      <c r="MQH49" s="21"/>
      <c r="MQI49" s="19"/>
      <c r="MQR49" s="19"/>
      <c r="MQS49" s="19"/>
      <c r="MQT49" s="19"/>
      <c r="MQU49" s="19"/>
      <c r="MQV49" s="21"/>
      <c r="MQW49" s="19"/>
      <c r="MRF49" s="19"/>
      <c r="MRG49" s="19"/>
      <c r="MRH49" s="19"/>
      <c r="MRI49" s="19"/>
      <c r="MRJ49" s="21"/>
      <c r="MRK49" s="19"/>
      <c r="MRT49" s="19"/>
      <c r="MRU49" s="19"/>
      <c r="MRV49" s="19"/>
      <c r="MRW49" s="19"/>
      <c r="MRX49" s="21"/>
      <c r="MRY49" s="19"/>
      <c r="MSH49" s="19"/>
      <c r="MSI49" s="19"/>
      <c r="MSJ49" s="19"/>
      <c r="MSK49" s="19"/>
      <c r="MSL49" s="21"/>
      <c r="MSM49" s="19"/>
      <c r="MSV49" s="19"/>
      <c r="MSW49" s="19"/>
      <c r="MSX49" s="19"/>
      <c r="MSY49" s="19"/>
      <c r="MSZ49" s="21"/>
      <c r="MTA49" s="19"/>
      <c r="MTJ49" s="19"/>
      <c r="MTK49" s="19"/>
      <c r="MTL49" s="19"/>
      <c r="MTM49" s="19"/>
      <c r="MTN49" s="21"/>
      <c r="MTO49" s="19"/>
      <c r="MTX49" s="19"/>
      <c r="MTY49" s="19"/>
      <c r="MTZ49" s="19"/>
      <c r="MUA49" s="19"/>
      <c r="MUB49" s="21"/>
      <c r="MUC49" s="19"/>
      <c r="MUL49" s="19"/>
      <c r="MUM49" s="19"/>
      <c r="MUN49" s="19"/>
      <c r="MUO49" s="19"/>
      <c r="MUP49" s="21"/>
      <c r="MUQ49" s="19"/>
      <c r="MUZ49" s="19"/>
      <c r="MVA49" s="19"/>
      <c r="MVB49" s="19"/>
      <c r="MVC49" s="19"/>
      <c r="MVD49" s="21"/>
      <c r="MVE49" s="19"/>
      <c r="MVN49" s="19"/>
      <c r="MVO49" s="19"/>
      <c r="MVP49" s="19"/>
      <c r="MVQ49" s="19"/>
      <c r="MVR49" s="21"/>
      <c r="MVS49" s="19"/>
      <c r="MWB49" s="19"/>
      <c r="MWC49" s="19"/>
      <c r="MWD49" s="19"/>
      <c r="MWE49" s="19"/>
      <c r="MWF49" s="21"/>
      <c r="MWG49" s="19"/>
      <c r="MWP49" s="19"/>
      <c r="MWQ49" s="19"/>
      <c r="MWR49" s="19"/>
      <c r="MWS49" s="19"/>
      <c r="MWT49" s="21"/>
      <c r="MWU49" s="19"/>
      <c r="MXD49" s="19"/>
      <c r="MXE49" s="19"/>
      <c r="MXF49" s="19"/>
      <c r="MXG49" s="19"/>
      <c r="MXH49" s="21"/>
      <c r="MXI49" s="19"/>
      <c r="MXR49" s="19"/>
      <c r="MXS49" s="19"/>
      <c r="MXT49" s="19"/>
      <c r="MXU49" s="19"/>
      <c r="MXV49" s="21"/>
      <c r="MXW49" s="19"/>
      <c r="MYF49" s="19"/>
      <c r="MYG49" s="19"/>
      <c r="MYH49" s="19"/>
      <c r="MYI49" s="19"/>
      <c r="MYJ49" s="21"/>
      <c r="MYK49" s="19"/>
      <c r="MYT49" s="19"/>
      <c r="MYU49" s="19"/>
      <c r="MYV49" s="19"/>
      <c r="MYW49" s="19"/>
      <c r="MYX49" s="21"/>
      <c r="MYY49" s="19"/>
      <c r="MZH49" s="19"/>
      <c r="MZI49" s="19"/>
      <c r="MZJ49" s="19"/>
      <c r="MZK49" s="19"/>
      <c r="MZL49" s="21"/>
      <c r="MZM49" s="19"/>
      <c r="MZV49" s="19"/>
      <c r="MZW49" s="19"/>
      <c r="MZX49" s="19"/>
      <c r="MZY49" s="19"/>
      <c r="MZZ49" s="21"/>
      <c r="NAA49" s="19"/>
      <c r="NAJ49" s="19"/>
      <c r="NAK49" s="19"/>
      <c r="NAL49" s="19"/>
      <c r="NAM49" s="19"/>
      <c r="NAN49" s="21"/>
      <c r="NAO49" s="19"/>
      <c r="NAX49" s="19"/>
      <c r="NAY49" s="19"/>
      <c r="NAZ49" s="19"/>
      <c r="NBA49" s="19"/>
      <c r="NBB49" s="21"/>
      <c r="NBC49" s="19"/>
      <c r="NBL49" s="19"/>
      <c r="NBM49" s="19"/>
      <c r="NBN49" s="19"/>
      <c r="NBO49" s="19"/>
      <c r="NBP49" s="21"/>
      <c r="NBQ49" s="19"/>
      <c r="NBZ49" s="19"/>
      <c r="NCA49" s="19"/>
      <c r="NCB49" s="19"/>
      <c r="NCC49" s="19"/>
      <c r="NCD49" s="21"/>
      <c r="NCE49" s="19"/>
      <c r="NCN49" s="19"/>
      <c r="NCO49" s="19"/>
      <c r="NCP49" s="19"/>
      <c r="NCQ49" s="19"/>
      <c r="NCR49" s="21"/>
      <c r="NCS49" s="19"/>
      <c r="NDB49" s="19"/>
      <c r="NDC49" s="19"/>
      <c r="NDD49" s="19"/>
      <c r="NDE49" s="19"/>
      <c r="NDF49" s="21"/>
      <c r="NDG49" s="19"/>
      <c r="NDP49" s="19"/>
      <c r="NDQ49" s="19"/>
      <c r="NDR49" s="19"/>
      <c r="NDS49" s="19"/>
      <c r="NDT49" s="21"/>
      <c r="NDU49" s="19"/>
      <c r="NED49" s="19"/>
      <c r="NEE49" s="19"/>
      <c r="NEF49" s="19"/>
      <c r="NEG49" s="19"/>
      <c r="NEH49" s="21"/>
      <c r="NEI49" s="19"/>
      <c r="NER49" s="19"/>
      <c r="NES49" s="19"/>
      <c r="NET49" s="19"/>
      <c r="NEU49" s="19"/>
      <c r="NEV49" s="21"/>
      <c r="NEW49" s="19"/>
      <c r="NFF49" s="19"/>
      <c r="NFG49" s="19"/>
      <c r="NFH49" s="19"/>
      <c r="NFI49" s="19"/>
      <c r="NFJ49" s="21"/>
      <c r="NFK49" s="19"/>
      <c r="NFT49" s="19"/>
      <c r="NFU49" s="19"/>
      <c r="NFV49" s="19"/>
      <c r="NFW49" s="19"/>
      <c r="NFX49" s="21"/>
      <c r="NFY49" s="19"/>
      <c r="NGH49" s="19"/>
      <c r="NGI49" s="19"/>
      <c r="NGJ49" s="19"/>
      <c r="NGK49" s="19"/>
      <c r="NGL49" s="21"/>
      <c r="NGM49" s="19"/>
      <c r="NGV49" s="19"/>
      <c r="NGW49" s="19"/>
      <c r="NGX49" s="19"/>
      <c r="NGY49" s="19"/>
      <c r="NGZ49" s="21"/>
      <c r="NHA49" s="19"/>
      <c r="NHJ49" s="19"/>
      <c r="NHK49" s="19"/>
      <c r="NHL49" s="19"/>
      <c r="NHM49" s="19"/>
      <c r="NHN49" s="21"/>
      <c r="NHO49" s="19"/>
      <c r="NHX49" s="19"/>
      <c r="NHY49" s="19"/>
      <c r="NHZ49" s="19"/>
      <c r="NIA49" s="19"/>
      <c r="NIB49" s="21"/>
      <c r="NIC49" s="19"/>
      <c r="NIL49" s="19"/>
      <c r="NIM49" s="19"/>
      <c r="NIN49" s="19"/>
      <c r="NIO49" s="19"/>
      <c r="NIP49" s="21"/>
      <c r="NIQ49" s="19"/>
      <c r="NIZ49" s="19"/>
      <c r="NJA49" s="19"/>
      <c r="NJB49" s="19"/>
      <c r="NJC49" s="19"/>
      <c r="NJD49" s="21"/>
      <c r="NJE49" s="19"/>
      <c r="NJN49" s="19"/>
      <c r="NJO49" s="19"/>
      <c r="NJP49" s="19"/>
      <c r="NJQ49" s="19"/>
      <c r="NJR49" s="21"/>
      <c r="NJS49" s="19"/>
      <c r="NKB49" s="19"/>
      <c r="NKC49" s="19"/>
      <c r="NKD49" s="19"/>
      <c r="NKE49" s="19"/>
      <c r="NKF49" s="21"/>
      <c r="NKG49" s="19"/>
      <c r="NKP49" s="19"/>
      <c r="NKQ49" s="19"/>
      <c r="NKR49" s="19"/>
      <c r="NKS49" s="19"/>
      <c r="NKT49" s="21"/>
      <c r="NKU49" s="19"/>
      <c r="NLD49" s="19"/>
      <c r="NLE49" s="19"/>
      <c r="NLF49" s="19"/>
      <c r="NLG49" s="19"/>
      <c r="NLH49" s="21"/>
      <c r="NLI49" s="19"/>
      <c r="NLR49" s="19"/>
      <c r="NLS49" s="19"/>
      <c r="NLT49" s="19"/>
      <c r="NLU49" s="19"/>
      <c r="NLV49" s="21"/>
      <c r="NLW49" s="19"/>
      <c r="NMF49" s="19"/>
      <c r="NMG49" s="19"/>
      <c r="NMH49" s="19"/>
      <c r="NMI49" s="19"/>
      <c r="NMJ49" s="21"/>
      <c r="NMK49" s="19"/>
      <c r="NMT49" s="19"/>
      <c r="NMU49" s="19"/>
      <c r="NMV49" s="19"/>
      <c r="NMW49" s="19"/>
      <c r="NMX49" s="21"/>
      <c r="NMY49" s="19"/>
      <c r="NNH49" s="19"/>
      <c r="NNI49" s="19"/>
      <c r="NNJ49" s="19"/>
      <c r="NNK49" s="19"/>
      <c r="NNL49" s="21"/>
      <c r="NNM49" s="19"/>
      <c r="NNV49" s="19"/>
      <c r="NNW49" s="19"/>
      <c r="NNX49" s="19"/>
      <c r="NNY49" s="19"/>
      <c r="NNZ49" s="21"/>
      <c r="NOA49" s="19"/>
      <c r="NOJ49" s="19"/>
      <c r="NOK49" s="19"/>
      <c r="NOL49" s="19"/>
      <c r="NOM49" s="19"/>
      <c r="NON49" s="21"/>
      <c r="NOO49" s="19"/>
      <c r="NOX49" s="19"/>
      <c r="NOY49" s="19"/>
      <c r="NOZ49" s="19"/>
      <c r="NPA49" s="19"/>
      <c r="NPB49" s="21"/>
      <c r="NPC49" s="19"/>
      <c r="NPL49" s="19"/>
      <c r="NPM49" s="19"/>
      <c r="NPN49" s="19"/>
      <c r="NPO49" s="19"/>
      <c r="NPP49" s="21"/>
      <c r="NPQ49" s="19"/>
      <c r="NPZ49" s="19"/>
      <c r="NQA49" s="19"/>
      <c r="NQB49" s="19"/>
      <c r="NQC49" s="19"/>
      <c r="NQD49" s="21"/>
      <c r="NQE49" s="19"/>
      <c r="NQN49" s="19"/>
      <c r="NQO49" s="19"/>
      <c r="NQP49" s="19"/>
      <c r="NQQ49" s="19"/>
      <c r="NQR49" s="21"/>
      <c r="NQS49" s="19"/>
      <c r="NRB49" s="19"/>
      <c r="NRC49" s="19"/>
      <c r="NRD49" s="19"/>
      <c r="NRE49" s="19"/>
      <c r="NRF49" s="21"/>
      <c r="NRG49" s="19"/>
      <c r="NRP49" s="19"/>
      <c r="NRQ49" s="19"/>
      <c r="NRR49" s="19"/>
      <c r="NRS49" s="19"/>
      <c r="NRT49" s="21"/>
      <c r="NRU49" s="19"/>
      <c r="NSD49" s="19"/>
      <c r="NSE49" s="19"/>
      <c r="NSF49" s="19"/>
      <c r="NSG49" s="19"/>
      <c r="NSH49" s="21"/>
      <c r="NSI49" s="19"/>
      <c r="NSR49" s="19"/>
      <c r="NSS49" s="19"/>
      <c r="NST49" s="19"/>
      <c r="NSU49" s="19"/>
      <c r="NSV49" s="21"/>
      <c r="NSW49" s="19"/>
      <c r="NTF49" s="19"/>
      <c r="NTG49" s="19"/>
      <c r="NTH49" s="19"/>
      <c r="NTI49" s="19"/>
      <c r="NTJ49" s="21"/>
      <c r="NTK49" s="19"/>
      <c r="NTT49" s="19"/>
      <c r="NTU49" s="19"/>
      <c r="NTV49" s="19"/>
      <c r="NTW49" s="19"/>
      <c r="NTX49" s="21"/>
      <c r="NTY49" s="19"/>
      <c r="NUH49" s="19"/>
      <c r="NUI49" s="19"/>
      <c r="NUJ49" s="19"/>
      <c r="NUK49" s="19"/>
      <c r="NUL49" s="21"/>
      <c r="NUM49" s="19"/>
      <c r="NUV49" s="19"/>
      <c r="NUW49" s="19"/>
      <c r="NUX49" s="19"/>
      <c r="NUY49" s="19"/>
      <c r="NUZ49" s="21"/>
      <c r="NVA49" s="19"/>
      <c r="NVJ49" s="19"/>
      <c r="NVK49" s="19"/>
      <c r="NVL49" s="19"/>
      <c r="NVM49" s="19"/>
      <c r="NVN49" s="21"/>
      <c r="NVO49" s="19"/>
      <c r="NVX49" s="19"/>
      <c r="NVY49" s="19"/>
      <c r="NVZ49" s="19"/>
      <c r="NWA49" s="19"/>
      <c r="NWB49" s="21"/>
      <c r="NWC49" s="19"/>
      <c r="NWL49" s="19"/>
      <c r="NWM49" s="19"/>
      <c r="NWN49" s="19"/>
      <c r="NWO49" s="19"/>
      <c r="NWP49" s="21"/>
      <c r="NWQ49" s="19"/>
      <c r="NWZ49" s="19"/>
      <c r="NXA49" s="19"/>
      <c r="NXB49" s="19"/>
      <c r="NXC49" s="19"/>
      <c r="NXD49" s="21"/>
      <c r="NXE49" s="19"/>
      <c r="NXN49" s="19"/>
      <c r="NXO49" s="19"/>
      <c r="NXP49" s="19"/>
      <c r="NXQ49" s="19"/>
      <c r="NXR49" s="21"/>
      <c r="NXS49" s="19"/>
      <c r="NYB49" s="19"/>
      <c r="NYC49" s="19"/>
      <c r="NYD49" s="19"/>
      <c r="NYE49" s="19"/>
      <c r="NYF49" s="21"/>
      <c r="NYG49" s="19"/>
      <c r="NYP49" s="19"/>
      <c r="NYQ49" s="19"/>
      <c r="NYR49" s="19"/>
      <c r="NYS49" s="19"/>
      <c r="NYT49" s="21"/>
      <c r="NYU49" s="19"/>
      <c r="NZD49" s="19"/>
      <c r="NZE49" s="19"/>
      <c r="NZF49" s="19"/>
      <c r="NZG49" s="19"/>
      <c r="NZH49" s="21"/>
      <c r="NZI49" s="19"/>
      <c r="NZR49" s="19"/>
      <c r="NZS49" s="19"/>
      <c r="NZT49" s="19"/>
      <c r="NZU49" s="19"/>
      <c r="NZV49" s="21"/>
      <c r="NZW49" s="19"/>
      <c r="OAF49" s="19"/>
      <c r="OAG49" s="19"/>
      <c r="OAH49" s="19"/>
      <c r="OAI49" s="19"/>
      <c r="OAJ49" s="21"/>
      <c r="OAK49" s="19"/>
      <c r="OAT49" s="19"/>
      <c r="OAU49" s="19"/>
      <c r="OAV49" s="19"/>
      <c r="OAW49" s="19"/>
      <c r="OAX49" s="21"/>
      <c r="OAY49" s="19"/>
      <c r="OBH49" s="19"/>
      <c r="OBI49" s="19"/>
      <c r="OBJ49" s="19"/>
      <c r="OBK49" s="19"/>
      <c r="OBL49" s="21"/>
      <c r="OBM49" s="19"/>
      <c r="OBV49" s="19"/>
      <c r="OBW49" s="19"/>
      <c r="OBX49" s="19"/>
      <c r="OBY49" s="19"/>
      <c r="OBZ49" s="21"/>
      <c r="OCA49" s="19"/>
      <c r="OCJ49" s="19"/>
      <c r="OCK49" s="19"/>
      <c r="OCL49" s="19"/>
      <c r="OCM49" s="19"/>
      <c r="OCN49" s="21"/>
      <c r="OCO49" s="19"/>
      <c r="OCX49" s="19"/>
      <c r="OCY49" s="19"/>
      <c r="OCZ49" s="19"/>
      <c r="ODA49" s="19"/>
      <c r="ODB49" s="21"/>
      <c r="ODC49" s="19"/>
      <c r="ODL49" s="19"/>
      <c r="ODM49" s="19"/>
      <c r="ODN49" s="19"/>
      <c r="ODO49" s="19"/>
      <c r="ODP49" s="21"/>
      <c r="ODQ49" s="19"/>
      <c r="ODZ49" s="19"/>
      <c r="OEA49" s="19"/>
      <c r="OEB49" s="19"/>
      <c r="OEC49" s="19"/>
      <c r="OED49" s="21"/>
      <c r="OEE49" s="19"/>
      <c r="OEN49" s="19"/>
      <c r="OEO49" s="19"/>
      <c r="OEP49" s="19"/>
      <c r="OEQ49" s="19"/>
      <c r="OER49" s="21"/>
      <c r="OES49" s="19"/>
      <c r="OFB49" s="19"/>
      <c r="OFC49" s="19"/>
      <c r="OFD49" s="19"/>
      <c r="OFE49" s="19"/>
      <c r="OFF49" s="21"/>
      <c r="OFG49" s="19"/>
      <c r="OFP49" s="19"/>
      <c r="OFQ49" s="19"/>
      <c r="OFR49" s="19"/>
      <c r="OFS49" s="19"/>
      <c r="OFT49" s="21"/>
      <c r="OFU49" s="19"/>
      <c r="OGD49" s="19"/>
      <c r="OGE49" s="19"/>
      <c r="OGF49" s="19"/>
      <c r="OGG49" s="19"/>
      <c r="OGH49" s="21"/>
      <c r="OGI49" s="19"/>
      <c r="OGR49" s="19"/>
      <c r="OGS49" s="19"/>
      <c r="OGT49" s="19"/>
      <c r="OGU49" s="19"/>
      <c r="OGV49" s="21"/>
      <c r="OGW49" s="19"/>
      <c r="OHF49" s="19"/>
      <c r="OHG49" s="19"/>
      <c r="OHH49" s="19"/>
      <c r="OHI49" s="19"/>
      <c r="OHJ49" s="21"/>
      <c r="OHK49" s="19"/>
      <c r="OHT49" s="19"/>
      <c r="OHU49" s="19"/>
      <c r="OHV49" s="19"/>
      <c r="OHW49" s="19"/>
      <c r="OHX49" s="21"/>
      <c r="OHY49" s="19"/>
      <c r="OIH49" s="19"/>
      <c r="OII49" s="19"/>
      <c r="OIJ49" s="19"/>
      <c r="OIK49" s="19"/>
      <c r="OIL49" s="21"/>
      <c r="OIM49" s="19"/>
      <c r="OIV49" s="19"/>
      <c r="OIW49" s="19"/>
      <c r="OIX49" s="19"/>
      <c r="OIY49" s="19"/>
      <c r="OIZ49" s="21"/>
      <c r="OJA49" s="19"/>
      <c r="OJJ49" s="19"/>
      <c r="OJK49" s="19"/>
      <c r="OJL49" s="19"/>
      <c r="OJM49" s="19"/>
      <c r="OJN49" s="21"/>
      <c r="OJO49" s="19"/>
      <c r="OJX49" s="19"/>
      <c r="OJY49" s="19"/>
      <c r="OJZ49" s="19"/>
      <c r="OKA49" s="19"/>
      <c r="OKB49" s="21"/>
      <c r="OKC49" s="19"/>
      <c r="OKL49" s="19"/>
      <c r="OKM49" s="19"/>
      <c r="OKN49" s="19"/>
      <c r="OKO49" s="19"/>
      <c r="OKP49" s="21"/>
      <c r="OKQ49" s="19"/>
      <c r="OKZ49" s="19"/>
      <c r="OLA49" s="19"/>
      <c r="OLB49" s="19"/>
      <c r="OLC49" s="19"/>
      <c r="OLD49" s="21"/>
      <c r="OLE49" s="19"/>
      <c r="OLN49" s="19"/>
      <c r="OLO49" s="19"/>
      <c r="OLP49" s="19"/>
      <c r="OLQ49" s="19"/>
      <c r="OLR49" s="21"/>
      <c r="OLS49" s="19"/>
      <c r="OMB49" s="19"/>
      <c r="OMC49" s="19"/>
      <c r="OMD49" s="19"/>
      <c r="OME49" s="19"/>
      <c r="OMF49" s="21"/>
      <c r="OMG49" s="19"/>
      <c r="OMP49" s="19"/>
      <c r="OMQ49" s="19"/>
      <c r="OMR49" s="19"/>
      <c r="OMS49" s="19"/>
      <c r="OMT49" s="21"/>
      <c r="OMU49" s="19"/>
      <c r="OND49" s="19"/>
      <c r="ONE49" s="19"/>
      <c r="ONF49" s="19"/>
      <c r="ONG49" s="19"/>
      <c r="ONH49" s="21"/>
      <c r="ONI49" s="19"/>
      <c r="ONR49" s="19"/>
      <c r="ONS49" s="19"/>
      <c r="ONT49" s="19"/>
      <c r="ONU49" s="19"/>
      <c r="ONV49" s="21"/>
      <c r="ONW49" s="19"/>
      <c r="OOF49" s="19"/>
      <c r="OOG49" s="19"/>
      <c r="OOH49" s="19"/>
      <c r="OOI49" s="19"/>
      <c r="OOJ49" s="21"/>
      <c r="OOK49" s="19"/>
      <c r="OOT49" s="19"/>
      <c r="OOU49" s="19"/>
      <c r="OOV49" s="19"/>
      <c r="OOW49" s="19"/>
      <c r="OOX49" s="21"/>
      <c r="OOY49" s="19"/>
      <c r="OPH49" s="19"/>
      <c r="OPI49" s="19"/>
      <c r="OPJ49" s="19"/>
      <c r="OPK49" s="19"/>
      <c r="OPL49" s="21"/>
      <c r="OPM49" s="19"/>
      <c r="OPV49" s="19"/>
      <c r="OPW49" s="19"/>
      <c r="OPX49" s="19"/>
      <c r="OPY49" s="19"/>
      <c r="OPZ49" s="21"/>
      <c r="OQA49" s="19"/>
      <c r="OQJ49" s="19"/>
      <c r="OQK49" s="19"/>
      <c r="OQL49" s="19"/>
      <c r="OQM49" s="19"/>
      <c r="OQN49" s="21"/>
      <c r="OQO49" s="19"/>
      <c r="OQX49" s="19"/>
      <c r="OQY49" s="19"/>
      <c r="OQZ49" s="19"/>
      <c r="ORA49" s="19"/>
      <c r="ORB49" s="21"/>
      <c r="ORC49" s="19"/>
      <c r="ORL49" s="19"/>
      <c r="ORM49" s="19"/>
      <c r="ORN49" s="19"/>
      <c r="ORO49" s="19"/>
      <c r="ORP49" s="21"/>
      <c r="ORQ49" s="19"/>
      <c r="ORZ49" s="19"/>
      <c r="OSA49" s="19"/>
      <c r="OSB49" s="19"/>
      <c r="OSC49" s="19"/>
      <c r="OSD49" s="21"/>
      <c r="OSE49" s="19"/>
      <c r="OSN49" s="19"/>
      <c r="OSO49" s="19"/>
      <c r="OSP49" s="19"/>
      <c r="OSQ49" s="19"/>
      <c r="OSR49" s="21"/>
      <c r="OSS49" s="19"/>
      <c r="OTB49" s="19"/>
      <c r="OTC49" s="19"/>
      <c r="OTD49" s="19"/>
      <c r="OTE49" s="19"/>
      <c r="OTF49" s="21"/>
      <c r="OTG49" s="19"/>
      <c r="OTP49" s="19"/>
      <c r="OTQ49" s="19"/>
      <c r="OTR49" s="19"/>
      <c r="OTS49" s="19"/>
      <c r="OTT49" s="21"/>
      <c r="OTU49" s="19"/>
      <c r="OUD49" s="19"/>
      <c r="OUE49" s="19"/>
      <c r="OUF49" s="19"/>
      <c r="OUG49" s="19"/>
      <c r="OUH49" s="21"/>
      <c r="OUI49" s="19"/>
      <c r="OUR49" s="19"/>
      <c r="OUS49" s="19"/>
      <c r="OUT49" s="19"/>
      <c r="OUU49" s="19"/>
      <c r="OUV49" s="21"/>
      <c r="OUW49" s="19"/>
      <c r="OVF49" s="19"/>
      <c r="OVG49" s="19"/>
      <c r="OVH49" s="19"/>
      <c r="OVI49" s="19"/>
      <c r="OVJ49" s="21"/>
      <c r="OVK49" s="19"/>
      <c r="OVT49" s="19"/>
      <c r="OVU49" s="19"/>
      <c r="OVV49" s="19"/>
      <c r="OVW49" s="19"/>
      <c r="OVX49" s="21"/>
      <c r="OVY49" s="19"/>
      <c r="OWH49" s="19"/>
      <c r="OWI49" s="19"/>
      <c r="OWJ49" s="19"/>
      <c r="OWK49" s="19"/>
      <c r="OWL49" s="21"/>
      <c r="OWM49" s="19"/>
      <c r="OWV49" s="19"/>
      <c r="OWW49" s="19"/>
      <c r="OWX49" s="19"/>
      <c r="OWY49" s="19"/>
      <c r="OWZ49" s="21"/>
      <c r="OXA49" s="19"/>
      <c r="OXJ49" s="19"/>
      <c r="OXK49" s="19"/>
      <c r="OXL49" s="19"/>
      <c r="OXM49" s="19"/>
      <c r="OXN49" s="21"/>
      <c r="OXO49" s="19"/>
      <c r="OXX49" s="19"/>
      <c r="OXY49" s="19"/>
      <c r="OXZ49" s="19"/>
      <c r="OYA49" s="19"/>
      <c r="OYB49" s="21"/>
      <c r="OYC49" s="19"/>
      <c r="OYL49" s="19"/>
      <c r="OYM49" s="19"/>
      <c r="OYN49" s="19"/>
      <c r="OYO49" s="19"/>
      <c r="OYP49" s="21"/>
      <c r="OYQ49" s="19"/>
      <c r="OYZ49" s="19"/>
      <c r="OZA49" s="19"/>
      <c r="OZB49" s="19"/>
      <c r="OZC49" s="19"/>
      <c r="OZD49" s="21"/>
      <c r="OZE49" s="19"/>
      <c r="OZN49" s="19"/>
      <c r="OZO49" s="19"/>
      <c r="OZP49" s="19"/>
      <c r="OZQ49" s="19"/>
      <c r="OZR49" s="21"/>
      <c r="OZS49" s="19"/>
      <c r="PAB49" s="19"/>
      <c r="PAC49" s="19"/>
      <c r="PAD49" s="19"/>
      <c r="PAE49" s="19"/>
      <c r="PAF49" s="21"/>
      <c r="PAG49" s="19"/>
      <c r="PAP49" s="19"/>
      <c r="PAQ49" s="19"/>
      <c r="PAR49" s="19"/>
      <c r="PAS49" s="19"/>
      <c r="PAT49" s="21"/>
      <c r="PAU49" s="19"/>
      <c r="PBD49" s="19"/>
      <c r="PBE49" s="19"/>
      <c r="PBF49" s="19"/>
      <c r="PBG49" s="19"/>
      <c r="PBH49" s="21"/>
      <c r="PBI49" s="19"/>
      <c r="PBR49" s="19"/>
      <c r="PBS49" s="19"/>
      <c r="PBT49" s="19"/>
      <c r="PBU49" s="19"/>
      <c r="PBV49" s="21"/>
      <c r="PBW49" s="19"/>
      <c r="PCF49" s="19"/>
      <c r="PCG49" s="19"/>
      <c r="PCH49" s="19"/>
      <c r="PCI49" s="19"/>
      <c r="PCJ49" s="21"/>
      <c r="PCK49" s="19"/>
      <c r="PCT49" s="19"/>
      <c r="PCU49" s="19"/>
      <c r="PCV49" s="19"/>
      <c r="PCW49" s="19"/>
      <c r="PCX49" s="21"/>
      <c r="PCY49" s="19"/>
      <c r="PDH49" s="19"/>
      <c r="PDI49" s="19"/>
      <c r="PDJ49" s="19"/>
      <c r="PDK49" s="19"/>
      <c r="PDL49" s="21"/>
      <c r="PDM49" s="19"/>
      <c r="PDV49" s="19"/>
      <c r="PDW49" s="19"/>
      <c r="PDX49" s="19"/>
      <c r="PDY49" s="19"/>
      <c r="PDZ49" s="21"/>
      <c r="PEA49" s="19"/>
      <c r="PEJ49" s="19"/>
      <c r="PEK49" s="19"/>
      <c r="PEL49" s="19"/>
      <c r="PEM49" s="19"/>
      <c r="PEN49" s="21"/>
      <c r="PEO49" s="19"/>
      <c r="PEX49" s="19"/>
      <c r="PEY49" s="19"/>
      <c r="PEZ49" s="19"/>
      <c r="PFA49" s="19"/>
      <c r="PFB49" s="21"/>
      <c r="PFC49" s="19"/>
      <c r="PFL49" s="19"/>
      <c r="PFM49" s="19"/>
      <c r="PFN49" s="19"/>
      <c r="PFO49" s="19"/>
      <c r="PFP49" s="21"/>
      <c r="PFQ49" s="19"/>
      <c r="PFZ49" s="19"/>
      <c r="PGA49" s="19"/>
      <c r="PGB49" s="19"/>
      <c r="PGC49" s="19"/>
      <c r="PGD49" s="21"/>
      <c r="PGE49" s="19"/>
      <c r="PGN49" s="19"/>
      <c r="PGO49" s="19"/>
      <c r="PGP49" s="19"/>
      <c r="PGQ49" s="19"/>
      <c r="PGR49" s="21"/>
      <c r="PGS49" s="19"/>
      <c r="PHB49" s="19"/>
      <c r="PHC49" s="19"/>
      <c r="PHD49" s="19"/>
      <c r="PHE49" s="19"/>
      <c r="PHF49" s="21"/>
      <c r="PHG49" s="19"/>
      <c r="PHP49" s="19"/>
      <c r="PHQ49" s="19"/>
      <c r="PHR49" s="19"/>
      <c r="PHS49" s="19"/>
      <c r="PHT49" s="21"/>
      <c r="PHU49" s="19"/>
      <c r="PID49" s="19"/>
      <c r="PIE49" s="19"/>
      <c r="PIF49" s="19"/>
      <c r="PIG49" s="19"/>
      <c r="PIH49" s="21"/>
      <c r="PII49" s="19"/>
      <c r="PIR49" s="19"/>
      <c r="PIS49" s="19"/>
      <c r="PIT49" s="19"/>
      <c r="PIU49" s="19"/>
      <c r="PIV49" s="21"/>
      <c r="PIW49" s="19"/>
      <c r="PJF49" s="19"/>
      <c r="PJG49" s="19"/>
      <c r="PJH49" s="19"/>
      <c r="PJI49" s="19"/>
      <c r="PJJ49" s="21"/>
      <c r="PJK49" s="19"/>
      <c r="PJT49" s="19"/>
      <c r="PJU49" s="19"/>
      <c r="PJV49" s="19"/>
      <c r="PJW49" s="19"/>
      <c r="PJX49" s="21"/>
      <c r="PJY49" s="19"/>
      <c r="PKH49" s="19"/>
      <c r="PKI49" s="19"/>
      <c r="PKJ49" s="19"/>
      <c r="PKK49" s="19"/>
      <c r="PKL49" s="21"/>
      <c r="PKM49" s="19"/>
      <c r="PKV49" s="19"/>
      <c r="PKW49" s="19"/>
      <c r="PKX49" s="19"/>
      <c r="PKY49" s="19"/>
      <c r="PKZ49" s="21"/>
      <c r="PLA49" s="19"/>
      <c r="PLJ49" s="19"/>
      <c r="PLK49" s="19"/>
      <c r="PLL49" s="19"/>
      <c r="PLM49" s="19"/>
      <c r="PLN49" s="21"/>
      <c r="PLO49" s="19"/>
      <c r="PLX49" s="19"/>
      <c r="PLY49" s="19"/>
      <c r="PLZ49" s="19"/>
      <c r="PMA49" s="19"/>
      <c r="PMB49" s="21"/>
      <c r="PMC49" s="19"/>
      <c r="PML49" s="19"/>
      <c r="PMM49" s="19"/>
      <c r="PMN49" s="19"/>
      <c r="PMO49" s="19"/>
      <c r="PMP49" s="21"/>
      <c r="PMQ49" s="19"/>
      <c r="PMZ49" s="19"/>
      <c r="PNA49" s="19"/>
      <c r="PNB49" s="19"/>
      <c r="PNC49" s="19"/>
      <c r="PND49" s="21"/>
      <c r="PNE49" s="19"/>
      <c r="PNN49" s="19"/>
      <c r="PNO49" s="19"/>
      <c r="PNP49" s="19"/>
      <c r="PNQ49" s="19"/>
      <c r="PNR49" s="21"/>
      <c r="PNS49" s="19"/>
      <c r="POB49" s="19"/>
      <c r="POC49" s="19"/>
      <c r="POD49" s="19"/>
      <c r="POE49" s="19"/>
      <c r="POF49" s="21"/>
      <c r="POG49" s="19"/>
      <c r="POP49" s="19"/>
      <c r="POQ49" s="19"/>
      <c r="POR49" s="19"/>
      <c r="POS49" s="19"/>
      <c r="POT49" s="21"/>
      <c r="POU49" s="19"/>
      <c r="PPD49" s="19"/>
      <c r="PPE49" s="19"/>
      <c r="PPF49" s="19"/>
      <c r="PPG49" s="19"/>
      <c r="PPH49" s="21"/>
      <c r="PPI49" s="19"/>
      <c r="PPR49" s="19"/>
      <c r="PPS49" s="19"/>
      <c r="PPT49" s="19"/>
      <c r="PPU49" s="19"/>
      <c r="PPV49" s="21"/>
      <c r="PPW49" s="19"/>
      <c r="PQF49" s="19"/>
      <c r="PQG49" s="19"/>
      <c r="PQH49" s="19"/>
      <c r="PQI49" s="19"/>
      <c r="PQJ49" s="21"/>
      <c r="PQK49" s="19"/>
      <c r="PQT49" s="19"/>
      <c r="PQU49" s="19"/>
      <c r="PQV49" s="19"/>
      <c r="PQW49" s="19"/>
      <c r="PQX49" s="21"/>
      <c r="PQY49" s="19"/>
      <c r="PRH49" s="19"/>
      <c r="PRI49" s="19"/>
      <c r="PRJ49" s="19"/>
      <c r="PRK49" s="19"/>
      <c r="PRL49" s="21"/>
      <c r="PRM49" s="19"/>
      <c r="PRV49" s="19"/>
      <c r="PRW49" s="19"/>
      <c r="PRX49" s="19"/>
      <c r="PRY49" s="19"/>
      <c r="PRZ49" s="21"/>
      <c r="PSA49" s="19"/>
      <c r="PSJ49" s="19"/>
      <c r="PSK49" s="19"/>
      <c r="PSL49" s="19"/>
      <c r="PSM49" s="19"/>
      <c r="PSN49" s="21"/>
      <c r="PSO49" s="19"/>
      <c r="PSX49" s="19"/>
      <c r="PSY49" s="19"/>
      <c r="PSZ49" s="19"/>
      <c r="PTA49" s="19"/>
      <c r="PTB49" s="21"/>
      <c r="PTC49" s="19"/>
      <c r="PTL49" s="19"/>
      <c r="PTM49" s="19"/>
      <c r="PTN49" s="19"/>
      <c r="PTO49" s="19"/>
      <c r="PTP49" s="21"/>
      <c r="PTQ49" s="19"/>
      <c r="PTZ49" s="19"/>
      <c r="PUA49" s="19"/>
      <c r="PUB49" s="19"/>
      <c r="PUC49" s="19"/>
      <c r="PUD49" s="21"/>
      <c r="PUE49" s="19"/>
      <c r="PUN49" s="19"/>
      <c r="PUO49" s="19"/>
      <c r="PUP49" s="19"/>
      <c r="PUQ49" s="19"/>
      <c r="PUR49" s="21"/>
      <c r="PUS49" s="19"/>
      <c r="PVB49" s="19"/>
      <c r="PVC49" s="19"/>
      <c r="PVD49" s="19"/>
      <c r="PVE49" s="19"/>
      <c r="PVF49" s="21"/>
      <c r="PVG49" s="19"/>
      <c r="PVP49" s="19"/>
      <c r="PVQ49" s="19"/>
      <c r="PVR49" s="19"/>
      <c r="PVS49" s="19"/>
      <c r="PVT49" s="21"/>
      <c r="PVU49" s="19"/>
      <c r="PWD49" s="19"/>
      <c r="PWE49" s="19"/>
      <c r="PWF49" s="19"/>
      <c r="PWG49" s="19"/>
      <c r="PWH49" s="21"/>
      <c r="PWI49" s="19"/>
      <c r="PWR49" s="19"/>
      <c r="PWS49" s="19"/>
      <c r="PWT49" s="19"/>
      <c r="PWU49" s="19"/>
      <c r="PWV49" s="21"/>
      <c r="PWW49" s="19"/>
      <c r="PXF49" s="19"/>
      <c r="PXG49" s="19"/>
      <c r="PXH49" s="19"/>
      <c r="PXI49" s="19"/>
      <c r="PXJ49" s="21"/>
      <c r="PXK49" s="19"/>
      <c r="PXT49" s="19"/>
      <c r="PXU49" s="19"/>
      <c r="PXV49" s="19"/>
      <c r="PXW49" s="19"/>
      <c r="PXX49" s="21"/>
      <c r="PXY49" s="19"/>
      <c r="PYH49" s="19"/>
      <c r="PYI49" s="19"/>
      <c r="PYJ49" s="19"/>
      <c r="PYK49" s="19"/>
      <c r="PYL49" s="21"/>
      <c r="PYM49" s="19"/>
      <c r="PYV49" s="19"/>
      <c r="PYW49" s="19"/>
      <c r="PYX49" s="19"/>
      <c r="PYY49" s="19"/>
      <c r="PYZ49" s="21"/>
      <c r="PZA49" s="19"/>
      <c r="PZJ49" s="19"/>
      <c r="PZK49" s="19"/>
      <c r="PZL49" s="19"/>
      <c r="PZM49" s="19"/>
      <c r="PZN49" s="21"/>
      <c r="PZO49" s="19"/>
      <c r="PZX49" s="19"/>
      <c r="PZY49" s="19"/>
      <c r="PZZ49" s="19"/>
      <c r="QAA49" s="19"/>
      <c r="QAB49" s="21"/>
      <c r="QAC49" s="19"/>
      <c r="QAL49" s="19"/>
      <c r="QAM49" s="19"/>
      <c r="QAN49" s="19"/>
      <c r="QAO49" s="19"/>
      <c r="QAP49" s="21"/>
      <c r="QAQ49" s="19"/>
      <c r="QAZ49" s="19"/>
      <c r="QBA49" s="19"/>
      <c r="QBB49" s="19"/>
      <c r="QBC49" s="19"/>
      <c r="QBD49" s="21"/>
      <c r="QBE49" s="19"/>
      <c r="QBN49" s="19"/>
      <c r="QBO49" s="19"/>
      <c r="QBP49" s="19"/>
      <c r="QBQ49" s="19"/>
      <c r="QBR49" s="21"/>
      <c r="QBS49" s="19"/>
      <c r="QCB49" s="19"/>
      <c r="QCC49" s="19"/>
      <c r="QCD49" s="19"/>
      <c r="QCE49" s="19"/>
      <c r="QCF49" s="21"/>
      <c r="QCG49" s="19"/>
      <c r="QCP49" s="19"/>
      <c r="QCQ49" s="19"/>
      <c r="QCR49" s="19"/>
      <c r="QCS49" s="19"/>
      <c r="QCT49" s="21"/>
      <c r="QCU49" s="19"/>
      <c r="QDD49" s="19"/>
      <c r="QDE49" s="19"/>
      <c r="QDF49" s="19"/>
      <c r="QDG49" s="19"/>
      <c r="QDH49" s="21"/>
      <c r="QDI49" s="19"/>
      <c r="QDR49" s="19"/>
      <c r="QDS49" s="19"/>
      <c r="QDT49" s="19"/>
      <c r="QDU49" s="19"/>
      <c r="QDV49" s="21"/>
      <c r="QDW49" s="19"/>
      <c r="QEF49" s="19"/>
      <c r="QEG49" s="19"/>
      <c r="QEH49" s="19"/>
      <c r="QEI49" s="19"/>
      <c r="QEJ49" s="21"/>
      <c r="QEK49" s="19"/>
      <c r="QET49" s="19"/>
      <c r="QEU49" s="19"/>
      <c r="QEV49" s="19"/>
      <c r="QEW49" s="19"/>
      <c r="QEX49" s="21"/>
      <c r="QEY49" s="19"/>
      <c r="QFH49" s="19"/>
      <c r="QFI49" s="19"/>
      <c r="QFJ49" s="19"/>
      <c r="QFK49" s="19"/>
      <c r="QFL49" s="21"/>
      <c r="QFM49" s="19"/>
      <c r="QFV49" s="19"/>
      <c r="QFW49" s="19"/>
      <c r="QFX49" s="19"/>
      <c r="QFY49" s="19"/>
      <c r="QFZ49" s="21"/>
      <c r="QGA49" s="19"/>
      <c r="QGJ49" s="19"/>
      <c r="QGK49" s="19"/>
      <c r="QGL49" s="19"/>
      <c r="QGM49" s="19"/>
      <c r="QGN49" s="21"/>
      <c r="QGO49" s="19"/>
      <c r="QGX49" s="19"/>
      <c r="QGY49" s="19"/>
      <c r="QGZ49" s="19"/>
      <c r="QHA49" s="19"/>
      <c r="QHB49" s="21"/>
      <c r="QHC49" s="19"/>
      <c r="QHL49" s="19"/>
      <c r="QHM49" s="19"/>
      <c r="QHN49" s="19"/>
      <c r="QHO49" s="19"/>
      <c r="QHP49" s="21"/>
      <c r="QHQ49" s="19"/>
      <c r="QHZ49" s="19"/>
      <c r="QIA49" s="19"/>
      <c r="QIB49" s="19"/>
      <c r="QIC49" s="19"/>
      <c r="QID49" s="21"/>
      <c r="QIE49" s="19"/>
      <c r="QIN49" s="19"/>
      <c r="QIO49" s="19"/>
      <c r="QIP49" s="19"/>
      <c r="QIQ49" s="19"/>
      <c r="QIR49" s="21"/>
      <c r="QIS49" s="19"/>
      <c r="QJB49" s="19"/>
      <c r="QJC49" s="19"/>
      <c r="QJD49" s="19"/>
      <c r="QJE49" s="19"/>
      <c r="QJF49" s="21"/>
      <c r="QJG49" s="19"/>
      <c r="QJP49" s="19"/>
      <c r="QJQ49" s="19"/>
      <c r="QJR49" s="19"/>
      <c r="QJS49" s="19"/>
      <c r="QJT49" s="21"/>
      <c r="QJU49" s="19"/>
      <c r="QKD49" s="19"/>
      <c r="QKE49" s="19"/>
      <c r="QKF49" s="19"/>
      <c r="QKG49" s="19"/>
      <c r="QKH49" s="21"/>
      <c r="QKI49" s="19"/>
      <c r="QKR49" s="19"/>
      <c r="QKS49" s="19"/>
      <c r="QKT49" s="19"/>
      <c r="QKU49" s="19"/>
      <c r="QKV49" s="21"/>
      <c r="QKW49" s="19"/>
      <c r="QLF49" s="19"/>
      <c r="QLG49" s="19"/>
      <c r="QLH49" s="19"/>
      <c r="QLI49" s="19"/>
      <c r="QLJ49" s="21"/>
      <c r="QLK49" s="19"/>
      <c r="QLT49" s="19"/>
      <c r="QLU49" s="19"/>
      <c r="QLV49" s="19"/>
      <c r="QLW49" s="19"/>
      <c r="QLX49" s="21"/>
      <c r="QLY49" s="19"/>
      <c r="QMH49" s="19"/>
      <c r="QMI49" s="19"/>
      <c r="QMJ49" s="19"/>
      <c r="QMK49" s="19"/>
      <c r="QML49" s="21"/>
      <c r="QMM49" s="19"/>
      <c r="QMV49" s="19"/>
      <c r="QMW49" s="19"/>
      <c r="QMX49" s="19"/>
      <c r="QMY49" s="19"/>
      <c r="QMZ49" s="21"/>
      <c r="QNA49" s="19"/>
      <c r="QNJ49" s="19"/>
      <c r="QNK49" s="19"/>
      <c r="QNL49" s="19"/>
      <c r="QNM49" s="19"/>
      <c r="QNN49" s="21"/>
      <c r="QNO49" s="19"/>
      <c r="QNX49" s="19"/>
      <c r="QNY49" s="19"/>
      <c r="QNZ49" s="19"/>
      <c r="QOA49" s="19"/>
      <c r="QOB49" s="21"/>
      <c r="QOC49" s="19"/>
      <c r="QOL49" s="19"/>
      <c r="QOM49" s="19"/>
      <c r="QON49" s="19"/>
      <c r="QOO49" s="19"/>
      <c r="QOP49" s="21"/>
      <c r="QOQ49" s="19"/>
      <c r="QOZ49" s="19"/>
      <c r="QPA49" s="19"/>
      <c r="QPB49" s="19"/>
      <c r="QPC49" s="19"/>
      <c r="QPD49" s="21"/>
      <c r="QPE49" s="19"/>
      <c r="QPN49" s="19"/>
      <c r="QPO49" s="19"/>
      <c r="QPP49" s="19"/>
      <c r="QPQ49" s="19"/>
      <c r="QPR49" s="21"/>
      <c r="QPS49" s="19"/>
      <c r="QQB49" s="19"/>
      <c r="QQC49" s="19"/>
      <c r="QQD49" s="19"/>
      <c r="QQE49" s="19"/>
      <c r="QQF49" s="21"/>
      <c r="QQG49" s="19"/>
      <c r="QQP49" s="19"/>
      <c r="QQQ49" s="19"/>
      <c r="QQR49" s="19"/>
      <c r="QQS49" s="19"/>
      <c r="QQT49" s="21"/>
      <c r="QQU49" s="19"/>
      <c r="QRD49" s="19"/>
      <c r="QRE49" s="19"/>
      <c r="QRF49" s="19"/>
      <c r="QRG49" s="19"/>
      <c r="QRH49" s="21"/>
      <c r="QRI49" s="19"/>
      <c r="QRR49" s="19"/>
      <c r="QRS49" s="19"/>
      <c r="QRT49" s="19"/>
      <c r="QRU49" s="19"/>
      <c r="QRV49" s="21"/>
      <c r="QRW49" s="19"/>
      <c r="QSF49" s="19"/>
      <c r="QSG49" s="19"/>
      <c r="QSH49" s="19"/>
      <c r="QSI49" s="19"/>
      <c r="QSJ49" s="21"/>
      <c r="QSK49" s="19"/>
      <c r="QST49" s="19"/>
      <c r="QSU49" s="19"/>
      <c r="QSV49" s="19"/>
      <c r="QSW49" s="19"/>
      <c r="QSX49" s="21"/>
      <c r="QSY49" s="19"/>
      <c r="QTH49" s="19"/>
      <c r="QTI49" s="19"/>
      <c r="QTJ49" s="19"/>
      <c r="QTK49" s="19"/>
      <c r="QTL49" s="21"/>
      <c r="QTM49" s="19"/>
      <c r="QTV49" s="19"/>
      <c r="QTW49" s="19"/>
      <c r="QTX49" s="19"/>
      <c r="QTY49" s="19"/>
      <c r="QTZ49" s="21"/>
      <c r="QUA49" s="19"/>
      <c r="QUJ49" s="19"/>
      <c r="QUK49" s="19"/>
      <c r="QUL49" s="19"/>
      <c r="QUM49" s="19"/>
      <c r="QUN49" s="21"/>
      <c r="QUO49" s="19"/>
      <c r="QUX49" s="19"/>
      <c r="QUY49" s="19"/>
      <c r="QUZ49" s="19"/>
      <c r="QVA49" s="19"/>
      <c r="QVB49" s="21"/>
      <c r="QVC49" s="19"/>
      <c r="QVL49" s="19"/>
      <c r="QVM49" s="19"/>
      <c r="QVN49" s="19"/>
      <c r="QVO49" s="19"/>
      <c r="QVP49" s="21"/>
      <c r="QVQ49" s="19"/>
      <c r="QVZ49" s="19"/>
      <c r="QWA49" s="19"/>
      <c r="QWB49" s="19"/>
      <c r="QWC49" s="19"/>
      <c r="QWD49" s="21"/>
      <c r="QWE49" s="19"/>
      <c r="QWN49" s="19"/>
      <c r="QWO49" s="19"/>
      <c r="QWP49" s="19"/>
      <c r="QWQ49" s="19"/>
      <c r="QWR49" s="21"/>
      <c r="QWS49" s="19"/>
      <c r="QXB49" s="19"/>
      <c r="QXC49" s="19"/>
      <c r="QXD49" s="19"/>
      <c r="QXE49" s="19"/>
      <c r="QXF49" s="21"/>
      <c r="QXG49" s="19"/>
      <c r="QXP49" s="19"/>
      <c r="QXQ49" s="19"/>
      <c r="QXR49" s="19"/>
      <c r="QXS49" s="19"/>
      <c r="QXT49" s="21"/>
      <c r="QXU49" s="19"/>
      <c r="QYD49" s="19"/>
      <c r="QYE49" s="19"/>
      <c r="QYF49" s="19"/>
      <c r="QYG49" s="19"/>
      <c r="QYH49" s="21"/>
      <c r="QYI49" s="19"/>
      <c r="QYR49" s="19"/>
      <c r="QYS49" s="19"/>
      <c r="QYT49" s="19"/>
      <c r="QYU49" s="19"/>
      <c r="QYV49" s="21"/>
      <c r="QYW49" s="19"/>
      <c r="QZF49" s="19"/>
      <c r="QZG49" s="19"/>
      <c r="QZH49" s="19"/>
      <c r="QZI49" s="19"/>
      <c r="QZJ49" s="21"/>
      <c r="QZK49" s="19"/>
      <c r="QZT49" s="19"/>
      <c r="QZU49" s="19"/>
      <c r="QZV49" s="19"/>
      <c r="QZW49" s="19"/>
      <c r="QZX49" s="21"/>
      <c r="QZY49" s="19"/>
      <c r="RAH49" s="19"/>
      <c r="RAI49" s="19"/>
      <c r="RAJ49" s="19"/>
      <c r="RAK49" s="19"/>
      <c r="RAL49" s="21"/>
      <c r="RAM49" s="19"/>
      <c r="RAV49" s="19"/>
      <c r="RAW49" s="19"/>
      <c r="RAX49" s="19"/>
      <c r="RAY49" s="19"/>
      <c r="RAZ49" s="21"/>
      <c r="RBA49" s="19"/>
      <c r="RBJ49" s="19"/>
      <c r="RBK49" s="19"/>
      <c r="RBL49" s="19"/>
      <c r="RBM49" s="19"/>
      <c r="RBN49" s="21"/>
      <c r="RBO49" s="19"/>
      <c r="RBX49" s="19"/>
      <c r="RBY49" s="19"/>
      <c r="RBZ49" s="19"/>
      <c r="RCA49" s="19"/>
      <c r="RCB49" s="21"/>
      <c r="RCC49" s="19"/>
      <c r="RCL49" s="19"/>
      <c r="RCM49" s="19"/>
      <c r="RCN49" s="19"/>
      <c r="RCO49" s="19"/>
      <c r="RCP49" s="21"/>
      <c r="RCQ49" s="19"/>
      <c r="RCZ49" s="19"/>
      <c r="RDA49" s="19"/>
      <c r="RDB49" s="19"/>
      <c r="RDC49" s="19"/>
      <c r="RDD49" s="21"/>
      <c r="RDE49" s="19"/>
      <c r="RDN49" s="19"/>
      <c r="RDO49" s="19"/>
      <c r="RDP49" s="19"/>
      <c r="RDQ49" s="19"/>
      <c r="RDR49" s="21"/>
      <c r="RDS49" s="19"/>
      <c r="REB49" s="19"/>
      <c r="REC49" s="19"/>
      <c r="RED49" s="19"/>
      <c r="REE49" s="19"/>
      <c r="REF49" s="21"/>
      <c r="REG49" s="19"/>
      <c r="REP49" s="19"/>
      <c r="REQ49" s="19"/>
      <c r="RER49" s="19"/>
      <c r="RES49" s="19"/>
      <c r="RET49" s="21"/>
      <c r="REU49" s="19"/>
      <c r="RFD49" s="19"/>
      <c r="RFE49" s="19"/>
      <c r="RFF49" s="19"/>
      <c r="RFG49" s="19"/>
      <c r="RFH49" s="21"/>
      <c r="RFI49" s="19"/>
      <c r="RFR49" s="19"/>
      <c r="RFS49" s="19"/>
      <c r="RFT49" s="19"/>
      <c r="RFU49" s="19"/>
      <c r="RFV49" s="21"/>
      <c r="RFW49" s="19"/>
      <c r="RGF49" s="19"/>
      <c r="RGG49" s="19"/>
      <c r="RGH49" s="19"/>
      <c r="RGI49" s="19"/>
      <c r="RGJ49" s="21"/>
      <c r="RGK49" s="19"/>
      <c r="RGT49" s="19"/>
      <c r="RGU49" s="19"/>
      <c r="RGV49" s="19"/>
      <c r="RGW49" s="19"/>
      <c r="RGX49" s="21"/>
      <c r="RGY49" s="19"/>
      <c r="RHH49" s="19"/>
      <c r="RHI49" s="19"/>
      <c r="RHJ49" s="19"/>
      <c r="RHK49" s="19"/>
      <c r="RHL49" s="21"/>
      <c r="RHM49" s="19"/>
      <c r="RHV49" s="19"/>
      <c r="RHW49" s="19"/>
      <c r="RHX49" s="19"/>
      <c r="RHY49" s="19"/>
      <c r="RHZ49" s="21"/>
      <c r="RIA49" s="19"/>
      <c r="RIJ49" s="19"/>
      <c r="RIK49" s="19"/>
      <c r="RIL49" s="19"/>
      <c r="RIM49" s="19"/>
      <c r="RIN49" s="21"/>
      <c r="RIO49" s="19"/>
      <c r="RIX49" s="19"/>
      <c r="RIY49" s="19"/>
      <c r="RIZ49" s="19"/>
      <c r="RJA49" s="19"/>
      <c r="RJB49" s="21"/>
      <c r="RJC49" s="19"/>
      <c r="RJL49" s="19"/>
      <c r="RJM49" s="19"/>
      <c r="RJN49" s="19"/>
      <c r="RJO49" s="19"/>
      <c r="RJP49" s="21"/>
      <c r="RJQ49" s="19"/>
      <c r="RJZ49" s="19"/>
      <c r="RKA49" s="19"/>
      <c r="RKB49" s="19"/>
      <c r="RKC49" s="19"/>
      <c r="RKD49" s="21"/>
      <c r="RKE49" s="19"/>
      <c r="RKN49" s="19"/>
      <c r="RKO49" s="19"/>
      <c r="RKP49" s="19"/>
      <c r="RKQ49" s="19"/>
      <c r="RKR49" s="21"/>
      <c r="RKS49" s="19"/>
      <c r="RLB49" s="19"/>
      <c r="RLC49" s="19"/>
      <c r="RLD49" s="19"/>
      <c r="RLE49" s="19"/>
      <c r="RLF49" s="21"/>
      <c r="RLG49" s="19"/>
      <c r="RLP49" s="19"/>
      <c r="RLQ49" s="19"/>
      <c r="RLR49" s="19"/>
      <c r="RLS49" s="19"/>
      <c r="RLT49" s="21"/>
      <c r="RLU49" s="19"/>
      <c r="RMD49" s="19"/>
      <c r="RME49" s="19"/>
      <c r="RMF49" s="19"/>
      <c r="RMG49" s="19"/>
      <c r="RMH49" s="21"/>
      <c r="RMI49" s="19"/>
      <c r="RMR49" s="19"/>
      <c r="RMS49" s="19"/>
      <c r="RMT49" s="19"/>
      <c r="RMU49" s="19"/>
      <c r="RMV49" s="21"/>
      <c r="RMW49" s="19"/>
      <c r="RNF49" s="19"/>
      <c r="RNG49" s="19"/>
      <c r="RNH49" s="19"/>
      <c r="RNI49" s="19"/>
      <c r="RNJ49" s="21"/>
      <c r="RNK49" s="19"/>
      <c r="RNT49" s="19"/>
      <c r="RNU49" s="19"/>
      <c r="RNV49" s="19"/>
      <c r="RNW49" s="19"/>
      <c r="RNX49" s="21"/>
      <c r="RNY49" s="19"/>
      <c r="ROH49" s="19"/>
      <c r="ROI49" s="19"/>
      <c r="ROJ49" s="19"/>
      <c r="ROK49" s="19"/>
      <c r="ROL49" s="21"/>
      <c r="ROM49" s="19"/>
      <c r="ROV49" s="19"/>
      <c r="ROW49" s="19"/>
      <c r="ROX49" s="19"/>
      <c r="ROY49" s="19"/>
      <c r="ROZ49" s="21"/>
      <c r="RPA49" s="19"/>
      <c r="RPJ49" s="19"/>
      <c r="RPK49" s="19"/>
      <c r="RPL49" s="19"/>
      <c r="RPM49" s="19"/>
      <c r="RPN49" s="21"/>
      <c r="RPO49" s="19"/>
      <c r="RPX49" s="19"/>
      <c r="RPY49" s="19"/>
      <c r="RPZ49" s="19"/>
      <c r="RQA49" s="19"/>
      <c r="RQB49" s="21"/>
      <c r="RQC49" s="19"/>
      <c r="RQL49" s="19"/>
      <c r="RQM49" s="19"/>
      <c r="RQN49" s="19"/>
      <c r="RQO49" s="19"/>
      <c r="RQP49" s="21"/>
      <c r="RQQ49" s="19"/>
      <c r="RQZ49" s="19"/>
      <c r="RRA49" s="19"/>
      <c r="RRB49" s="19"/>
      <c r="RRC49" s="19"/>
      <c r="RRD49" s="21"/>
      <c r="RRE49" s="19"/>
      <c r="RRN49" s="19"/>
      <c r="RRO49" s="19"/>
      <c r="RRP49" s="19"/>
      <c r="RRQ49" s="19"/>
      <c r="RRR49" s="21"/>
      <c r="RRS49" s="19"/>
      <c r="RSB49" s="19"/>
      <c r="RSC49" s="19"/>
      <c r="RSD49" s="19"/>
      <c r="RSE49" s="19"/>
      <c r="RSF49" s="21"/>
      <c r="RSG49" s="19"/>
      <c r="RSP49" s="19"/>
      <c r="RSQ49" s="19"/>
      <c r="RSR49" s="19"/>
      <c r="RSS49" s="19"/>
      <c r="RST49" s="21"/>
      <c r="RSU49" s="19"/>
      <c r="RTD49" s="19"/>
      <c r="RTE49" s="19"/>
      <c r="RTF49" s="19"/>
      <c r="RTG49" s="19"/>
      <c r="RTH49" s="21"/>
      <c r="RTI49" s="19"/>
      <c r="RTR49" s="19"/>
      <c r="RTS49" s="19"/>
      <c r="RTT49" s="19"/>
      <c r="RTU49" s="19"/>
      <c r="RTV49" s="21"/>
      <c r="RTW49" s="19"/>
      <c r="RUF49" s="19"/>
      <c r="RUG49" s="19"/>
      <c r="RUH49" s="19"/>
      <c r="RUI49" s="19"/>
      <c r="RUJ49" s="21"/>
      <c r="RUK49" s="19"/>
      <c r="RUT49" s="19"/>
      <c r="RUU49" s="19"/>
      <c r="RUV49" s="19"/>
      <c r="RUW49" s="19"/>
      <c r="RUX49" s="21"/>
      <c r="RUY49" s="19"/>
      <c r="RVH49" s="19"/>
      <c r="RVI49" s="19"/>
      <c r="RVJ49" s="19"/>
      <c r="RVK49" s="19"/>
      <c r="RVL49" s="21"/>
      <c r="RVM49" s="19"/>
      <c r="RVV49" s="19"/>
      <c r="RVW49" s="19"/>
      <c r="RVX49" s="19"/>
      <c r="RVY49" s="19"/>
      <c r="RVZ49" s="21"/>
      <c r="RWA49" s="19"/>
      <c r="RWJ49" s="19"/>
      <c r="RWK49" s="19"/>
      <c r="RWL49" s="19"/>
      <c r="RWM49" s="19"/>
      <c r="RWN49" s="21"/>
      <c r="RWO49" s="19"/>
      <c r="RWX49" s="19"/>
      <c r="RWY49" s="19"/>
      <c r="RWZ49" s="19"/>
      <c r="RXA49" s="19"/>
      <c r="RXB49" s="21"/>
      <c r="RXC49" s="19"/>
      <c r="RXL49" s="19"/>
      <c r="RXM49" s="19"/>
      <c r="RXN49" s="19"/>
      <c r="RXO49" s="19"/>
      <c r="RXP49" s="21"/>
      <c r="RXQ49" s="19"/>
      <c r="RXZ49" s="19"/>
      <c r="RYA49" s="19"/>
      <c r="RYB49" s="19"/>
      <c r="RYC49" s="19"/>
      <c r="RYD49" s="21"/>
      <c r="RYE49" s="19"/>
      <c r="RYN49" s="19"/>
      <c r="RYO49" s="19"/>
      <c r="RYP49" s="19"/>
      <c r="RYQ49" s="19"/>
      <c r="RYR49" s="21"/>
      <c r="RYS49" s="19"/>
      <c r="RZB49" s="19"/>
      <c r="RZC49" s="19"/>
      <c r="RZD49" s="19"/>
      <c r="RZE49" s="19"/>
      <c r="RZF49" s="21"/>
      <c r="RZG49" s="19"/>
      <c r="RZP49" s="19"/>
      <c r="RZQ49" s="19"/>
      <c r="RZR49" s="19"/>
      <c r="RZS49" s="19"/>
      <c r="RZT49" s="21"/>
      <c r="RZU49" s="19"/>
      <c r="SAD49" s="19"/>
      <c r="SAE49" s="19"/>
      <c r="SAF49" s="19"/>
      <c r="SAG49" s="19"/>
      <c r="SAH49" s="21"/>
      <c r="SAI49" s="19"/>
      <c r="SAR49" s="19"/>
      <c r="SAS49" s="19"/>
      <c r="SAT49" s="19"/>
      <c r="SAU49" s="19"/>
      <c r="SAV49" s="21"/>
      <c r="SAW49" s="19"/>
      <c r="SBF49" s="19"/>
      <c r="SBG49" s="19"/>
      <c r="SBH49" s="19"/>
      <c r="SBI49" s="19"/>
      <c r="SBJ49" s="21"/>
      <c r="SBK49" s="19"/>
      <c r="SBT49" s="19"/>
      <c r="SBU49" s="19"/>
      <c r="SBV49" s="19"/>
      <c r="SBW49" s="19"/>
      <c r="SBX49" s="21"/>
      <c r="SBY49" s="19"/>
      <c r="SCH49" s="19"/>
      <c r="SCI49" s="19"/>
      <c r="SCJ49" s="19"/>
      <c r="SCK49" s="19"/>
      <c r="SCL49" s="21"/>
      <c r="SCM49" s="19"/>
      <c r="SCV49" s="19"/>
      <c r="SCW49" s="19"/>
      <c r="SCX49" s="19"/>
      <c r="SCY49" s="19"/>
      <c r="SCZ49" s="21"/>
      <c r="SDA49" s="19"/>
      <c r="SDJ49" s="19"/>
      <c r="SDK49" s="19"/>
      <c r="SDL49" s="19"/>
      <c r="SDM49" s="19"/>
      <c r="SDN49" s="21"/>
      <c r="SDO49" s="19"/>
      <c r="SDX49" s="19"/>
      <c r="SDY49" s="19"/>
      <c r="SDZ49" s="19"/>
      <c r="SEA49" s="19"/>
      <c r="SEB49" s="21"/>
      <c r="SEC49" s="19"/>
      <c r="SEL49" s="19"/>
      <c r="SEM49" s="19"/>
      <c r="SEN49" s="19"/>
      <c r="SEO49" s="19"/>
      <c r="SEP49" s="21"/>
      <c r="SEQ49" s="19"/>
      <c r="SEZ49" s="19"/>
      <c r="SFA49" s="19"/>
      <c r="SFB49" s="19"/>
      <c r="SFC49" s="19"/>
      <c r="SFD49" s="21"/>
      <c r="SFE49" s="19"/>
      <c r="SFN49" s="19"/>
      <c r="SFO49" s="19"/>
      <c r="SFP49" s="19"/>
      <c r="SFQ49" s="19"/>
      <c r="SFR49" s="21"/>
      <c r="SFS49" s="19"/>
      <c r="SGB49" s="19"/>
      <c r="SGC49" s="19"/>
      <c r="SGD49" s="19"/>
      <c r="SGE49" s="19"/>
      <c r="SGF49" s="21"/>
      <c r="SGG49" s="19"/>
      <c r="SGP49" s="19"/>
      <c r="SGQ49" s="19"/>
      <c r="SGR49" s="19"/>
      <c r="SGS49" s="19"/>
      <c r="SGT49" s="21"/>
      <c r="SGU49" s="19"/>
      <c r="SHD49" s="19"/>
      <c r="SHE49" s="19"/>
      <c r="SHF49" s="19"/>
      <c r="SHG49" s="19"/>
      <c r="SHH49" s="21"/>
      <c r="SHI49" s="19"/>
      <c r="SHR49" s="19"/>
      <c r="SHS49" s="19"/>
      <c r="SHT49" s="19"/>
      <c r="SHU49" s="19"/>
      <c r="SHV49" s="21"/>
      <c r="SHW49" s="19"/>
      <c r="SIF49" s="19"/>
      <c r="SIG49" s="19"/>
      <c r="SIH49" s="19"/>
      <c r="SII49" s="19"/>
      <c r="SIJ49" s="21"/>
      <c r="SIK49" s="19"/>
      <c r="SIT49" s="19"/>
      <c r="SIU49" s="19"/>
      <c r="SIV49" s="19"/>
      <c r="SIW49" s="19"/>
      <c r="SIX49" s="21"/>
      <c r="SIY49" s="19"/>
      <c r="SJH49" s="19"/>
      <c r="SJI49" s="19"/>
      <c r="SJJ49" s="19"/>
      <c r="SJK49" s="19"/>
      <c r="SJL49" s="21"/>
      <c r="SJM49" s="19"/>
      <c r="SJV49" s="19"/>
      <c r="SJW49" s="19"/>
      <c r="SJX49" s="19"/>
      <c r="SJY49" s="19"/>
      <c r="SJZ49" s="21"/>
      <c r="SKA49" s="19"/>
      <c r="SKJ49" s="19"/>
      <c r="SKK49" s="19"/>
      <c r="SKL49" s="19"/>
      <c r="SKM49" s="19"/>
      <c r="SKN49" s="21"/>
      <c r="SKO49" s="19"/>
      <c r="SKX49" s="19"/>
      <c r="SKY49" s="19"/>
      <c r="SKZ49" s="19"/>
      <c r="SLA49" s="19"/>
      <c r="SLB49" s="21"/>
      <c r="SLC49" s="19"/>
      <c r="SLL49" s="19"/>
      <c r="SLM49" s="19"/>
      <c r="SLN49" s="19"/>
      <c r="SLO49" s="19"/>
      <c r="SLP49" s="21"/>
      <c r="SLQ49" s="19"/>
      <c r="SLZ49" s="19"/>
      <c r="SMA49" s="19"/>
      <c r="SMB49" s="19"/>
      <c r="SMC49" s="19"/>
      <c r="SMD49" s="21"/>
      <c r="SME49" s="19"/>
      <c r="SMN49" s="19"/>
      <c r="SMO49" s="19"/>
      <c r="SMP49" s="19"/>
      <c r="SMQ49" s="19"/>
      <c r="SMR49" s="21"/>
      <c r="SMS49" s="19"/>
      <c r="SNB49" s="19"/>
      <c r="SNC49" s="19"/>
      <c r="SND49" s="19"/>
      <c r="SNE49" s="19"/>
      <c r="SNF49" s="21"/>
      <c r="SNG49" s="19"/>
      <c r="SNP49" s="19"/>
      <c r="SNQ49" s="19"/>
      <c r="SNR49" s="19"/>
      <c r="SNS49" s="19"/>
      <c r="SNT49" s="21"/>
      <c r="SNU49" s="19"/>
      <c r="SOD49" s="19"/>
      <c r="SOE49" s="19"/>
      <c r="SOF49" s="19"/>
      <c r="SOG49" s="19"/>
      <c r="SOH49" s="21"/>
      <c r="SOI49" s="19"/>
      <c r="SOR49" s="19"/>
      <c r="SOS49" s="19"/>
      <c r="SOT49" s="19"/>
      <c r="SOU49" s="19"/>
      <c r="SOV49" s="21"/>
      <c r="SOW49" s="19"/>
      <c r="SPF49" s="19"/>
      <c r="SPG49" s="19"/>
      <c r="SPH49" s="19"/>
      <c r="SPI49" s="19"/>
      <c r="SPJ49" s="21"/>
      <c r="SPK49" s="19"/>
      <c r="SPT49" s="19"/>
      <c r="SPU49" s="19"/>
      <c r="SPV49" s="19"/>
      <c r="SPW49" s="19"/>
      <c r="SPX49" s="21"/>
      <c r="SPY49" s="19"/>
      <c r="SQH49" s="19"/>
      <c r="SQI49" s="19"/>
      <c r="SQJ49" s="19"/>
      <c r="SQK49" s="19"/>
      <c r="SQL49" s="21"/>
      <c r="SQM49" s="19"/>
      <c r="SQV49" s="19"/>
      <c r="SQW49" s="19"/>
      <c r="SQX49" s="19"/>
      <c r="SQY49" s="19"/>
      <c r="SQZ49" s="21"/>
      <c r="SRA49" s="19"/>
      <c r="SRJ49" s="19"/>
      <c r="SRK49" s="19"/>
      <c r="SRL49" s="19"/>
      <c r="SRM49" s="19"/>
      <c r="SRN49" s="21"/>
      <c r="SRO49" s="19"/>
      <c r="SRX49" s="19"/>
      <c r="SRY49" s="19"/>
      <c r="SRZ49" s="19"/>
      <c r="SSA49" s="19"/>
      <c r="SSB49" s="21"/>
      <c r="SSC49" s="19"/>
      <c r="SSL49" s="19"/>
      <c r="SSM49" s="19"/>
      <c r="SSN49" s="19"/>
      <c r="SSO49" s="19"/>
      <c r="SSP49" s="21"/>
      <c r="SSQ49" s="19"/>
      <c r="SSZ49" s="19"/>
      <c r="STA49" s="19"/>
      <c r="STB49" s="19"/>
      <c r="STC49" s="19"/>
      <c r="STD49" s="21"/>
      <c r="STE49" s="19"/>
      <c r="STN49" s="19"/>
      <c r="STO49" s="19"/>
      <c r="STP49" s="19"/>
      <c r="STQ49" s="19"/>
      <c r="STR49" s="21"/>
      <c r="STS49" s="19"/>
      <c r="SUB49" s="19"/>
      <c r="SUC49" s="19"/>
      <c r="SUD49" s="19"/>
      <c r="SUE49" s="19"/>
      <c r="SUF49" s="21"/>
      <c r="SUG49" s="19"/>
      <c r="SUP49" s="19"/>
      <c r="SUQ49" s="19"/>
      <c r="SUR49" s="19"/>
      <c r="SUS49" s="19"/>
      <c r="SUT49" s="21"/>
      <c r="SUU49" s="19"/>
      <c r="SVD49" s="19"/>
      <c r="SVE49" s="19"/>
      <c r="SVF49" s="19"/>
      <c r="SVG49" s="19"/>
      <c r="SVH49" s="21"/>
      <c r="SVI49" s="19"/>
      <c r="SVR49" s="19"/>
      <c r="SVS49" s="19"/>
      <c r="SVT49" s="19"/>
      <c r="SVU49" s="19"/>
      <c r="SVV49" s="21"/>
      <c r="SVW49" s="19"/>
      <c r="SWF49" s="19"/>
      <c r="SWG49" s="19"/>
      <c r="SWH49" s="19"/>
      <c r="SWI49" s="19"/>
      <c r="SWJ49" s="21"/>
      <c r="SWK49" s="19"/>
      <c r="SWT49" s="19"/>
      <c r="SWU49" s="19"/>
      <c r="SWV49" s="19"/>
      <c r="SWW49" s="19"/>
      <c r="SWX49" s="21"/>
      <c r="SWY49" s="19"/>
      <c r="SXH49" s="19"/>
      <c r="SXI49" s="19"/>
      <c r="SXJ49" s="19"/>
      <c r="SXK49" s="19"/>
      <c r="SXL49" s="21"/>
      <c r="SXM49" s="19"/>
      <c r="SXV49" s="19"/>
      <c r="SXW49" s="19"/>
      <c r="SXX49" s="19"/>
      <c r="SXY49" s="19"/>
      <c r="SXZ49" s="21"/>
      <c r="SYA49" s="19"/>
      <c r="SYJ49" s="19"/>
      <c r="SYK49" s="19"/>
      <c r="SYL49" s="19"/>
      <c r="SYM49" s="19"/>
      <c r="SYN49" s="21"/>
      <c r="SYO49" s="19"/>
      <c r="SYX49" s="19"/>
      <c r="SYY49" s="19"/>
      <c r="SYZ49" s="19"/>
      <c r="SZA49" s="19"/>
      <c r="SZB49" s="21"/>
      <c r="SZC49" s="19"/>
      <c r="SZL49" s="19"/>
      <c r="SZM49" s="19"/>
      <c r="SZN49" s="19"/>
      <c r="SZO49" s="19"/>
      <c r="SZP49" s="21"/>
      <c r="SZQ49" s="19"/>
      <c r="SZZ49" s="19"/>
      <c r="TAA49" s="19"/>
      <c r="TAB49" s="19"/>
      <c r="TAC49" s="19"/>
      <c r="TAD49" s="21"/>
      <c r="TAE49" s="19"/>
      <c r="TAN49" s="19"/>
      <c r="TAO49" s="19"/>
      <c r="TAP49" s="19"/>
      <c r="TAQ49" s="19"/>
      <c r="TAR49" s="21"/>
      <c r="TAS49" s="19"/>
      <c r="TBB49" s="19"/>
      <c r="TBC49" s="19"/>
      <c r="TBD49" s="19"/>
      <c r="TBE49" s="19"/>
      <c r="TBF49" s="21"/>
      <c r="TBG49" s="19"/>
      <c r="TBP49" s="19"/>
      <c r="TBQ49" s="19"/>
      <c r="TBR49" s="19"/>
      <c r="TBS49" s="19"/>
      <c r="TBT49" s="21"/>
      <c r="TBU49" s="19"/>
      <c r="TCD49" s="19"/>
      <c r="TCE49" s="19"/>
      <c r="TCF49" s="19"/>
      <c r="TCG49" s="19"/>
      <c r="TCH49" s="21"/>
      <c r="TCI49" s="19"/>
      <c r="TCR49" s="19"/>
      <c r="TCS49" s="19"/>
      <c r="TCT49" s="19"/>
      <c r="TCU49" s="19"/>
      <c r="TCV49" s="21"/>
      <c r="TCW49" s="19"/>
      <c r="TDF49" s="19"/>
      <c r="TDG49" s="19"/>
      <c r="TDH49" s="19"/>
      <c r="TDI49" s="19"/>
      <c r="TDJ49" s="21"/>
      <c r="TDK49" s="19"/>
      <c r="TDT49" s="19"/>
      <c r="TDU49" s="19"/>
      <c r="TDV49" s="19"/>
      <c r="TDW49" s="19"/>
      <c r="TDX49" s="21"/>
      <c r="TDY49" s="19"/>
      <c r="TEH49" s="19"/>
      <c r="TEI49" s="19"/>
      <c r="TEJ49" s="19"/>
      <c r="TEK49" s="19"/>
      <c r="TEL49" s="21"/>
      <c r="TEM49" s="19"/>
      <c r="TEV49" s="19"/>
      <c r="TEW49" s="19"/>
      <c r="TEX49" s="19"/>
      <c r="TEY49" s="19"/>
      <c r="TEZ49" s="21"/>
      <c r="TFA49" s="19"/>
      <c r="TFJ49" s="19"/>
      <c r="TFK49" s="19"/>
      <c r="TFL49" s="19"/>
      <c r="TFM49" s="19"/>
      <c r="TFN49" s="21"/>
      <c r="TFO49" s="19"/>
      <c r="TFX49" s="19"/>
      <c r="TFY49" s="19"/>
      <c r="TFZ49" s="19"/>
      <c r="TGA49" s="19"/>
      <c r="TGB49" s="21"/>
      <c r="TGC49" s="19"/>
      <c r="TGL49" s="19"/>
      <c r="TGM49" s="19"/>
      <c r="TGN49" s="19"/>
      <c r="TGO49" s="19"/>
      <c r="TGP49" s="21"/>
      <c r="TGQ49" s="19"/>
      <c r="TGZ49" s="19"/>
      <c r="THA49" s="19"/>
      <c r="THB49" s="19"/>
      <c r="THC49" s="19"/>
      <c r="THD49" s="21"/>
      <c r="THE49" s="19"/>
      <c r="THN49" s="19"/>
      <c r="THO49" s="19"/>
      <c r="THP49" s="19"/>
      <c r="THQ49" s="19"/>
      <c r="THR49" s="21"/>
      <c r="THS49" s="19"/>
      <c r="TIB49" s="19"/>
      <c r="TIC49" s="19"/>
      <c r="TID49" s="19"/>
      <c r="TIE49" s="19"/>
      <c r="TIF49" s="21"/>
      <c r="TIG49" s="19"/>
      <c r="TIP49" s="19"/>
      <c r="TIQ49" s="19"/>
      <c r="TIR49" s="19"/>
      <c r="TIS49" s="19"/>
      <c r="TIT49" s="21"/>
      <c r="TIU49" s="19"/>
      <c r="TJD49" s="19"/>
      <c r="TJE49" s="19"/>
      <c r="TJF49" s="19"/>
      <c r="TJG49" s="19"/>
      <c r="TJH49" s="21"/>
      <c r="TJI49" s="19"/>
      <c r="TJR49" s="19"/>
      <c r="TJS49" s="19"/>
      <c r="TJT49" s="19"/>
      <c r="TJU49" s="19"/>
      <c r="TJV49" s="21"/>
      <c r="TJW49" s="19"/>
      <c r="TKF49" s="19"/>
      <c r="TKG49" s="19"/>
      <c r="TKH49" s="19"/>
      <c r="TKI49" s="19"/>
      <c r="TKJ49" s="21"/>
      <c r="TKK49" s="19"/>
      <c r="TKT49" s="19"/>
      <c r="TKU49" s="19"/>
      <c r="TKV49" s="19"/>
      <c r="TKW49" s="19"/>
      <c r="TKX49" s="21"/>
      <c r="TKY49" s="19"/>
      <c r="TLH49" s="19"/>
      <c r="TLI49" s="19"/>
      <c r="TLJ49" s="19"/>
      <c r="TLK49" s="19"/>
      <c r="TLL49" s="21"/>
      <c r="TLM49" s="19"/>
      <c r="TLV49" s="19"/>
      <c r="TLW49" s="19"/>
      <c r="TLX49" s="19"/>
      <c r="TLY49" s="19"/>
      <c r="TLZ49" s="21"/>
      <c r="TMA49" s="19"/>
      <c r="TMJ49" s="19"/>
      <c r="TMK49" s="19"/>
      <c r="TML49" s="19"/>
      <c r="TMM49" s="19"/>
      <c r="TMN49" s="21"/>
      <c r="TMO49" s="19"/>
      <c r="TMX49" s="19"/>
      <c r="TMY49" s="19"/>
      <c r="TMZ49" s="19"/>
      <c r="TNA49" s="19"/>
      <c r="TNB49" s="21"/>
      <c r="TNC49" s="19"/>
      <c r="TNL49" s="19"/>
      <c r="TNM49" s="19"/>
      <c r="TNN49" s="19"/>
      <c r="TNO49" s="19"/>
      <c r="TNP49" s="21"/>
      <c r="TNQ49" s="19"/>
      <c r="TNZ49" s="19"/>
      <c r="TOA49" s="19"/>
      <c r="TOB49" s="19"/>
      <c r="TOC49" s="19"/>
      <c r="TOD49" s="21"/>
      <c r="TOE49" s="19"/>
      <c r="TON49" s="19"/>
      <c r="TOO49" s="19"/>
      <c r="TOP49" s="19"/>
      <c r="TOQ49" s="19"/>
      <c r="TOR49" s="21"/>
      <c r="TOS49" s="19"/>
      <c r="TPB49" s="19"/>
      <c r="TPC49" s="19"/>
      <c r="TPD49" s="19"/>
      <c r="TPE49" s="19"/>
      <c r="TPF49" s="21"/>
      <c r="TPG49" s="19"/>
      <c r="TPP49" s="19"/>
      <c r="TPQ49" s="19"/>
      <c r="TPR49" s="19"/>
      <c r="TPS49" s="19"/>
      <c r="TPT49" s="21"/>
      <c r="TPU49" s="19"/>
      <c r="TQD49" s="19"/>
      <c r="TQE49" s="19"/>
      <c r="TQF49" s="19"/>
      <c r="TQG49" s="19"/>
      <c r="TQH49" s="21"/>
      <c r="TQI49" s="19"/>
      <c r="TQR49" s="19"/>
      <c r="TQS49" s="19"/>
      <c r="TQT49" s="19"/>
      <c r="TQU49" s="19"/>
      <c r="TQV49" s="21"/>
      <c r="TQW49" s="19"/>
      <c r="TRF49" s="19"/>
      <c r="TRG49" s="19"/>
      <c r="TRH49" s="19"/>
      <c r="TRI49" s="19"/>
      <c r="TRJ49" s="21"/>
      <c r="TRK49" s="19"/>
      <c r="TRT49" s="19"/>
      <c r="TRU49" s="19"/>
      <c r="TRV49" s="19"/>
      <c r="TRW49" s="19"/>
      <c r="TRX49" s="21"/>
      <c r="TRY49" s="19"/>
      <c r="TSH49" s="19"/>
      <c r="TSI49" s="19"/>
      <c r="TSJ49" s="19"/>
      <c r="TSK49" s="19"/>
      <c r="TSL49" s="21"/>
      <c r="TSM49" s="19"/>
      <c r="TSV49" s="19"/>
      <c r="TSW49" s="19"/>
      <c r="TSX49" s="19"/>
      <c r="TSY49" s="19"/>
      <c r="TSZ49" s="21"/>
      <c r="TTA49" s="19"/>
      <c r="TTJ49" s="19"/>
      <c r="TTK49" s="19"/>
      <c r="TTL49" s="19"/>
      <c r="TTM49" s="19"/>
      <c r="TTN49" s="21"/>
      <c r="TTO49" s="19"/>
      <c r="TTX49" s="19"/>
      <c r="TTY49" s="19"/>
      <c r="TTZ49" s="19"/>
      <c r="TUA49" s="19"/>
      <c r="TUB49" s="21"/>
      <c r="TUC49" s="19"/>
      <c r="TUL49" s="19"/>
      <c r="TUM49" s="19"/>
      <c r="TUN49" s="19"/>
      <c r="TUO49" s="19"/>
      <c r="TUP49" s="21"/>
      <c r="TUQ49" s="19"/>
      <c r="TUZ49" s="19"/>
      <c r="TVA49" s="19"/>
      <c r="TVB49" s="19"/>
      <c r="TVC49" s="19"/>
      <c r="TVD49" s="21"/>
      <c r="TVE49" s="19"/>
      <c r="TVN49" s="19"/>
      <c r="TVO49" s="19"/>
      <c r="TVP49" s="19"/>
      <c r="TVQ49" s="19"/>
      <c r="TVR49" s="21"/>
      <c r="TVS49" s="19"/>
      <c r="TWB49" s="19"/>
      <c r="TWC49" s="19"/>
      <c r="TWD49" s="19"/>
      <c r="TWE49" s="19"/>
      <c r="TWF49" s="21"/>
      <c r="TWG49" s="19"/>
      <c r="TWP49" s="19"/>
      <c r="TWQ49" s="19"/>
      <c r="TWR49" s="19"/>
      <c r="TWS49" s="19"/>
      <c r="TWT49" s="21"/>
      <c r="TWU49" s="19"/>
      <c r="TXD49" s="19"/>
      <c r="TXE49" s="19"/>
      <c r="TXF49" s="19"/>
      <c r="TXG49" s="19"/>
      <c r="TXH49" s="21"/>
      <c r="TXI49" s="19"/>
      <c r="TXR49" s="19"/>
      <c r="TXS49" s="19"/>
      <c r="TXT49" s="19"/>
      <c r="TXU49" s="19"/>
      <c r="TXV49" s="21"/>
      <c r="TXW49" s="19"/>
      <c r="TYF49" s="19"/>
      <c r="TYG49" s="19"/>
      <c r="TYH49" s="19"/>
      <c r="TYI49" s="19"/>
      <c r="TYJ49" s="21"/>
      <c r="TYK49" s="19"/>
      <c r="TYT49" s="19"/>
      <c r="TYU49" s="19"/>
      <c r="TYV49" s="19"/>
      <c r="TYW49" s="19"/>
      <c r="TYX49" s="21"/>
      <c r="TYY49" s="19"/>
      <c r="TZH49" s="19"/>
      <c r="TZI49" s="19"/>
      <c r="TZJ49" s="19"/>
      <c r="TZK49" s="19"/>
      <c r="TZL49" s="21"/>
      <c r="TZM49" s="19"/>
      <c r="TZV49" s="19"/>
      <c r="TZW49" s="19"/>
      <c r="TZX49" s="19"/>
      <c r="TZY49" s="19"/>
      <c r="TZZ49" s="21"/>
      <c r="UAA49" s="19"/>
      <c r="UAJ49" s="19"/>
      <c r="UAK49" s="19"/>
      <c r="UAL49" s="19"/>
      <c r="UAM49" s="19"/>
      <c r="UAN49" s="21"/>
      <c r="UAO49" s="19"/>
      <c r="UAX49" s="19"/>
      <c r="UAY49" s="19"/>
      <c r="UAZ49" s="19"/>
      <c r="UBA49" s="19"/>
      <c r="UBB49" s="21"/>
      <c r="UBC49" s="19"/>
      <c r="UBL49" s="19"/>
      <c r="UBM49" s="19"/>
      <c r="UBN49" s="19"/>
      <c r="UBO49" s="19"/>
      <c r="UBP49" s="21"/>
      <c r="UBQ49" s="19"/>
      <c r="UBZ49" s="19"/>
      <c r="UCA49" s="19"/>
      <c r="UCB49" s="19"/>
      <c r="UCC49" s="19"/>
      <c r="UCD49" s="21"/>
      <c r="UCE49" s="19"/>
      <c r="UCN49" s="19"/>
      <c r="UCO49" s="19"/>
      <c r="UCP49" s="19"/>
      <c r="UCQ49" s="19"/>
      <c r="UCR49" s="21"/>
      <c r="UCS49" s="19"/>
      <c r="UDB49" s="19"/>
      <c r="UDC49" s="19"/>
      <c r="UDD49" s="19"/>
      <c r="UDE49" s="19"/>
      <c r="UDF49" s="21"/>
      <c r="UDG49" s="19"/>
      <c r="UDP49" s="19"/>
      <c r="UDQ49" s="19"/>
      <c r="UDR49" s="19"/>
      <c r="UDS49" s="19"/>
      <c r="UDT49" s="21"/>
      <c r="UDU49" s="19"/>
      <c r="UED49" s="19"/>
      <c r="UEE49" s="19"/>
      <c r="UEF49" s="19"/>
      <c r="UEG49" s="19"/>
      <c r="UEH49" s="21"/>
      <c r="UEI49" s="19"/>
      <c r="UER49" s="19"/>
      <c r="UES49" s="19"/>
      <c r="UET49" s="19"/>
      <c r="UEU49" s="19"/>
      <c r="UEV49" s="21"/>
      <c r="UEW49" s="19"/>
      <c r="UFF49" s="19"/>
      <c r="UFG49" s="19"/>
      <c r="UFH49" s="19"/>
      <c r="UFI49" s="19"/>
      <c r="UFJ49" s="21"/>
      <c r="UFK49" s="19"/>
      <c r="UFT49" s="19"/>
      <c r="UFU49" s="19"/>
      <c r="UFV49" s="19"/>
      <c r="UFW49" s="19"/>
      <c r="UFX49" s="21"/>
      <c r="UFY49" s="19"/>
      <c r="UGH49" s="19"/>
      <c r="UGI49" s="19"/>
      <c r="UGJ49" s="19"/>
      <c r="UGK49" s="19"/>
      <c r="UGL49" s="21"/>
      <c r="UGM49" s="19"/>
      <c r="UGV49" s="19"/>
      <c r="UGW49" s="19"/>
      <c r="UGX49" s="19"/>
      <c r="UGY49" s="19"/>
      <c r="UGZ49" s="21"/>
      <c r="UHA49" s="19"/>
      <c r="UHJ49" s="19"/>
      <c r="UHK49" s="19"/>
      <c r="UHL49" s="19"/>
      <c r="UHM49" s="19"/>
      <c r="UHN49" s="21"/>
      <c r="UHO49" s="19"/>
      <c r="UHX49" s="19"/>
      <c r="UHY49" s="19"/>
      <c r="UHZ49" s="19"/>
      <c r="UIA49" s="19"/>
      <c r="UIB49" s="21"/>
      <c r="UIC49" s="19"/>
      <c r="UIL49" s="19"/>
      <c r="UIM49" s="19"/>
      <c r="UIN49" s="19"/>
      <c r="UIO49" s="19"/>
      <c r="UIP49" s="21"/>
      <c r="UIQ49" s="19"/>
      <c r="UIZ49" s="19"/>
      <c r="UJA49" s="19"/>
      <c r="UJB49" s="19"/>
      <c r="UJC49" s="19"/>
      <c r="UJD49" s="21"/>
      <c r="UJE49" s="19"/>
      <c r="UJN49" s="19"/>
      <c r="UJO49" s="19"/>
      <c r="UJP49" s="19"/>
      <c r="UJQ49" s="19"/>
      <c r="UJR49" s="21"/>
      <c r="UJS49" s="19"/>
      <c r="UKB49" s="19"/>
      <c r="UKC49" s="19"/>
      <c r="UKD49" s="19"/>
      <c r="UKE49" s="19"/>
      <c r="UKF49" s="21"/>
      <c r="UKG49" s="19"/>
      <c r="UKP49" s="19"/>
      <c r="UKQ49" s="19"/>
      <c r="UKR49" s="19"/>
      <c r="UKS49" s="19"/>
      <c r="UKT49" s="21"/>
      <c r="UKU49" s="19"/>
      <c r="ULD49" s="19"/>
      <c r="ULE49" s="19"/>
      <c r="ULF49" s="19"/>
      <c r="ULG49" s="19"/>
      <c r="ULH49" s="21"/>
      <c r="ULI49" s="19"/>
      <c r="ULR49" s="19"/>
      <c r="ULS49" s="19"/>
      <c r="ULT49" s="19"/>
      <c r="ULU49" s="19"/>
      <c r="ULV49" s="21"/>
      <c r="ULW49" s="19"/>
      <c r="UMF49" s="19"/>
      <c r="UMG49" s="19"/>
      <c r="UMH49" s="19"/>
      <c r="UMI49" s="19"/>
      <c r="UMJ49" s="21"/>
      <c r="UMK49" s="19"/>
      <c r="UMT49" s="19"/>
      <c r="UMU49" s="19"/>
      <c r="UMV49" s="19"/>
      <c r="UMW49" s="19"/>
      <c r="UMX49" s="21"/>
      <c r="UMY49" s="19"/>
      <c r="UNH49" s="19"/>
      <c r="UNI49" s="19"/>
      <c r="UNJ49" s="19"/>
      <c r="UNK49" s="19"/>
      <c r="UNL49" s="21"/>
      <c r="UNM49" s="19"/>
      <c r="UNV49" s="19"/>
      <c r="UNW49" s="19"/>
      <c r="UNX49" s="19"/>
      <c r="UNY49" s="19"/>
      <c r="UNZ49" s="21"/>
      <c r="UOA49" s="19"/>
      <c r="UOJ49" s="19"/>
      <c r="UOK49" s="19"/>
      <c r="UOL49" s="19"/>
      <c r="UOM49" s="19"/>
      <c r="UON49" s="21"/>
      <c r="UOO49" s="19"/>
      <c r="UOX49" s="19"/>
      <c r="UOY49" s="19"/>
      <c r="UOZ49" s="19"/>
      <c r="UPA49" s="19"/>
      <c r="UPB49" s="21"/>
      <c r="UPC49" s="19"/>
      <c r="UPL49" s="19"/>
      <c r="UPM49" s="19"/>
      <c r="UPN49" s="19"/>
      <c r="UPO49" s="19"/>
      <c r="UPP49" s="21"/>
      <c r="UPQ49" s="19"/>
      <c r="UPZ49" s="19"/>
      <c r="UQA49" s="19"/>
      <c r="UQB49" s="19"/>
      <c r="UQC49" s="19"/>
      <c r="UQD49" s="21"/>
      <c r="UQE49" s="19"/>
      <c r="UQN49" s="19"/>
      <c r="UQO49" s="19"/>
      <c r="UQP49" s="19"/>
      <c r="UQQ49" s="19"/>
      <c r="UQR49" s="21"/>
      <c r="UQS49" s="19"/>
      <c r="URB49" s="19"/>
      <c r="URC49" s="19"/>
      <c r="URD49" s="19"/>
      <c r="URE49" s="19"/>
      <c r="URF49" s="21"/>
      <c r="URG49" s="19"/>
      <c r="URP49" s="19"/>
      <c r="URQ49" s="19"/>
      <c r="URR49" s="19"/>
      <c r="URS49" s="19"/>
      <c r="URT49" s="21"/>
      <c r="URU49" s="19"/>
      <c r="USD49" s="19"/>
      <c r="USE49" s="19"/>
      <c r="USF49" s="19"/>
      <c r="USG49" s="19"/>
      <c r="USH49" s="21"/>
      <c r="USI49" s="19"/>
      <c r="USR49" s="19"/>
      <c r="USS49" s="19"/>
      <c r="UST49" s="19"/>
      <c r="USU49" s="19"/>
      <c r="USV49" s="21"/>
      <c r="USW49" s="19"/>
      <c r="UTF49" s="19"/>
      <c r="UTG49" s="19"/>
      <c r="UTH49" s="19"/>
      <c r="UTI49" s="19"/>
      <c r="UTJ49" s="21"/>
      <c r="UTK49" s="19"/>
      <c r="UTT49" s="19"/>
      <c r="UTU49" s="19"/>
      <c r="UTV49" s="19"/>
      <c r="UTW49" s="19"/>
      <c r="UTX49" s="21"/>
      <c r="UTY49" s="19"/>
      <c r="UUH49" s="19"/>
      <c r="UUI49" s="19"/>
      <c r="UUJ49" s="19"/>
      <c r="UUK49" s="19"/>
      <c r="UUL49" s="21"/>
      <c r="UUM49" s="19"/>
      <c r="UUV49" s="19"/>
      <c r="UUW49" s="19"/>
      <c r="UUX49" s="19"/>
      <c r="UUY49" s="19"/>
      <c r="UUZ49" s="21"/>
      <c r="UVA49" s="19"/>
      <c r="UVJ49" s="19"/>
      <c r="UVK49" s="19"/>
      <c r="UVL49" s="19"/>
      <c r="UVM49" s="19"/>
      <c r="UVN49" s="21"/>
      <c r="UVO49" s="19"/>
      <c r="UVX49" s="19"/>
      <c r="UVY49" s="19"/>
      <c r="UVZ49" s="19"/>
      <c r="UWA49" s="19"/>
      <c r="UWB49" s="21"/>
      <c r="UWC49" s="19"/>
      <c r="UWL49" s="19"/>
      <c r="UWM49" s="19"/>
      <c r="UWN49" s="19"/>
      <c r="UWO49" s="19"/>
      <c r="UWP49" s="21"/>
      <c r="UWQ49" s="19"/>
      <c r="UWZ49" s="19"/>
      <c r="UXA49" s="19"/>
      <c r="UXB49" s="19"/>
      <c r="UXC49" s="19"/>
      <c r="UXD49" s="21"/>
      <c r="UXE49" s="19"/>
      <c r="UXN49" s="19"/>
      <c r="UXO49" s="19"/>
      <c r="UXP49" s="19"/>
      <c r="UXQ49" s="19"/>
      <c r="UXR49" s="21"/>
      <c r="UXS49" s="19"/>
      <c r="UYB49" s="19"/>
      <c r="UYC49" s="19"/>
      <c r="UYD49" s="19"/>
      <c r="UYE49" s="19"/>
      <c r="UYF49" s="21"/>
      <c r="UYG49" s="19"/>
      <c r="UYP49" s="19"/>
      <c r="UYQ49" s="19"/>
      <c r="UYR49" s="19"/>
      <c r="UYS49" s="19"/>
      <c r="UYT49" s="21"/>
      <c r="UYU49" s="19"/>
      <c r="UZD49" s="19"/>
      <c r="UZE49" s="19"/>
      <c r="UZF49" s="19"/>
      <c r="UZG49" s="19"/>
      <c r="UZH49" s="21"/>
      <c r="UZI49" s="19"/>
      <c r="UZR49" s="19"/>
      <c r="UZS49" s="19"/>
      <c r="UZT49" s="19"/>
      <c r="UZU49" s="19"/>
      <c r="UZV49" s="21"/>
      <c r="UZW49" s="19"/>
      <c r="VAF49" s="19"/>
      <c r="VAG49" s="19"/>
      <c r="VAH49" s="19"/>
      <c r="VAI49" s="19"/>
      <c r="VAJ49" s="21"/>
      <c r="VAK49" s="19"/>
      <c r="VAT49" s="19"/>
      <c r="VAU49" s="19"/>
      <c r="VAV49" s="19"/>
      <c r="VAW49" s="19"/>
      <c r="VAX49" s="21"/>
      <c r="VAY49" s="19"/>
      <c r="VBH49" s="19"/>
      <c r="VBI49" s="19"/>
      <c r="VBJ49" s="19"/>
      <c r="VBK49" s="19"/>
      <c r="VBL49" s="21"/>
      <c r="VBM49" s="19"/>
      <c r="VBV49" s="19"/>
      <c r="VBW49" s="19"/>
      <c r="VBX49" s="19"/>
      <c r="VBY49" s="19"/>
      <c r="VBZ49" s="21"/>
      <c r="VCA49" s="19"/>
      <c r="VCJ49" s="19"/>
      <c r="VCK49" s="19"/>
      <c r="VCL49" s="19"/>
      <c r="VCM49" s="19"/>
      <c r="VCN49" s="21"/>
      <c r="VCO49" s="19"/>
      <c r="VCX49" s="19"/>
      <c r="VCY49" s="19"/>
      <c r="VCZ49" s="19"/>
      <c r="VDA49" s="19"/>
      <c r="VDB49" s="21"/>
      <c r="VDC49" s="19"/>
      <c r="VDL49" s="19"/>
      <c r="VDM49" s="19"/>
      <c r="VDN49" s="19"/>
      <c r="VDO49" s="19"/>
      <c r="VDP49" s="21"/>
      <c r="VDQ49" s="19"/>
      <c r="VDZ49" s="19"/>
      <c r="VEA49" s="19"/>
      <c r="VEB49" s="19"/>
      <c r="VEC49" s="19"/>
      <c r="VED49" s="21"/>
      <c r="VEE49" s="19"/>
      <c r="VEN49" s="19"/>
      <c r="VEO49" s="19"/>
      <c r="VEP49" s="19"/>
      <c r="VEQ49" s="19"/>
      <c r="VER49" s="21"/>
      <c r="VES49" s="19"/>
      <c r="VFB49" s="19"/>
      <c r="VFC49" s="19"/>
      <c r="VFD49" s="19"/>
      <c r="VFE49" s="19"/>
      <c r="VFF49" s="21"/>
      <c r="VFG49" s="19"/>
      <c r="VFP49" s="19"/>
      <c r="VFQ49" s="19"/>
      <c r="VFR49" s="19"/>
      <c r="VFS49" s="19"/>
      <c r="VFT49" s="21"/>
      <c r="VFU49" s="19"/>
      <c r="VGD49" s="19"/>
      <c r="VGE49" s="19"/>
      <c r="VGF49" s="19"/>
      <c r="VGG49" s="19"/>
      <c r="VGH49" s="21"/>
      <c r="VGI49" s="19"/>
      <c r="VGR49" s="19"/>
      <c r="VGS49" s="19"/>
      <c r="VGT49" s="19"/>
      <c r="VGU49" s="19"/>
      <c r="VGV49" s="21"/>
      <c r="VGW49" s="19"/>
      <c r="VHF49" s="19"/>
      <c r="VHG49" s="19"/>
      <c r="VHH49" s="19"/>
      <c r="VHI49" s="19"/>
      <c r="VHJ49" s="21"/>
      <c r="VHK49" s="19"/>
      <c r="VHT49" s="19"/>
      <c r="VHU49" s="19"/>
      <c r="VHV49" s="19"/>
      <c r="VHW49" s="19"/>
      <c r="VHX49" s="21"/>
      <c r="VHY49" s="19"/>
      <c r="VIH49" s="19"/>
      <c r="VII49" s="19"/>
      <c r="VIJ49" s="19"/>
      <c r="VIK49" s="19"/>
      <c r="VIL49" s="21"/>
      <c r="VIM49" s="19"/>
      <c r="VIV49" s="19"/>
      <c r="VIW49" s="19"/>
      <c r="VIX49" s="19"/>
      <c r="VIY49" s="19"/>
      <c r="VIZ49" s="21"/>
      <c r="VJA49" s="19"/>
      <c r="VJJ49" s="19"/>
      <c r="VJK49" s="19"/>
      <c r="VJL49" s="19"/>
      <c r="VJM49" s="19"/>
      <c r="VJN49" s="21"/>
      <c r="VJO49" s="19"/>
      <c r="VJX49" s="19"/>
      <c r="VJY49" s="19"/>
      <c r="VJZ49" s="19"/>
      <c r="VKA49" s="19"/>
      <c r="VKB49" s="21"/>
      <c r="VKC49" s="19"/>
      <c r="VKL49" s="19"/>
      <c r="VKM49" s="19"/>
      <c r="VKN49" s="19"/>
      <c r="VKO49" s="19"/>
      <c r="VKP49" s="21"/>
      <c r="VKQ49" s="19"/>
      <c r="VKZ49" s="19"/>
      <c r="VLA49" s="19"/>
      <c r="VLB49" s="19"/>
      <c r="VLC49" s="19"/>
      <c r="VLD49" s="21"/>
      <c r="VLE49" s="19"/>
      <c r="VLN49" s="19"/>
      <c r="VLO49" s="19"/>
      <c r="VLP49" s="19"/>
      <c r="VLQ49" s="19"/>
      <c r="VLR49" s="21"/>
      <c r="VLS49" s="19"/>
      <c r="VMB49" s="19"/>
      <c r="VMC49" s="19"/>
      <c r="VMD49" s="19"/>
      <c r="VME49" s="19"/>
      <c r="VMF49" s="21"/>
      <c r="VMG49" s="19"/>
      <c r="VMP49" s="19"/>
      <c r="VMQ49" s="19"/>
      <c r="VMR49" s="19"/>
      <c r="VMS49" s="19"/>
      <c r="VMT49" s="21"/>
      <c r="VMU49" s="19"/>
      <c r="VND49" s="19"/>
      <c r="VNE49" s="19"/>
      <c r="VNF49" s="19"/>
      <c r="VNG49" s="19"/>
      <c r="VNH49" s="21"/>
      <c r="VNI49" s="19"/>
      <c r="VNR49" s="19"/>
      <c r="VNS49" s="19"/>
      <c r="VNT49" s="19"/>
      <c r="VNU49" s="19"/>
      <c r="VNV49" s="21"/>
      <c r="VNW49" s="19"/>
      <c r="VOF49" s="19"/>
      <c r="VOG49" s="19"/>
      <c r="VOH49" s="19"/>
      <c r="VOI49" s="19"/>
      <c r="VOJ49" s="21"/>
      <c r="VOK49" s="19"/>
      <c r="VOT49" s="19"/>
      <c r="VOU49" s="19"/>
      <c r="VOV49" s="19"/>
      <c r="VOW49" s="19"/>
      <c r="VOX49" s="21"/>
      <c r="VOY49" s="19"/>
      <c r="VPH49" s="19"/>
      <c r="VPI49" s="19"/>
      <c r="VPJ49" s="19"/>
      <c r="VPK49" s="19"/>
      <c r="VPL49" s="21"/>
      <c r="VPM49" s="19"/>
      <c r="VPV49" s="19"/>
      <c r="VPW49" s="19"/>
      <c r="VPX49" s="19"/>
      <c r="VPY49" s="19"/>
      <c r="VPZ49" s="21"/>
      <c r="VQA49" s="19"/>
      <c r="VQJ49" s="19"/>
      <c r="VQK49" s="19"/>
      <c r="VQL49" s="19"/>
      <c r="VQM49" s="19"/>
      <c r="VQN49" s="21"/>
      <c r="VQO49" s="19"/>
      <c r="VQX49" s="19"/>
      <c r="VQY49" s="19"/>
      <c r="VQZ49" s="19"/>
      <c r="VRA49" s="19"/>
      <c r="VRB49" s="21"/>
      <c r="VRC49" s="19"/>
      <c r="VRL49" s="19"/>
      <c r="VRM49" s="19"/>
      <c r="VRN49" s="19"/>
      <c r="VRO49" s="19"/>
      <c r="VRP49" s="21"/>
      <c r="VRQ49" s="19"/>
      <c r="VRZ49" s="19"/>
      <c r="VSA49" s="19"/>
      <c r="VSB49" s="19"/>
      <c r="VSC49" s="19"/>
      <c r="VSD49" s="21"/>
      <c r="VSE49" s="19"/>
      <c r="VSN49" s="19"/>
      <c r="VSO49" s="19"/>
      <c r="VSP49" s="19"/>
      <c r="VSQ49" s="19"/>
      <c r="VSR49" s="21"/>
      <c r="VSS49" s="19"/>
      <c r="VTB49" s="19"/>
      <c r="VTC49" s="19"/>
      <c r="VTD49" s="19"/>
      <c r="VTE49" s="19"/>
      <c r="VTF49" s="21"/>
      <c r="VTG49" s="19"/>
      <c r="VTP49" s="19"/>
      <c r="VTQ49" s="19"/>
      <c r="VTR49" s="19"/>
      <c r="VTS49" s="19"/>
      <c r="VTT49" s="21"/>
      <c r="VTU49" s="19"/>
      <c r="VUD49" s="19"/>
      <c r="VUE49" s="19"/>
      <c r="VUF49" s="19"/>
      <c r="VUG49" s="19"/>
      <c r="VUH49" s="21"/>
      <c r="VUI49" s="19"/>
      <c r="VUR49" s="19"/>
      <c r="VUS49" s="19"/>
      <c r="VUT49" s="19"/>
      <c r="VUU49" s="19"/>
      <c r="VUV49" s="21"/>
      <c r="VUW49" s="19"/>
      <c r="VVF49" s="19"/>
      <c r="VVG49" s="19"/>
      <c r="VVH49" s="19"/>
      <c r="VVI49" s="19"/>
      <c r="VVJ49" s="21"/>
      <c r="VVK49" s="19"/>
      <c r="VVT49" s="19"/>
      <c r="VVU49" s="19"/>
      <c r="VVV49" s="19"/>
      <c r="VVW49" s="19"/>
      <c r="VVX49" s="21"/>
      <c r="VVY49" s="19"/>
      <c r="VWH49" s="19"/>
      <c r="VWI49" s="19"/>
      <c r="VWJ49" s="19"/>
      <c r="VWK49" s="19"/>
      <c r="VWL49" s="21"/>
      <c r="VWM49" s="19"/>
      <c r="VWV49" s="19"/>
      <c r="VWW49" s="19"/>
      <c r="VWX49" s="19"/>
      <c r="VWY49" s="19"/>
      <c r="VWZ49" s="21"/>
      <c r="VXA49" s="19"/>
      <c r="VXJ49" s="19"/>
      <c r="VXK49" s="19"/>
      <c r="VXL49" s="19"/>
      <c r="VXM49" s="19"/>
      <c r="VXN49" s="21"/>
      <c r="VXO49" s="19"/>
      <c r="VXX49" s="19"/>
      <c r="VXY49" s="19"/>
      <c r="VXZ49" s="19"/>
      <c r="VYA49" s="19"/>
      <c r="VYB49" s="21"/>
      <c r="VYC49" s="19"/>
      <c r="VYL49" s="19"/>
      <c r="VYM49" s="19"/>
      <c r="VYN49" s="19"/>
      <c r="VYO49" s="19"/>
      <c r="VYP49" s="21"/>
      <c r="VYQ49" s="19"/>
      <c r="VYZ49" s="19"/>
      <c r="VZA49" s="19"/>
      <c r="VZB49" s="19"/>
      <c r="VZC49" s="19"/>
      <c r="VZD49" s="21"/>
      <c r="VZE49" s="19"/>
      <c r="VZN49" s="19"/>
      <c r="VZO49" s="19"/>
      <c r="VZP49" s="19"/>
      <c r="VZQ49" s="19"/>
      <c r="VZR49" s="21"/>
      <c r="VZS49" s="19"/>
      <c r="WAB49" s="19"/>
      <c r="WAC49" s="19"/>
      <c r="WAD49" s="19"/>
      <c r="WAE49" s="19"/>
      <c r="WAF49" s="21"/>
      <c r="WAG49" s="19"/>
      <c r="WAP49" s="19"/>
      <c r="WAQ49" s="19"/>
      <c r="WAR49" s="19"/>
      <c r="WAS49" s="19"/>
      <c r="WAT49" s="21"/>
      <c r="WAU49" s="19"/>
      <c r="WBD49" s="19"/>
      <c r="WBE49" s="19"/>
      <c r="WBF49" s="19"/>
      <c r="WBG49" s="19"/>
      <c r="WBH49" s="21"/>
      <c r="WBI49" s="19"/>
      <c r="WBR49" s="19"/>
      <c r="WBS49" s="19"/>
      <c r="WBT49" s="19"/>
      <c r="WBU49" s="19"/>
      <c r="WBV49" s="21"/>
      <c r="WBW49" s="19"/>
      <c r="WCF49" s="19"/>
      <c r="WCG49" s="19"/>
      <c r="WCH49" s="19"/>
      <c r="WCI49" s="19"/>
      <c r="WCJ49" s="21"/>
      <c r="WCK49" s="19"/>
      <c r="WCT49" s="19"/>
      <c r="WCU49" s="19"/>
      <c r="WCV49" s="19"/>
      <c r="WCW49" s="19"/>
      <c r="WCX49" s="21"/>
      <c r="WCY49" s="19"/>
      <c r="WDH49" s="19"/>
      <c r="WDI49" s="19"/>
      <c r="WDJ49" s="19"/>
      <c r="WDK49" s="19"/>
      <c r="WDL49" s="21"/>
      <c r="WDM49" s="19"/>
      <c r="WDV49" s="19"/>
      <c r="WDW49" s="19"/>
      <c r="WDX49" s="19"/>
      <c r="WDY49" s="19"/>
      <c r="WDZ49" s="21"/>
      <c r="WEA49" s="19"/>
      <c r="WEJ49" s="19"/>
      <c r="WEK49" s="19"/>
      <c r="WEL49" s="19"/>
      <c r="WEM49" s="19"/>
      <c r="WEN49" s="21"/>
      <c r="WEO49" s="19"/>
      <c r="WEX49" s="19"/>
      <c r="WEY49" s="19"/>
      <c r="WEZ49" s="19"/>
      <c r="WFA49" s="19"/>
      <c r="WFB49" s="21"/>
      <c r="WFC49" s="19"/>
      <c r="WFL49" s="19"/>
      <c r="WFM49" s="19"/>
      <c r="WFN49" s="19"/>
      <c r="WFO49" s="19"/>
      <c r="WFP49" s="21"/>
      <c r="WFQ49" s="19"/>
      <c r="WFZ49" s="19"/>
      <c r="WGA49" s="19"/>
      <c r="WGB49" s="19"/>
      <c r="WGC49" s="19"/>
      <c r="WGD49" s="21"/>
      <c r="WGE49" s="19"/>
      <c r="WGN49" s="19"/>
      <c r="WGO49" s="19"/>
      <c r="WGP49" s="19"/>
      <c r="WGQ49" s="19"/>
      <c r="WGR49" s="21"/>
      <c r="WGS49" s="19"/>
      <c r="WHB49" s="19"/>
      <c r="WHC49" s="19"/>
      <c r="WHD49" s="19"/>
      <c r="WHE49" s="19"/>
      <c r="WHF49" s="21"/>
      <c r="WHG49" s="19"/>
      <c r="WHP49" s="19"/>
      <c r="WHQ49" s="19"/>
      <c r="WHR49" s="19"/>
      <c r="WHS49" s="19"/>
      <c r="WHT49" s="21"/>
      <c r="WHU49" s="19"/>
      <c r="WID49" s="19"/>
      <c r="WIE49" s="19"/>
      <c r="WIF49" s="19"/>
      <c r="WIG49" s="19"/>
      <c r="WIH49" s="21"/>
      <c r="WII49" s="19"/>
      <c r="WIR49" s="19"/>
      <c r="WIS49" s="19"/>
      <c r="WIT49" s="19"/>
      <c r="WIU49" s="19"/>
      <c r="WIV49" s="21"/>
      <c r="WIW49" s="19"/>
      <c r="WJF49" s="19"/>
      <c r="WJG49" s="19"/>
      <c r="WJH49" s="19"/>
      <c r="WJI49" s="19"/>
      <c r="WJJ49" s="21"/>
      <c r="WJK49" s="19"/>
      <c r="WJT49" s="19"/>
      <c r="WJU49" s="19"/>
      <c r="WJV49" s="19"/>
      <c r="WJW49" s="19"/>
      <c r="WJX49" s="21"/>
      <c r="WJY49" s="19"/>
      <c r="WKH49" s="19"/>
      <c r="WKI49" s="19"/>
      <c r="WKJ49" s="19"/>
      <c r="WKK49" s="19"/>
      <c r="WKL49" s="21"/>
      <c r="WKM49" s="19"/>
      <c r="WKV49" s="19"/>
      <c r="WKW49" s="19"/>
      <c r="WKX49" s="19"/>
      <c r="WKY49" s="19"/>
      <c r="WKZ49" s="21"/>
      <c r="WLA49" s="19"/>
      <c r="WLJ49" s="19"/>
      <c r="WLK49" s="19"/>
      <c r="WLL49" s="19"/>
      <c r="WLM49" s="19"/>
      <c r="WLN49" s="21"/>
      <c r="WLO49" s="19"/>
      <c r="WLX49" s="19"/>
      <c r="WLY49" s="19"/>
      <c r="WLZ49" s="19"/>
      <c r="WMA49" s="19"/>
      <c r="WMB49" s="21"/>
      <c r="WMC49" s="19"/>
      <c r="WML49" s="19"/>
      <c r="WMM49" s="19"/>
      <c r="WMN49" s="19"/>
      <c r="WMO49" s="19"/>
      <c r="WMP49" s="21"/>
      <c r="WMQ49" s="19"/>
      <c r="WMZ49" s="19"/>
      <c r="WNA49" s="19"/>
      <c r="WNB49" s="19"/>
      <c r="WNC49" s="19"/>
      <c r="WND49" s="21"/>
      <c r="WNE49" s="19"/>
      <c r="WNN49" s="19"/>
      <c r="WNO49" s="19"/>
      <c r="WNP49" s="19"/>
      <c r="WNQ49" s="19"/>
      <c r="WNR49" s="21"/>
      <c r="WNS49" s="19"/>
      <c r="WOB49" s="19"/>
      <c r="WOC49" s="19"/>
      <c r="WOD49" s="19"/>
      <c r="WOE49" s="19"/>
      <c r="WOF49" s="21"/>
      <c r="WOG49" s="19"/>
      <c r="WOP49" s="19"/>
      <c r="WOQ49" s="19"/>
      <c r="WOR49" s="19"/>
      <c r="WOS49" s="19"/>
      <c r="WOT49" s="21"/>
      <c r="WOU49" s="19"/>
      <c r="WPD49" s="19"/>
      <c r="WPE49" s="19"/>
      <c r="WPF49" s="19"/>
      <c r="WPG49" s="19"/>
      <c r="WPH49" s="21"/>
      <c r="WPI49" s="19"/>
      <c r="WPR49" s="19"/>
      <c r="WPS49" s="19"/>
      <c r="WPT49" s="19"/>
      <c r="WPU49" s="19"/>
      <c r="WPV49" s="21"/>
      <c r="WPW49" s="19"/>
      <c r="WQF49" s="19"/>
      <c r="WQG49" s="19"/>
      <c r="WQH49" s="19"/>
      <c r="WQI49" s="19"/>
      <c r="WQJ49" s="21"/>
      <c r="WQK49" s="19"/>
      <c r="WQT49" s="19"/>
      <c r="WQU49" s="19"/>
      <c r="WQV49" s="19"/>
      <c r="WQW49" s="19"/>
      <c r="WQX49" s="21"/>
      <c r="WQY49" s="19"/>
      <c r="WRH49" s="19"/>
      <c r="WRI49" s="19"/>
      <c r="WRJ49" s="19"/>
      <c r="WRK49" s="19"/>
      <c r="WRL49" s="21"/>
      <c r="WRM49" s="19"/>
      <c r="WRV49" s="19"/>
      <c r="WRW49" s="19"/>
      <c r="WRX49" s="19"/>
      <c r="WRY49" s="19"/>
      <c r="WRZ49" s="21"/>
      <c r="WSA49" s="19"/>
      <c r="WSJ49" s="19"/>
      <c r="WSK49" s="19"/>
      <c r="WSL49" s="19"/>
      <c r="WSM49" s="19"/>
      <c r="WSN49" s="21"/>
      <c r="WSO49" s="19"/>
      <c r="WSX49" s="19"/>
      <c r="WSY49" s="19"/>
      <c r="WSZ49" s="19"/>
      <c r="WTA49" s="19"/>
      <c r="WTB49" s="21"/>
      <c r="WTC49" s="19"/>
      <c r="WTL49" s="19"/>
      <c r="WTM49" s="19"/>
      <c r="WTN49" s="19"/>
      <c r="WTO49" s="19"/>
      <c r="WTP49" s="21"/>
      <c r="WTQ49" s="19"/>
      <c r="WTZ49" s="19"/>
      <c r="WUA49" s="19"/>
      <c r="WUB49" s="19"/>
      <c r="WUC49" s="19"/>
      <c r="WUD49" s="21"/>
      <c r="WUE49" s="19"/>
      <c r="WUN49" s="19"/>
      <c r="WUO49" s="19"/>
      <c r="WUP49" s="19"/>
      <c r="WUQ49" s="19"/>
      <c r="WUR49" s="21"/>
      <c r="WUS49" s="19"/>
      <c r="WVB49" s="19"/>
      <c r="WVC49" s="19"/>
      <c r="WVD49" s="19"/>
      <c r="WVE49" s="19"/>
      <c r="WVF49" s="21"/>
      <c r="WVG49" s="19"/>
      <c r="WVP49" s="19"/>
      <c r="WVQ49" s="19"/>
      <c r="WVR49" s="19"/>
      <c r="WVS49" s="19"/>
      <c r="WVT49" s="21"/>
      <c r="WVU49" s="19"/>
      <c r="WWD49" s="19"/>
      <c r="WWE49" s="19"/>
      <c r="WWF49" s="19"/>
      <c r="WWG49" s="19"/>
      <c r="WWH49" s="21"/>
      <c r="WWI49" s="19"/>
      <c r="WWR49" s="19"/>
      <c r="WWS49" s="19"/>
      <c r="WWT49" s="19"/>
      <c r="WWU49" s="19"/>
      <c r="WWV49" s="21"/>
      <c r="WWW49" s="19"/>
      <c r="WXF49" s="19"/>
      <c r="WXG49" s="19"/>
      <c r="WXH49" s="19"/>
      <c r="WXI49" s="19"/>
      <c r="WXJ49" s="21"/>
      <c r="WXK49" s="19"/>
      <c r="WXT49" s="19"/>
      <c r="WXU49" s="19"/>
      <c r="WXV49" s="19"/>
      <c r="WXW49" s="19"/>
      <c r="WXX49" s="21"/>
      <c r="WXY49" s="19"/>
      <c r="WYH49" s="19"/>
      <c r="WYI49" s="19"/>
      <c r="WYJ49" s="19"/>
      <c r="WYK49" s="19"/>
      <c r="WYL49" s="21"/>
      <c r="WYM49" s="19"/>
      <c r="WYV49" s="19"/>
      <c r="WYW49" s="19"/>
      <c r="WYX49" s="19"/>
      <c r="WYY49" s="19"/>
      <c r="WYZ49" s="21"/>
      <c r="WZA49" s="19"/>
      <c r="WZJ49" s="19"/>
      <c r="WZK49" s="19"/>
      <c r="WZL49" s="19"/>
      <c r="WZM49" s="19"/>
      <c r="WZN49" s="21"/>
      <c r="WZO49" s="19"/>
      <c r="WZX49" s="19"/>
      <c r="WZY49" s="19"/>
      <c r="WZZ49" s="19"/>
      <c r="XAA49" s="19"/>
      <c r="XAB49" s="21"/>
      <c r="XAC49" s="19"/>
      <c r="XAL49" s="19"/>
      <c r="XAM49" s="19"/>
      <c r="XAN49" s="19"/>
      <c r="XAO49" s="19"/>
      <c r="XAP49" s="21"/>
      <c r="XAQ49" s="19"/>
      <c r="XAZ49" s="19"/>
      <c r="XBA49" s="19"/>
      <c r="XBB49" s="19"/>
      <c r="XBC49" s="19"/>
      <c r="XBD49" s="21"/>
      <c r="XBE49" s="19"/>
      <c r="XBN49" s="19"/>
      <c r="XBO49" s="19"/>
      <c r="XBP49" s="19"/>
      <c r="XBQ49" s="19"/>
      <c r="XBR49" s="21"/>
      <c r="XBS49" s="19"/>
      <c r="XCB49" s="19"/>
      <c r="XCC49" s="19"/>
      <c r="XCD49" s="19"/>
      <c r="XCE49" s="19"/>
      <c r="XCF49" s="21"/>
      <c r="XCG49" s="19"/>
      <c r="XCP49" s="19"/>
      <c r="XCQ49" s="19"/>
      <c r="XCR49" s="19"/>
      <c r="XCS49" s="19"/>
      <c r="XCT49" s="21"/>
      <c r="XCU49" s="19"/>
      <c r="XDD49" s="19"/>
      <c r="XDE49" s="19"/>
      <c r="XDF49" s="19"/>
      <c r="XDG49" s="19"/>
      <c r="XDH49" s="21"/>
      <c r="XDI49" s="19"/>
      <c r="XDR49" s="19"/>
      <c r="XDS49" s="19"/>
      <c r="XDT49" s="19"/>
      <c r="XDU49" s="19"/>
      <c r="XDV49" s="21"/>
      <c r="XDW49" s="19"/>
      <c r="XEF49" s="19"/>
      <c r="XEG49" s="19"/>
      <c r="XEH49" s="19"/>
      <c r="XEI49" s="19"/>
      <c r="XEJ49" s="21"/>
      <c r="XEK49" s="19"/>
    </row>
    <row r="50" spans="1:1021 1030:2043 2052:3065 3074:7167 7176:8189 8198:9211 9220:10233 10242:14335 14344:15357 15366:16365" s="20" customFormat="1">
      <c r="A50" s="19">
        <v>4</v>
      </c>
      <c r="B50" s="20">
        <v>1</v>
      </c>
      <c r="C50" s="20" t="s">
        <v>122</v>
      </c>
      <c r="D50" s="20">
        <v>10</v>
      </c>
      <c r="E50" s="20">
        <v>4</v>
      </c>
      <c r="F50" s="20">
        <v>3</v>
      </c>
      <c r="G50" s="20">
        <v>1</v>
      </c>
      <c r="H50" s="20">
        <v>0</v>
      </c>
      <c r="I50" s="20">
        <v>15</v>
      </c>
      <c r="J50" s="20">
        <v>5</v>
      </c>
      <c r="K50" s="20">
        <v>10</v>
      </c>
      <c r="L50" s="27"/>
      <c r="M50" s="19"/>
      <c r="V50" s="19"/>
      <c r="W50" s="19"/>
      <c r="X50" s="19"/>
      <c r="Y50" s="19"/>
      <c r="Z50" s="21"/>
      <c r="AA50" s="19"/>
      <c r="AJ50" s="19"/>
      <c r="AK50" s="19"/>
      <c r="AL50" s="19"/>
      <c r="AM50" s="19"/>
      <c r="AN50" s="21"/>
      <c r="AO50" s="19"/>
      <c r="AX50" s="19"/>
      <c r="AY50" s="19"/>
      <c r="AZ50" s="19"/>
      <c r="BA50" s="19"/>
      <c r="BB50" s="21"/>
      <c r="BC50" s="19"/>
      <c r="BL50" s="19"/>
      <c r="BM50" s="19"/>
      <c r="BN50" s="19"/>
      <c r="BO50" s="19"/>
      <c r="BP50" s="21"/>
      <c r="BQ50" s="19"/>
      <c r="BZ50" s="19"/>
      <c r="CA50" s="19"/>
      <c r="CB50" s="19"/>
      <c r="CC50" s="19"/>
      <c r="CD50" s="21"/>
      <c r="CE50" s="19"/>
      <c r="CN50" s="19"/>
      <c r="CO50" s="19"/>
      <c r="CP50" s="19"/>
      <c r="CQ50" s="19"/>
      <c r="CR50" s="21"/>
      <c r="CS50" s="19"/>
      <c r="DB50" s="19"/>
      <c r="DC50" s="19"/>
      <c r="DD50" s="19"/>
      <c r="DE50" s="19"/>
      <c r="DF50" s="21"/>
      <c r="DG50" s="19"/>
      <c r="DP50" s="19"/>
      <c r="DQ50" s="19"/>
      <c r="DR50" s="19"/>
      <c r="DS50" s="19"/>
      <c r="DT50" s="21"/>
      <c r="DU50" s="19"/>
      <c r="ED50" s="19"/>
      <c r="EE50" s="19"/>
      <c r="EF50" s="19"/>
      <c r="EG50" s="19"/>
      <c r="EH50" s="21"/>
      <c r="EI50" s="19"/>
      <c r="ER50" s="19"/>
      <c r="ES50" s="19"/>
      <c r="ET50" s="19"/>
      <c r="EU50" s="19"/>
      <c r="EV50" s="21"/>
      <c r="EW50" s="19"/>
      <c r="FF50" s="19"/>
      <c r="FG50" s="19"/>
      <c r="FH50" s="19"/>
      <c r="FI50" s="19"/>
      <c r="FJ50" s="21"/>
      <c r="FK50" s="19"/>
      <c r="FT50" s="19"/>
      <c r="FU50" s="19"/>
      <c r="FV50" s="19"/>
      <c r="FW50" s="19"/>
      <c r="FX50" s="21"/>
      <c r="FY50" s="19"/>
      <c r="GH50" s="19"/>
      <c r="GI50" s="19"/>
      <c r="GJ50" s="19"/>
      <c r="GK50" s="19"/>
      <c r="GL50" s="21"/>
      <c r="GM50" s="19"/>
      <c r="GV50" s="19"/>
      <c r="GW50" s="19"/>
      <c r="GX50" s="19"/>
      <c r="GY50" s="19"/>
      <c r="GZ50" s="21"/>
      <c r="HA50" s="19"/>
      <c r="HJ50" s="19"/>
      <c r="HK50" s="19"/>
      <c r="HL50" s="19"/>
      <c r="HM50" s="19"/>
      <c r="HN50" s="21"/>
      <c r="HO50" s="19"/>
      <c r="HX50" s="19"/>
      <c r="HY50" s="19"/>
      <c r="HZ50" s="19"/>
      <c r="IA50" s="19"/>
      <c r="IB50" s="21"/>
      <c r="IC50" s="19"/>
      <c r="IL50" s="19"/>
      <c r="IM50" s="19"/>
      <c r="IN50" s="19"/>
      <c r="IO50" s="19"/>
      <c r="IP50" s="21"/>
      <c r="IQ50" s="19"/>
      <c r="IZ50" s="19"/>
      <c r="JA50" s="19"/>
      <c r="JB50" s="19"/>
      <c r="JC50" s="19"/>
      <c r="JD50" s="21"/>
      <c r="JE50" s="19"/>
      <c r="JN50" s="19"/>
      <c r="JO50" s="19"/>
      <c r="JP50" s="19"/>
      <c r="JQ50" s="19"/>
      <c r="JR50" s="21"/>
      <c r="JS50" s="19"/>
      <c r="KB50" s="19"/>
      <c r="KC50" s="19"/>
      <c r="KD50" s="19"/>
      <c r="KE50" s="19"/>
      <c r="KF50" s="21"/>
      <c r="KG50" s="19"/>
      <c r="KP50" s="19"/>
      <c r="KQ50" s="19"/>
      <c r="KR50" s="19"/>
      <c r="KS50" s="19"/>
      <c r="KT50" s="21"/>
      <c r="KU50" s="19"/>
      <c r="LD50" s="19"/>
      <c r="LE50" s="19"/>
      <c r="LF50" s="19"/>
      <c r="LG50" s="19"/>
      <c r="LH50" s="21"/>
      <c r="LI50" s="19"/>
      <c r="LR50" s="19"/>
      <c r="LS50" s="19"/>
      <c r="LT50" s="19"/>
      <c r="LU50" s="19"/>
      <c r="LV50" s="21"/>
      <c r="LW50" s="19"/>
      <c r="MF50" s="19"/>
      <c r="MG50" s="19"/>
      <c r="MH50" s="19"/>
      <c r="MI50" s="19"/>
      <c r="MJ50" s="21"/>
      <c r="MK50" s="19"/>
      <c r="MT50" s="19"/>
      <c r="MU50" s="19"/>
      <c r="MV50" s="19"/>
      <c r="MW50" s="19"/>
      <c r="MX50" s="21"/>
      <c r="MY50" s="19"/>
      <c r="NH50" s="19"/>
      <c r="NI50" s="19"/>
      <c r="NJ50" s="19"/>
      <c r="NK50" s="19"/>
      <c r="NL50" s="21"/>
      <c r="NM50" s="19"/>
      <c r="NV50" s="19"/>
      <c r="NW50" s="19"/>
      <c r="NX50" s="19"/>
      <c r="NY50" s="19"/>
      <c r="NZ50" s="21"/>
      <c r="OA50" s="19"/>
      <c r="OJ50" s="19"/>
      <c r="OK50" s="19"/>
      <c r="OL50" s="19"/>
      <c r="OM50" s="19"/>
      <c r="ON50" s="21"/>
      <c r="OO50" s="19"/>
      <c r="OX50" s="19"/>
      <c r="OY50" s="19"/>
      <c r="OZ50" s="19"/>
      <c r="PA50" s="19"/>
      <c r="PB50" s="21"/>
      <c r="PC50" s="19"/>
      <c r="PL50" s="19"/>
      <c r="PM50" s="19"/>
      <c r="PN50" s="19"/>
      <c r="PO50" s="19"/>
      <c r="PP50" s="21"/>
      <c r="PQ50" s="19"/>
      <c r="PZ50" s="19"/>
      <c r="QA50" s="19"/>
      <c r="QB50" s="19"/>
      <c r="QC50" s="19"/>
      <c r="QD50" s="21"/>
      <c r="QE50" s="19"/>
      <c r="QN50" s="19"/>
      <c r="QO50" s="19"/>
      <c r="QP50" s="19"/>
      <c r="QQ50" s="19"/>
      <c r="QR50" s="21"/>
      <c r="QS50" s="19"/>
      <c r="RB50" s="19"/>
      <c r="RC50" s="19"/>
      <c r="RD50" s="19"/>
      <c r="RE50" s="19"/>
      <c r="RF50" s="21"/>
      <c r="RG50" s="19"/>
      <c r="RP50" s="19"/>
      <c r="RQ50" s="19"/>
      <c r="RR50" s="19"/>
      <c r="RS50" s="19"/>
      <c r="RT50" s="21"/>
      <c r="RU50" s="19"/>
      <c r="SD50" s="19"/>
      <c r="SE50" s="19"/>
      <c r="SF50" s="19"/>
      <c r="SG50" s="19"/>
      <c r="SH50" s="21"/>
      <c r="SI50" s="19"/>
      <c r="SR50" s="19"/>
      <c r="SS50" s="19"/>
      <c r="ST50" s="19"/>
      <c r="SU50" s="19"/>
      <c r="SV50" s="21"/>
      <c r="SW50" s="19"/>
      <c r="TF50" s="19"/>
      <c r="TG50" s="19"/>
      <c r="TH50" s="19"/>
      <c r="TI50" s="19"/>
      <c r="TJ50" s="21"/>
      <c r="TK50" s="19"/>
      <c r="TT50" s="19"/>
      <c r="TU50" s="19"/>
      <c r="TV50" s="19"/>
      <c r="TW50" s="19"/>
      <c r="TX50" s="21"/>
      <c r="TY50" s="19"/>
      <c r="UH50" s="19"/>
      <c r="UI50" s="19"/>
      <c r="UJ50" s="19"/>
      <c r="UK50" s="19"/>
      <c r="UL50" s="21"/>
      <c r="UM50" s="19"/>
      <c r="UV50" s="19"/>
      <c r="UW50" s="19"/>
      <c r="UX50" s="19"/>
      <c r="UY50" s="19"/>
      <c r="UZ50" s="21"/>
      <c r="VA50" s="19"/>
      <c r="VJ50" s="19"/>
      <c r="VK50" s="19"/>
      <c r="VL50" s="19"/>
      <c r="VM50" s="19"/>
      <c r="VN50" s="21"/>
      <c r="VO50" s="19"/>
      <c r="VX50" s="19"/>
      <c r="VY50" s="19"/>
      <c r="VZ50" s="19"/>
      <c r="WA50" s="19"/>
      <c r="WB50" s="21"/>
      <c r="WC50" s="19"/>
      <c r="WL50" s="19"/>
      <c r="WM50" s="19"/>
      <c r="WN50" s="19"/>
      <c r="WO50" s="19"/>
      <c r="WP50" s="21"/>
      <c r="WQ50" s="19"/>
      <c r="WZ50" s="19"/>
      <c r="XA50" s="19"/>
      <c r="XB50" s="19"/>
      <c r="XC50" s="19"/>
      <c r="XD50" s="21"/>
      <c r="XE50" s="19"/>
      <c r="XN50" s="19"/>
      <c r="XO50" s="19"/>
      <c r="XP50" s="19"/>
      <c r="XQ50" s="19"/>
      <c r="XR50" s="21"/>
      <c r="XS50" s="19"/>
      <c r="YB50" s="19"/>
      <c r="YC50" s="19"/>
      <c r="YD50" s="19"/>
      <c r="YE50" s="19"/>
      <c r="YF50" s="21"/>
      <c r="YG50" s="19"/>
      <c r="YP50" s="19"/>
      <c r="YQ50" s="19"/>
      <c r="YR50" s="19"/>
      <c r="YS50" s="19"/>
      <c r="YT50" s="21"/>
      <c r="YU50" s="19"/>
      <c r="ZD50" s="19"/>
      <c r="ZE50" s="19"/>
      <c r="ZF50" s="19"/>
      <c r="ZG50" s="19"/>
      <c r="ZH50" s="21"/>
      <c r="ZI50" s="19"/>
      <c r="ZR50" s="19"/>
      <c r="ZS50" s="19"/>
      <c r="ZT50" s="19"/>
      <c r="ZU50" s="19"/>
      <c r="ZV50" s="21"/>
      <c r="ZW50" s="19"/>
      <c r="AAF50" s="19"/>
      <c r="AAG50" s="19"/>
      <c r="AAH50" s="19"/>
      <c r="AAI50" s="19"/>
      <c r="AAJ50" s="21"/>
      <c r="AAK50" s="19"/>
      <c r="AAT50" s="19"/>
      <c r="AAU50" s="19"/>
      <c r="AAV50" s="19"/>
      <c r="AAW50" s="19"/>
      <c r="AAX50" s="21"/>
      <c r="AAY50" s="19"/>
      <c r="ABH50" s="19"/>
      <c r="ABI50" s="19"/>
      <c r="ABJ50" s="19"/>
      <c r="ABK50" s="19"/>
      <c r="ABL50" s="21"/>
      <c r="ABM50" s="19"/>
      <c r="ABV50" s="19"/>
      <c r="ABW50" s="19"/>
      <c r="ABX50" s="19"/>
      <c r="ABY50" s="19"/>
      <c r="ABZ50" s="21"/>
      <c r="ACA50" s="19"/>
      <c r="ACJ50" s="19"/>
      <c r="ACK50" s="19"/>
      <c r="ACL50" s="19"/>
      <c r="ACM50" s="19"/>
      <c r="ACN50" s="21"/>
      <c r="ACO50" s="19"/>
      <c r="ACX50" s="19"/>
      <c r="ACY50" s="19"/>
      <c r="ACZ50" s="19"/>
      <c r="ADA50" s="19"/>
      <c r="ADB50" s="21"/>
      <c r="ADC50" s="19"/>
      <c r="ADL50" s="19"/>
      <c r="ADM50" s="19"/>
      <c r="ADN50" s="19"/>
      <c r="ADO50" s="19"/>
      <c r="ADP50" s="21"/>
      <c r="ADQ50" s="19"/>
      <c r="ADZ50" s="19"/>
      <c r="AEA50" s="19"/>
      <c r="AEB50" s="19"/>
      <c r="AEC50" s="19"/>
      <c r="AED50" s="21"/>
      <c r="AEE50" s="19"/>
      <c r="AEN50" s="19"/>
      <c r="AEO50" s="19"/>
      <c r="AEP50" s="19"/>
      <c r="AEQ50" s="19"/>
      <c r="AER50" s="21"/>
      <c r="AES50" s="19"/>
      <c r="AFB50" s="19"/>
      <c r="AFC50" s="19"/>
      <c r="AFD50" s="19"/>
      <c r="AFE50" s="19"/>
      <c r="AFF50" s="21"/>
      <c r="AFG50" s="19"/>
      <c r="AFP50" s="19"/>
      <c r="AFQ50" s="19"/>
      <c r="AFR50" s="19"/>
      <c r="AFS50" s="19"/>
      <c r="AFT50" s="21"/>
      <c r="AFU50" s="19"/>
      <c r="AGD50" s="19"/>
      <c r="AGE50" s="19"/>
      <c r="AGF50" s="19"/>
      <c r="AGG50" s="19"/>
      <c r="AGH50" s="21"/>
      <c r="AGI50" s="19"/>
      <c r="AGR50" s="19"/>
      <c r="AGS50" s="19"/>
      <c r="AGT50" s="19"/>
      <c r="AGU50" s="19"/>
      <c r="AGV50" s="21"/>
      <c r="AGW50" s="19"/>
      <c r="AHF50" s="19"/>
      <c r="AHG50" s="19"/>
      <c r="AHH50" s="19"/>
      <c r="AHI50" s="19"/>
      <c r="AHJ50" s="21"/>
      <c r="AHK50" s="19"/>
      <c r="AHT50" s="19"/>
      <c r="AHU50" s="19"/>
      <c r="AHV50" s="19"/>
      <c r="AHW50" s="19"/>
      <c r="AHX50" s="21"/>
      <c r="AHY50" s="19"/>
      <c r="AIH50" s="19"/>
      <c r="AII50" s="19"/>
      <c r="AIJ50" s="19"/>
      <c r="AIK50" s="19"/>
      <c r="AIL50" s="21"/>
      <c r="AIM50" s="19"/>
      <c r="AIV50" s="19"/>
      <c r="AIW50" s="19"/>
      <c r="AIX50" s="19"/>
      <c r="AIY50" s="19"/>
      <c r="AIZ50" s="21"/>
      <c r="AJA50" s="19"/>
      <c r="AJJ50" s="19"/>
      <c r="AJK50" s="19"/>
      <c r="AJL50" s="19"/>
      <c r="AJM50" s="19"/>
      <c r="AJN50" s="21"/>
      <c r="AJO50" s="19"/>
      <c r="AJX50" s="19"/>
      <c r="AJY50" s="19"/>
      <c r="AJZ50" s="19"/>
      <c r="AKA50" s="19"/>
      <c r="AKB50" s="21"/>
      <c r="AKC50" s="19"/>
      <c r="AKL50" s="19"/>
      <c r="AKM50" s="19"/>
      <c r="AKN50" s="19"/>
      <c r="AKO50" s="19"/>
      <c r="AKP50" s="21"/>
      <c r="AKQ50" s="19"/>
      <c r="AKZ50" s="19"/>
      <c r="ALA50" s="19"/>
      <c r="ALB50" s="19"/>
      <c r="ALC50" s="19"/>
      <c r="ALD50" s="21"/>
      <c r="ALE50" s="19"/>
      <c r="ALN50" s="19"/>
      <c r="ALO50" s="19"/>
      <c r="ALP50" s="19"/>
      <c r="ALQ50" s="19"/>
      <c r="ALR50" s="21"/>
      <c r="ALS50" s="19"/>
      <c r="AMB50" s="19"/>
      <c r="AMC50" s="19"/>
      <c r="AMD50" s="19"/>
      <c r="AME50" s="19"/>
      <c r="AMF50" s="21"/>
      <c r="AMG50" s="19"/>
      <c r="AMP50" s="19"/>
      <c r="AMQ50" s="19"/>
      <c r="AMR50" s="19"/>
      <c r="AMS50" s="19"/>
      <c r="AMT50" s="21"/>
      <c r="AMU50" s="19"/>
      <c r="AND50" s="19"/>
      <c r="ANE50" s="19"/>
      <c r="ANF50" s="19"/>
      <c r="ANG50" s="19"/>
      <c r="ANH50" s="21"/>
      <c r="ANI50" s="19"/>
      <c r="ANR50" s="19"/>
      <c r="ANS50" s="19"/>
      <c r="ANT50" s="19"/>
      <c r="ANU50" s="19"/>
      <c r="ANV50" s="21"/>
      <c r="ANW50" s="19"/>
      <c r="AOF50" s="19"/>
      <c r="AOG50" s="19"/>
      <c r="AOH50" s="19"/>
      <c r="AOI50" s="19"/>
      <c r="AOJ50" s="21"/>
      <c r="AOK50" s="19"/>
      <c r="AOT50" s="19"/>
      <c r="AOU50" s="19"/>
      <c r="AOV50" s="19"/>
      <c r="AOW50" s="19"/>
      <c r="AOX50" s="21"/>
      <c r="AOY50" s="19"/>
      <c r="APH50" s="19"/>
      <c r="API50" s="19"/>
      <c r="APJ50" s="19"/>
      <c r="APK50" s="19"/>
      <c r="APL50" s="21"/>
      <c r="APM50" s="19"/>
      <c r="APV50" s="19"/>
      <c r="APW50" s="19"/>
      <c r="APX50" s="19"/>
      <c r="APY50" s="19"/>
      <c r="APZ50" s="21"/>
      <c r="AQA50" s="19"/>
      <c r="AQJ50" s="19"/>
      <c r="AQK50" s="19"/>
      <c r="AQL50" s="19"/>
      <c r="AQM50" s="19"/>
      <c r="AQN50" s="21"/>
      <c r="AQO50" s="19"/>
      <c r="AQX50" s="19"/>
      <c r="AQY50" s="19"/>
      <c r="AQZ50" s="19"/>
      <c r="ARA50" s="19"/>
      <c r="ARB50" s="21"/>
      <c r="ARC50" s="19"/>
      <c r="ARL50" s="19"/>
      <c r="ARM50" s="19"/>
      <c r="ARN50" s="19"/>
      <c r="ARO50" s="19"/>
      <c r="ARP50" s="21"/>
      <c r="ARQ50" s="19"/>
      <c r="ARZ50" s="19"/>
      <c r="ASA50" s="19"/>
      <c r="ASB50" s="19"/>
      <c r="ASC50" s="19"/>
      <c r="ASD50" s="21"/>
      <c r="ASE50" s="19"/>
      <c r="ASN50" s="19"/>
      <c r="ASO50" s="19"/>
      <c r="ASP50" s="19"/>
      <c r="ASQ50" s="19"/>
      <c r="ASR50" s="21"/>
      <c r="ASS50" s="19"/>
      <c r="ATB50" s="19"/>
      <c r="ATC50" s="19"/>
      <c r="ATD50" s="19"/>
      <c r="ATE50" s="19"/>
      <c r="ATF50" s="21"/>
      <c r="ATG50" s="19"/>
      <c r="ATP50" s="19"/>
      <c r="ATQ50" s="19"/>
      <c r="ATR50" s="19"/>
      <c r="ATS50" s="19"/>
      <c r="ATT50" s="21"/>
      <c r="ATU50" s="19"/>
      <c r="AUD50" s="19"/>
      <c r="AUE50" s="19"/>
      <c r="AUF50" s="19"/>
      <c r="AUG50" s="19"/>
      <c r="AUH50" s="21"/>
      <c r="AUI50" s="19"/>
      <c r="AUR50" s="19"/>
      <c r="AUS50" s="19"/>
      <c r="AUT50" s="19"/>
      <c r="AUU50" s="19"/>
      <c r="AUV50" s="21"/>
      <c r="AUW50" s="19"/>
      <c r="AVF50" s="19"/>
      <c r="AVG50" s="19"/>
      <c r="AVH50" s="19"/>
      <c r="AVI50" s="19"/>
      <c r="AVJ50" s="21"/>
      <c r="AVK50" s="19"/>
      <c r="AVT50" s="19"/>
      <c r="AVU50" s="19"/>
      <c r="AVV50" s="19"/>
      <c r="AVW50" s="19"/>
      <c r="AVX50" s="21"/>
      <c r="AVY50" s="19"/>
      <c r="AWH50" s="19"/>
      <c r="AWI50" s="19"/>
      <c r="AWJ50" s="19"/>
      <c r="AWK50" s="19"/>
      <c r="AWL50" s="21"/>
      <c r="AWM50" s="19"/>
      <c r="AWV50" s="19"/>
      <c r="AWW50" s="19"/>
      <c r="AWX50" s="19"/>
      <c r="AWY50" s="19"/>
      <c r="AWZ50" s="21"/>
      <c r="AXA50" s="19"/>
      <c r="AXJ50" s="19"/>
      <c r="AXK50" s="19"/>
      <c r="AXL50" s="19"/>
      <c r="AXM50" s="19"/>
      <c r="AXN50" s="21"/>
      <c r="AXO50" s="19"/>
      <c r="AXX50" s="19"/>
      <c r="AXY50" s="19"/>
      <c r="AXZ50" s="19"/>
      <c r="AYA50" s="19"/>
      <c r="AYB50" s="21"/>
      <c r="AYC50" s="19"/>
      <c r="AYL50" s="19"/>
      <c r="AYM50" s="19"/>
      <c r="AYN50" s="19"/>
      <c r="AYO50" s="19"/>
      <c r="AYP50" s="21"/>
      <c r="AYQ50" s="19"/>
      <c r="AYZ50" s="19"/>
      <c r="AZA50" s="19"/>
      <c r="AZB50" s="19"/>
      <c r="AZC50" s="19"/>
      <c r="AZD50" s="21"/>
      <c r="AZE50" s="19"/>
      <c r="AZN50" s="19"/>
      <c r="AZO50" s="19"/>
      <c r="AZP50" s="19"/>
      <c r="AZQ50" s="19"/>
      <c r="AZR50" s="21"/>
      <c r="AZS50" s="19"/>
      <c r="BAB50" s="19"/>
      <c r="BAC50" s="19"/>
      <c r="BAD50" s="19"/>
      <c r="BAE50" s="19"/>
      <c r="BAF50" s="21"/>
      <c r="BAG50" s="19"/>
      <c r="BAP50" s="19"/>
      <c r="BAQ50" s="19"/>
      <c r="BAR50" s="19"/>
      <c r="BAS50" s="19"/>
      <c r="BAT50" s="21"/>
      <c r="BAU50" s="19"/>
      <c r="BBD50" s="19"/>
      <c r="BBE50" s="19"/>
      <c r="BBF50" s="19"/>
      <c r="BBG50" s="19"/>
      <c r="BBH50" s="21"/>
      <c r="BBI50" s="19"/>
      <c r="BBR50" s="19"/>
      <c r="BBS50" s="19"/>
      <c r="BBT50" s="19"/>
      <c r="BBU50" s="19"/>
      <c r="BBV50" s="21"/>
      <c r="BBW50" s="19"/>
      <c r="BCF50" s="19"/>
      <c r="BCG50" s="19"/>
      <c r="BCH50" s="19"/>
      <c r="BCI50" s="19"/>
      <c r="BCJ50" s="21"/>
      <c r="BCK50" s="19"/>
      <c r="BCT50" s="19"/>
      <c r="BCU50" s="19"/>
      <c r="BCV50" s="19"/>
      <c r="BCW50" s="19"/>
      <c r="BCX50" s="21"/>
      <c r="BCY50" s="19"/>
      <c r="BDH50" s="19"/>
      <c r="BDI50" s="19"/>
      <c r="BDJ50" s="19"/>
      <c r="BDK50" s="19"/>
      <c r="BDL50" s="21"/>
      <c r="BDM50" s="19"/>
      <c r="BDV50" s="19"/>
      <c r="BDW50" s="19"/>
      <c r="BDX50" s="19"/>
      <c r="BDY50" s="19"/>
      <c r="BDZ50" s="21"/>
      <c r="BEA50" s="19"/>
      <c r="BEJ50" s="19"/>
      <c r="BEK50" s="19"/>
      <c r="BEL50" s="19"/>
      <c r="BEM50" s="19"/>
      <c r="BEN50" s="21"/>
      <c r="BEO50" s="19"/>
      <c r="BEX50" s="19"/>
      <c r="BEY50" s="19"/>
      <c r="BEZ50" s="19"/>
      <c r="BFA50" s="19"/>
      <c r="BFB50" s="21"/>
      <c r="BFC50" s="19"/>
      <c r="BFL50" s="19"/>
      <c r="BFM50" s="19"/>
      <c r="BFN50" s="19"/>
      <c r="BFO50" s="19"/>
      <c r="BFP50" s="21"/>
      <c r="BFQ50" s="19"/>
      <c r="BFZ50" s="19"/>
      <c r="BGA50" s="19"/>
      <c r="BGB50" s="19"/>
      <c r="BGC50" s="19"/>
      <c r="BGD50" s="21"/>
      <c r="BGE50" s="19"/>
      <c r="BGN50" s="19"/>
      <c r="BGO50" s="19"/>
      <c r="BGP50" s="19"/>
      <c r="BGQ50" s="19"/>
      <c r="BGR50" s="21"/>
      <c r="BGS50" s="19"/>
      <c r="BHB50" s="19"/>
      <c r="BHC50" s="19"/>
      <c r="BHD50" s="19"/>
      <c r="BHE50" s="19"/>
      <c r="BHF50" s="21"/>
      <c r="BHG50" s="19"/>
      <c r="BHP50" s="19"/>
      <c r="BHQ50" s="19"/>
      <c r="BHR50" s="19"/>
      <c r="BHS50" s="19"/>
      <c r="BHT50" s="21"/>
      <c r="BHU50" s="19"/>
      <c r="BID50" s="19"/>
      <c r="BIE50" s="19"/>
      <c r="BIF50" s="19"/>
      <c r="BIG50" s="19"/>
      <c r="BIH50" s="21"/>
      <c r="BII50" s="19"/>
      <c r="BIR50" s="19"/>
      <c r="BIS50" s="19"/>
      <c r="BIT50" s="19"/>
      <c r="BIU50" s="19"/>
      <c r="BIV50" s="21"/>
      <c r="BIW50" s="19"/>
      <c r="BJF50" s="19"/>
      <c r="BJG50" s="19"/>
      <c r="BJH50" s="19"/>
      <c r="BJI50" s="19"/>
      <c r="BJJ50" s="21"/>
      <c r="BJK50" s="19"/>
      <c r="BJT50" s="19"/>
      <c r="BJU50" s="19"/>
      <c r="BJV50" s="19"/>
      <c r="BJW50" s="19"/>
      <c r="BJX50" s="21"/>
      <c r="BJY50" s="19"/>
      <c r="BKH50" s="19"/>
      <c r="BKI50" s="19"/>
      <c r="BKJ50" s="19"/>
      <c r="BKK50" s="19"/>
      <c r="BKL50" s="21"/>
      <c r="BKM50" s="19"/>
      <c r="BKV50" s="19"/>
      <c r="BKW50" s="19"/>
      <c r="BKX50" s="19"/>
      <c r="BKY50" s="19"/>
      <c r="BKZ50" s="21"/>
      <c r="BLA50" s="19"/>
      <c r="BLJ50" s="19"/>
      <c r="BLK50" s="19"/>
      <c r="BLL50" s="19"/>
      <c r="BLM50" s="19"/>
      <c r="BLN50" s="21"/>
      <c r="BLO50" s="19"/>
      <c r="BLX50" s="19"/>
      <c r="BLY50" s="19"/>
      <c r="BLZ50" s="19"/>
      <c r="BMA50" s="19"/>
      <c r="BMB50" s="21"/>
      <c r="BMC50" s="19"/>
      <c r="BML50" s="19"/>
      <c r="BMM50" s="19"/>
      <c r="BMN50" s="19"/>
      <c r="BMO50" s="19"/>
      <c r="BMP50" s="21"/>
      <c r="BMQ50" s="19"/>
      <c r="BMZ50" s="19"/>
      <c r="BNA50" s="19"/>
      <c r="BNB50" s="19"/>
      <c r="BNC50" s="19"/>
      <c r="BND50" s="21"/>
      <c r="BNE50" s="19"/>
      <c r="BNN50" s="19"/>
      <c r="BNO50" s="19"/>
      <c r="BNP50" s="19"/>
      <c r="BNQ50" s="19"/>
      <c r="BNR50" s="21"/>
      <c r="BNS50" s="19"/>
      <c r="BOB50" s="19"/>
      <c r="BOC50" s="19"/>
      <c r="BOD50" s="19"/>
      <c r="BOE50" s="19"/>
      <c r="BOF50" s="21"/>
      <c r="BOG50" s="19"/>
      <c r="BOP50" s="19"/>
      <c r="BOQ50" s="19"/>
      <c r="BOR50" s="19"/>
      <c r="BOS50" s="19"/>
      <c r="BOT50" s="21"/>
      <c r="BOU50" s="19"/>
      <c r="BPD50" s="19"/>
      <c r="BPE50" s="19"/>
      <c r="BPF50" s="19"/>
      <c r="BPG50" s="19"/>
      <c r="BPH50" s="21"/>
      <c r="BPI50" s="19"/>
      <c r="BPR50" s="19"/>
      <c r="BPS50" s="19"/>
      <c r="BPT50" s="19"/>
      <c r="BPU50" s="19"/>
      <c r="BPV50" s="21"/>
      <c r="BPW50" s="19"/>
      <c r="BQF50" s="19"/>
      <c r="BQG50" s="19"/>
      <c r="BQH50" s="19"/>
      <c r="BQI50" s="19"/>
      <c r="BQJ50" s="21"/>
      <c r="BQK50" s="19"/>
      <c r="BQT50" s="19"/>
      <c r="BQU50" s="19"/>
      <c r="BQV50" s="19"/>
      <c r="BQW50" s="19"/>
      <c r="BQX50" s="21"/>
      <c r="BQY50" s="19"/>
      <c r="BRH50" s="19"/>
      <c r="BRI50" s="19"/>
      <c r="BRJ50" s="19"/>
      <c r="BRK50" s="19"/>
      <c r="BRL50" s="21"/>
      <c r="BRM50" s="19"/>
      <c r="BRV50" s="19"/>
      <c r="BRW50" s="19"/>
      <c r="BRX50" s="19"/>
      <c r="BRY50" s="19"/>
      <c r="BRZ50" s="21"/>
      <c r="BSA50" s="19"/>
      <c r="BSJ50" s="19"/>
      <c r="BSK50" s="19"/>
      <c r="BSL50" s="19"/>
      <c r="BSM50" s="19"/>
      <c r="BSN50" s="21"/>
      <c r="BSO50" s="19"/>
      <c r="BSX50" s="19"/>
      <c r="BSY50" s="19"/>
      <c r="BSZ50" s="19"/>
      <c r="BTA50" s="19"/>
      <c r="BTB50" s="21"/>
      <c r="BTC50" s="19"/>
      <c r="BTL50" s="19"/>
      <c r="BTM50" s="19"/>
      <c r="BTN50" s="19"/>
      <c r="BTO50" s="19"/>
      <c r="BTP50" s="21"/>
      <c r="BTQ50" s="19"/>
      <c r="BTZ50" s="19"/>
      <c r="BUA50" s="19"/>
      <c r="BUB50" s="19"/>
      <c r="BUC50" s="19"/>
      <c r="BUD50" s="21"/>
      <c r="BUE50" s="19"/>
      <c r="BUN50" s="19"/>
      <c r="BUO50" s="19"/>
      <c r="BUP50" s="19"/>
      <c r="BUQ50" s="19"/>
      <c r="BUR50" s="21"/>
      <c r="BUS50" s="19"/>
      <c r="BVB50" s="19"/>
      <c r="BVC50" s="19"/>
      <c r="BVD50" s="19"/>
      <c r="BVE50" s="19"/>
      <c r="BVF50" s="21"/>
      <c r="BVG50" s="19"/>
      <c r="BVP50" s="19"/>
      <c r="BVQ50" s="19"/>
      <c r="BVR50" s="19"/>
      <c r="BVS50" s="19"/>
      <c r="BVT50" s="21"/>
      <c r="BVU50" s="19"/>
      <c r="BWD50" s="19"/>
      <c r="BWE50" s="19"/>
      <c r="BWF50" s="19"/>
      <c r="BWG50" s="19"/>
      <c r="BWH50" s="21"/>
      <c r="BWI50" s="19"/>
      <c r="BWR50" s="19"/>
      <c r="BWS50" s="19"/>
      <c r="BWT50" s="19"/>
      <c r="BWU50" s="19"/>
      <c r="BWV50" s="21"/>
      <c r="BWW50" s="19"/>
      <c r="BXF50" s="19"/>
      <c r="BXG50" s="19"/>
      <c r="BXH50" s="19"/>
      <c r="BXI50" s="19"/>
      <c r="BXJ50" s="21"/>
      <c r="BXK50" s="19"/>
      <c r="BXT50" s="19"/>
      <c r="BXU50" s="19"/>
      <c r="BXV50" s="19"/>
      <c r="BXW50" s="19"/>
      <c r="BXX50" s="21"/>
      <c r="BXY50" s="19"/>
      <c r="BYH50" s="19"/>
      <c r="BYI50" s="19"/>
      <c r="BYJ50" s="19"/>
      <c r="BYK50" s="19"/>
      <c r="BYL50" s="21"/>
      <c r="BYM50" s="19"/>
      <c r="BYV50" s="19"/>
      <c r="BYW50" s="19"/>
      <c r="BYX50" s="19"/>
      <c r="BYY50" s="19"/>
      <c r="BYZ50" s="21"/>
      <c r="BZA50" s="19"/>
      <c r="BZJ50" s="19"/>
      <c r="BZK50" s="19"/>
      <c r="BZL50" s="19"/>
      <c r="BZM50" s="19"/>
      <c r="BZN50" s="21"/>
      <c r="BZO50" s="19"/>
      <c r="BZX50" s="19"/>
      <c r="BZY50" s="19"/>
      <c r="BZZ50" s="19"/>
      <c r="CAA50" s="19"/>
      <c r="CAB50" s="21"/>
      <c r="CAC50" s="19"/>
      <c r="CAL50" s="19"/>
      <c r="CAM50" s="19"/>
      <c r="CAN50" s="19"/>
      <c r="CAO50" s="19"/>
      <c r="CAP50" s="21"/>
      <c r="CAQ50" s="19"/>
      <c r="CAZ50" s="19"/>
      <c r="CBA50" s="19"/>
      <c r="CBB50" s="19"/>
      <c r="CBC50" s="19"/>
      <c r="CBD50" s="21"/>
      <c r="CBE50" s="19"/>
      <c r="CBN50" s="19"/>
      <c r="CBO50" s="19"/>
      <c r="CBP50" s="19"/>
      <c r="CBQ50" s="19"/>
      <c r="CBR50" s="21"/>
      <c r="CBS50" s="19"/>
      <c r="CCB50" s="19"/>
      <c r="CCC50" s="19"/>
      <c r="CCD50" s="19"/>
      <c r="CCE50" s="19"/>
      <c r="CCF50" s="21"/>
      <c r="CCG50" s="19"/>
      <c r="CCP50" s="19"/>
      <c r="CCQ50" s="19"/>
      <c r="CCR50" s="19"/>
      <c r="CCS50" s="19"/>
      <c r="CCT50" s="21"/>
      <c r="CCU50" s="19"/>
      <c r="CDD50" s="19"/>
      <c r="CDE50" s="19"/>
      <c r="CDF50" s="19"/>
      <c r="CDG50" s="19"/>
      <c r="CDH50" s="21"/>
      <c r="CDI50" s="19"/>
      <c r="CDR50" s="19"/>
      <c r="CDS50" s="19"/>
      <c r="CDT50" s="19"/>
      <c r="CDU50" s="19"/>
      <c r="CDV50" s="21"/>
      <c r="CDW50" s="19"/>
      <c r="CEF50" s="19"/>
      <c r="CEG50" s="19"/>
      <c r="CEH50" s="19"/>
      <c r="CEI50" s="19"/>
      <c r="CEJ50" s="21"/>
      <c r="CEK50" s="19"/>
      <c r="CET50" s="19"/>
      <c r="CEU50" s="19"/>
      <c r="CEV50" s="19"/>
      <c r="CEW50" s="19"/>
      <c r="CEX50" s="21"/>
      <c r="CEY50" s="19"/>
      <c r="CFH50" s="19"/>
      <c r="CFI50" s="19"/>
      <c r="CFJ50" s="19"/>
      <c r="CFK50" s="19"/>
      <c r="CFL50" s="21"/>
      <c r="CFM50" s="19"/>
      <c r="CFV50" s="19"/>
      <c r="CFW50" s="19"/>
      <c r="CFX50" s="19"/>
      <c r="CFY50" s="19"/>
      <c r="CFZ50" s="21"/>
      <c r="CGA50" s="19"/>
      <c r="CGJ50" s="19"/>
      <c r="CGK50" s="19"/>
      <c r="CGL50" s="19"/>
      <c r="CGM50" s="19"/>
      <c r="CGN50" s="21"/>
      <c r="CGO50" s="19"/>
      <c r="CGX50" s="19"/>
      <c r="CGY50" s="19"/>
      <c r="CGZ50" s="19"/>
      <c r="CHA50" s="19"/>
      <c r="CHB50" s="21"/>
      <c r="CHC50" s="19"/>
      <c r="CHL50" s="19"/>
      <c r="CHM50" s="19"/>
      <c r="CHN50" s="19"/>
      <c r="CHO50" s="19"/>
      <c r="CHP50" s="21"/>
      <c r="CHQ50" s="19"/>
      <c r="CHZ50" s="19"/>
      <c r="CIA50" s="19"/>
      <c r="CIB50" s="19"/>
      <c r="CIC50" s="19"/>
      <c r="CID50" s="21"/>
      <c r="CIE50" s="19"/>
      <c r="CIN50" s="19"/>
      <c r="CIO50" s="19"/>
      <c r="CIP50" s="19"/>
      <c r="CIQ50" s="19"/>
      <c r="CIR50" s="21"/>
      <c r="CIS50" s="19"/>
      <c r="CJB50" s="19"/>
      <c r="CJC50" s="19"/>
      <c r="CJD50" s="19"/>
      <c r="CJE50" s="19"/>
      <c r="CJF50" s="21"/>
      <c r="CJG50" s="19"/>
      <c r="CJP50" s="19"/>
      <c r="CJQ50" s="19"/>
      <c r="CJR50" s="19"/>
      <c r="CJS50" s="19"/>
      <c r="CJT50" s="21"/>
      <c r="CJU50" s="19"/>
      <c r="CKD50" s="19"/>
      <c r="CKE50" s="19"/>
      <c r="CKF50" s="19"/>
      <c r="CKG50" s="19"/>
      <c r="CKH50" s="21"/>
      <c r="CKI50" s="19"/>
      <c r="CKR50" s="19"/>
      <c r="CKS50" s="19"/>
      <c r="CKT50" s="19"/>
      <c r="CKU50" s="19"/>
      <c r="CKV50" s="21"/>
      <c r="CKW50" s="19"/>
      <c r="CLF50" s="19"/>
      <c r="CLG50" s="19"/>
      <c r="CLH50" s="19"/>
      <c r="CLI50" s="19"/>
      <c r="CLJ50" s="21"/>
      <c r="CLK50" s="19"/>
      <c r="CLT50" s="19"/>
      <c r="CLU50" s="19"/>
      <c r="CLV50" s="19"/>
      <c r="CLW50" s="19"/>
      <c r="CLX50" s="21"/>
      <c r="CLY50" s="19"/>
      <c r="CMH50" s="19"/>
      <c r="CMI50" s="19"/>
      <c r="CMJ50" s="19"/>
      <c r="CMK50" s="19"/>
      <c r="CML50" s="21"/>
      <c r="CMM50" s="19"/>
      <c r="CMV50" s="19"/>
      <c r="CMW50" s="19"/>
      <c r="CMX50" s="19"/>
      <c r="CMY50" s="19"/>
      <c r="CMZ50" s="21"/>
      <c r="CNA50" s="19"/>
      <c r="CNJ50" s="19"/>
      <c r="CNK50" s="19"/>
      <c r="CNL50" s="19"/>
      <c r="CNM50" s="19"/>
      <c r="CNN50" s="21"/>
      <c r="CNO50" s="19"/>
      <c r="CNX50" s="19"/>
      <c r="CNY50" s="19"/>
      <c r="CNZ50" s="19"/>
      <c r="COA50" s="19"/>
      <c r="COB50" s="21"/>
      <c r="COC50" s="19"/>
      <c r="COL50" s="19"/>
      <c r="COM50" s="19"/>
      <c r="CON50" s="19"/>
      <c r="COO50" s="19"/>
      <c r="COP50" s="21"/>
      <c r="COQ50" s="19"/>
      <c r="COZ50" s="19"/>
      <c r="CPA50" s="19"/>
      <c r="CPB50" s="19"/>
      <c r="CPC50" s="19"/>
      <c r="CPD50" s="21"/>
      <c r="CPE50" s="19"/>
      <c r="CPN50" s="19"/>
      <c r="CPO50" s="19"/>
      <c r="CPP50" s="19"/>
      <c r="CPQ50" s="19"/>
      <c r="CPR50" s="21"/>
      <c r="CPS50" s="19"/>
      <c r="CQB50" s="19"/>
      <c r="CQC50" s="19"/>
      <c r="CQD50" s="19"/>
      <c r="CQE50" s="19"/>
      <c r="CQF50" s="21"/>
      <c r="CQG50" s="19"/>
      <c r="CQP50" s="19"/>
      <c r="CQQ50" s="19"/>
      <c r="CQR50" s="19"/>
      <c r="CQS50" s="19"/>
      <c r="CQT50" s="21"/>
      <c r="CQU50" s="19"/>
      <c r="CRD50" s="19"/>
      <c r="CRE50" s="19"/>
      <c r="CRF50" s="19"/>
      <c r="CRG50" s="19"/>
      <c r="CRH50" s="21"/>
      <c r="CRI50" s="19"/>
      <c r="CRR50" s="19"/>
      <c r="CRS50" s="19"/>
      <c r="CRT50" s="19"/>
      <c r="CRU50" s="19"/>
      <c r="CRV50" s="21"/>
      <c r="CRW50" s="19"/>
      <c r="CSF50" s="19"/>
      <c r="CSG50" s="19"/>
      <c r="CSH50" s="19"/>
      <c r="CSI50" s="19"/>
      <c r="CSJ50" s="21"/>
      <c r="CSK50" s="19"/>
      <c r="CST50" s="19"/>
      <c r="CSU50" s="19"/>
      <c r="CSV50" s="19"/>
      <c r="CSW50" s="19"/>
      <c r="CSX50" s="21"/>
      <c r="CSY50" s="19"/>
      <c r="CTH50" s="19"/>
      <c r="CTI50" s="19"/>
      <c r="CTJ50" s="19"/>
      <c r="CTK50" s="19"/>
      <c r="CTL50" s="21"/>
      <c r="CTM50" s="19"/>
      <c r="CTV50" s="19"/>
      <c r="CTW50" s="19"/>
      <c r="CTX50" s="19"/>
      <c r="CTY50" s="19"/>
      <c r="CTZ50" s="21"/>
      <c r="CUA50" s="19"/>
      <c r="CUJ50" s="19"/>
      <c r="CUK50" s="19"/>
      <c r="CUL50" s="19"/>
      <c r="CUM50" s="19"/>
      <c r="CUN50" s="21"/>
      <c r="CUO50" s="19"/>
      <c r="CUX50" s="19"/>
      <c r="CUY50" s="19"/>
      <c r="CUZ50" s="19"/>
      <c r="CVA50" s="19"/>
      <c r="CVB50" s="21"/>
      <c r="CVC50" s="19"/>
      <c r="CVL50" s="19"/>
      <c r="CVM50" s="19"/>
      <c r="CVN50" s="19"/>
      <c r="CVO50" s="19"/>
      <c r="CVP50" s="21"/>
      <c r="CVQ50" s="19"/>
      <c r="CVZ50" s="19"/>
      <c r="CWA50" s="19"/>
      <c r="CWB50" s="19"/>
      <c r="CWC50" s="19"/>
      <c r="CWD50" s="21"/>
      <c r="CWE50" s="19"/>
      <c r="CWN50" s="19"/>
      <c r="CWO50" s="19"/>
      <c r="CWP50" s="19"/>
      <c r="CWQ50" s="19"/>
      <c r="CWR50" s="21"/>
      <c r="CWS50" s="19"/>
      <c r="CXB50" s="19"/>
      <c r="CXC50" s="19"/>
      <c r="CXD50" s="19"/>
      <c r="CXE50" s="19"/>
      <c r="CXF50" s="21"/>
      <c r="CXG50" s="19"/>
      <c r="CXP50" s="19"/>
      <c r="CXQ50" s="19"/>
      <c r="CXR50" s="19"/>
      <c r="CXS50" s="19"/>
      <c r="CXT50" s="21"/>
      <c r="CXU50" s="19"/>
      <c r="CYD50" s="19"/>
      <c r="CYE50" s="19"/>
      <c r="CYF50" s="19"/>
      <c r="CYG50" s="19"/>
      <c r="CYH50" s="21"/>
      <c r="CYI50" s="19"/>
      <c r="CYR50" s="19"/>
      <c r="CYS50" s="19"/>
      <c r="CYT50" s="19"/>
      <c r="CYU50" s="19"/>
      <c r="CYV50" s="21"/>
      <c r="CYW50" s="19"/>
      <c r="CZF50" s="19"/>
      <c r="CZG50" s="19"/>
      <c r="CZH50" s="19"/>
      <c r="CZI50" s="19"/>
      <c r="CZJ50" s="21"/>
      <c r="CZK50" s="19"/>
      <c r="CZT50" s="19"/>
      <c r="CZU50" s="19"/>
      <c r="CZV50" s="19"/>
      <c r="CZW50" s="19"/>
      <c r="CZX50" s="21"/>
      <c r="CZY50" s="19"/>
      <c r="DAH50" s="19"/>
      <c r="DAI50" s="19"/>
      <c r="DAJ50" s="19"/>
      <c r="DAK50" s="19"/>
      <c r="DAL50" s="21"/>
      <c r="DAM50" s="19"/>
      <c r="DAV50" s="19"/>
      <c r="DAW50" s="19"/>
      <c r="DAX50" s="19"/>
      <c r="DAY50" s="19"/>
      <c r="DAZ50" s="21"/>
      <c r="DBA50" s="19"/>
      <c r="DBJ50" s="19"/>
      <c r="DBK50" s="19"/>
      <c r="DBL50" s="19"/>
      <c r="DBM50" s="19"/>
      <c r="DBN50" s="21"/>
      <c r="DBO50" s="19"/>
      <c r="DBX50" s="19"/>
      <c r="DBY50" s="19"/>
      <c r="DBZ50" s="19"/>
      <c r="DCA50" s="19"/>
      <c r="DCB50" s="21"/>
      <c r="DCC50" s="19"/>
      <c r="DCL50" s="19"/>
      <c r="DCM50" s="19"/>
      <c r="DCN50" s="19"/>
      <c r="DCO50" s="19"/>
      <c r="DCP50" s="21"/>
      <c r="DCQ50" s="19"/>
      <c r="DCZ50" s="19"/>
      <c r="DDA50" s="19"/>
      <c r="DDB50" s="19"/>
      <c r="DDC50" s="19"/>
      <c r="DDD50" s="21"/>
      <c r="DDE50" s="19"/>
      <c r="DDN50" s="19"/>
      <c r="DDO50" s="19"/>
      <c r="DDP50" s="19"/>
      <c r="DDQ50" s="19"/>
      <c r="DDR50" s="21"/>
      <c r="DDS50" s="19"/>
      <c r="DEB50" s="19"/>
      <c r="DEC50" s="19"/>
      <c r="DED50" s="19"/>
      <c r="DEE50" s="19"/>
      <c r="DEF50" s="21"/>
      <c r="DEG50" s="19"/>
      <c r="DEP50" s="19"/>
      <c r="DEQ50" s="19"/>
      <c r="DER50" s="19"/>
      <c r="DES50" s="19"/>
      <c r="DET50" s="21"/>
      <c r="DEU50" s="19"/>
      <c r="DFD50" s="19"/>
      <c r="DFE50" s="19"/>
      <c r="DFF50" s="19"/>
      <c r="DFG50" s="19"/>
      <c r="DFH50" s="21"/>
      <c r="DFI50" s="19"/>
      <c r="DFR50" s="19"/>
      <c r="DFS50" s="19"/>
      <c r="DFT50" s="19"/>
      <c r="DFU50" s="19"/>
      <c r="DFV50" s="21"/>
      <c r="DFW50" s="19"/>
      <c r="DGF50" s="19"/>
      <c r="DGG50" s="19"/>
      <c r="DGH50" s="19"/>
      <c r="DGI50" s="19"/>
      <c r="DGJ50" s="21"/>
      <c r="DGK50" s="19"/>
      <c r="DGT50" s="19"/>
      <c r="DGU50" s="19"/>
      <c r="DGV50" s="19"/>
      <c r="DGW50" s="19"/>
      <c r="DGX50" s="21"/>
      <c r="DGY50" s="19"/>
      <c r="DHH50" s="19"/>
      <c r="DHI50" s="19"/>
      <c r="DHJ50" s="19"/>
      <c r="DHK50" s="19"/>
      <c r="DHL50" s="21"/>
      <c r="DHM50" s="19"/>
      <c r="DHV50" s="19"/>
      <c r="DHW50" s="19"/>
      <c r="DHX50" s="19"/>
      <c r="DHY50" s="19"/>
      <c r="DHZ50" s="21"/>
      <c r="DIA50" s="19"/>
      <c r="DIJ50" s="19"/>
      <c r="DIK50" s="19"/>
      <c r="DIL50" s="19"/>
      <c r="DIM50" s="19"/>
      <c r="DIN50" s="21"/>
      <c r="DIO50" s="19"/>
      <c r="DIX50" s="19"/>
      <c r="DIY50" s="19"/>
      <c r="DIZ50" s="19"/>
      <c r="DJA50" s="19"/>
      <c r="DJB50" s="21"/>
      <c r="DJC50" s="19"/>
      <c r="DJL50" s="19"/>
      <c r="DJM50" s="19"/>
      <c r="DJN50" s="19"/>
      <c r="DJO50" s="19"/>
      <c r="DJP50" s="21"/>
      <c r="DJQ50" s="19"/>
      <c r="DJZ50" s="19"/>
      <c r="DKA50" s="19"/>
      <c r="DKB50" s="19"/>
      <c r="DKC50" s="19"/>
      <c r="DKD50" s="21"/>
      <c r="DKE50" s="19"/>
      <c r="DKN50" s="19"/>
      <c r="DKO50" s="19"/>
      <c r="DKP50" s="19"/>
      <c r="DKQ50" s="19"/>
      <c r="DKR50" s="21"/>
      <c r="DKS50" s="19"/>
      <c r="DLB50" s="19"/>
      <c r="DLC50" s="19"/>
      <c r="DLD50" s="19"/>
      <c r="DLE50" s="19"/>
      <c r="DLF50" s="21"/>
      <c r="DLG50" s="19"/>
      <c r="DLP50" s="19"/>
      <c r="DLQ50" s="19"/>
      <c r="DLR50" s="19"/>
      <c r="DLS50" s="19"/>
      <c r="DLT50" s="21"/>
      <c r="DLU50" s="19"/>
      <c r="DMD50" s="19"/>
      <c r="DME50" s="19"/>
      <c r="DMF50" s="19"/>
      <c r="DMG50" s="19"/>
      <c r="DMH50" s="21"/>
      <c r="DMI50" s="19"/>
      <c r="DMR50" s="19"/>
      <c r="DMS50" s="19"/>
      <c r="DMT50" s="19"/>
      <c r="DMU50" s="19"/>
      <c r="DMV50" s="21"/>
      <c r="DMW50" s="19"/>
      <c r="DNF50" s="19"/>
      <c r="DNG50" s="19"/>
      <c r="DNH50" s="19"/>
      <c r="DNI50" s="19"/>
      <c r="DNJ50" s="21"/>
      <c r="DNK50" s="19"/>
      <c r="DNT50" s="19"/>
      <c r="DNU50" s="19"/>
      <c r="DNV50" s="19"/>
      <c r="DNW50" s="19"/>
      <c r="DNX50" s="21"/>
      <c r="DNY50" s="19"/>
      <c r="DOH50" s="19"/>
      <c r="DOI50" s="19"/>
      <c r="DOJ50" s="19"/>
      <c r="DOK50" s="19"/>
      <c r="DOL50" s="21"/>
      <c r="DOM50" s="19"/>
      <c r="DOV50" s="19"/>
      <c r="DOW50" s="19"/>
      <c r="DOX50" s="19"/>
      <c r="DOY50" s="19"/>
      <c r="DOZ50" s="21"/>
      <c r="DPA50" s="19"/>
      <c r="DPJ50" s="19"/>
      <c r="DPK50" s="19"/>
      <c r="DPL50" s="19"/>
      <c r="DPM50" s="19"/>
      <c r="DPN50" s="21"/>
      <c r="DPO50" s="19"/>
      <c r="DPX50" s="19"/>
      <c r="DPY50" s="19"/>
      <c r="DPZ50" s="19"/>
      <c r="DQA50" s="19"/>
      <c r="DQB50" s="21"/>
      <c r="DQC50" s="19"/>
      <c r="DQL50" s="19"/>
      <c r="DQM50" s="19"/>
      <c r="DQN50" s="19"/>
      <c r="DQO50" s="19"/>
      <c r="DQP50" s="21"/>
      <c r="DQQ50" s="19"/>
      <c r="DQZ50" s="19"/>
      <c r="DRA50" s="19"/>
      <c r="DRB50" s="19"/>
      <c r="DRC50" s="19"/>
      <c r="DRD50" s="21"/>
      <c r="DRE50" s="19"/>
      <c r="DRN50" s="19"/>
      <c r="DRO50" s="19"/>
      <c r="DRP50" s="19"/>
      <c r="DRQ50" s="19"/>
      <c r="DRR50" s="21"/>
      <c r="DRS50" s="19"/>
      <c r="DSB50" s="19"/>
      <c r="DSC50" s="19"/>
      <c r="DSD50" s="19"/>
      <c r="DSE50" s="19"/>
      <c r="DSF50" s="21"/>
      <c r="DSG50" s="19"/>
      <c r="DSP50" s="19"/>
      <c r="DSQ50" s="19"/>
      <c r="DSR50" s="19"/>
      <c r="DSS50" s="19"/>
      <c r="DST50" s="21"/>
      <c r="DSU50" s="19"/>
      <c r="DTD50" s="19"/>
      <c r="DTE50" s="19"/>
      <c r="DTF50" s="19"/>
      <c r="DTG50" s="19"/>
      <c r="DTH50" s="21"/>
      <c r="DTI50" s="19"/>
      <c r="DTR50" s="19"/>
      <c r="DTS50" s="19"/>
      <c r="DTT50" s="19"/>
      <c r="DTU50" s="19"/>
      <c r="DTV50" s="21"/>
      <c r="DTW50" s="19"/>
      <c r="DUF50" s="19"/>
      <c r="DUG50" s="19"/>
      <c r="DUH50" s="19"/>
      <c r="DUI50" s="19"/>
      <c r="DUJ50" s="21"/>
      <c r="DUK50" s="19"/>
      <c r="DUT50" s="19"/>
      <c r="DUU50" s="19"/>
      <c r="DUV50" s="19"/>
      <c r="DUW50" s="19"/>
      <c r="DUX50" s="21"/>
      <c r="DUY50" s="19"/>
      <c r="DVH50" s="19"/>
      <c r="DVI50" s="19"/>
      <c r="DVJ50" s="19"/>
      <c r="DVK50" s="19"/>
      <c r="DVL50" s="21"/>
      <c r="DVM50" s="19"/>
      <c r="DVV50" s="19"/>
      <c r="DVW50" s="19"/>
      <c r="DVX50" s="19"/>
      <c r="DVY50" s="19"/>
      <c r="DVZ50" s="21"/>
      <c r="DWA50" s="19"/>
      <c r="DWJ50" s="19"/>
      <c r="DWK50" s="19"/>
      <c r="DWL50" s="19"/>
      <c r="DWM50" s="19"/>
      <c r="DWN50" s="21"/>
      <c r="DWO50" s="19"/>
      <c r="DWX50" s="19"/>
      <c r="DWY50" s="19"/>
      <c r="DWZ50" s="19"/>
      <c r="DXA50" s="19"/>
      <c r="DXB50" s="21"/>
      <c r="DXC50" s="19"/>
      <c r="DXL50" s="19"/>
      <c r="DXM50" s="19"/>
      <c r="DXN50" s="19"/>
      <c r="DXO50" s="19"/>
      <c r="DXP50" s="21"/>
      <c r="DXQ50" s="19"/>
      <c r="DXZ50" s="19"/>
      <c r="DYA50" s="19"/>
      <c r="DYB50" s="19"/>
      <c r="DYC50" s="19"/>
      <c r="DYD50" s="21"/>
      <c r="DYE50" s="19"/>
      <c r="DYN50" s="19"/>
      <c r="DYO50" s="19"/>
      <c r="DYP50" s="19"/>
      <c r="DYQ50" s="19"/>
      <c r="DYR50" s="21"/>
      <c r="DYS50" s="19"/>
      <c r="DZB50" s="19"/>
      <c r="DZC50" s="19"/>
      <c r="DZD50" s="19"/>
      <c r="DZE50" s="19"/>
      <c r="DZF50" s="21"/>
      <c r="DZG50" s="19"/>
      <c r="DZP50" s="19"/>
      <c r="DZQ50" s="19"/>
      <c r="DZR50" s="19"/>
      <c r="DZS50" s="19"/>
      <c r="DZT50" s="21"/>
      <c r="DZU50" s="19"/>
      <c r="EAD50" s="19"/>
      <c r="EAE50" s="19"/>
      <c r="EAF50" s="19"/>
      <c r="EAG50" s="19"/>
      <c r="EAH50" s="21"/>
      <c r="EAI50" s="19"/>
      <c r="EAR50" s="19"/>
      <c r="EAS50" s="19"/>
      <c r="EAT50" s="19"/>
      <c r="EAU50" s="19"/>
      <c r="EAV50" s="21"/>
      <c r="EAW50" s="19"/>
      <c r="EBF50" s="19"/>
      <c r="EBG50" s="19"/>
      <c r="EBH50" s="19"/>
      <c r="EBI50" s="19"/>
      <c r="EBJ50" s="21"/>
      <c r="EBK50" s="19"/>
      <c r="EBT50" s="19"/>
      <c r="EBU50" s="19"/>
      <c r="EBV50" s="19"/>
      <c r="EBW50" s="19"/>
      <c r="EBX50" s="21"/>
      <c r="EBY50" s="19"/>
      <c r="ECH50" s="19"/>
      <c r="ECI50" s="19"/>
      <c r="ECJ50" s="19"/>
      <c r="ECK50" s="19"/>
      <c r="ECL50" s="21"/>
      <c r="ECM50" s="19"/>
      <c r="ECV50" s="19"/>
      <c r="ECW50" s="19"/>
      <c r="ECX50" s="19"/>
      <c r="ECY50" s="19"/>
      <c r="ECZ50" s="21"/>
      <c r="EDA50" s="19"/>
      <c r="EDJ50" s="19"/>
      <c r="EDK50" s="19"/>
      <c r="EDL50" s="19"/>
      <c r="EDM50" s="19"/>
      <c r="EDN50" s="21"/>
      <c r="EDO50" s="19"/>
      <c r="EDX50" s="19"/>
      <c r="EDY50" s="19"/>
      <c r="EDZ50" s="19"/>
      <c r="EEA50" s="19"/>
      <c r="EEB50" s="21"/>
      <c r="EEC50" s="19"/>
      <c r="EEL50" s="19"/>
      <c r="EEM50" s="19"/>
      <c r="EEN50" s="19"/>
      <c r="EEO50" s="19"/>
      <c r="EEP50" s="21"/>
      <c r="EEQ50" s="19"/>
      <c r="EEZ50" s="19"/>
      <c r="EFA50" s="19"/>
      <c r="EFB50" s="19"/>
      <c r="EFC50" s="19"/>
      <c r="EFD50" s="21"/>
      <c r="EFE50" s="19"/>
      <c r="EFN50" s="19"/>
      <c r="EFO50" s="19"/>
      <c r="EFP50" s="19"/>
      <c r="EFQ50" s="19"/>
      <c r="EFR50" s="21"/>
      <c r="EFS50" s="19"/>
      <c r="EGB50" s="19"/>
      <c r="EGC50" s="19"/>
      <c r="EGD50" s="19"/>
      <c r="EGE50" s="19"/>
      <c r="EGF50" s="21"/>
      <c r="EGG50" s="19"/>
      <c r="EGP50" s="19"/>
      <c r="EGQ50" s="19"/>
      <c r="EGR50" s="19"/>
      <c r="EGS50" s="19"/>
      <c r="EGT50" s="21"/>
      <c r="EGU50" s="19"/>
      <c r="EHD50" s="19"/>
      <c r="EHE50" s="19"/>
      <c r="EHF50" s="19"/>
      <c r="EHG50" s="19"/>
      <c r="EHH50" s="21"/>
      <c r="EHI50" s="19"/>
      <c r="EHR50" s="19"/>
      <c r="EHS50" s="19"/>
      <c r="EHT50" s="19"/>
      <c r="EHU50" s="19"/>
      <c r="EHV50" s="21"/>
      <c r="EHW50" s="19"/>
      <c r="EIF50" s="19"/>
      <c r="EIG50" s="19"/>
      <c r="EIH50" s="19"/>
      <c r="EII50" s="19"/>
      <c r="EIJ50" s="21"/>
      <c r="EIK50" s="19"/>
      <c r="EIT50" s="19"/>
      <c r="EIU50" s="19"/>
      <c r="EIV50" s="19"/>
      <c r="EIW50" s="19"/>
      <c r="EIX50" s="21"/>
      <c r="EIY50" s="19"/>
      <c r="EJH50" s="19"/>
      <c r="EJI50" s="19"/>
      <c r="EJJ50" s="19"/>
      <c r="EJK50" s="19"/>
      <c r="EJL50" s="21"/>
      <c r="EJM50" s="19"/>
      <c r="EJV50" s="19"/>
      <c r="EJW50" s="19"/>
      <c r="EJX50" s="19"/>
      <c r="EJY50" s="19"/>
      <c r="EJZ50" s="21"/>
      <c r="EKA50" s="19"/>
      <c r="EKJ50" s="19"/>
      <c r="EKK50" s="19"/>
      <c r="EKL50" s="19"/>
      <c r="EKM50" s="19"/>
      <c r="EKN50" s="21"/>
      <c r="EKO50" s="19"/>
      <c r="EKX50" s="19"/>
      <c r="EKY50" s="19"/>
      <c r="EKZ50" s="19"/>
      <c r="ELA50" s="19"/>
      <c r="ELB50" s="21"/>
      <c r="ELC50" s="19"/>
      <c r="ELL50" s="19"/>
      <c r="ELM50" s="19"/>
      <c r="ELN50" s="19"/>
      <c r="ELO50" s="19"/>
      <c r="ELP50" s="21"/>
      <c r="ELQ50" s="19"/>
      <c r="ELZ50" s="19"/>
      <c r="EMA50" s="19"/>
      <c r="EMB50" s="19"/>
      <c r="EMC50" s="19"/>
      <c r="EMD50" s="21"/>
      <c r="EME50" s="19"/>
      <c r="EMN50" s="19"/>
      <c r="EMO50" s="19"/>
      <c r="EMP50" s="19"/>
      <c r="EMQ50" s="19"/>
      <c r="EMR50" s="21"/>
      <c r="EMS50" s="19"/>
      <c r="ENB50" s="19"/>
      <c r="ENC50" s="19"/>
      <c r="END50" s="19"/>
      <c r="ENE50" s="19"/>
      <c r="ENF50" s="21"/>
      <c r="ENG50" s="19"/>
      <c r="ENP50" s="19"/>
      <c r="ENQ50" s="19"/>
      <c r="ENR50" s="19"/>
      <c r="ENS50" s="19"/>
      <c r="ENT50" s="21"/>
      <c r="ENU50" s="19"/>
      <c r="EOD50" s="19"/>
      <c r="EOE50" s="19"/>
      <c r="EOF50" s="19"/>
      <c r="EOG50" s="19"/>
      <c r="EOH50" s="21"/>
      <c r="EOI50" s="19"/>
      <c r="EOR50" s="19"/>
      <c r="EOS50" s="19"/>
      <c r="EOT50" s="19"/>
      <c r="EOU50" s="19"/>
      <c r="EOV50" s="21"/>
      <c r="EOW50" s="19"/>
      <c r="EPF50" s="19"/>
      <c r="EPG50" s="19"/>
      <c r="EPH50" s="19"/>
      <c r="EPI50" s="19"/>
      <c r="EPJ50" s="21"/>
      <c r="EPK50" s="19"/>
      <c r="EPT50" s="19"/>
      <c r="EPU50" s="19"/>
      <c r="EPV50" s="19"/>
      <c r="EPW50" s="19"/>
      <c r="EPX50" s="21"/>
      <c r="EPY50" s="19"/>
      <c r="EQH50" s="19"/>
      <c r="EQI50" s="19"/>
      <c r="EQJ50" s="19"/>
      <c r="EQK50" s="19"/>
      <c r="EQL50" s="21"/>
      <c r="EQM50" s="19"/>
      <c r="EQV50" s="19"/>
      <c r="EQW50" s="19"/>
      <c r="EQX50" s="19"/>
      <c r="EQY50" s="19"/>
      <c r="EQZ50" s="21"/>
      <c r="ERA50" s="19"/>
      <c r="ERJ50" s="19"/>
      <c r="ERK50" s="19"/>
      <c r="ERL50" s="19"/>
      <c r="ERM50" s="19"/>
      <c r="ERN50" s="21"/>
      <c r="ERO50" s="19"/>
      <c r="ERX50" s="19"/>
      <c r="ERY50" s="19"/>
      <c r="ERZ50" s="19"/>
      <c r="ESA50" s="19"/>
      <c r="ESB50" s="21"/>
      <c r="ESC50" s="19"/>
      <c r="ESL50" s="19"/>
      <c r="ESM50" s="19"/>
      <c r="ESN50" s="19"/>
      <c r="ESO50" s="19"/>
      <c r="ESP50" s="21"/>
      <c r="ESQ50" s="19"/>
      <c r="ESZ50" s="19"/>
      <c r="ETA50" s="19"/>
      <c r="ETB50" s="19"/>
      <c r="ETC50" s="19"/>
      <c r="ETD50" s="21"/>
      <c r="ETE50" s="19"/>
      <c r="ETN50" s="19"/>
      <c r="ETO50" s="19"/>
      <c r="ETP50" s="19"/>
      <c r="ETQ50" s="19"/>
      <c r="ETR50" s="21"/>
      <c r="ETS50" s="19"/>
      <c r="EUB50" s="19"/>
      <c r="EUC50" s="19"/>
      <c r="EUD50" s="19"/>
      <c r="EUE50" s="19"/>
      <c r="EUF50" s="21"/>
      <c r="EUG50" s="19"/>
      <c r="EUP50" s="19"/>
      <c r="EUQ50" s="19"/>
      <c r="EUR50" s="19"/>
      <c r="EUS50" s="19"/>
      <c r="EUT50" s="21"/>
      <c r="EUU50" s="19"/>
      <c r="EVD50" s="19"/>
      <c r="EVE50" s="19"/>
      <c r="EVF50" s="19"/>
      <c r="EVG50" s="19"/>
      <c r="EVH50" s="21"/>
      <c r="EVI50" s="19"/>
      <c r="EVR50" s="19"/>
      <c r="EVS50" s="19"/>
      <c r="EVT50" s="19"/>
      <c r="EVU50" s="19"/>
      <c r="EVV50" s="21"/>
      <c r="EVW50" s="19"/>
      <c r="EWF50" s="19"/>
      <c r="EWG50" s="19"/>
      <c r="EWH50" s="19"/>
      <c r="EWI50" s="19"/>
      <c r="EWJ50" s="21"/>
      <c r="EWK50" s="19"/>
      <c r="EWT50" s="19"/>
      <c r="EWU50" s="19"/>
      <c r="EWV50" s="19"/>
      <c r="EWW50" s="19"/>
      <c r="EWX50" s="21"/>
      <c r="EWY50" s="19"/>
      <c r="EXH50" s="19"/>
      <c r="EXI50" s="19"/>
      <c r="EXJ50" s="19"/>
      <c r="EXK50" s="19"/>
      <c r="EXL50" s="21"/>
      <c r="EXM50" s="19"/>
      <c r="EXV50" s="19"/>
      <c r="EXW50" s="19"/>
      <c r="EXX50" s="19"/>
      <c r="EXY50" s="19"/>
      <c r="EXZ50" s="21"/>
      <c r="EYA50" s="19"/>
      <c r="EYJ50" s="19"/>
      <c r="EYK50" s="19"/>
      <c r="EYL50" s="19"/>
      <c r="EYM50" s="19"/>
      <c r="EYN50" s="21"/>
      <c r="EYO50" s="19"/>
      <c r="EYX50" s="19"/>
      <c r="EYY50" s="19"/>
      <c r="EYZ50" s="19"/>
      <c r="EZA50" s="19"/>
      <c r="EZB50" s="21"/>
      <c r="EZC50" s="19"/>
      <c r="EZL50" s="19"/>
      <c r="EZM50" s="19"/>
      <c r="EZN50" s="19"/>
      <c r="EZO50" s="19"/>
      <c r="EZP50" s="21"/>
      <c r="EZQ50" s="19"/>
      <c r="EZZ50" s="19"/>
      <c r="FAA50" s="19"/>
      <c r="FAB50" s="19"/>
      <c r="FAC50" s="19"/>
      <c r="FAD50" s="21"/>
      <c r="FAE50" s="19"/>
      <c r="FAN50" s="19"/>
      <c r="FAO50" s="19"/>
      <c r="FAP50" s="19"/>
      <c r="FAQ50" s="19"/>
      <c r="FAR50" s="21"/>
      <c r="FAS50" s="19"/>
      <c r="FBB50" s="19"/>
      <c r="FBC50" s="19"/>
      <c r="FBD50" s="19"/>
      <c r="FBE50" s="19"/>
      <c r="FBF50" s="21"/>
      <c r="FBG50" s="19"/>
      <c r="FBP50" s="19"/>
      <c r="FBQ50" s="19"/>
      <c r="FBR50" s="19"/>
      <c r="FBS50" s="19"/>
      <c r="FBT50" s="21"/>
      <c r="FBU50" s="19"/>
      <c r="FCD50" s="19"/>
      <c r="FCE50" s="19"/>
      <c r="FCF50" s="19"/>
      <c r="FCG50" s="19"/>
      <c r="FCH50" s="21"/>
      <c r="FCI50" s="19"/>
      <c r="FCR50" s="19"/>
      <c r="FCS50" s="19"/>
      <c r="FCT50" s="19"/>
      <c r="FCU50" s="19"/>
      <c r="FCV50" s="21"/>
      <c r="FCW50" s="19"/>
      <c r="FDF50" s="19"/>
      <c r="FDG50" s="19"/>
      <c r="FDH50" s="19"/>
      <c r="FDI50" s="19"/>
      <c r="FDJ50" s="21"/>
      <c r="FDK50" s="19"/>
      <c r="FDT50" s="19"/>
      <c r="FDU50" s="19"/>
      <c r="FDV50" s="19"/>
      <c r="FDW50" s="19"/>
      <c r="FDX50" s="21"/>
      <c r="FDY50" s="19"/>
      <c r="FEH50" s="19"/>
      <c r="FEI50" s="19"/>
      <c r="FEJ50" s="19"/>
      <c r="FEK50" s="19"/>
      <c r="FEL50" s="21"/>
      <c r="FEM50" s="19"/>
      <c r="FEV50" s="19"/>
      <c r="FEW50" s="19"/>
      <c r="FEX50" s="19"/>
      <c r="FEY50" s="19"/>
      <c r="FEZ50" s="21"/>
      <c r="FFA50" s="19"/>
      <c r="FFJ50" s="19"/>
      <c r="FFK50" s="19"/>
      <c r="FFL50" s="19"/>
      <c r="FFM50" s="19"/>
      <c r="FFN50" s="21"/>
      <c r="FFO50" s="19"/>
      <c r="FFX50" s="19"/>
      <c r="FFY50" s="19"/>
      <c r="FFZ50" s="19"/>
      <c r="FGA50" s="19"/>
      <c r="FGB50" s="21"/>
      <c r="FGC50" s="19"/>
      <c r="FGL50" s="19"/>
      <c r="FGM50" s="19"/>
      <c r="FGN50" s="19"/>
      <c r="FGO50" s="19"/>
      <c r="FGP50" s="21"/>
      <c r="FGQ50" s="19"/>
      <c r="FGZ50" s="19"/>
      <c r="FHA50" s="19"/>
      <c r="FHB50" s="19"/>
      <c r="FHC50" s="19"/>
      <c r="FHD50" s="21"/>
      <c r="FHE50" s="19"/>
      <c r="FHN50" s="19"/>
      <c r="FHO50" s="19"/>
      <c r="FHP50" s="19"/>
      <c r="FHQ50" s="19"/>
      <c r="FHR50" s="21"/>
      <c r="FHS50" s="19"/>
      <c r="FIB50" s="19"/>
      <c r="FIC50" s="19"/>
      <c r="FID50" s="19"/>
      <c r="FIE50" s="19"/>
      <c r="FIF50" s="21"/>
      <c r="FIG50" s="19"/>
      <c r="FIP50" s="19"/>
      <c r="FIQ50" s="19"/>
      <c r="FIR50" s="19"/>
      <c r="FIS50" s="19"/>
      <c r="FIT50" s="21"/>
      <c r="FIU50" s="19"/>
      <c r="FJD50" s="19"/>
      <c r="FJE50" s="19"/>
      <c r="FJF50" s="19"/>
      <c r="FJG50" s="19"/>
      <c r="FJH50" s="21"/>
      <c r="FJI50" s="19"/>
      <c r="FJR50" s="19"/>
      <c r="FJS50" s="19"/>
      <c r="FJT50" s="19"/>
      <c r="FJU50" s="19"/>
      <c r="FJV50" s="21"/>
      <c r="FJW50" s="19"/>
      <c r="FKF50" s="19"/>
      <c r="FKG50" s="19"/>
      <c r="FKH50" s="19"/>
      <c r="FKI50" s="19"/>
      <c r="FKJ50" s="21"/>
      <c r="FKK50" s="19"/>
      <c r="FKT50" s="19"/>
      <c r="FKU50" s="19"/>
      <c r="FKV50" s="19"/>
      <c r="FKW50" s="19"/>
      <c r="FKX50" s="21"/>
      <c r="FKY50" s="19"/>
      <c r="FLH50" s="19"/>
      <c r="FLI50" s="19"/>
      <c r="FLJ50" s="19"/>
      <c r="FLK50" s="19"/>
      <c r="FLL50" s="21"/>
      <c r="FLM50" s="19"/>
      <c r="FLV50" s="19"/>
      <c r="FLW50" s="19"/>
      <c r="FLX50" s="19"/>
      <c r="FLY50" s="19"/>
      <c r="FLZ50" s="21"/>
      <c r="FMA50" s="19"/>
      <c r="FMJ50" s="19"/>
      <c r="FMK50" s="19"/>
      <c r="FML50" s="19"/>
      <c r="FMM50" s="19"/>
      <c r="FMN50" s="21"/>
      <c r="FMO50" s="19"/>
      <c r="FMX50" s="19"/>
      <c r="FMY50" s="19"/>
      <c r="FMZ50" s="19"/>
      <c r="FNA50" s="19"/>
      <c r="FNB50" s="21"/>
      <c r="FNC50" s="19"/>
      <c r="FNL50" s="19"/>
      <c r="FNM50" s="19"/>
      <c r="FNN50" s="19"/>
      <c r="FNO50" s="19"/>
      <c r="FNP50" s="21"/>
      <c r="FNQ50" s="19"/>
      <c r="FNZ50" s="19"/>
      <c r="FOA50" s="19"/>
      <c r="FOB50" s="19"/>
      <c r="FOC50" s="19"/>
      <c r="FOD50" s="21"/>
      <c r="FOE50" s="19"/>
      <c r="FON50" s="19"/>
      <c r="FOO50" s="19"/>
      <c r="FOP50" s="19"/>
      <c r="FOQ50" s="19"/>
      <c r="FOR50" s="21"/>
      <c r="FOS50" s="19"/>
      <c r="FPB50" s="19"/>
      <c r="FPC50" s="19"/>
      <c r="FPD50" s="19"/>
      <c r="FPE50" s="19"/>
      <c r="FPF50" s="21"/>
      <c r="FPG50" s="19"/>
      <c r="FPP50" s="19"/>
      <c r="FPQ50" s="19"/>
      <c r="FPR50" s="19"/>
      <c r="FPS50" s="19"/>
      <c r="FPT50" s="21"/>
      <c r="FPU50" s="19"/>
      <c r="FQD50" s="19"/>
      <c r="FQE50" s="19"/>
      <c r="FQF50" s="19"/>
      <c r="FQG50" s="19"/>
      <c r="FQH50" s="21"/>
      <c r="FQI50" s="19"/>
      <c r="FQR50" s="19"/>
      <c r="FQS50" s="19"/>
      <c r="FQT50" s="19"/>
      <c r="FQU50" s="19"/>
      <c r="FQV50" s="21"/>
      <c r="FQW50" s="19"/>
      <c r="FRF50" s="19"/>
      <c r="FRG50" s="19"/>
      <c r="FRH50" s="19"/>
      <c r="FRI50" s="19"/>
      <c r="FRJ50" s="21"/>
      <c r="FRK50" s="19"/>
      <c r="FRT50" s="19"/>
      <c r="FRU50" s="19"/>
      <c r="FRV50" s="19"/>
      <c r="FRW50" s="19"/>
      <c r="FRX50" s="21"/>
      <c r="FRY50" s="19"/>
      <c r="FSH50" s="19"/>
      <c r="FSI50" s="19"/>
      <c r="FSJ50" s="19"/>
      <c r="FSK50" s="19"/>
      <c r="FSL50" s="21"/>
      <c r="FSM50" s="19"/>
      <c r="FSV50" s="19"/>
      <c r="FSW50" s="19"/>
      <c r="FSX50" s="19"/>
      <c r="FSY50" s="19"/>
      <c r="FSZ50" s="21"/>
      <c r="FTA50" s="19"/>
      <c r="FTJ50" s="19"/>
      <c r="FTK50" s="19"/>
      <c r="FTL50" s="19"/>
      <c r="FTM50" s="19"/>
      <c r="FTN50" s="21"/>
      <c r="FTO50" s="19"/>
      <c r="FTX50" s="19"/>
      <c r="FTY50" s="19"/>
      <c r="FTZ50" s="19"/>
      <c r="FUA50" s="19"/>
      <c r="FUB50" s="21"/>
      <c r="FUC50" s="19"/>
      <c r="FUL50" s="19"/>
      <c r="FUM50" s="19"/>
      <c r="FUN50" s="19"/>
      <c r="FUO50" s="19"/>
      <c r="FUP50" s="21"/>
      <c r="FUQ50" s="19"/>
      <c r="FUZ50" s="19"/>
      <c r="FVA50" s="19"/>
      <c r="FVB50" s="19"/>
      <c r="FVC50" s="19"/>
      <c r="FVD50" s="21"/>
      <c r="FVE50" s="19"/>
      <c r="FVN50" s="19"/>
      <c r="FVO50" s="19"/>
      <c r="FVP50" s="19"/>
      <c r="FVQ50" s="19"/>
      <c r="FVR50" s="21"/>
      <c r="FVS50" s="19"/>
      <c r="FWB50" s="19"/>
      <c r="FWC50" s="19"/>
      <c r="FWD50" s="19"/>
      <c r="FWE50" s="19"/>
      <c r="FWF50" s="21"/>
      <c r="FWG50" s="19"/>
      <c r="FWP50" s="19"/>
      <c r="FWQ50" s="19"/>
      <c r="FWR50" s="19"/>
      <c r="FWS50" s="19"/>
      <c r="FWT50" s="21"/>
      <c r="FWU50" s="19"/>
      <c r="FXD50" s="19"/>
      <c r="FXE50" s="19"/>
      <c r="FXF50" s="19"/>
      <c r="FXG50" s="19"/>
      <c r="FXH50" s="21"/>
      <c r="FXI50" s="19"/>
      <c r="FXR50" s="19"/>
      <c r="FXS50" s="19"/>
      <c r="FXT50" s="19"/>
      <c r="FXU50" s="19"/>
      <c r="FXV50" s="21"/>
      <c r="FXW50" s="19"/>
      <c r="FYF50" s="19"/>
      <c r="FYG50" s="19"/>
      <c r="FYH50" s="19"/>
      <c r="FYI50" s="19"/>
      <c r="FYJ50" s="21"/>
      <c r="FYK50" s="19"/>
      <c r="FYT50" s="19"/>
      <c r="FYU50" s="19"/>
      <c r="FYV50" s="19"/>
      <c r="FYW50" s="19"/>
      <c r="FYX50" s="21"/>
      <c r="FYY50" s="19"/>
      <c r="FZH50" s="19"/>
      <c r="FZI50" s="19"/>
      <c r="FZJ50" s="19"/>
      <c r="FZK50" s="19"/>
      <c r="FZL50" s="21"/>
      <c r="FZM50" s="19"/>
      <c r="FZV50" s="19"/>
      <c r="FZW50" s="19"/>
      <c r="FZX50" s="19"/>
      <c r="FZY50" s="19"/>
      <c r="FZZ50" s="21"/>
      <c r="GAA50" s="19"/>
      <c r="GAJ50" s="19"/>
      <c r="GAK50" s="19"/>
      <c r="GAL50" s="19"/>
      <c r="GAM50" s="19"/>
      <c r="GAN50" s="21"/>
      <c r="GAO50" s="19"/>
      <c r="GAX50" s="19"/>
      <c r="GAY50" s="19"/>
      <c r="GAZ50" s="19"/>
      <c r="GBA50" s="19"/>
      <c r="GBB50" s="21"/>
      <c r="GBC50" s="19"/>
      <c r="GBL50" s="19"/>
      <c r="GBM50" s="19"/>
      <c r="GBN50" s="19"/>
      <c r="GBO50" s="19"/>
      <c r="GBP50" s="21"/>
      <c r="GBQ50" s="19"/>
      <c r="GBZ50" s="19"/>
      <c r="GCA50" s="19"/>
      <c r="GCB50" s="19"/>
      <c r="GCC50" s="19"/>
      <c r="GCD50" s="21"/>
      <c r="GCE50" s="19"/>
      <c r="GCN50" s="19"/>
      <c r="GCO50" s="19"/>
      <c r="GCP50" s="19"/>
      <c r="GCQ50" s="19"/>
      <c r="GCR50" s="21"/>
      <c r="GCS50" s="19"/>
      <c r="GDB50" s="19"/>
      <c r="GDC50" s="19"/>
      <c r="GDD50" s="19"/>
      <c r="GDE50" s="19"/>
      <c r="GDF50" s="21"/>
      <c r="GDG50" s="19"/>
      <c r="GDP50" s="19"/>
      <c r="GDQ50" s="19"/>
      <c r="GDR50" s="19"/>
      <c r="GDS50" s="19"/>
      <c r="GDT50" s="21"/>
      <c r="GDU50" s="19"/>
      <c r="GED50" s="19"/>
      <c r="GEE50" s="19"/>
      <c r="GEF50" s="19"/>
      <c r="GEG50" s="19"/>
      <c r="GEH50" s="21"/>
      <c r="GEI50" s="19"/>
      <c r="GER50" s="19"/>
      <c r="GES50" s="19"/>
      <c r="GET50" s="19"/>
      <c r="GEU50" s="19"/>
      <c r="GEV50" s="21"/>
      <c r="GEW50" s="19"/>
      <c r="GFF50" s="19"/>
      <c r="GFG50" s="19"/>
      <c r="GFH50" s="19"/>
      <c r="GFI50" s="19"/>
      <c r="GFJ50" s="21"/>
      <c r="GFK50" s="19"/>
      <c r="GFT50" s="19"/>
      <c r="GFU50" s="19"/>
      <c r="GFV50" s="19"/>
      <c r="GFW50" s="19"/>
      <c r="GFX50" s="21"/>
      <c r="GFY50" s="19"/>
      <c r="GGH50" s="19"/>
      <c r="GGI50" s="19"/>
      <c r="GGJ50" s="19"/>
      <c r="GGK50" s="19"/>
      <c r="GGL50" s="21"/>
      <c r="GGM50" s="19"/>
      <c r="GGV50" s="19"/>
      <c r="GGW50" s="19"/>
      <c r="GGX50" s="19"/>
      <c r="GGY50" s="19"/>
      <c r="GGZ50" s="21"/>
      <c r="GHA50" s="19"/>
      <c r="GHJ50" s="19"/>
      <c r="GHK50" s="19"/>
      <c r="GHL50" s="19"/>
      <c r="GHM50" s="19"/>
      <c r="GHN50" s="21"/>
      <c r="GHO50" s="19"/>
      <c r="GHX50" s="19"/>
      <c r="GHY50" s="19"/>
      <c r="GHZ50" s="19"/>
      <c r="GIA50" s="19"/>
      <c r="GIB50" s="21"/>
      <c r="GIC50" s="19"/>
      <c r="GIL50" s="19"/>
      <c r="GIM50" s="19"/>
      <c r="GIN50" s="19"/>
      <c r="GIO50" s="19"/>
      <c r="GIP50" s="21"/>
      <c r="GIQ50" s="19"/>
      <c r="GIZ50" s="19"/>
      <c r="GJA50" s="19"/>
      <c r="GJB50" s="19"/>
      <c r="GJC50" s="19"/>
      <c r="GJD50" s="21"/>
      <c r="GJE50" s="19"/>
      <c r="GJN50" s="19"/>
      <c r="GJO50" s="19"/>
      <c r="GJP50" s="19"/>
      <c r="GJQ50" s="19"/>
      <c r="GJR50" s="21"/>
      <c r="GJS50" s="19"/>
      <c r="GKB50" s="19"/>
      <c r="GKC50" s="19"/>
      <c r="GKD50" s="19"/>
      <c r="GKE50" s="19"/>
      <c r="GKF50" s="21"/>
      <c r="GKG50" s="19"/>
      <c r="GKP50" s="19"/>
      <c r="GKQ50" s="19"/>
      <c r="GKR50" s="19"/>
      <c r="GKS50" s="19"/>
      <c r="GKT50" s="21"/>
      <c r="GKU50" s="19"/>
      <c r="GLD50" s="19"/>
      <c r="GLE50" s="19"/>
      <c r="GLF50" s="19"/>
      <c r="GLG50" s="19"/>
      <c r="GLH50" s="21"/>
      <c r="GLI50" s="19"/>
      <c r="GLR50" s="19"/>
      <c r="GLS50" s="19"/>
      <c r="GLT50" s="19"/>
      <c r="GLU50" s="19"/>
      <c r="GLV50" s="21"/>
      <c r="GLW50" s="19"/>
      <c r="GMF50" s="19"/>
      <c r="GMG50" s="19"/>
      <c r="GMH50" s="19"/>
      <c r="GMI50" s="19"/>
      <c r="GMJ50" s="21"/>
      <c r="GMK50" s="19"/>
      <c r="GMT50" s="19"/>
      <c r="GMU50" s="19"/>
      <c r="GMV50" s="19"/>
      <c r="GMW50" s="19"/>
      <c r="GMX50" s="21"/>
      <c r="GMY50" s="19"/>
      <c r="GNH50" s="19"/>
      <c r="GNI50" s="19"/>
      <c r="GNJ50" s="19"/>
      <c r="GNK50" s="19"/>
      <c r="GNL50" s="21"/>
      <c r="GNM50" s="19"/>
      <c r="GNV50" s="19"/>
      <c r="GNW50" s="19"/>
      <c r="GNX50" s="19"/>
      <c r="GNY50" s="19"/>
      <c r="GNZ50" s="21"/>
      <c r="GOA50" s="19"/>
      <c r="GOJ50" s="19"/>
      <c r="GOK50" s="19"/>
      <c r="GOL50" s="19"/>
      <c r="GOM50" s="19"/>
      <c r="GON50" s="21"/>
      <c r="GOO50" s="19"/>
      <c r="GOX50" s="19"/>
      <c r="GOY50" s="19"/>
      <c r="GOZ50" s="19"/>
      <c r="GPA50" s="19"/>
      <c r="GPB50" s="21"/>
      <c r="GPC50" s="19"/>
      <c r="GPL50" s="19"/>
      <c r="GPM50" s="19"/>
      <c r="GPN50" s="19"/>
      <c r="GPO50" s="19"/>
      <c r="GPP50" s="21"/>
      <c r="GPQ50" s="19"/>
      <c r="GPZ50" s="19"/>
      <c r="GQA50" s="19"/>
      <c r="GQB50" s="19"/>
      <c r="GQC50" s="19"/>
      <c r="GQD50" s="21"/>
      <c r="GQE50" s="19"/>
      <c r="GQN50" s="19"/>
      <c r="GQO50" s="19"/>
      <c r="GQP50" s="19"/>
      <c r="GQQ50" s="19"/>
      <c r="GQR50" s="21"/>
      <c r="GQS50" s="19"/>
      <c r="GRB50" s="19"/>
      <c r="GRC50" s="19"/>
      <c r="GRD50" s="19"/>
      <c r="GRE50" s="19"/>
      <c r="GRF50" s="21"/>
      <c r="GRG50" s="19"/>
      <c r="GRP50" s="19"/>
      <c r="GRQ50" s="19"/>
      <c r="GRR50" s="19"/>
      <c r="GRS50" s="19"/>
      <c r="GRT50" s="21"/>
      <c r="GRU50" s="19"/>
      <c r="GSD50" s="19"/>
      <c r="GSE50" s="19"/>
      <c r="GSF50" s="19"/>
      <c r="GSG50" s="19"/>
      <c r="GSH50" s="21"/>
      <c r="GSI50" s="19"/>
      <c r="GSR50" s="19"/>
      <c r="GSS50" s="19"/>
      <c r="GST50" s="19"/>
      <c r="GSU50" s="19"/>
      <c r="GSV50" s="21"/>
      <c r="GSW50" s="19"/>
      <c r="GTF50" s="19"/>
      <c r="GTG50" s="19"/>
      <c r="GTH50" s="19"/>
      <c r="GTI50" s="19"/>
      <c r="GTJ50" s="21"/>
      <c r="GTK50" s="19"/>
      <c r="GTT50" s="19"/>
      <c r="GTU50" s="19"/>
      <c r="GTV50" s="19"/>
      <c r="GTW50" s="19"/>
      <c r="GTX50" s="21"/>
      <c r="GTY50" s="19"/>
      <c r="GUH50" s="19"/>
      <c r="GUI50" s="19"/>
      <c r="GUJ50" s="19"/>
      <c r="GUK50" s="19"/>
      <c r="GUL50" s="21"/>
      <c r="GUM50" s="19"/>
      <c r="GUV50" s="19"/>
      <c r="GUW50" s="19"/>
      <c r="GUX50" s="19"/>
      <c r="GUY50" s="19"/>
      <c r="GUZ50" s="21"/>
      <c r="GVA50" s="19"/>
      <c r="GVJ50" s="19"/>
      <c r="GVK50" s="19"/>
      <c r="GVL50" s="19"/>
      <c r="GVM50" s="19"/>
      <c r="GVN50" s="21"/>
      <c r="GVO50" s="19"/>
      <c r="GVX50" s="19"/>
      <c r="GVY50" s="19"/>
      <c r="GVZ50" s="19"/>
      <c r="GWA50" s="19"/>
      <c r="GWB50" s="21"/>
      <c r="GWC50" s="19"/>
      <c r="GWL50" s="19"/>
      <c r="GWM50" s="19"/>
      <c r="GWN50" s="19"/>
      <c r="GWO50" s="19"/>
      <c r="GWP50" s="21"/>
      <c r="GWQ50" s="19"/>
      <c r="GWZ50" s="19"/>
      <c r="GXA50" s="19"/>
      <c r="GXB50" s="19"/>
      <c r="GXC50" s="19"/>
      <c r="GXD50" s="21"/>
      <c r="GXE50" s="19"/>
      <c r="GXN50" s="19"/>
      <c r="GXO50" s="19"/>
      <c r="GXP50" s="19"/>
      <c r="GXQ50" s="19"/>
      <c r="GXR50" s="21"/>
      <c r="GXS50" s="19"/>
      <c r="GYB50" s="19"/>
      <c r="GYC50" s="19"/>
      <c r="GYD50" s="19"/>
      <c r="GYE50" s="19"/>
      <c r="GYF50" s="21"/>
      <c r="GYG50" s="19"/>
      <c r="GYP50" s="19"/>
      <c r="GYQ50" s="19"/>
      <c r="GYR50" s="19"/>
      <c r="GYS50" s="19"/>
      <c r="GYT50" s="21"/>
      <c r="GYU50" s="19"/>
      <c r="GZD50" s="19"/>
      <c r="GZE50" s="19"/>
      <c r="GZF50" s="19"/>
      <c r="GZG50" s="19"/>
      <c r="GZH50" s="21"/>
      <c r="GZI50" s="19"/>
      <c r="GZR50" s="19"/>
      <c r="GZS50" s="19"/>
      <c r="GZT50" s="19"/>
      <c r="GZU50" s="19"/>
      <c r="GZV50" s="21"/>
      <c r="GZW50" s="19"/>
      <c r="HAF50" s="19"/>
      <c r="HAG50" s="19"/>
      <c r="HAH50" s="19"/>
      <c r="HAI50" s="19"/>
      <c r="HAJ50" s="21"/>
      <c r="HAK50" s="19"/>
      <c r="HAT50" s="19"/>
      <c r="HAU50" s="19"/>
      <c r="HAV50" s="19"/>
      <c r="HAW50" s="19"/>
      <c r="HAX50" s="21"/>
      <c r="HAY50" s="19"/>
      <c r="HBH50" s="19"/>
      <c r="HBI50" s="19"/>
      <c r="HBJ50" s="19"/>
      <c r="HBK50" s="19"/>
      <c r="HBL50" s="21"/>
      <c r="HBM50" s="19"/>
      <c r="HBV50" s="19"/>
      <c r="HBW50" s="19"/>
      <c r="HBX50" s="19"/>
      <c r="HBY50" s="19"/>
      <c r="HBZ50" s="21"/>
      <c r="HCA50" s="19"/>
      <c r="HCJ50" s="19"/>
      <c r="HCK50" s="19"/>
      <c r="HCL50" s="19"/>
      <c r="HCM50" s="19"/>
      <c r="HCN50" s="21"/>
      <c r="HCO50" s="19"/>
      <c r="HCX50" s="19"/>
      <c r="HCY50" s="19"/>
      <c r="HCZ50" s="19"/>
      <c r="HDA50" s="19"/>
      <c r="HDB50" s="21"/>
      <c r="HDC50" s="19"/>
      <c r="HDL50" s="19"/>
      <c r="HDM50" s="19"/>
      <c r="HDN50" s="19"/>
      <c r="HDO50" s="19"/>
      <c r="HDP50" s="21"/>
      <c r="HDQ50" s="19"/>
      <c r="HDZ50" s="19"/>
      <c r="HEA50" s="19"/>
      <c r="HEB50" s="19"/>
      <c r="HEC50" s="19"/>
      <c r="HED50" s="21"/>
      <c r="HEE50" s="19"/>
      <c r="HEN50" s="19"/>
      <c r="HEO50" s="19"/>
      <c r="HEP50" s="19"/>
      <c r="HEQ50" s="19"/>
      <c r="HER50" s="21"/>
      <c r="HES50" s="19"/>
      <c r="HFB50" s="19"/>
      <c r="HFC50" s="19"/>
      <c r="HFD50" s="19"/>
      <c r="HFE50" s="19"/>
      <c r="HFF50" s="21"/>
      <c r="HFG50" s="19"/>
      <c r="HFP50" s="19"/>
      <c r="HFQ50" s="19"/>
      <c r="HFR50" s="19"/>
      <c r="HFS50" s="19"/>
      <c r="HFT50" s="21"/>
      <c r="HFU50" s="19"/>
      <c r="HGD50" s="19"/>
      <c r="HGE50" s="19"/>
      <c r="HGF50" s="19"/>
      <c r="HGG50" s="19"/>
      <c r="HGH50" s="21"/>
      <c r="HGI50" s="19"/>
      <c r="HGR50" s="19"/>
      <c r="HGS50" s="19"/>
      <c r="HGT50" s="19"/>
      <c r="HGU50" s="19"/>
      <c r="HGV50" s="21"/>
      <c r="HGW50" s="19"/>
      <c r="HHF50" s="19"/>
      <c r="HHG50" s="19"/>
      <c r="HHH50" s="19"/>
      <c r="HHI50" s="19"/>
      <c r="HHJ50" s="21"/>
      <c r="HHK50" s="19"/>
      <c r="HHT50" s="19"/>
      <c r="HHU50" s="19"/>
      <c r="HHV50" s="19"/>
      <c r="HHW50" s="19"/>
      <c r="HHX50" s="21"/>
      <c r="HHY50" s="19"/>
      <c r="HIH50" s="19"/>
      <c r="HII50" s="19"/>
      <c r="HIJ50" s="19"/>
      <c r="HIK50" s="19"/>
      <c r="HIL50" s="21"/>
      <c r="HIM50" s="19"/>
      <c r="HIV50" s="19"/>
      <c r="HIW50" s="19"/>
      <c r="HIX50" s="19"/>
      <c r="HIY50" s="19"/>
      <c r="HIZ50" s="21"/>
      <c r="HJA50" s="19"/>
      <c r="HJJ50" s="19"/>
      <c r="HJK50" s="19"/>
      <c r="HJL50" s="19"/>
      <c r="HJM50" s="19"/>
      <c r="HJN50" s="21"/>
      <c r="HJO50" s="19"/>
      <c r="HJX50" s="19"/>
      <c r="HJY50" s="19"/>
      <c r="HJZ50" s="19"/>
      <c r="HKA50" s="19"/>
      <c r="HKB50" s="21"/>
      <c r="HKC50" s="19"/>
      <c r="HKL50" s="19"/>
      <c r="HKM50" s="19"/>
      <c r="HKN50" s="19"/>
      <c r="HKO50" s="19"/>
      <c r="HKP50" s="21"/>
      <c r="HKQ50" s="19"/>
      <c r="HKZ50" s="19"/>
      <c r="HLA50" s="19"/>
      <c r="HLB50" s="19"/>
      <c r="HLC50" s="19"/>
      <c r="HLD50" s="21"/>
      <c r="HLE50" s="19"/>
      <c r="HLN50" s="19"/>
      <c r="HLO50" s="19"/>
      <c r="HLP50" s="19"/>
      <c r="HLQ50" s="19"/>
      <c r="HLR50" s="21"/>
      <c r="HLS50" s="19"/>
      <c r="HMB50" s="19"/>
      <c r="HMC50" s="19"/>
      <c r="HMD50" s="19"/>
      <c r="HME50" s="19"/>
      <c r="HMF50" s="21"/>
      <c r="HMG50" s="19"/>
      <c r="HMP50" s="19"/>
      <c r="HMQ50" s="19"/>
      <c r="HMR50" s="19"/>
      <c r="HMS50" s="19"/>
      <c r="HMT50" s="21"/>
      <c r="HMU50" s="19"/>
      <c r="HND50" s="19"/>
      <c r="HNE50" s="19"/>
      <c r="HNF50" s="19"/>
      <c r="HNG50" s="19"/>
      <c r="HNH50" s="21"/>
      <c r="HNI50" s="19"/>
      <c r="HNR50" s="19"/>
      <c r="HNS50" s="19"/>
      <c r="HNT50" s="19"/>
      <c r="HNU50" s="19"/>
      <c r="HNV50" s="21"/>
      <c r="HNW50" s="19"/>
      <c r="HOF50" s="19"/>
      <c r="HOG50" s="19"/>
      <c r="HOH50" s="19"/>
      <c r="HOI50" s="19"/>
      <c r="HOJ50" s="21"/>
      <c r="HOK50" s="19"/>
      <c r="HOT50" s="19"/>
      <c r="HOU50" s="19"/>
      <c r="HOV50" s="19"/>
      <c r="HOW50" s="19"/>
      <c r="HOX50" s="21"/>
      <c r="HOY50" s="19"/>
      <c r="HPH50" s="19"/>
      <c r="HPI50" s="19"/>
      <c r="HPJ50" s="19"/>
      <c r="HPK50" s="19"/>
      <c r="HPL50" s="21"/>
      <c r="HPM50" s="19"/>
      <c r="HPV50" s="19"/>
      <c r="HPW50" s="19"/>
      <c r="HPX50" s="19"/>
      <c r="HPY50" s="19"/>
      <c r="HPZ50" s="21"/>
      <c r="HQA50" s="19"/>
      <c r="HQJ50" s="19"/>
      <c r="HQK50" s="19"/>
      <c r="HQL50" s="19"/>
      <c r="HQM50" s="19"/>
      <c r="HQN50" s="21"/>
      <c r="HQO50" s="19"/>
      <c r="HQX50" s="19"/>
      <c r="HQY50" s="19"/>
      <c r="HQZ50" s="19"/>
      <c r="HRA50" s="19"/>
      <c r="HRB50" s="21"/>
      <c r="HRC50" s="19"/>
      <c r="HRL50" s="19"/>
      <c r="HRM50" s="19"/>
      <c r="HRN50" s="19"/>
      <c r="HRO50" s="19"/>
      <c r="HRP50" s="21"/>
      <c r="HRQ50" s="19"/>
      <c r="HRZ50" s="19"/>
      <c r="HSA50" s="19"/>
      <c r="HSB50" s="19"/>
      <c r="HSC50" s="19"/>
      <c r="HSD50" s="21"/>
      <c r="HSE50" s="19"/>
      <c r="HSN50" s="19"/>
      <c r="HSO50" s="19"/>
      <c r="HSP50" s="19"/>
      <c r="HSQ50" s="19"/>
      <c r="HSR50" s="21"/>
      <c r="HSS50" s="19"/>
      <c r="HTB50" s="19"/>
      <c r="HTC50" s="19"/>
      <c r="HTD50" s="19"/>
      <c r="HTE50" s="19"/>
      <c r="HTF50" s="21"/>
      <c r="HTG50" s="19"/>
      <c r="HTP50" s="19"/>
      <c r="HTQ50" s="19"/>
      <c r="HTR50" s="19"/>
      <c r="HTS50" s="19"/>
      <c r="HTT50" s="21"/>
      <c r="HTU50" s="19"/>
      <c r="HUD50" s="19"/>
      <c r="HUE50" s="19"/>
      <c r="HUF50" s="19"/>
      <c r="HUG50" s="19"/>
      <c r="HUH50" s="21"/>
      <c r="HUI50" s="19"/>
      <c r="HUR50" s="19"/>
      <c r="HUS50" s="19"/>
      <c r="HUT50" s="19"/>
      <c r="HUU50" s="19"/>
      <c r="HUV50" s="21"/>
      <c r="HUW50" s="19"/>
      <c r="HVF50" s="19"/>
      <c r="HVG50" s="19"/>
      <c r="HVH50" s="19"/>
      <c r="HVI50" s="19"/>
      <c r="HVJ50" s="21"/>
      <c r="HVK50" s="19"/>
      <c r="HVT50" s="19"/>
      <c r="HVU50" s="19"/>
      <c r="HVV50" s="19"/>
      <c r="HVW50" s="19"/>
      <c r="HVX50" s="21"/>
      <c r="HVY50" s="19"/>
      <c r="HWH50" s="19"/>
      <c r="HWI50" s="19"/>
      <c r="HWJ50" s="19"/>
      <c r="HWK50" s="19"/>
      <c r="HWL50" s="21"/>
      <c r="HWM50" s="19"/>
      <c r="HWV50" s="19"/>
      <c r="HWW50" s="19"/>
      <c r="HWX50" s="19"/>
      <c r="HWY50" s="19"/>
      <c r="HWZ50" s="21"/>
      <c r="HXA50" s="19"/>
      <c r="HXJ50" s="19"/>
      <c r="HXK50" s="19"/>
      <c r="HXL50" s="19"/>
      <c r="HXM50" s="19"/>
      <c r="HXN50" s="21"/>
      <c r="HXO50" s="19"/>
      <c r="HXX50" s="19"/>
      <c r="HXY50" s="19"/>
      <c r="HXZ50" s="19"/>
      <c r="HYA50" s="19"/>
      <c r="HYB50" s="21"/>
      <c r="HYC50" s="19"/>
      <c r="HYL50" s="19"/>
      <c r="HYM50" s="19"/>
      <c r="HYN50" s="19"/>
      <c r="HYO50" s="19"/>
      <c r="HYP50" s="21"/>
      <c r="HYQ50" s="19"/>
      <c r="HYZ50" s="19"/>
      <c r="HZA50" s="19"/>
      <c r="HZB50" s="19"/>
      <c r="HZC50" s="19"/>
      <c r="HZD50" s="21"/>
      <c r="HZE50" s="19"/>
      <c r="HZN50" s="19"/>
      <c r="HZO50" s="19"/>
      <c r="HZP50" s="19"/>
      <c r="HZQ50" s="19"/>
      <c r="HZR50" s="21"/>
      <c r="HZS50" s="19"/>
      <c r="IAB50" s="19"/>
      <c r="IAC50" s="19"/>
      <c r="IAD50" s="19"/>
      <c r="IAE50" s="19"/>
      <c r="IAF50" s="21"/>
      <c r="IAG50" s="19"/>
      <c r="IAP50" s="19"/>
      <c r="IAQ50" s="19"/>
      <c r="IAR50" s="19"/>
      <c r="IAS50" s="19"/>
      <c r="IAT50" s="21"/>
      <c r="IAU50" s="19"/>
      <c r="IBD50" s="19"/>
      <c r="IBE50" s="19"/>
      <c r="IBF50" s="19"/>
      <c r="IBG50" s="19"/>
      <c r="IBH50" s="21"/>
      <c r="IBI50" s="19"/>
      <c r="IBR50" s="19"/>
      <c r="IBS50" s="19"/>
      <c r="IBT50" s="19"/>
      <c r="IBU50" s="19"/>
      <c r="IBV50" s="21"/>
      <c r="IBW50" s="19"/>
      <c r="ICF50" s="19"/>
      <c r="ICG50" s="19"/>
      <c r="ICH50" s="19"/>
      <c r="ICI50" s="19"/>
      <c r="ICJ50" s="21"/>
      <c r="ICK50" s="19"/>
      <c r="ICT50" s="19"/>
      <c r="ICU50" s="19"/>
      <c r="ICV50" s="19"/>
      <c r="ICW50" s="19"/>
      <c r="ICX50" s="21"/>
      <c r="ICY50" s="19"/>
      <c r="IDH50" s="19"/>
      <c r="IDI50" s="19"/>
      <c r="IDJ50" s="19"/>
      <c r="IDK50" s="19"/>
      <c r="IDL50" s="21"/>
      <c r="IDM50" s="19"/>
      <c r="IDV50" s="19"/>
      <c r="IDW50" s="19"/>
      <c r="IDX50" s="19"/>
      <c r="IDY50" s="19"/>
      <c r="IDZ50" s="21"/>
      <c r="IEA50" s="19"/>
      <c r="IEJ50" s="19"/>
      <c r="IEK50" s="19"/>
      <c r="IEL50" s="19"/>
      <c r="IEM50" s="19"/>
      <c r="IEN50" s="21"/>
      <c r="IEO50" s="19"/>
      <c r="IEX50" s="19"/>
      <c r="IEY50" s="19"/>
      <c r="IEZ50" s="19"/>
      <c r="IFA50" s="19"/>
      <c r="IFB50" s="21"/>
      <c r="IFC50" s="19"/>
      <c r="IFL50" s="19"/>
      <c r="IFM50" s="19"/>
      <c r="IFN50" s="19"/>
      <c r="IFO50" s="19"/>
      <c r="IFP50" s="21"/>
      <c r="IFQ50" s="19"/>
      <c r="IFZ50" s="19"/>
      <c r="IGA50" s="19"/>
      <c r="IGB50" s="19"/>
      <c r="IGC50" s="19"/>
      <c r="IGD50" s="21"/>
      <c r="IGE50" s="19"/>
      <c r="IGN50" s="19"/>
      <c r="IGO50" s="19"/>
      <c r="IGP50" s="19"/>
      <c r="IGQ50" s="19"/>
      <c r="IGR50" s="21"/>
      <c r="IGS50" s="19"/>
      <c r="IHB50" s="19"/>
      <c r="IHC50" s="19"/>
      <c r="IHD50" s="19"/>
      <c r="IHE50" s="19"/>
      <c r="IHF50" s="21"/>
      <c r="IHG50" s="19"/>
      <c r="IHP50" s="19"/>
      <c r="IHQ50" s="19"/>
      <c r="IHR50" s="19"/>
      <c r="IHS50" s="19"/>
      <c r="IHT50" s="21"/>
      <c r="IHU50" s="19"/>
      <c r="IID50" s="19"/>
      <c r="IIE50" s="19"/>
      <c r="IIF50" s="19"/>
      <c r="IIG50" s="19"/>
      <c r="IIH50" s="21"/>
      <c r="III50" s="19"/>
      <c r="IIR50" s="19"/>
      <c r="IIS50" s="19"/>
      <c r="IIT50" s="19"/>
      <c r="IIU50" s="19"/>
      <c r="IIV50" s="21"/>
      <c r="IIW50" s="19"/>
      <c r="IJF50" s="19"/>
      <c r="IJG50" s="19"/>
      <c r="IJH50" s="19"/>
      <c r="IJI50" s="19"/>
      <c r="IJJ50" s="21"/>
      <c r="IJK50" s="19"/>
      <c r="IJT50" s="19"/>
      <c r="IJU50" s="19"/>
      <c r="IJV50" s="19"/>
      <c r="IJW50" s="19"/>
      <c r="IJX50" s="21"/>
      <c r="IJY50" s="19"/>
      <c r="IKH50" s="19"/>
      <c r="IKI50" s="19"/>
      <c r="IKJ50" s="19"/>
      <c r="IKK50" s="19"/>
      <c r="IKL50" s="21"/>
      <c r="IKM50" s="19"/>
      <c r="IKV50" s="19"/>
      <c r="IKW50" s="19"/>
      <c r="IKX50" s="19"/>
      <c r="IKY50" s="19"/>
      <c r="IKZ50" s="21"/>
      <c r="ILA50" s="19"/>
      <c r="ILJ50" s="19"/>
      <c r="ILK50" s="19"/>
      <c r="ILL50" s="19"/>
      <c r="ILM50" s="19"/>
      <c r="ILN50" s="21"/>
      <c r="ILO50" s="19"/>
      <c r="ILX50" s="19"/>
      <c r="ILY50" s="19"/>
      <c r="ILZ50" s="19"/>
      <c r="IMA50" s="19"/>
      <c r="IMB50" s="21"/>
      <c r="IMC50" s="19"/>
      <c r="IML50" s="19"/>
      <c r="IMM50" s="19"/>
      <c r="IMN50" s="19"/>
      <c r="IMO50" s="19"/>
      <c r="IMP50" s="21"/>
      <c r="IMQ50" s="19"/>
      <c r="IMZ50" s="19"/>
      <c r="INA50" s="19"/>
      <c r="INB50" s="19"/>
      <c r="INC50" s="19"/>
      <c r="IND50" s="21"/>
      <c r="INE50" s="19"/>
      <c r="INN50" s="19"/>
      <c r="INO50" s="19"/>
      <c r="INP50" s="19"/>
      <c r="INQ50" s="19"/>
      <c r="INR50" s="21"/>
      <c r="INS50" s="19"/>
      <c r="IOB50" s="19"/>
      <c r="IOC50" s="19"/>
      <c r="IOD50" s="19"/>
      <c r="IOE50" s="19"/>
      <c r="IOF50" s="21"/>
      <c r="IOG50" s="19"/>
      <c r="IOP50" s="19"/>
      <c r="IOQ50" s="19"/>
      <c r="IOR50" s="19"/>
      <c r="IOS50" s="19"/>
      <c r="IOT50" s="21"/>
      <c r="IOU50" s="19"/>
      <c r="IPD50" s="19"/>
      <c r="IPE50" s="19"/>
      <c r="IPF50" s="19"/>
      <c r="IPG50" s="19"/>
      <c r="IPH50" s="21"/>
      <c r="IPI50" s="19"/>
      <c r="IPR50" s="19"/>
      <c r="IPS50" s="19"/>
      <c r="IPT50" s="19"/>
      <c r="IPU50" s="19"/>
      <c r="IPV50" s="21"/>
      <c r="IPW50" s="19"/>
      <c r="IQF50" s="19"/>
      <c r="IQG50" s="19"/>
      <c r="IQH50" s="19"/>
      <c r="IQI50" s="19"/>
      <c r="IQJ50" s="21"/>
      <c r="IQK50" s="19"/>
      <c r="IQT50" s="19"/>
      <c r="IQU50" s="19"/>
      <c r="IQV50" s="19"/>
      <c r="IQW50" s="19"/>
      <c r="IQX50" s="21"/>
      <c r="IQY50" s="19"/>
      <c r="IRH50" s="19"/>
      <c r="IRI50" s="19"/>
      <c r="IRJ50" s="19"/>
      <c r="IRK50" s="19"/>
      <c r="IRL50" s="21"/>
      <c r="IRM50" s="19"/>
      <c r="IRV50" s="19"/>
      <c r="IRW50" s="19"/>
      <c r="IRX50" s="19"/>
      <c r="IRY50" s="19"/>
      <c r="IRZ50" s="21"/>
      <c r="ISA50" s="19"/>
      <c r="ISJ50" s="19"/>
      <c r="ISK50" s="19"/>
      <c r="ISL50" s="19"/>
      <c r="ISM50" s="19"/>
      <c r="ISN50" s="21"/>
      <c r="ISO50" s="19"/>
      <c r="ISX50" s="19"/>
      <c r="ISY50" s="19"/>
      <c r="ISZ50" s="19"/>
      <c r="ITA50" s="19"/>
      <c r="ITB50" s="21"/>
      <c r="ITC50" s="19"/>
      <c r="ITL50" s="19"/>
      <c r="ITM50" s="19"/>
      <c r="ITN50" s="19"/>
      <c r="ITO50" s="19"/>
      <c r="ITP50" s="21"/>
      <c r="ITQ50" s="19"/>
      <c r="ITZ50" s="19"/>
      <c r="IUA50" s="19"/>
      <c r="IUB50" s="19"/>
      <c r="IUC50" s="19"/>
      <c r="IUD50" s="21"/>
      <c r="IUE50" s="19"/>
      <c r="IUN50" s="19"/>
      <c r="IUO50" s="19"/>
      <c r="IUP50" s="19"/>
      <c r="IUQ50" s="19"/>
      <c r="IUR50" s="21"/>
      <c r="IUS50" s="19"/>
      <c r="IVB50" s="19"/>
      <c r="IVC50" s="19"/>
      <c r="IVD50" s="19"/>
      <c r="IVE50" s="19"/>
      <c r="IVF50" s="21"/>
      <c r="IVG50" s="19"/>
      <c r="IVP50" s="19"/>
      <c r="IVQ50" s="19"/>
      <c r="IVR50" s="19"/>
      <c r="IVS50" s="19"/>
      <c r="IVT50" s="21"/>
      <c r="IVU50" s="19"/>
      <c r="IWD50" s="19"/>
      <c r="IWE50" s="19"/>
      <c r="IWF50" s="19"/>
      <c r="IWG50" s="19"/>
      <c r="IWH50" s="21"/>
      <c r="IWI50" s="19"/>
      <c r="IWR50" s="19"/>
      <c r="IWS50" s="19"/>
      <c r="IWT50" s="19"/>
      <c r="IWU50" s="19"/>
      <c r="IWV50" s="21"/>
      <c r="IWW50" s="19"/>
      <c r="IXF50" s="19"/>
      <c r="IXG50" s="19"/>
      <c r="IXH50" s="19"/>
      <c r="IXI50" s="19"/>
      <c r="IXJ50" s="21"/>
      <c r="IXK50" s="19"/>
      <c r="IXT50" s="19"/>
      <c r="IXU50" s="19"/>
      <c r="IXV50" s="19"/>
      <c r="IXW50" s="19"/>
      <c r="IXX50" s="21"/>
      <c r="IXY50" s="19"/>
      <c r="IYH50" s="19"/>
      <c r="IYI50" s="19"/>
      <c r="IYJ50" s="19"/>
      <c r="IYK50" s="19"/>
      <c r="IYL50" s="21"/>
      <c r="IYM50" s="19"/>
      <c r="IYV50" s="19"/>
      <c r="IYW50" s="19"/>
      <c r="IYX50" s="19"/>
      <c r="IYY50" s="19"/>
      <c r="IYZ50" s="21"/>
      <c r="IZA50" s="19"/>
      <c r="IZJ50" s="19"/>
      <c r="IZK50" s="19"/>
      <c r="IZL50" s="19"/>
      <c r="IZM50" s="19"/>
      <c r="IZN50" s="21"/>
      <c r="IZO50" s="19"/>
      <c r="IZX50" s="19"/>
      <c r="IZY50" s="19"/>
      <c r="IZZ50" s="19"/>
      <c r="JAA50" s="19"/>
      <c r="JAB50" s="21"/>
      <c r="JAC50" s="19"/>
      <c r="JAL50" s="19"/>
      <c r="JAM50" s="19"/>
      <c r="JAN50" s="19"/>
      <c r="JAO50" s="19"/>
      <c r="JAP50" s="21"/>
      <c r="JAQ50" s="19"/>
      <c r="JAZ50" s="19"/>
      <c r="JBA50" s="19"/>
      <c r="JBB50" s="19"/>
      <c r="JBC50" s="19"/>
      <c r="JBD50" s="21"/>
      <c r="JBE50" s="19"/>
      <c r="JBN50" s="19"/>
      <c r="JBO50" s="19"/>
      <c r="JBP50" s="19"/>
      <c r="JBQ50" s="19"/>
      <c r="JBR50" s="21"/>
      <c r="JBS50" s="19"/>
      <c r="JCB50" s="19"/>
      <c r="JCC50" s="19"/>
      <c r="JCD50" s="19"/>
      <c r="JCE50" s="19"/>
      <c r="JCF50" s="21"/>
      <c r="JCG50" s="19"/>
      <c r="JCP50" s="19"/>
      <c r="JCQ50" s="19"/>
      <c r="JCR50" s="19"/>
      <c r="JCS50" s="19"/>
      <c r="JCT50" s="21"/>
      <c r="JCU50" s="19"/>
      <c r="JDD50" s="19"/>
      <c r="JDE50" s="19"/>
      <c r="JDF50" s="19"/>
      <c r="JDG50" s="19"/>
      <c r="JDH50" s="21"/>
      <c r="JDI50" s="19"/>
      <c r="JDR50" s="19"/>
      <c r="JDS50" s="19"/>
      <c r="JDT50" s="19"/>
      <c r="JDU50" s="19"/>
      <c r="JDV50" s="21"/>
      <c r="JDW50" s="19"/>
      <c r="JEF50" s="19"/>
      <c r="JEG50" s="19"/>
      <c r="JEH50" s="19"/>
      <c r="JEI50" s="19"/>
      <c r="JEJ50" s="21"/>
      <c r="JEK50" s="19"/>
      <c r="JET50" s="19"/>
      <c r="JEU50" s="19"/>
      <c r="JEV50" s="19"/>
      <c r="JEW50" s="19"/>
      <c r="JEX50" s="21"/>
      <c r="JEY50" s="19"/>
      <c r="JFH50" s="19"/>
      <c r="JFI50" s="19"/>
      <c r="JFJ50" s="19"/>
      <c r="JFK50" s="19"/>
      <c r="JFL50" s="21"/>
      <c r="JFM50" s="19"/>
      <c r="JFV50" s="19"/>
      <c r="JFW50" s="19"/>
      <c r="JFX50" s="19"/>
      <c r="JFY50" s="19"/>
      <c r="JFZ50" s="21"/>
      <c r="JGA50" s="19"/>
      <c r="JGJ50" s="19"/>
      <c r="JGK50" s="19"/>
      <c r="JGL50" s="19"/>
      <c r="JGM50" s="19"/>
      <c r="JGN50" s="21"/>
      <c r="JGO50" s="19"/>
      <c r="JGX50" s="19"/>
      <c r="JGY50" s="19"/>
      <c r="JGZ50" s="19"/>
      <c r="JHA50" s="19"/>
      <c r="JHB50" s="21"/>
      <c r="JHC50" s="19"/>
      <c r="JHL50" s="19"/>
      <c r="JHM50" s="19"/>
      <c r="JHN50" s="19"/>
      <c r="JHO50" s="19"/>
      <c r="JHP50" s="21"/>
      <c r="JHQ50" s="19"/>
      <c r="JHZ50" s="19"/>
      <c r="JIA50" s="19"/>
      <c r="JIB50" s="19"/>
      <c r="JIC50" s="19"/>
      <c r="JID50" s="21"/>
      <c r="JIE50" s="19"/>
      <c r="JIN50" s="19"/>
      <c r="JIO50" s="19"/>
      <c r="JIP50" s="19"/>
      <c r="JIQ50" s="19"/>
      <c r="JIR50" s="21"/>
      <c r="JIS50" s="19"/>
      <c r="JJB50" s="19"/>
      <c r="JJC50" s="19"/>
      <c r="JJD50" s="19"/>
      <c r="JJE50" s="19"/>
      <c r="JJF50" s="21"/>
      <c r="JJG50" s="19"/>
      <c r="JJP50" s="19"/>
      <c r="JJQ50" s="19"/>
      <c r="JJR50" s="19"/>
      <c r="JJS50" s="19"/>
      <c r="JJT50" s="21"/>
      <c r="JJU50" s="19"/>
      <c r="JKD50" s="19"/>
      <c r="JKE50" s="19"/>
      <c r="JKF50" s="19"/>
      <c r="JKG50" s="19"/>
      <c r="JKH50" s="21"/>
      <c r="JKI50" s="19"/>
      <c r="JKR50" s="19"/>
      <c r="JKS50" s="19"/>
      <c r="JKT50" s="19"/>
      <c r="JKU50" s="19"/>
      <c r="JKV50" s="21"/>
      <c r="JKW50" s="19"/>
      <c r="JLF50" s="19"/>
      <c r="JLG50" s="19"/>
      <c r="JLH50" s="19"/>
      <c r="JLI50" s="19"/>
      <c r="JLJ50" s="21"/>
      <c r="JLK50" s="19"/>
      <c r="JLT50" s="19"/>
      <c r="JLU50" s="19"/>
      <c r="JLV50" s="19"/>
      <c r="JLW50" s="19"/>
      <c r="JLX50" s="21"/>
      <c r="JLY50" s="19"/>
      <c r="JMH50" s="19"/>
      <c r="JMI50" s="19"/>
      <c r="JMJ50" s="19"/>
      <c r="JMK50" s="19"/>
      <c r="JML50" s="21"/>
      <c r="JMM50" s="19"/>
      <c r="JMV50" s="19"/>
      <c r="JMW50" s="19"/>
      <c r="JMX50" s="19"/>
      <c r="JMY50" s="19"/>
      <c r="JMZ50" s="21"/>
      <c r="JNA50" s="19"/>
      <c r="JNJ50" s="19"/>
      <c r="JNK50" s="19"/>
      <c r="JNL50" s="19"/>
      <c r="JNM50" s="19"/>
      <c r="JNN50" s="21"/>
      <c r="JNO50" s="19"/>
      <c r="JNX50" s="19"/>
      <c r="JNY50" s="19"/>
      <c r="JNZ50" s="19"/>
      <c r="JOA50" s="19"/>
      <c r="JOB50" s="21"/>
      <c r="JOC50" s="19"/>
      <c r="JOL50" s="19"/>
      <c r="JOM50" s="19"/>
      <c r="JON50" s="19"/>
      <c r="JOO50" s="19"/>
      <c r="JOP50" s="21"/>
      <c r="JOQ50" s="19"/>
      <c r="JOZ50" s="19"/>
      <c r="JPA50" s="19"/>
      <c r="JPB50" s="19"/>
      <c r="JPC50" s="19"/>
      <c r="JPD50" s="21"/>
      <c r="JPE50" s="19"/>
      <c r="JPN50" s="19"/>
      <c r="JPO50" s="19"/>
      <c r="JPP50" s="19"/>
      <c r="JPQ50" s="19"/>
      <c r="JPR50" s="21"/>
      <c r="JPS50" s="19"/>
      <c r="JQB50" s="19"/>
      <c r="JQC50" s="19"/>
      <c r="JQD50" s="19"/>
      <c r="JQE50" s="19"/>
      <c r="JQF50" s="21"/>
      <c r="JQG50" s="19"/>
      <c r="JQP50" s="19"/>
      <c r="JQQ50" s="19"/>
      <c r="JQR50" s="19"/>
      <c r="JQS50" s="19"/>
      <c r="JQT50" s="21"/>
      <c r="JQU50" s="19"/>
      <c r="JRD50" s="19"/>
      <c r="JRE50" s="19"/>
      <c r="JRF50" s="19"/>
      <c r="JRG50" s="19"/>
      <c r="JRH50" s="21"/>
      <c r="JRI50" s="19"/>
      <c r="JRR50" s="19"/>
      <c r="JRS50" s="19"/>
      <c r="JRT50" s="19"/>
      <c r="JRU50" s="19"/>
      <c r="JRV50" s="21"/>
      <c r="JRW50" s="19"/>
      <c r="JSF50" s="19"/>
      <c r="JSG50" s="19"/>
      <c r="JSH50" s="19"/>
      <c r="JSI50" s="19"/>
      <c r="JSJ50" s="21"/>
      <c r="JSK50" s="19"/>
      <c r="JST50" s="19"/>
      <c r="JSU50" s="19"/>
      <c r="JSV50" s="19"/>
      <c r="JSW50" s="19"/>
      <c r="JSX50" s="21"/>
      <c r="JSY50" s="19"/>
      <c r="JTH50" s="19"/>
      <c r="JTI50" s="19"/>
      <c r="JTJ50" s="19"/>
      <c r="JTK50" s="19"/>
      <c r="JTL50" s="21"/>
      <c r="JTM50" s="19"/>
      <c r="JTV50" s="19"/>
      <c r="JTW50" s="19"/>
      <c r="JTX50" s="19"/>
      <c r="JTY50" s="19"/>
      <c r="JTZ50" s="21"/>
      <c r="JUA50" s="19"/>
      <c r="JUJ50" s="19"/>
      <c r="JUK50" s="19"/>
      <c r="JUL50" s="19"/>
      <c r="JUM50" s="19"/>
      <c r="JUN50" s="21"/>
      <c r="JUO50" s="19"/>
      <c r="JUX50" s="19"/>
      <c r="JUY50" s="19"/>
      <c r="JUZ50" s="19"/>
      <c r="JVA50" s="19"/>
      <c r="JVB50" s="21"/>
      <c r="JVC50" s="19"/>
      <c r="JVL50" s="19"/>
      <c r="JVM50" s="19"/>
      <c r="JVN50" s="19"/>
      <c r="JVO50" s="19"/>
      <c r="JVP50" s="21"/>
      <c r="JVQ50" s="19"/>
      <c r="JVZ50" s="19"/>
      <c r="JWA50" s="19"/>
      <c r="JWB50" s="19"/>
      <c r="JWC50" s="19"/>
      <c r="JWD50" s="21"/>
      <c r="JWE50" s="19"/>
      <c r="JWN50" s="19"/>
      <c r="JWO50" s="19"/>
      <c r="JWP50" s="19"/>
      <c r="JWQ50" s="19"/>
      <c r="JWR50" s="21"/>
      <c r="JWS50" s="19"/>
      <c r="JXB50" s="19"/>
      <c r="JXC50" s="19"/>
      <c r="JXD50" s="19"/>
      <c r="JXE50" s="19"/>
      <c r="JXF50" s="21"/>
      <c r="JXG50" s="19"/>
      <c r="JXP50" s="19"/>
      <c r="JXQ50" s="19"/>
      <c r="JXR50" s="19"/>
      <c r="JXS50" s="19"/>
      <c r="JXT50" s="21"/>
      <c r="JXU50" s="19"/>
      <c r="JYD50" s="19"/>
      <c r="JYE50" s="19"/>
      <c r="JYF50" s="19"/>
      <c r="JYG50" s="19"/>
      <c r="JYH50" s="21"/>
      <c r="JYI50" s="19"/>
      <c r="JYR50" s="19"/>
      <c r="JYS50" s="19"/>
      <c r="JYT50" s="19"/>
      <c r="JYU50" s="19"/>
      <c r="JYV50" s="21"/>
      <c r="JYW50" s="19"/>
      <c r="JZF50" s="19"/>
      <c r="JZG50" s="19"/>
      <c r="JZH50" s="19"/>
      <c r="JZI50" s="19"/>
      <c r="JZJ50" s="21"/>
      <c r="JZK50" s="19"/>
      <c r="JZT50" s="19"/>
      <c r="JZU50" s="19"/>
      <c r="JZV50" s="19"/>
      <c r="JZW50" s="19"/>
      <c r="JZX50" s="21"/>
      <c r="JZY50" s="19"/>
      <c r="KAH50" s="19"/>
      <c r="KAI50" s="19"/>
      <c r="KAJ50" s="19"/>
      <c r="KAK50" s="19"/>
      <c r="KAL50" s="21"/>
      <c r="KAM50" s="19"/>
      <c r="KAV50" s="19"/>
      <c r="KAW50" s="19"/>
      <c r="KAX50" s="19"/>
      <c r="KAY50" s="19"/>
      <c r="KAZ50" s="21"/>
      <c r="KBA50" s="19"/>
      <c r="KBJ50" s="19"/>
      <c r="KBK50" s="19"/>
      <c r="KBL50" s="19"/>
      <c r="KBM50" s="19"/>
      <c r="KBN50" s="21"/>
      <c r="KBO50" s="19"/>
      <c r="KBX50" s="19"/>
      <c r="KBY50" s="19"/>
      <c r="KBZ50" s="19"/>
      <c r="KCA50" s="19"/>
      <c r="KCB50" s="21"/>
      <c r="KCC50" s="19"/>
      <c r="KCL50" s="19"/>
      <c r="KCM50" s="19"/>
      <c r="KCN50" s="19"/>
      <c r="KCO50" s="19"/>
      <c r="KCP50" s="21"/>
      <c r="KCQ50" s="19"/>
      <c r="KCZ50" s="19"/>
      <c r="KDA50" s="19"/>
      <c r="KDB50" s="19"/>
      <c r="KDC50" s="19"/>
      <c r="KDD50" s="21"/>
      <c r="KDE50" s="19"/>
      <c r="KDN50" s="19"/>
      <c r="KDO50" s="19"/>
      <c r="KDP50" s="19"/>
      <c r="KDQ50" s="19"/>
      <c r="KDR50" s="21"/>
      <c r="KDS50" s="19"/>
      <c r="KEB50" s="19"/>
      <c r="KEC50" s="19"/>
      <c r="KED50" s="19"/>
      <c r="KEE50" s="19"/>
      <c r="KEF50" s="21"/>
      <c r="KEG50" s="19"/>
      <c r="KEP50" s="19"/>
      <c r="KEQ50" s="19"/>
      <c r="KER50" s="19"/>
      <c r="KES50" s="19"/>
      <c r="KET50" s="21"/>
      <c r="KEU50" s="19"/>
      <c r="KFD50" s="19"/>
      <c r="KFE50" s="19"/>
      <c r="KFF50" s="19"/>
      <c r="KFG50" s="19"/>
      <c r="KFH50" s="21"/>
      <c r="KFI50" s="19"/>
      <c r="KFR50" s="19"/>
      <c r="KFS50" s="19"/>
      <c r="KFT50" s="19"/>
      <c r="KFU50" s="19"/>
      <c r="KFV50" s="21"/>
      <c r="KFW50" s="19"/>
      <c r="KGF50" s="19"/>
      <c r="KGG50" s="19"/>
      <c r="KGH50" s="19"/>
      <c r="KGI50" s="19"/>
      <c r="KGJ50" s="21"/>
      <c r="KGK50" s="19"/>
      <c r="KGT50" s="19"/>
      <c r="KGU50" s="19"/>
      <c r="KGV50" s="19"/>
      <c r="KGW50" s="19"/>
      <c r="KGX50" s="21"/>
      <c r="KGY50" s="19"/>
      <c r="KHH50" s="19"/>
      <c r="KHI50" s="19"/>
      <c r="KHJ50" s="19"/>
      <c r="KHK50" s="19"/>
      <c r="KHL50" s="21"/>
      <c r="KHM50" s="19"/>
      <c r="KHV50" s="19"/>
      <c r="KHW50" s="19"/>
      <c r="KHX50" s="19"/>
      <c r="KHY50" s="19"/>
      <c r="KHZ50" s="21"/>
      <c r="KIA50" s="19"/>
      <c r="KIJ50" s="19"/>
      <c r="KIK50" s="19"/>
      <c r="KIL50" s="19"/>
      <c r="KIM50" s="19"/>
      <c r="KIN50" s="21"/>
      <c r="KIO50" s="19"/>
      <c r="KIX50" s="19"/>
      <c r="KIY50" s="19"/>
      <c r="KIZ50" s="19"/>
      <c r="KJA50" s="19"/>
      <c r="KJB50" s="21"/>
      <c r="KJC50" s="19"/>
      <c r="KJL50" s="19"/>
      <c r="KJM50" s="19"/>
      <c r="KJN50" s="19"/>
      <c r="KJO50" s="19"/>
      <c r="KJP50" s="21"/>
      <c r="KJQ50" s="19"/>
      <c r="KJZ50" s="19"/>
      <c r="KKA50" s="19"/>
      <c r="KKB50" s="19"/>
      <c r="KKC50" s="19"/>
      <c r="KKD50" s="21"/>
      <c r="KKE50" s="19"/>
      <c r="KKN50" s="19"/>
      <c r="KKO50" s="19"/>
      <c r="KKP50" s="19"/>
      <c r="KKQ50" s="19"/>
      <c r="KKR50" s="21"/>
      <c r="KKS50" s="19"/>
      <c r="KLB50" s="19"/>
      <c r="KLC50" s="19"/>
      <c r="KLD50" s="19"/>
      <c r="KLE50" s="19"/>
      <c r="KLF50" s="21"/>
      <c r="KLG50" s="19"/>
      <c r="KLP50" s="19"/>
      <c r="KLQ50" s="19"/>
      <c r="KLR50" s="19"/>
      <c r="KLS50" s="19"/>
      <c r="KLT50" s="21"/>
      <c r="KLU50" s="19"/>
      <c r="KMD50" s="19"/>
      <c r="KME50" s="19"/>
      <c r="KMF50" s="19"/>
      <c r="KMG50" s="19"/>
      <c r="KMH50" s="21"/>
      <c r="KMI50" s="19"/>
      <c r="KMR50" s="19"/>
      <c r="KMS50" s="19"/>
      <c r="KMT50" s="19"/>
      <c r="KMU50" s="19"/>
      <c r="KMV50" s="21"/>
      <c r="KMW50" s="19"/>
      <c r="KNF50" s="19"/>
      <c r="KNG50" s="19"/>
      <c r="KNH50" s="19"/>
      <c r="KNI50" s="19"/>
      <c r="KNJ50" s="21"/>
      <c r="KNK50" s="19"/>
      <c r="KNT50" s="19"/>
      <c r="KNU50" s="19"/>
      <c r="KNV50" s="19"/>
      <c r="KNW50" s="19"/>
      <c r="KNX50" s="21"/>
      <c r="KNY50" s="19"/>
      <c r="KOH50" s="19"/>
      <c r="KOI50" s="19"/>
      <c r="KOJ50" s="19"/>
      <c r="KOK50" s="19"/>
      <c r="KOL50" s="21"/>
      <c r="KOM50" s="19"/>
      <c r="KOV50" s="19"/>
      <c r="KOW50" s="19"/>
      <c r="KOX50" s="19"/>
      <c r="KOY50" s="19"/>
      <c r="KOZ50" s="21"/>
      <c r="KPA50" s="19"/>
      <c r="KPJ50" s="19"/>
      <c r="KPK50" s="19"/>
      <c r="KPL50" s="19"/>
      <c r="KPM50" s="19"/>
      <c r="KPN50" s="21"/>
      <c r="KPO50" s="19"/>
      <c r="KPX50" s="19"/>
      <c r="KPY50" s="19"/>
      <c r="KPZ50" s="19"/>
      <c r="KQA50" s="19"/>
      <c r="KQB50" s="21"/>
      <c r="KQC50" s="19"/>
      <c r="KQL50" s="19"/>
      <c r="KQM50" s="19"/>
      <c r="KQN50" s="19"/>
      <c r="KQO50" s="19"/>
      <c r="KQP50" s="21"/>
      <c r="KQQ50" s="19"/>
      <c r="KQZ50" s="19"/>
      <c r="KRA50" s="19"/>
      <c r="KRB50" s="19"/>
      <c r="KRC50" s="19"/>
      <c r="KRD50" s="21"/>
      <c r="KRE50" s="19"/>
      <c r="KRN50" s="19"/>
      <c r="KRO50" s="19"/>
      <c r="KRP50" s="19"/>
      <c r="KRQ50" s="19"/>
      <c r="KRR50" s="21"/>
      <c r="KRS50" s="19"/>
      <c r="KSB50" s="19"/>
      <c r="KSC50" s="19"/>
      <c r="KSD50" s="19"/>
      <c r="KSE50" s="19"/>
      <c r="KSF50" s="21"/>
      <c r="KSG50" s="19"/>
      <c r="KSP50" s="19"/>
      <c r="KSQ50" s="19"/>
      <c r="KSR50" s="19"/>
      <c r="KSS50" s="19"/>
      <c r="KST50" s="21"/>
      <c r="KSU50" s="19"/>
      <c r="KTD50" s="19"/>
      <c r="KTE50" s="19"/>
      <c r="KTF50" s="19"/>
      <c r="KTG50" s="19"/>
      <c r="KTH50" s="21"/>
      <c r="KTI50" s="19"/>
      <c r="KTR50" s="19"/>
      <c r="KTS50" s="19"/>
      <c r="KTT50" s="19"/>
      <c r="KTU50" s="19"/>
      <c r="KTV50" s="21"/>
      <c r="KTW50" s="19"/>
      <c r="KUF50" s="19"/>
      <c r="KUG50" s="19"/>
      <c r="KUH50" s="19"/>
      <c r="KUI50" s="19"/>
      <c r="KUJ50" s="21"/>
      <c r="KUK50" s="19"/>
      <c r="KUT50" s="19"/>
      <c r="KUU50" s="19"/>
      <c r="KUV50" s="19"/>
      <c r="KUW50" s="19"/>
      <c r="KUX50" s="21"/>
      <c r="KUY50" s="19"/>
      <c r="KVH50" s="19"/>
      <c r="KVI50" s="19"/>
      <c r="KVJ50" s="19"/>
      <c r="KVK50" s="19"/>
      <c r="KVL50" s="21"/>
      <c r="KVM50" s="19"/>
      <c r="KVV50" s="19"/>
      <c r="KVW50" s="19"/>
      <c r="KVX50" s="19"/>
      <c r="KVY50" s="19"/>
      <c r="KVZ50" s="21"/>
      <c r="KWA50" s="19"/>
      <c r="KWJ50" s="19"/>
      <c r="KWK50" s="19"/>
      <c r="KWL50" s="19"/>
      <c r="KWM50" s="19"/>
      <c r="KWN50" s="21"/>
      <c r="KWO50" s="19"/>
      <c r="KWX50" s="19"/>
      <c r="KWY50" s="19"/>
      <c r="KWZ50" s="19"/>
      <c r="KXA50" s="19"/>
      <c r="KXB50" s="21"/>
      <c r="KXC50" s="19"/>
      <c r="KXL50" s="19"/>
      <c r="KXM50" s="19"/>
      <c r="KXN50" s="19"/>
      <c r="KXO50" s="19"/>
      <c r="KXP50" s="21"/>
      <c r="KXQ50" s="19"/>
      <c r="KXZ50" s="19"/>
      <c r="KYA50" s="19"/>
      <c r="KYB50" s="19"/>
      <c r="KYC50" s="19"/>
      <c r="KYD50" s="21"/>
      <c r="KYE50" s="19"/>
      <c r="KYN50" s="19"/>
      <c r="KYO50" s="19"/>
      <c r="KYP50" s="19"/>
      <c r="KYQ50" s="19"/>
      <c r="KYR50" s="21"/>
      <c r="KYS50" s="19"/>
      <c r="KZB50" s="19"/>
      <c r="KZC50" s="19"/>
      <c r="KZD50" s="19"/>
      <c r="KZE50" s="19"/>
      <c r="KZF50" s="21"/>
      <c r="KZG50" s="19"/>
      <c r="KZP50" s="19"/>
      <c r="KZQ50" s="19"/>
      <c r="KZR50" s="19"/>
      <c r="KZS50" s="19"/>
      <c r="KZT50" s="21"/>
      <c r="KZU50" s="19"/>
      <c r="LAD50" s="19"/>
      <c r="LAE50" s="19"/>
      <c r="LAF50" s="19"/>
      <c r="LAG50" s="19"/>
      <c r="LAH50" s="21"/>
      <c r="LAI50" s="19"/>
      <c r="LAR50" s="19"/>
      <c r="LAS50" s="19"/>
      <c r="LAT50" s="19"/>
      <c r="LAU50" s="19"/>
      <c r="LAV50" s="21"/>
      <c r="LAW50" s="19"/>
      <c r="LBF50" s="19"/>
      <c r="LBG50" s="19"/>
      <c r="LBH50" s="19"/>
      <c r="LBI50" s="19"/>
      <c r="LBJ50" s="21"/>
      <c r="LBK50" s="19"/>
      <c r="LBT50" s="19"/>
      <c r="LBU50" s="19"/>
      <c r="LBV50" s="19"/>
      <c r="LBW50" s="19"/>
      <c r="LBX50" s="21"/>
      <c r="LBY50" s="19"/>
      <c r="LCH50" s="19"/>
      <c r="LCI50" s="19"/>
      <c r="LCJ50" s="19"/>
      <c r="LCK50" s="19"/>
      <c r="LCL50" s="21"/>
      <c r="LCM50" s="19"/>
      <c r="LCV50" s="19"/>
      <c r="LCW50" s="19"/>
      <c r="LCX50" s="19"/>
      <c r="LCY50" s="19"/>
      <c r="LCZ50" s="21"/>
      <c r="LDA50" s="19"/>
      <c r="LDJ50" s="19"/>
      <c r="LDK50" s="19"/>
      <c r="LDL50" s="19"/>
      <c r="LDM50" s="19"/>
      <c r="LDN50" s="21"/>
      <c r="LDO50" s="19"/>
      <c r="LDX50" s="19"/>
      <c r="LDY50" s="19"/>
      <c r="LDZ50" s="19"/>
      <c r="LEA50" s="19"/>
      <c r="LEB50" s="21"/>
      <c r="LEC50" s="19"/>
      <c r="LEL50" s="19"/>
      <c r="LEM50" s="19"/>
      <c r="LEN50" s="19"/>
      <c r="LEO50" s="19"/>
      <c r="LEP50" s="21"/>
      <c r="LEQ50" s="19"/>
      <c r="LEZ50" s="19"/>
      <c r="LFA50" s="19"/>
      <c r="LFB50" s="19"/>
      <c r="LFC50" s="19"/>
      <c r="LFD50" s="21"/>
      <c r="LFE50" s="19"/>
      <c r="LFN50" s="19"/>
      <c r="LFO50" s="19"/>
      <c r="LFP50" s="19"/>
      <c r="LFQ50" s="19"/>
      <c r="LFR50" s="21"/>
      <c r="LFS50" s="19"/>
      <c r="LGB50" s="19"/>
      <c r="LGC50" s="19"/>
      <c r="LGD50" s="19"/>
      <c r="LGE50" s="19"/>
      <c r="LGF50" s="21"/>
      <c r="LGG50" s="19"/>
      <c r="LGP50" s="19"/>
      <c r="LGQ50" s="19"/>
      <c r="LGR50" s="19"/>
      <c r="LGS50" s="19"/>
      <c r="LGT50" s="21"/>
      <c r="LGU50" s="19"/>
      <c r="LHD50" s="19"/>
      <c r="LHE50" s="19"/>
      <c r="LHF50" s="19"/>
      <c r="LHG50" s="19"/>
      <c r="LHH50" s="21"/>
      <c r="LHI50" s="19"/>
      <c r="LHR50" s="19"/>
      <c r="LHS50" s="19"/>
      <c r="LHT50" s="19"/>
      <c r="LHU50" s="19"/>
      <c r="LHV50" s="21"/>
      <c r="LHW50" s="19"/>
      <c r="LIF50" s="19"/>
      <c r="LIG50" s="19"/>
      <c r="LIH50" s="19"/>
      <c r="LII50" s="19"/>
      <c r="LIJ50" s="21"/>
      <c r="LIK50" s="19"/>
      <c r="LIT50" s="19"/>
      <c r="LIU50" s="19"/>
      <c r="LIV50" s="19"/>
      <c r="LIW50" s="19"/>
      <c r="LIX50" s="21"/>
      <c r="LIY50" s="19"/>
      <c r="LJH50" s="19"/>
      <c r="LJI50" s="19"/>
      <c r="LJJ50" s="19"/>
      <c r="LJK50" s="19"/>
      <c r="LJL50" s="21"/>
      <c r="LJM50" s="19"/>
      <c r="LJV50" s="19"/>
      <c r="LJW50" s="19"/>
      <c r="LJX50" s="19"/>
      <c r="LJY50" s="19"/>
      <c r="LJZ50" s="21"/>
      <c r="LKA50" s="19"/>
      <c r="LKJ50" s="19"/>
      <c r="LKK50" s="19"/>
      <c r="LKL50" s="19"/>
      <c r="LKM50" s="19"/>
      <c r="LKN50" s="21"/>
      <c r="LKO50" s="19"/>
      <c r="LKX50" s="19"/>
      <c r="LKY50" s="19"/>
      <c r="LKZ50" s="19"/>
      <c r="LLA50" s="19"/>
      <c r="LLB50" s="21"/>
      <c r="LLC50" s="19"/>
      <c r="LLL50" s="19"/>
      <c r="LLM50" s="19"/>
      <c r="LLN50" s="19"/>
      <c r="LLO50" s="19"/>
      <c r="LLP50" s="21"/>
      <c r="LLQ50" s="19"/>
      <c r="LLZ50" s="19"/>
      <c r="LMA50" s="19"/>
      <c r="LMB50" s="19"/>
      <c r="LMC50" s="19"/>
      <c r="LMD50" s="21"/>
      <c r="LME50" s="19"/>
      <c r="LMN50" s="19"/>
      <c r="LMO50" s="19"/>
      <c r="LMP50" s="19"/>
      <c r="LMQ50" s="19"/>
      <c r="LMR50" s="21"/>
      <c r="LMS50" s="19"/>
      <c r="LNB50" s="19"/>
      <c r="LNC50" s="19"/>
      <c r="LND50" s="19"/>
      <c r="LNE50" s="19"/>
      <c r="LNF50" s="21"/>
      <c r="LNG50" s="19"/>
      <c r="LNP50" s="19"/>
      <c r="LNQ50" s="19"/>
      <c r="LNR50" s="19"/>
      <c r="LNS50" s="19"/>
      <c r="LNT50" s="21"/>
      <c r="LNU50" s="19"/>
      <c r="LOD50" s="19"/>
      <c r="LOE50" s="19"/>
      <c r="LOF50" s="19"/>
      <c r="LOG50" s="19"/>
      <c r="LOH50" s="21"/>
      <c r="LOI50" s="19"/>
      <c r="LOR50" s="19"/>
      <c r="LOS50" s="19"/>
      <c r="LOT50" s="19"/>
      <c r="LOU50" s="19"/>
      <c r="LOV50" s="21"/>
      <c r="LOW50" s="19"/>
      <c r="LPF50" s="19"/>
      <c r="LPG50" s="19"/>
      <c r="LPH50" s="19"/>
      <c r="LPI50" s="19"/>
      <c r="LPJ50" s="21"/>
      <c r="LPK50" s="19"/>
      <c r="LPT50" s="19"/>
      <c r="LPU50" s="19"/>
      <c r="LPV50" s="19"/>
      <c r="LPW50" s="19"/>
      <c r="LPX50" s="21"/>
      <c r="LPY50" s="19"/>
      <c r="LQH50" s="19"/>
      <c r="LQI50" s="19"/>
      <c r="LQJ50" s="19"/>
      <c r="LQK50" s="19"/>
      <c r="LQL50" s="21"/>
      <c r="LQM50" s="19"/>
      <c r="LQV50" s="19"/>
      <c r="LQW50" s="19"/>
      <c r="LQX50" s="19"/>
      <c r="LQY50" s="19"/>
      <c r="LQZ50" s="21"/>
      <c r="LRA50" s="19"/>
      <c r="LRJ50" s="19"/>
      <c r="LRK50" s="19"/>
      <c r="LRL50" s="19"/>
      <c r="LRM50" s="19"/>
      <c r="LRN50" s="21"/>
      <c r="LRO50" s="19"/>
      <c r="LRX50" s="19"/>
      <c r="LRY50" s="19"/>
      <c r="LRZ50" s="19"/>
      <c r="LSA50" s="19"/>
      <c r="LSB50" s="21"/>
      <c r="LSC50" s="19"/>
      <c r="LSL50" s="19"/>
      <c r="LSM50" s="19"/>
      <c r="LSN50" s="19"/>
      <c r="LSO50" s="19"/>
      <c r="LSP50" s="21"/>
      <c r="LSQ50" s="19"/>
      <c r="LSZ50" s="19"/>
      <c r="LTA50" s="19"/>
      <c r="LTB50" s="19"/>
      <c r="LTC50" s="19"/>
      <c r="LTD50" s="21"/>
      <c r="LTE50" s="19"/>
      <c r="LTN50" s="19"/>
      <c r="LTO50" s="19"/>
      <c r="LTP50" s="19"/>
      <c r="LTQ50" s="19"/>
      <c r="LTR50" s="21"/>
      <c r="LTS50" s="19"/>
      <c r="LUB50" s="19"/>
      <c r="LUC50" s="19"/>
      <c r="LUD50" s="19"/>
      <c r="LUE50" s="19"/>
      <c r="LUF50" s="21"/>
      <c r="LUG50" s="19"/>
      <c r="LUP50" s="19"/>
      <c r="LUQ50" s="19"/>
      <c r="LUR50" s="19"/>
      <c r="LUS50" s="19"/>
      <c r="LUT50" s="21"/>
      <c r="LUU50" s="19"/>
      <c r="LVD50" s="19"/>
      <c r="LVE50" s="19"/>
      <c r="LVF50" s="19"/>
      <c r="LVG50" s="19"/>
      <c r="LVH50" s="21"/>
      <c r="LVI50" s="19"/>
      <c r="LVR50" s="19"/>
      <c r="LVS50" s="19"/>
      <c r="LVT50" s="19"/>
      <c r="LVU50" s="19"/>
      <c r="LVV50" s="21"/>
      <c r="LVW50" s="19"/>
      <c r="LWF50" s="19"/>
      <c r="LWG50" s="19"/>
      <c r="LWH50" s="19"/>
      <c r="LWI50" s="19"/>
      <c r="LWJ50" s="21"/>
      <c r="LWK50" s="19"/>
      <c r="LWT50" s="19"/>
      <c r="LWU50" s="19"/>
      <c r="LWV50" s="19"/>
      <c r="LWW50" s="19"/>
      <c r="LWX50" s="21"/>
      <c r="LWY50" s="19"/>
      <c r="LXH50" s="19"/>
      <c r="LXI50" s="19"/>
      <c r="LXJ50" s="19"/>
      <c r="LXK50" s="19"/>
      <c r="LXL50" s="21"/>
      <c r="LXM50" s="19"/>
      <c r="LXV50" s="19"/>
      <c r="LXW50" s="19"/>
      <c r="LXX50" s="19"/>
      <c r="LXY50" s="19"/>
      <c r="LXZ50" s="21"/>
      <c r="LYA50" s="19"/>
      <c r="LYJ50" s="19"/>
      <c r="LYK50" s="19"/>
      <c r="LYL50" s="19"/>
      <c r="LYM50" s="19"/>
      <c r="LYN50" s="21"/>
      <c r="LYO50" s="19"/>
      <c r="LYX50" s="19"/>
      <c r="LYY50" s="19"/>
      <c r="LYZ50" s="19"/>
      <c r="LZA50" s="19"/>
      <c r="LZB50" s="21"/>
      <c r="LZC50" s="19"/>
      <c r="LZL50" s="19"/>
      <c r="LZM50" s="19"/>
      <c r="LZN50" s="19"/>
      <c r="LZO50" s="19"/>
      <c r="LZP50" s="21"/>
      <c r="LZQ50" s="19"/>
      <c r="LZZ50" s="19"/>
      <c r="MAA50" s="19"/>
      <c r="MAB50" s="19"/>
      <c r="MAC50" s="19"/>
      <c r="MAD50" s="21"/>
      <c r="MAE50" s="19"/>
      <c r="MAN50" s="19"/>
      <c r="MAO50" s="19"/>
      <c r="MAP50" s="19"/>
      <c r="MAQ50" s="19"/>
      <c r="MAR50" s="21"/>
      <c r="MAS50" s="19"/>
      <c r="MBB50" s="19"/>
      <c r="MBC50" s="19"/>
      <c r="MBD50" s="19"/>
      <c r="MBE50" s="19"/>
      <c r="MBF50" s="21"/>
      <c r="MBG50" s="19"/>
      <c r="MBP50" s="19"/>
      <c r="MBQ50" s="19"/>
      <c r="MBR50" s="19"/>
      <c r="MBS50" s="19"/>
      <c r="MBT50" s="21"/>
      <c r="MBU50" s="19"/>
      <c r="MCD50" s="19"/>
      <c r="MCE50" s="19"/>
      <c r="MCF50" s="19"/>
      <c r="MCG50" s="19"/>
      <c r="MCH50" s="21"/>
      <c r="MCI50" s="19"/>
      <c r="MCR50" s="19"/>
      <c r="MCS50" s="19"/>
      <c r="MCT50" s="19"/>
      <c r="MCU50" s="19"/>
      <c r="MCV50" s="21"/>
      <c r="MCW50" s="19"/>
      <c r="MDF50" s="19"/>
      <c r="MDG50" s="19"/>
      <c r="MDH50" s="19"/>
      <c r="MDI50" s="19"/>
      <c r="MDJ50" s="21"/>
      <c r="MDK50" s="19"/>
      <c r="MDT50" s="19"/>
      <c r="MDU50" s="19"/>
      <c r="MDV50" s="19"/>
      <c r="MDW50" s="19"/>
      <c r="MDX50" s="21"/>
      <c r="MDY50" s="19"/>
      <c r="MEH50" s="19"/>
      <c r="MEI50" s="19"/>
      <c r="MEJ50" s="19"/>
      <c r="MEK50" s="19"/>
      <c r="MEL50" s="21"/>
      <c r="MEM50" s="19"/>
      <c r="MEV50" s="19"/>
      <c r="MEW50" s="19"/>
      <c r="MEX50" s="19"/>
      <c r="MEY50" s="19"/>
      <c r="MEZ50" s="21"/>
      <c r="MFA50" s="19"/>
      <c r="MFJ50" s="19"/>
      <c r="MFK50" s="19"/>
      <c r="MFL50" s="19"/>
      <c r="MFM50" s="19"/>
      <c r="MFN50" s="21"/>
      <c r="MFO50" s="19"/>
      <c r="MFX50" s="19"/>
      <c r="MFY50" s="19"/>
      <c r="MFZ50" s="19"/>
      <c r="MGA50" s="19"/>
      <c r="MGB50" s="21"/>
      <c r="MGC50" s="19"/>
      <c r="MGL50" s="19"/>
      <c r="MGM50" s="19"/>
      <c r="MGN50" s="19"/>
      <c r="MGO50" s="19"/>
      <c r="MGP50" s="21"/>
      <c r="MGQ50" s="19"/>
      <c r="MGZ50" s="19"/>
      <c r="MHA50" s="19"/>
      <c r="MHB50" s="19"/>
      <c r="MHC50" s="19"/>
      <c r="MHD50" s="21"/>
      <c r="MHE50" s="19"/>
      <c r="MHN50" s="19"/>
      <c r="MHO50" s="19"/>
      <c r="MHP50" s="19"/>
      <c r="MHQ50" s="19"/>
      <c r="MHR50" s="21"/>
      <c r="MHS50" s="19"/>
      <c r="MIB50" s="19"/>
      <c r="MIC50" s="19"/>
      <c r="MID50" s="19"/>
      <c r="MIE50" s="19"/>
      <c r="MIF50" s="21"/>
      <c r="MIG50" s="19"/>
      <c r="MIP50" s="19"/>
      <c r="MIQ50" s="19"/>
      <c r="MIR50" s="19"/>
      <c r="MIS50" s="19"/>
      <c r="MIT50" s="21"/>
      <c r="MIU50" s="19"/>
      <c r="MJD50" s="19"/>
      <c r="MJE50" s="19"/>
      <c r="MJF50" s="19"/>
      <c r="MJG50" s="19"/>
      <c r="MJH50" s="21"/>
      <c r="MJI50" s="19"/>
      <c r="MJR50" s="19"/>
      <c r="MJS50" s="19"/>
      <c r="MJT50" s="19"/>
      <c r="MJU50" s="19"/>
      <c r="MJV50" s="21"/>
      <c r="MJW50" s="19"/>
      <c r="MKF50" s="19"/>
      <c r="MKG50" s="19"/>
      <c r="MKH50" s="19"/>
      <c r="MKI50" s="19"/>
      <c r="MKJ50" s="21"/>
      <c r="MKK50" s="19"/>
      <c r="MKT50" s="19"/>
      <c r="MKU50" s="19"/>
      <c r="MKV50" s="19"/>
      <c r="MKW50" s="19"/>
      <c r="MKX50" s="21"/>
      <c r="MKY50" s="19"/>
      <c r="MLH50" s="19"/>
      <c r="MLI50" s="19"/>
      <c r="MLJ50" s="19"/>
      <c r="MLK50" s="19"/>
      <c r="MLL50" s="21"/>
      <c r="MLM50" s="19"/>
      <c r="MLV50" s="19"/>
      <c r="MLW50" s="19"/>
      <c r="MLX50" s="19"/>
      <c r="MLY50" s="19"/>
      <c r="MLZ50" s="21"/>
      <c r="MMA50" s="19"/>
      <c r="MMJ50" s="19"/>
      <c r="MMK50" s="19"/>
      <c r="MML50" s="19"/>
      <c r="MMM50" s="19"/>
      <c r="MMN50" s="21"/>
      <c r="MMO50" s="19"/>
      <c r="MMX50" s="19"/>
      <c r="MMY50" s="19"/>
      <c r="MMZ50" s="19"/>
      <c r="MNA50" s="19"/>
      <c r="MNB50" s="21"/>
      <c r="MNC50" s="19"/>
      <c r="MNL50" s="19"/>
      <c r="MNM50" s="19"/>
      <c r="MNN50" s="19"/>
      <c r="MNO50" s="19"/>
      <c r="MNP50" s="21"/>
      <c r="MNQ50" s="19"/>
      <c r="MNZ50" s="19"/>
      <c r="MOA50" s="19"/>
      <c r="MOB50" s="19"/>
      <c r="MOC50" s="19"/>
      <c r="MOD50" s="21"/>
      <c r="MOE50" s="19"/>
      <c r="MON50" s="19"/>
      <c r="MOO50" s="19"/>
      <c r="MOP50" s="19"/>
      <c r="MOQ50" s="19"/>
      <c r="MOR50" s="21"/>
      <c r="MOS50" s="19"/>
      <c r="MPB50" s="19"/>
      <c r="MPC50" s="19"/>
      <c r="MPD50" s="19"/>
      <c r="MPE50" s="19"/>
      <c r="MPF50" s="21"/>
      <c r="MPG50" s="19"/>
      <c r="MPP50" s="19"/>
      <c r="MPQ50" s="19"/>
      <c r="MPR50" s="19"/>
      <c r="MPS50" s="19"/>
      <c r="MPT50" s="21"/>
      <c r="MPU50" s="19"/>
      <c r="MQD50" s="19"/>
      <c r="MQE50" s="19"/>
      <c r="MQF50" s="19"/>
      <c r="MQG50" s="19"/>
      <c r="MQH50" s="21"/>
      <c r="MQI50" s="19"/>
      <c r="MQR50" s="19"/>
      <c r="MQS50" s="19"/>
      <c r="MQT50" s="19"/>
      <c r="MQU50" s="19"/>
      <c r="MQV50" s="21"/>
      <c r="MQW50" s="19"/>
      <c r="MRF50" s="19"/>
      <c r="MRG50" s="19"/>
      <c r="MRH50" s="19"/>
      <c r="MRI50" s="19"/>
      <c r="MRJ50" s="21"/>
      <c r="MRK50" s="19"/>
      <c r="MRT50" s="19"/>
      <c r="MRU50" s="19"/>
      <c r="MRV50" s="19"/>
      <c r="MRW50" s="19"/>
      <c r="MRX50" s="21"/>
      <c r="MRY50" s="19"/>
      <c r="MSH50" s="19"/>
      <c r="MSI50" s="19"/>
      <c r="MSJ50" s="19"/>
      <c r="MSK50" s="19"/>
      <c r="MSL50" s="21"/>
      <c r="MSM50" s="19"/>
      <c r="MSV50" s="19"/>
      <c r="MSW50" s="19"/>
      <c r="MSX50" s="19"/>
      <c r="MSY50" s="19"/>
      <c r="MSZ50" s="21"/>
      <c r="MTA50" s="19"/>
      <c r="MTJ50" s="19"/>
      <c r="MTK50" s="19"/>
      <c r="MTL50" s="19"/>
      <c r="MTM50" s="19"/>
      <c r="MTN50" s="21"/>
      <c r="MTO50" s="19"/>
      <c r="MTX50" s="19"/>
      <c r="MTY50" s="19"/>
      <c r="MTZ50" s="19"/>
      <c r="MUA50" s="19"/>
      <c r="MUB50" s="21"/>
      <c r="MUC50" s="19"/>
      <c r="MUL50" s="19"/>
      <c r="MUM50" s="19"/>
      <c r="MUN50" s="19"/>
      <c r="MUO50" s="19"/>
      <c r="MUP50" s="21"/>
      <c r="MUQ50" s="19"/>
      <c r="MUZ50" s="19"/>
      <c r="MVA50" s="19"/>
      <c r="MVB50" s="19"/>
      <c r="MVC50" s="19"/>
      <c r="MVD50" s="21"/>
      <c r="MVE50" s="19"/>
      <c r="MVN50" s="19"/>
      <c r="MVO50" s="19"/>
      <c r="MVP50" s="19"/>
      <c r="MVQ50" s="19"/>
      <c r="MVR50" s="21"/>
      <c r="MVS50" s="19"/>
      <c r="MWB50" s="19"/>
      <c r="MWC50" s="19"/>
      <c r="MWD50" s="19"/>
      <c r="MWE50" s="19"/>
      <c r="MWF50" s="21"/>
      <c r="MWG50" s="19"/>
      <c r="MWP50" s="19"/>
      <c r="MWQ50" s="19"/>
      <c r="MWR50" s="19"/>
      <c r="MWS50" s="19"/>
      <c r="MWT50" s="21"/>
      <c r="MWU50" s="19"/>
      <c r="MXD50" s="19"/>
      <c r="MXE50" s="19"/>
      <c r="MXF50" s="19"/>
      <c r="MXG50" s="19"/>
      <c r="MXH50" s="21"/>
      <c r="MXI50" s="19"/>
      <c r="MXR50" s="19"/>
      <c r="MXS50" s="19"/>
      <c r="MXT50" s="19"/>
      <c r="MXU50" s="19"/>
      <c r="MXV50" s="21"/>
      <c r="MXW50" s="19"/>
      <c r="MYF50" s="19"/>
      <c r="MYG50" s="19"/>
      <c r="MYH50" s="19"/>
      <c r="MYI50" s="19"/>
      <c r="MYJ50" s="21"/>
      <c r="MYK50" s="19"/>
      <c r="MYT50" s="19"/>
      <c r="MYU50" s="19"/>
      <c r="MYV50" s="19"/>
      <c r="MYW50" s="19"/>
      <c r="MYX50" s="21"/>
      <c r="MYY50" s="19"/>
      <c r="MZH50" s="19"/>
      <c r="MZI50" s="19"/>
      <c r="MZJ50" s="19"/>
      <c r="MZK50" s="19"/>
      <c r="MZL50" s="21"/>
      <c r="MZM50" s="19"/>
      <c r="MZV50" s="19"/>
      <c r="MZW50" s="19"/>
      <c r="MZX50" s="19"/>
      <c r="MZY50" s="19"/>
      <c r="MZZ50" s="21"/>
      <c r="NAA50" s="19"/>
      <c r="NAJ50" s="19"/>
      <c r="NAK50" s="19"/>
      <c r="NAL50" s="19"/>
      <c r="NAM50" s="19"/>
      <c r="NAN50" s="21"/>
      <c r="NAO50" s="19"/>
      <c r="NAX50" s="19"/>
      <c r="NAY50" s="19"/>
      <c r="NAZ50" s="19"/>
      <c r="NBA50" s="19"/>
      <c r="NBB50" s="21"/>
      <c r="NBC50" s="19"/>
      <c r="NBL50" s="19"/>
      <c r="NBM50" s="19"/>
      <c r="NBN50" s="19"/>
      <c r="NBO50" s="19"/>
      <c r="NBP50" s="21"/>
      <c r="NBQ50" s="19"/>
      <c r="NBZ50" s="19"/>
      <c r="NCA50" s="19"/>
      <c r="NCB50" s="19"/>
      <c r="NCC50" s="19"/>
      <c r="NCD50" s="21"/>
      <c r="NCE50" s="19"/>
      <c r="NCN50" s="19"/>
      <c r="NCO50" s="19"/>
      <c r="NCP50" s="19"/>
      <c r="NCQ50" s="19"/>
      <c r="NCR50" s="21"/>
      <c r="NCS50" s="19"/>
      <c r="NDB50" s="19"/>
      <c r="NDC50" s="19"/>
      <c r="NDD50" s="19"/>
      <c r="NDE50" s="19"/>
      <c r="NDF50" s="21"/>
      <c r="NDG50" s="19"/>
      <c r="NDP50" s="19"/>
      <c r="NDQ50" s="19"/>
      <c r="NDR50" s="19"/>
      <c r="NDS50" s="19"/>
      <c r="NDT50" s="21"/>
      <c r="NDU50" s="19"/>
      <c r="NED50" s="19"/>
      <c r="NEE50" s="19"/>
      <c r="NEF50" s="19"/>
      <c r="NEG50" s="19"/>
      <c r="NEH50" s="21"/>
      <c r="NEI50" s="19"/>
      <c r="NER50" s="19"/>
      <c r="NES50" s="19"/>
      <c r="NET50" s="19"/>
      <c r="NEU50" s="19"/>
      <c r="NEV50" s="21"/>
      <c r="NEW50" s="19"/>
      <c r="NFF50" s="19"/>
      <c r="NFG50" s="19"/>
      <c r="NFH50" s="19"/>
      <c r="NFI50" s="19"/>
      <c r="NFJ50" s="21"/>
      <c r="NFK50" s="19"/>
      <c r="NFT50" s="19"/>
      <c r="NFU50" s="19"/>
      <c r="NFV50" s="19"/>
      <c r="NFW50" s="19"/>
      <c r="NFX50" s="21"/>
      <c r="NFY50" s="19"/>
      <c r="NGH50" s="19"/>
      <c r="NGI50" s="19"/>
      <c r="NGJ50" s="19"/>
      <c r="NGK50" s="19"/>
      <c r="NGL50" s="21"/>
      <c r="NGM50" s="19"/>
      <c r="NGV50" s="19"/>
      <c r="NGW50" s="19"/>
      <c r="NGX50" s="19"/>
      <c r="NGY50" s="19"/>
      <c r="NGZ50" s="21"/>
      <c r="NHA50" s="19"/>
      <c r="NHJ50" s="19"/>
      <c r="NHK50" s="19"/>
      <c r="NHL50" s="19"/>
      <c r="NHM50" s="19"/>
      <c r="NHN50" s="21"/>
      <c r="NHO50" s="19"/>
      <c r="NHX50" s="19"/>
      <c r="NHY50" s="19"/>
      <c r="NHZ50" s="19"/>
      <c r="NIA50" s="19"/>
      <c r="NIB50" s="21"/>
      <c r="NIC50" s="19"/>
      <c r="NIL50" s="19"/>
      <c r="NIM50" s="19"/>
      <c r="NIN50" s="19"/>
      <c r="NIO50" s="19"/>
      <c r="NIP50" s="21"/>
      <c r="NIQ50" s="19"/>
      <c r="NIZ50" s="19"/>
      <c r="NJA50" s="19"/>
      <c r="NJB50" s="19"/>
      <c r="NJC50" s="19"/>
      <c r="NJD50" s="21"/>
      <c r="NJE50" s="19"/>
      <c r="NJN50" s="19"/>
      <c r="NJO50" s="19"/>
      <c r="NJP50" s="19"/>
      <c r="NJQ50" s="19"/>
      <c r="NJR50" s="21"/>
      <c r="NJS50" s="19"/>
      <c r="NKB50" s="19"/>
      <c r="NKC50" s="19"/>
      <c r="NKD50" s="19"/>
      <c r="NKE50" s="19"/>
      <c r="NKF50" s="21"/>
      <c r="NKG50" s="19"/>
      <c r="NKP50" s="19"/>
      <c r="NKQ50" s="19"/>
      <c r="NKR50" s="19"/>
      <c r="NKS50" s="19"/>
      <c r="NKT50" s="21"/>
      <c r="NKU50" s="19"/>
      <c r="NLD50" s="19"/>
      <c r="NLE50" s="19"/>
      <c r="NLF50" s="19"/>
      <c r="NLG50" s="19"/>
      <c r="NLH50" s="21"/>
      <c r="NLI50" s="19"/>
      <c r="NLR50" s="19"/>
      <c r="NLS50" s="19"/>
      <c r="NLT50" s="19"/>
      <c r="NLU50" s="19"/>
      <c r="NLV50" s="21"/>
      <c r="NLW50" s="19"/>
      <c r="NMF50" s="19"/>
      <c r="NMG50" s="19"/>
      <c r="NMH50" s="19"/>
      <c r="NMI50" s="19"/>
      <c r="NMJ50" s="21"/>
      <c r="NMK50" s="19"/>
      <c r="NMT50" s="19"/>
      <c r="NMU50" s="19"/>
      <c r="NMV50" s="19"/>
      <c r="NMW50" s="19"/>
      <c r="NMX50" s="21"/>
      <c r="NMY50" s="19"/>
      <c r="NNH50" s="19"/>
      <c r="NNI50" s="19"/>
      <c r="NNJ50" s="19"/>
      <c r="NNK50" s="19"/>
      <c r="NNL50" s="21"/>
      <c r="NNM50" s="19"/>
      <c r="NNV50" s="19"/>
      <c r="NNW50" s="19"/>
      <c r="NNX50" s="19"/>
      <c r="NNY50" s="19"/>
      <c r="NNZ50" s="21"/>
      <c r="NOA50" s="19"/>
      <c r="NOJ50" s="19"/>
      <c r="NOK50" s="19"/>
      <c r="NOL50" s="19"/>
      <c r="NOM50" s="19"/>
      <c r="NON50" s="21"/>
      <c r="NOO50" s="19"/>
      <c r="NOX50" s="19"/>
      <c r="NOY50" s="19"/>
      <c r="NOZ50" s="19"/>
      <c r="NPA50" s="19"/>
      <c r="NPB50" s="21"/>
      <c r="NPC50" s="19"/>
      <c r="NPL50" s="19"/>
      <c r="NPM50" s="19"/>
      <c r="NPN50" s="19"/>
      <c r="NPO50" s="19"/>
      <c r="NPP50" s="21"/>
      <c r="NPQ50" s="19"/>
      <c r="NPZ50" s="19"/>
      <c r="NQA50" s="19"/>
      <c r="NQB50" s="19"/>
      <c r="NQC50" s="19"/>
      <c r="NQD50" s="21"/>
      <c r="NQE50" s="19"/>
      <c r="NQN50" s="19"/>
      <c r="NQO50" s="19"/>
      <c r="NQP50" s="19"/>
      <c r="NQQ50" s="19"/>
      <c r="NQR50" s="21"/>
      <c r="NQS50" s="19"/>
      <c r="NRB50" s="19"/>
      <c r="NRC50" s="19"/>
      <c r="NRD50" s="19"/>
      <c r="NRE50" s="19"/>
      <c r="NRF50" s="21"/>
      <c r="NRG50" s="19"/>
      <c r="NRP50" s="19"/>
      <c r="NRQ50" s="19"/>
      <c r="NRR50" s="19"/>
      <c r="NRS50" s="19"/>
      <c r="NRT50" s="21"/>
      <c r="NRU50" s="19"/>
      <c r="NSD50" s="19"/>
      <c r="NSE50" s="19"/>
      <c r="NSF50" s="19"/>
      <c r="NSG50" s="19"/>
      <c r="NSH50" s="21"/>
      <c r="NSI50" s="19"/>
      <c r="NSR50" s="19"/>
      <c r="NSS50" s="19"/>
      <c r="NST50" s="19"/>
      <c r="NSU50" s="19"/>
      <c r="NSV50" s="21"/>
      <c r="NSW50" s="19"/>
      <c r="NTF50" s="19"/>
      <c r="NTG50" s="19"/>
      <c r="NTH50" s="19"/>
      <c r="NTI50" s="19"/>
      <c r="NTJ50" s="21"/>
      <c r="NTK50" s="19"/>
      <c r="NTT50" s="19"/>
      <c r="NTU50" s="19"/>
      <c r="NTV50" s="19"/>
      <c r="NTW50" s="19"/>
      <c r="NTX50" s="21"/>
      <c r="NTY50" s="19"/>
      <c r="NUH50" s="19"/>
      <c r="NUI50" s="19"/>
      <c r="NUJ50" s="19"/>
      <c r="NUK50" s="19"/>
      <c r="NUL50" s="21"/>
      <c r="NUM50" s="19"/>
      <c r="NUV50" s="19"/>
      <c r="NUW50" s="19"/>
      <c r="NUX50" s="19"/>
      <c r="NUY50" s="19"/>
      <c r="NUZ50" s="21"/>
      <c r="NVA50" s="19"/>
      <c r="NVJ50" s="19"/>
      <c r="NVK50" s="19"/>
      <c r="NVL50" s="19"/>
      <c r="NVM50" s="19"/>
      <c r="NVN50" s="21"/>
      <c r="NVO50" s="19"/>
      <c r="NVX50" s="19"/>
      <c r="NVY50" s="19"/>
      <c r="NVZ50" s="19"/>
      <c r="NWA50" s="19"/>
      <c r="NWB50" s="21"/>
      <c r="NWC50" s="19"/>
      <c r="NWL50" s="19"/>
      <c r="NWM50" s="19"/>
      <c r="NWN50" s="19"/>
      <c r="NWO50" s="19"/>
      <c r="NWP50" s="21"/>
      <c r="NWQ50" s="19"/>
      <c r="NWZ50" s="19"/>
      <c r="NXA50" s="19"/>
      <c r="NXB50" s="19"/>
      <c r="NXC50" s="19"/>
      <c r="NXD50" s="21"/>
      <c r="NXE50" s="19"/>
      <c r="NXN50" s="19"/>
      <c r="NXO50" s="19"/>
      <c r="NXP50" s="19"/>
      <c r="NXQ50" s="19"/>
      <c r="NXR50" s="21"/>
      <c r="NXS50" s="19"/>
      <c r="NYB50" s="19"/>
      <c r="NYC50" s="19"/>
      <c r="NYD50" s="19"/>
      <c r="NYE50" s="19"/>
      <c r="NYF50" s="21"/>
      <c r="NYG50" s="19"/>
      <c r="NYP50" s="19"/>
      <c r="NYQ50" s="19"/>
      <c r="NYR50" s="19"/>
      <c r="NYS50" s="19"/>
      <c r="NYT50" s="21"/>
      <c r="NYU50" s="19"/>
      <c r="NZD50" s="19"/>
      <c r="NZE50" s="19"/>
      <c r="NZF50" s="19"/>
      <c r="NZG50" s="19"/>
      <c r="NZH50" s="21"/>
      <c r="NZI50" s="19"/>
      <c r="NZR50" s="19"/>
      <c r="NZS50" s="19"/>
      <c r="NZT50" s="19"/>
      <c r="NZU50" s="19"/>
      <c r="NZV50" s="21"/>
      <c r="NZW50" s="19"/>
      <c r="OAF50" s="19"/>
      <c r="OAG50" s="19"/>
      <c r="OAH50" s="19"/>
      <c r="OAI50" s="19"/>
      <c r="OAJ50" s="21"/>
      <c r="OAK50" s="19"/>
      <c r="OAT50" s="19"/>
      <c r="OAU50" s="19"/>
      <c r="OAV50" s="19"/>
      <c r="OAW50" s="19"/>
      <c r="OAX50" s="21"/>
      <c r="OAY50" s="19"/>
      <c r="OBH50" s="19"/>
      <c r="OBI50" s="19"/>
      <c r="OBJ50" s="19"/>
      <c r="OBK50" s="19"/>
      <c r="OBL50" s="21"/>
      <c r="OBM50" s="19"/>
      <c r="OBV50" s="19"/>
      <c r="OBW50" s="19"/>
      <c r="OBX50" s="19"/>
      <c r="OBY50" s="19"/>
      <c r="OBZ50" s="21"/>
      <c r="OCA50" s="19"/>
      <c r="OCJ50" s="19"/>
      <c r="OCK50" s="19"/>
      <c r="OCL50" s="19"/>
      <c r="OCM50" s="19"/>
      <c r="OCN50" s="21"/>
      <c r="OCO50" s="19"/>
      <c r="OCX50" s="19"/>
      <c r="OCY50" s="19"/>
      <c r="OCZ50" s="19"/>
      <c r="ODA50" s="19"/>
      <c r="ODB50" s="21"/>
      <c r="ODC50" s="19"/>
      <c r="ODL50" s="19"/>
      <c r="ODM50" s="19"/>
      <c r="ODN50" s="19"/>
      <c r="ODO50" s="19"/>
      <c r="ODP50" s="21"/>
      <c r="ODQ50" s="19"/>
      <c r="ODZ50" s="19"/>
      <c r="OEA50" s="19"/>
      <c r="OEB50" s="19"/>
      <c r="OEC50" s="19"/>
      <c r="OED50" s="21"/>
      <c r="OEE50" s="19"/>
      <c r="OEN50" s="19"/>
      <c r="OEO50" s="19"/>
      <c r="OEP50" s="19"/>
      <c r="OEQ50" s="19"/>
      <c r="OER50" s="21"/>
      <c r="OES50" s="19"/>
      <c r="OFB50" s="19"/>
      <c r="OFC50" s="19"/>
      <c r="OFD50" s="19"/>
      <c r="OFE50" s="19"/>
      <c r="OFF50" s="21"/>
      <c r="OFG50" s="19"/>
      <c r="OFP50" s="19"/>
      <c r="OFQ50" s="19"/>
      <c r="OFR50" s="19"/>
      <c r="OFS50" s="19"/>
      <c r="OFT50" s="21"/>
      <c r="OFU50" s="19"/>
      <c r="OGD50" s="19"/>
      <c r="OGE50" s="19"/>
      <c r="OGF50" s="19"/>
      <c r="OGG50" s="19"/>
      <c r="OGH50" s="21"/>
      <c r="OGI50" s="19"/>
      <c r="OGR50" s="19"/>
      <c r="OGS50" s="19"/>
      <c r="OGT50" s="19"/>
      <c r="OGU50" s="19"/>
      <c r="OGV50" s="21"/>
      <c r="OGW50" s="19"/>
      <c r="OHF50" s="19"/>
      <c r="OHG50" s="19"/>
      <c r="OHH50" s="19"/>
      <c r="OHI50" s="19"/>
      <c r="OHJ50" s="21"/>
      <c r="OHK50" s="19"/>
      <c r="OHT50" s="19"/>
      <c r="OHU50" s="19"/>
      <c r="OHV50" s="19"/>
      <c r="OHW50" s="19"/>
      <c r="OHX50" s="21"/>
      <c r="OHY50" s="19"/>
      <c r="OIH50" s="19"/>
      <c r="OII50" s="19"/>
      <c r="OIJ50" s="19"/>
      <c r="OIK50" s="19"/>
      <c r="OIL50" s="21"/>
      <c r="OIM50" s="19"/>
      <c r="OIV50" s="19"/>
      <c r="OIW50" s="19"/>
      <c r="OIX50" s="19"/>
      <c r="OIY50" s="19"/>
      <c r="OIZ50" s="21"/>
      <c r="OJA50" s="19"/>
      <c r="OJJ50" s="19"/>
      <c r="OJK50" s="19"/>
      <c r="OJL50" s="19"/>
      <c r="OJM50" s="19"/>
      <c r="OJN50" s="21"/>
      <c r="OJO50" s="19"/>
      <c r="OJX50" s="19"/>
      <c r="OJY50" s="19"/>
      <c r="OJZ50" s="19"/>
      <c r="OKA50" s="19"/>
      <c r="OKB50" s="21"/>
      <c r="OKC50" s="19"/>
      <c r="OKL50" s="19"/>
      <c r="OKM50" s="19"/>
      <c r="OKN50" s="19"/>
      <c r="OKO50" s="19"/>
      <c r="OKP50" s="21"/>
      <c r="OKQ50" s="19"/>
      <c r="OKZ50" s="19"/>
      <c r="OLA50" s="19"/>
      <c r="OLB50" s="19"/>
      <c r="OLC50" s="19"/>
      <c r="OLD50" s="21"/>
      <c r="OLE50" s="19"/>
      <c r="OLN50" s="19"/>
      <c r="OLO50" s="19"/>
      <c r="OLP50" s="19"/>
      <c r="OLQ50" s="19"/>
      <c r="OLR50" s="21"/>
      <c r="OLS50" s="19"/>
      <c r="OMB50" s="19"/>
      <c r="OMC50" s="19"/>
      <c r="OMD50" s="19"/>
      <c r="OME50" s="19"/>
      <c r="OMF50" s="21"/>
      <c r="OMG50" s="19"/>
      <c r="OMP50" s="19"/>
      <c r="OMQ50" s="19"/>
      <c r="OMR50" s="19"/>
      <c r="OMS50" s="19"/>
      <c r="OMT50" s="21"/>
      <c r="OMU50" s="19"/>
      <c r="OND50" s="19"/>
      <c r="ONE50" s="19"/>
      <c r="ONF50" s="19"/>
      <c r="ONG50" s="19"/>
      <c r="ONH50" s="21"/>
      <c r="ONI50" s="19"/>
      <c r="ONR50" s="19"/>
      <c r="ONS50" s="19"/>
      <c r="ONT50" s="19"/>
      <c r="ONU50" s="19"/>
      <c r="ONV50" s="21"/>
      <c r="ONW50" s="19"/>
      <c r="OOF50" s="19"/>
      <c r="OOG50" s="19"/>
      <c r="OOH50" s="19"/>
      <c r="OOI50" s="19"/>
      <c r="OOJ50" s="21"/>
      <c r="OOK50" s="19"/>
      <c r="OOT50" s="19"/>
      <c r="OOU50" s="19"/>
      <c r="OOV50" s="19"/>
      <c r="OOW50" s="19"/>
      <c r="OOX50" s="21"/>
      <c r="OOY50" s="19"/>
      <c r="OPH50" s="19"/>
      <c r="OPI50" s="19"/>
      <c r="OPJ50" s="19"/>
      <c r="OPK50" s="19"/>
      <c r="OPL50" s="21"/>
      <c r="OPM50" s="19"/>
      <c r="OPV50" s="19"/>
      <c r="OPW50" s="19"/>
      <c r="OPX50" s="19"/>
      <c r="OPY50" s="19"/>
      <c r="OPZ50" s="21"/>
      <c r="OQA50" s="19"/>
      <c r="OQJ50" s="19"/>
      <c r="OQK50" s="19"/>
      <c r="OQL50" s="19"/>
      <c r="OQM50" s="19"/>
      <c r="OQN50" s="21"/>
      <c r="OQO50" s="19"/>
      <c r="OQX50" s="19"/>
      <c r="OQY50" s="19"/>
      <c r="OQZ50" s="19"/>
      <c r="ORA50" s="19"/>
      <c r="ORB50" s="21"/>
      <c r="ORC50" s="19"/>
      <c r="ORL50" s="19"/>
      <c r="ORM50" s="19"/>
      <c r="ORN50" s="19"/>
      <c r="ORO50" s="19"/>
      <c r="ORP50" s="21"/>
      <c r="ORQ50" s="19"/>
      <c r="ORZ50" s="19"/>
      <c r="OSA50" s="19"/>
      <c r="OSB50" s="19"/>
      <c r="OSC50" s="19"/>
      <c r="OSD50" s="21"/>
      <c r="OSE50" s="19"/>
      <c r="OSN50" s="19"/>
      <c r="OSO50" s="19"/>
      <c r="OSP50" s="19"/>
      <c r="OSQ50" s="19"/>
      <c r="OSR50" s="21"/>
      <c r="OSS50" s="19"/>
      <c r="OTB50" s="19"/>
      <c r="OTC50" s="19"/>
      <c r="OTD50" s="19"/>
      <c r="OTE50" s="19"/>
      <c r="OTF50" s="21"/>
      <c r="OTG50" s="19"/>
      <c r="OTP50" s="19"/>
      <c r="OTQ50" s="19"/>
      <c r="OTR50" s="19"/>
      <c r="OTS50" s="19"/>
      <c r="OTT50" s="21"/>
      <c r="OTU50" s="19"/>
      <c r="OUD50" s="19"/>
      <c r="OUE50" s="19"/>
      <c r="OUF50" s="19"/>
      <c r="OUG50" s="19"/>
      <c r="OUH50" s="21"/>
      <c r="OUI50" s="19"/>
      <c r="OUR50" s="19"/>
      <c r="OUS50" s="19"/>
      <c r="OUT50" s="19"/>
      <c r="OUU50" s="19"/>
      <c r="OUV50" s="21"/>
      <c r="OUW50" s="19"/>
      <c r="OVF50" s="19"/>
      <c r="OVG50" s="19"/>
      <c r="OVH50" s="19"/>
      <c r="OVI50" s="19"/>
      <c r="OVJ50" s="21"/>
      <c r="OVK50" s="19"/>
      <c r="OVT50" s="19"/>
      <c r="OVU50" s="19"/>
      <c r="OVV50" s="19"/>
      <c r="OVW50" s="19"/>
      <c r="OVX50" s="21"/>
      <c r="OVY50" s="19"/>
      <c r="OWH50" s="19"/>
      <c r="OWI50" s="19"/>
      <c r="OWJ50" s="19"/>
      <c r="OWK50" s="19"/>
      <c r="OWL50" s="21"/>
      <c r="OWM50" s="19"/>
      <c r="OWV50" s="19"/>
      <c r="OWW50" s="19"/>
      <c r="OWX50" s="19"/>
      <c r="OWY50" s="19"/>
      <c r="OWZ50" s="21"/>
      <c r="OXA50" s="19"/>
      <c r="OXJ50" s="19"/>
      <c r="OXK50" s="19"/>
      <c r="OXL50" s="19"/>
      <c r="OXM50" s="19"/>
      <c r="OXN50" s="21"/>
      <c r="OXO50" s="19"/>
      <c r="OXX50" s="19"/>
      <c r="OXY50" s="19"/>
      <c r="OXZ50" s="19"/>
      <c r="OYA50" s="19"/>
      <c r="OYB50" s="21"/>
      <c r="OYC50" s="19"/>
      <c r="OYL50" s="19"/>
      <c r="OYM50" s="19"/>
      <c r="OYN50" s="19"/>
      <c r="OYO50" s="19"/>
      <c r="OYP50" s="21"/>
      <c r="OYQ50" s="19"/>
      <c r="OYZ50" s="19"/>
      <c r="OZA50" s="19"/>
      <c r="OZB50" s="19"/>
      <c r="OZC50" s="19"/>
      <c r="OZD50" s="21"/>
      <c r="OZE50" s="19"/>
      <c r="OZN50" s="19"/>
      <c r="OZO50" s="19"/>
      <c r="OZP50" s="19"/>
      <c r="OZQ50" s="19"/>
      <c r="OZR50" s="21"/>
      <c r="OZS50" s="19"/>
      <c r="PAB50" s="19"/>
      <c r="PAC50" s="19"/>
      <c r="PAD50" s="19"/>
      <c r="PAE50" s="19"/>
      <c r="PAF50" s="21"/>
      <c r="PAG50" s="19"/>
      <c r="PAP50" s="19"/>
      <c r="PAQ50" s="19"/>
      <c r="PAR50" s="19"/>
      <c r="PAS50" s="19"/>
      <c r="PAT50" s="21"/>
      <c r="PAU50" s="19"/>
      <c r="PBD50" s="19"/>
      <c r="PBE50" s="19"/>
      <c r="PBF50" s="19"/>
      <c r="PBG50" s="19"/>
      <c r="PBH50" s="21"/>
      <c r="PBI50" s="19"/>
      <c r="PBR50" s="19"/>
      <c r="PBS50" s="19"/>
      <c r="PBT50" s="19"/>
      <c r="PBU50" s="19"/>
      <c r="PBV50" s="21"/>
      <c r="PBW50" s="19"/>
      <c r="PCF50" s="19"/>
      <c r="PCG50" s="19"/>
      <c r="PCH50" s="19"/>
      <c r="PCI50" s="19"/>
      <c r="PCJ50" s="21"/>
      <c r="PCK50" s="19"/>
      <c r="PCT50" s="19"/>
      <c r="PCU50" s="19"/>
      <c r="PCV50" s="19"/>
      <c r="PCW50" s="19"/>
      <c r="PCX50" s="21"/>
      <c r="PCY50" s="19"/>
      <c r="PDH50" s="19"/>
      <c r="PDI50" s="19"/>
      <c r="PDJ50" s="19"/>
      <c r="PDK50" s="19"/>
      <c r="PDL50" s="21"/>
      <c r="PDM50" s="19"/>
      <c r="PDV50" s="19"/>
      <c r="PDW50" s="19"/>
      <c r="PDX50" s="19"/>
      <c r="PDY50" s="19"/>
      <c r="PDZ50" s="21"/>
      <c r="PEA50" s="19"/>
      <c r="PEJ50" s="19"/>
      <c r="PEK50" s="19"/>
      <c r="PEL50" s="19"/>
      <c r="PEM50" s="19"/>
      <c r="PEN50" s="21"/>
      <c r="PEO50" s="19"/>
      <c r="PEX50" s="19"/>
      <c r="PEY50" s="19"/>
      <c r="PEZ50" s="19"/>
      <c r="PFA50" s="19"/>
      <c r="PFB50" s="21"/>
      <c r="PFC50" s="19"/>
      <c r="PFL50" s="19"/>
      <c r="PFM50" s="19"/>
      <c r="PFN50" s="19"/>
      <c r="PFO50" s="19"/>
      <c r="PFP50" s="21"/>
      <c r="PFQ50" s="19"/>
      <c r="PFZ50" s="19"/>
      <c r="PGA50" s="19"/>
      <c r="PGB50" s="19"/>
      <c r="PGC50" s="19"/>
      <c r="PGD50" s="21"/>
      <c r="PGE50" s="19"/>
      <c r="PGN50" s="19"/>
      <c r="PGO50" s="19"/>
      <c r="PGP50" s="19"/>
      <c r="PGQ50" s="19"/>
      <c r="PGR50" s="21"/>
      <c r="PGS50" s="19"/>
      <c r="PHB50" s="19"/>
      <c r="PHC50" s="19"/>
      <c r="PHD50" s="19"/>
      <c r="PHE50" s="19"/>
      <c r="PHF50" s="21"/>
      <c r="PHG50" s="19"/>
      <c r="PHP50" s="19"/>
      <c r="PHQ50" s="19"/>
      <c r="PHR50" s="19"/>
      <c r="PHS50" s="19"/>
      <c r="PHT50" s="21"/>
      <c r="PHU50" s="19"/>
      <c r="PID50" s="19"/>
      <c r="PIE50" s="19"/>
      <c r="PIF50" s="19"/>
      <c r="PIG50" s="19"/>
      <c r="PIH50" s="21"/>
      <c r="PII50" s="19"/>
      <c r="PIR50" s="19"/>
      <c r="PIS50" s="19"/>
      <c r="PIT50" s="19"/>
      <c r="PIU50" s="19"/>
      <c r="PIV50" s="21"/>
      <c r="PIW50" s="19"/>
      <c r="PJF50" s="19"/>
      <c r="PJG50" s="19"/>
      <c r="PJH50" s="19"/>
      <c r="PJI50" s="19"/>
      <c r="PJJ50" s="21"/>
      <c r="PJK50" s="19"/>
      <c r="PJT50" s="19"/>
      <c r="PJU50" s="19"/>
      <c r="PJV50" s="19"/>
      <c r="PJW50" s="19"/>
      <c r="PJX50" s="21"/>
      <c r="PJY50" s="19"/>
      <c r="PKH50" s="19"/>
      <c r="PKI50" s="19"/>
      <c r="PKJ50" s="19"/>
      <c r="PKK50" s="19"/>
      <c r="PKL50" s="21"/>
      <c r="PKM50" s="19"/>
      <c r="PKV50" s="19"/>
      <c r="PKW50" s="19"/>
      <c r="PKX50" s="19"/>
      <c r="PKY50" s="19"/>
      <c r="PKZ50" s="21"/>
      <c r="PLA50" s="19"/>
      <c r="PLJ50" s="19"/>
      <c r="PLK50" s="19"/>
      <c r="PLL50" s="19"/>
      <c r="PLM50" s="19"/>
      <c r="PLN50" s="21"/>
      <c r="PLO50" s="19"/>
      <c r="PLX50" s="19"/>
      <c r="PLY50" s="19"/>
      <c r="PLZ50" s="19"/>
      <c r="PMA50" s="19"/>
      <c r="PMB50" s="21"/>
      <c r="PMC50" s="19"/>
      <c r="PML50" s="19"/>
      <c r="PMM50" s="19"/>
      <c r="PMN50" s="19"/>
      <c r="PMO50" s="19"/>
      <c r="PMP50" s="21"/>
      <c r="PMQ50" s="19"/>
      <c r="PMZ50" s="19"/>
      <c r="PNA50" s="19"/>
      <c r="PNB50" s="19"/>
      <c r="PNC50" s="19"/>
      <c r="PND50" s="21"/>
      <c r="PNE50" s="19"/>
      <c r="PNN50" s="19"/>
      <c r="PNO50" s="19"/>
      <c r="PNP50" s="19"/>
      <c r="PNQ50" s="19"/>
      <c r="PNR50" s="21"/>
      <c r="PNS50" s="19"/>
      <c r="POB50" s="19"/>
      <c r="POC50" s="19"/>
      <c r="POD50" s="19"/>
      <c r="POE50" s="19"/>
      <c r="POF50" s="21"/>
      <c r="POG50" s="19"/>
      <c r="POP50" s="19"/>
      <c r="POQ50" s="19"/>
      <c r="POR50" s="19"/>
      <c r="POS50" s="19"/>
      <c r="POT50" s="21"/>
      <c r="POU50" s="19"/>
      <c r="PPD50" s="19"/>
      <c r="PPE50" s="19"/>
      <c r="PPF50" s="19"/>
      <c r="PPG50" s="19"/>
      <c r="PPH50" s="21"/>
      <c r="PPI50" s="19"/>
      <c r="PPR50" s="19"/>
      <c r="PPS50" s="19"/>
      <c r="PPT50" s="19"/>
      <c r="PPU50" s="19"/>
      <c r="PPV50" s="21"/>
      <c r="PPW50" s="19"/>
      <c r="PQF50" s="19"/>
      <c r="PQG50" s="19"/>
      <c r="PQH50" s="19"/>
      <c r="PQI50" s="19"/>
      <c r="PQJ50" s="21"/>
      <c r="PQK50" s="19"/>
      <c r="PQT50" s="19"/>
      <c r="PQU50" s="19"/>
      <c r="PQV50" s="19"/>
      <c r="PQW50" s="19"/>
      <c r="PQX50" s="21"/>
      <c r="PQY50" s="19"/>
      <c r="PRH50" s="19"/>
      <c r="PRI50" s="19"/>
      <c r="PRJ50" s="19"/>
      <c r="PRK50" s="19"/>
      <c r="PRL50" s="21"/>
      <c r="PRM50" s="19"/>
      <c r="PRV50" s="19"/>
      <c r="PRW50" s="19"/>
      <c r="PRX50" s="19"/>
      <c r="PRY50" s="19"/>
      <c r="PRZ50" s="21"/>
      <c r="PSA50" s="19"/>
      <c r="PSJ50" s="19"/>
      <c r="PSK50" s="19"/>
      <c r="PSL50" s="19"/>
      <c r="PSM50" s="19"/>
      <c r="PSN50" s="21"/>
      <c r="PSO50" s="19"/>
      <c r="PSX50" s="19"/>
      <c r="PSY50" s="19"/>
      <c r="PSZ50" s="19"/>
      <c r="PTA50" s="19"/>
      <c r="PTB50" s="21"/>
      <c r="PTC50" s="19"/>
      <c r="PTL50" s="19"/>
      <c r="PTM50" s="19"/>
      <c r="PTN50" s="19"/>
      <c r="PTO50" s="19"/>
      <c r="PTP50" s="21"/>
      <c r="PTQ50" s="19"/>
      <c r="PTZ50" s="19"/>
      <c r="PUA50" s="19"/>
      <c r="PUB50" s="19"/>
      <c r="PUC50" s="19"/>
      <c r="PUD50" s="21"/>
      <c r="PUE50" s="19"/>
      <c r="PUN50" s="19"/>
      <c r="PUO50" s="19"/>
      <c r="PUP50" s="19"/>
      <c r="PUQ50" s="19"/>
      <c r="PUR50" s="21"/>
      <c r="PUS50" s="19"/>
      <c r="PVB50" s="19"/>
      <c r="PVC50" s="19"/>
      <c r="PVD50" s="19"/>
      <c r="PVE50" s="19"/>
      <c r="PVF50" s="21"/>
      <c r="PVG50" s="19"/>
      <c r="PVP50" s="19"/>
      <c r="PVQ50" s="19"/>
      <c r="PVR50" s="19"/>
      <c r="PVS50" s="19"/>
      <c r="PVT50" s="21"/>
      <c r="PVU50" s="19"/>
      <c r="PWD50" s="19"/>
      <c r="PWE50" s="19"/>
      <c r="PWF50" s="19"/>
      <c r="PWG50" s="19"/>
      <c r="PWH50" s="21"/>
      <c r="PWI50" s="19"/>
      <c r="PWR50" s="19"/>
      <c r="PWS50" s="19"/>
      <c r="PWT50" s="19"/>
      <c r="PWU50" s="19"/>
      <c r="PWV50" s="21"/>
      <c r="PWW50" s="19"/>
      <c r="PXF50" s="19"/>
      <c r="PXG50" s="19"/>
      <c r="PXH50" s="19"/>
      <c r="PXI50" s="19"/>
      <c r="PXJ50" s="21"/>
      <c r="PXK50" s="19"/>
      <c r="PXT50" s="19"/>
      <c r="PXU50" s="19"/>
      <c r="PXV50" s="19"/>
      <c r="PXW50" s="19"/>
      <c r="PXX50" s="21"/>
      <c r="PXY50" s="19"/>
      <c r="PYH50" s="19"/>
      <c r="PYI50" s="19"/>
      <c r="PYJ50" s="19"/>
      <c r="PYK50" s="19"/>
      <c r="PYL50" s="21"/>
      <c r="PYM50" s="19"/>
      <c r="PYV50" s="19"/>
      <c r="PYW50" s="19"/>
      <c r="PYX50" s="19"/>
      <c r="PYY50" s="19"/>
      <c r="PYZ50" s="21"/>
      <c r="PZA50" s="19"/>
      <c r="PZJ50" s="19"/>
      <c r="PZK50" s="19"/>
      <c r="PZL50" s="19"/>
      <c r="PZM50" s="19"/>
      <c r="PZN50" s="21"/>
      <c r="PZO50" s="19"/>
      <c r="PZX50" s="19"/>
      <c r="PZY50" s="19"/>
      <c r="PZZ50" s="19"/>
      <c r="QAA50" s="19"/>
      <c r="QAB50" s="21"/>
      <c r="QAC50" s="19"/>
      <c r="QAL50" s="19"/>
      <c r="QAM50" s="19"/>
      <c r="QAN50" s="19"/>
      <c r="QAO50" s="19"/>
      <c r="QAP50" s="21"/>
      <c r="QAQ50" s="19"/>
      <c r="QAZ50" s="19"/>
      <c r="QBA50" s="19"/>
      <c r="QBB50" s="19"/>
      <c r="QBC50" s="19"/>
      <c r="QBD50" s="21"/>
      <c r="QBE50" s="19"/>
      <c r="QBN50" s="19"/>
      <c r="QBO50" s="19"/>
      <c r="QBP50" s="19"/>
      <c r="QBQ50" s="19"/>
      <c r="QBR50" s="21"/>
      <c r="QBS50" s="19"/>
      <c r="QCB50" s="19"/>
      <c r="QCC50" s="19"/>
      <c r="QCD50" s="19"/>
      <c r="QCE50" s="19"/>
      <c r="QCF50" s="21"/>
      <c r="QCG50" s="19"/>
      <c r="QCP50" s="19"/>
      <c r="QCQ50" s="19"/>
      <c r="QCR50" s="19"/>
      <c r="QCS50" s="19"/>
      <c r="QCT50" s="21"/>
      <c r="QCU50" s="19"/>
      <c r="QDD50" s="19"/>
      <c r="QDE50" s="19"/>
      <c r="QDF50" s="19"/>
      <c r="QDG50" s="19"/>
      <c r="QDH50" s="21"/>
      <c r="QDI50" s="19"/>
      <c r="QDR50" s="19"/>
      <c r="QDS50" s="19"/>
      <c r="QDT50" s="19"/>
      <c r="QDU50" s="19"/>
      <c r="QDV50" s="21"/>
      <c r="QDW50" s="19"/>
      <c r="QEF50" s="19"/>
      <c r="QEG50" s="19"/>
      <c r="QEH50" s="19"/>
      <c r="QEI50" s="19"/>
      <c r="QEJ50" s="21"/>
      <c r="QEK50" s="19"/>
      <c r="QET50" s="19"/>
      <c r="QEU50" s="19"/>
      <c r="QEV50" s="19"/>
      <c r="QEW50" s="19"/>
      <c r="QEX50" s="21"/>
      <c r="QEY50" s="19"/>
      <c r="QFH50" s="19"/>
      <c r="QFI50" s="19"/>
      <c r="QFJ50" s="19"/>
      <c r="QFK50" s="19"/>
      <c r="QFL50" s="21"/>
      <c r="QFM50" s="19"/>
      <c r="QFV50" s="19"/>
      <c r="QFW50" s="19"/>
      <c r="QFX50" s="19"/>
      <c r="QFY50" s="19"/>
      <c r="QFZ50" s="21"/>
      <c r="QGA50" s="19"/>
      <c r="QGJ50" s="19"/>
      <c r="QGK50" s="19"/>
      <c r="QGL50" s="19"/>
      <c r="QGM50" s="19"/>
      <c r="QGN50" s="21"/>
      <c r="QGO50" s="19"/>
      <c r="QGX50" s="19"/>
      <c r="QGY50" s="19"/>
      <c r="QGZ50" s="19"/>
      <c r="QHA50" s="19"/>
      <c r="QHB50" s="21"/>
      <c r="QHC50" s="19"/>
      <c r="QHL50" s="19"/>
      <c r="QHM50" s="19"/>
      <c r="QHN50" s="19"/>
      <c r="QHO50" s="19"/>
      <c r="QHP50" s="21"/>
      <c r="QHQ50" s="19"/>
      <c r="QHZ50" s="19"/>
      <c r="QIA50" s="19"/>
      <c r="QIB50" s="19"/>
      <c r="QIC50" s="19"/>
      <c r="QID50" s="21"/>
      <c r="QIE50" s="19"/>
      <c r="QIN50" s="19"/>
      <c r="QIO50" s="19"/>
      <c r="QIP50" s="19"/>
      <c r="QIQ50" s="19"/>
      <c r="QIR50" s="21"/>
      <c r="QIS50" s="19"/>
      <c r="QJB50" s="19"/>
      <c r="QJC50" s="19"/>
      <c r="QJD50" s="19"/>
      <c r="QJE50" s="19"/>
      <c r="QJF50" s="21"/>
      <c r="QJG50" s="19"/>
      <c r="QJP50" s="19"/>
      <c r="QJQ50" s="19"/>
      <c r="QJR50" s="19"/>
      <c r="QJS50" s="19"/>
      <c r="QJT50" s="21"/>
      <c r="QJU50" s="19"/>
      <c r="QKD50" s="19"/>
      <c r="QKE50" s="19"/>
      <c r="QKF50" s="19"/>
      <c r="QKG50" s="19"/>
      <c r="QKH50" s="21"/>
      <c r="QKI50" s="19"/>
      <c r="QKR50" s="19"/>
      <c r="QKS50" s="19"/>
      <c r="QKT50" s="19"/>
      <c r="QKU50" s="19"/>
      <c r="QKV50" s="21"/>
      <c r="QKW50" s="19"/>
      <c r="QLF50" s="19"/>
      <c r="QLG50" s="19"/>
      <c r="QLH50" s="19"/>
      <c r="QLI50" s="19"/>
      <c r="QLJ50" s="21"/>
      <c r="QLK50" s="19"/>
      <c r="QLT50" s="19"/>
      <c r="QLU50" s="19"/>
      <c r="QLV50" s="19"/>
      <c r="QLW50" s="19"/>
      <c r="QLX50" s="21"/>
      <c r="QLY50" s="19"/>
      <c r="QMH50" s="19"/>
      <c r="QMI50" s="19"/>
      <c r="QMJ50" s="19"/>
      <c r="QMK50" s="19"/>
      <c r="QML50" s="21"/>
      <c r="QMM50" s="19"/>
      <c r="QMV50" s="19"/>
      <c r="QMW50" s="19"/>
      <c r="QMX50" s="19"/>
      <c r="QMY50" s="19"/>
      <c r="QMZ50" s="21"/>
      <c r="QNA50" s="19"/>
      <c r="QNJ50" s="19"/>
      <c r="QNK50" s="19"/>
      <c r="QNL50" s="19"/>
      <c r="QNM50" s="19"/>
      <c r="QNN50" s="21"/>
      <c r="QNO50" s="19"/>
      <c r="QNX50" s="19"/>
      <c r="QNY50" s="19"/>
      <c r="QNZ50" s="19"/>
      <c r="QOA50" s="19"/>
      <c r="QOB50" s="21"/>
      <c r="QOC50" s="19"/>
      <c r="QOL50" s="19"/>
      <c r="QOM50" s="19"/>
      <c r="QON50" s="19"/>
      <c r="QOO50" s="19"/>
      <c r="QOP50" s="21"/>
      <c r="QOQ50" s="19"/>
      <c r="QOZ50" s="19"/>
      <c r="QPA50" s="19"/>
      <c r="QPB50" s="19"/>
      <c r="QPC50" s="19"/>
      <c r="QPD50" s="21"/>
      <c r="QPE50" s="19"/>
      <c r="QPN50" s="19"/>
      <c r="QPO50" s="19"/>
      <c r="QPP50" s="19"/>
      <c r="QPQ50" s="19"/>
      <c r="QPR50" s="21"/>
      <c r="QPS50" s="19"/>
      <c r="QQB50" s="19"/>
      <c r="QQC50" s="19"/>
      <c r="QQD50" s="19"/>
      <c r="QQE50" s="19"/>
      <c r="QQF50" s="21"/>
      <c r="QQG50" s="19"/>
      <c r="QQP50" s="19"/>
      <c r="QQQ50" s="19"/>
      <c r="QQR50" s="19"/>
      <c r="QQS50" s="19"/>
      <c r="QQT50" s="21"/>
      <c r="QQU50" s="19"/>
      <c r="QRD50" s="19"/>
      <c r="QRE50" s="19"/>
      <c r="QRF50" s="19"/>
      <c r="QRG50" s="19"/>
      <c r="QRH50" s="21"/>
      <c r="QRI50" s="19"/>
      <c r="QRR50" s="19"/>
      <c r="QRS50" s="19"/>
      <c r="QRT50" s="19"/>
      <c r="QRU50" s="19"/>
      <c r="QRV50" s="21"/>
      <c r="QRW50" s="19"/>
      <c r="QSF50" s="19"/>
      <c r="QSG50" s="19"/>
      <c r="QSH50" s="19"/>
      <c r="QSI50" s="19"/>
      <c r="QSJ50" s="21"/>
      <c r="QSK50" s="19"/>
      <c r="QST50" s="19"/>
      <c r="QSU50" s="19"/>
      <c r="QSV50" s="19"/>
      <c r="QSW50" s="19"/>
      <c r="QSX50" s="21"/>
      <c r="QSY50" s="19"/>
      <c r="QTH50" s="19"/>
      <c r="QTI50" s="19"/>
      <c r="QTJ50" s="19"/>
      <c r="QTK50" s="19"/>
      <c r="QTL50" s="21"/>
      <c r="QTM50" s="19"/>
      <c r="QTV50" s="19"/>
      <c r="QTW50" s="19"/>
      <c r="QTX50" s="19"/>
      <c r="QTY50" s="19"/>
      <c r="QTZ50" s="21"/>
      <c r="QUA50" s="19"/>
      <c r="QUJ50" s="19"/>
      <c r="QUK50" s="19"/>
      <c r="QUL50" s="19"/>
      <c r="QUM50" s="19"/>
      <c r="QUN50" s="21"/>
      <c r="QUO50" s="19"/>
      <c r="QUX50" s="19"/>
      <c r="QUY50" s="19"/>
      <c r="QUZ50" s="19"/>
      <c r="QVA50" s="19"/>
      <c r="QVB50" s="21"/>
      <c r="QVC50" s="19"/>
      <c r="QVL50" s="19"/>
      <c r="QVM50" s="19"/>
      <c r="QVN50" s="19"/>
      <c r="QVO50" s="19"/>
      <c r="QVP50" s="21"/>
      <c r="QVQ50" s="19"/>
      <c r="QVZ50" s="19"/>
      <c r="QWA50" s="19"/>
      <c r="QWB50" s="19"/>
      <c r="QWC50" s="19"/>
      <c r="QWD50" s="21"/>
      <c r="QWE50" s="19"/>
      <c r="QWN50" s="19"/>
      <c r="QWO50" s="19"/>
      <c r="QWP50" s="19"/>
      <c r="QWQ50" s="19"/>
      <c r="QWR50" s="21"/>
      <c r="QWS50" s="19"/>
      <c r="QXB50" s="19"/>
      <c r="QXC50" s="19"/>
      <c r="QXD50" s="19"/>
      <c r="QXE50" s="19"/>
      <c r="QXF50" s="21"/>
      <c r="QXG50" s="19"/>
      <c r="QXP50" s="19"/>
      <c r="QXQ50" s="19"/>
      <c r="QXR50" s="19"/>
      <c r="QXS50" s="19"/>
      <c r="QXT50" s="21"/>
      <c r="QXU50" s="19"/>
      <c r="QYD50" s="19"/>
      <c r="QYE50" s="19"/>
      <c r="QYF50" s="19"/>
      <c r="QYG50" s="19"/>
      <c r="QYH50" s="21"/>
      <c r="QYI50" s="19"/>
      <c r="QYR50" s="19"/>
      <c r="QYS50" s="19"/>
      <c r="QYT50" s="19"/>
      <c r="QYU50" s="19"/>
      <c r="QYV50" s="21"/>
      <c r="QYW50" s="19"/>
      <c r="QZF50" s="19"/>
      <c r="QZG50" s="19"/>
      <c r="QZH50" s="19"/>
      <c r="QZI50" s="19"/>
      <c r="QZJ50" s="21"/>
      <c r="QZK50" s="19"/>
      <c r="QZT50" s="19"/>
      <c r="QZU50" s="19"/>
      <c r="QZV50" s="19"/>
      <c r="QZW50" s="19"/>
      <c r="QZX50" s="21"/>
      <c r="QZY50" s="19"/>
      <c r="RAH50" s="19"/>
      <c r="RAI50" s="19"/>
      <c r="RAJ50" s="19"/>
      <c r="RAK50" s="19"/>
      <c r="RAL50" s="21"/>
      <c r="RAM50" s="19"/>
      <c r="RAV50" s="19"/>
      <c r="RAW50" s="19"/>
      <c r="RAX50" s="19"/>
      <c r="RAY50" s="19"/>
      <c r="RAZ50" s="21"/>
      <c r="RBA50" s="19"/>
      <c r="RBJ50" s="19"/>
      <c r="RBK50" s="19"/>
      <c r="RBL50" s="19"/>
      <c r="RBM50" s="19"/>
      <c r="RBN50" s="21"/>
      <c r="RBO50" s="19"/>
      <c r="RBX50" s="19"/>
      <c r="RBY50" s="19"/>
      <c r="RBZ50" s="19"/>
      <c r="RCA50" s="19"/>
      <c r="RCB50" s="21"/>
      <c r="RCC50" s="19"/>
      <c r="RCL50" s="19"/>
      <c r="RCM50" s="19"/>
      <c r="RCN50" s="19"/>
      <c r="RCO50" s="19"/>
      <c r="RCP50" s="21"/>
      <c r="RCQ50" s="19"/>
      <c r="RCZ50" s="19"/>
      <c r="RDA50" s="19"/>
      <c r="RDB50" s="19"/>
      <c r="RDC50" s="19"/>
      <c r="RDD50" s="21"/>
      <c r="RDE50" s="19"/>
      <c r="RDN50" s="19"/>
      <c r="RDO50" s="19"/>
      <c r="RDP50" s="19"/>
      <c r="RDQ50" s="19"/>
      <c r="RDR50" s="21"/>
      <c r="RDS50" s="19"/>
      <c r="REB50" s="19"/>
      <c r="REC50" s="19"/>
      <c r="RED50" s="19"/>
      <c r="REE50" s="19"/>
      <c r="REF50" s="21"/>
      <c r="REG50" s="19"/>
      <c r="REP50" s="19"/>
      <c r="REQ50" s="19"/>
      <c r="RER50" s="19"/>
      <c r="RES50" s="19"/>
      <c r="RET50" s="21"/>
      <c r="REU50" s="19"/>
      <c r="RFD50" s="19"/>
      <c r="RFE50" s="19"/>
      <c r="RFF50" s="19"/>
      <c r="RFG50" s="19"/>
      <c r="RFH50" s="21"/>
      <c r="RFI50" s="19"/>
      <c r="RFR50" s="19"/>
      <c r="RFS50" s="19"/>
      <c r="RFT50" s="19"/>
      <c r="RFU50" s="19"/>
      <c r="RFV50" s="21"/>
      <c r="RFW50" s="19"/>
      <c r="RGF50" s="19"/>
      <c r="RGG50" s="19"/>
      <c r="RGH50" s="19"/>
      <c r="RGI50" s="19"/>
      <c r="RGJ50" s="21"/>
      <c r="RGK50" s="19"/>
      <c r="RGT50" s="19"/>
      <c r="RGU50" s="19"/>
      <c r="RGV50" s="19"/>
      <c r="RGW50" s="19"/>
      <c r="RGX50" s="21"/>
      <c r="RGY50" s="19"/>
      <c r="RHH50" s="19"/>
      <c r="RHI50" s="19"/>
      <c r="RHJ50" s="19"/>
      <c r="RHK50" s="19"/>
      <c r="RHL50" s="21"/>
      <c r="RHM50" s="19"/>
      <c r="RHV50" s="19"/>
      <c r="RHW50" s="19"/>
      <c r="RHX50" s="19"/>
      <c r="RHY50" s="19"/>
      <c r="RHZ50" s="21"/>
      <c r="RIA50" s="19"/>
      <c r="RIJ50" s="19"/>
      <c r="RIK50" s="19"/>
      <c r="RIL50" s="19"/>
      <c r="RIM50" s="19"/>
      <c r="RIN50" s="21"/>
      <c r="RIO50" s="19"/>
      <c r="RIX50" s="19"/>
      <c r="RIY50" s="19"/>
      <c r="RIZ50" s="19"/>
      <c r="RJA50" s="19"/>
      <c r="RJB50" s="21"/>
      <c r="RJC50" s="19"/>
      <c r="RJL50" s="19"/>
      <c r="RJM50" s="19"/>
      <c r="RJN50" s="19"/>
      <c r="RJO50" s="19"/>
      <c r="RJP50" s="21"/>
      <c r="RJQ50" s="19"/>
      <c r="RJZ50" s="19"/>
      <c r="RKA50" s="19"/>
      <c r="RKB50" s="19"/>
      <c r="RKC50" s="19"/>
      <c r="RKD50" s="21"/>
      <c r="RKE50" s="19"/>
      <c r="RKN50" s="19"/>
      <c r="RKO50" s="19"/>
      <c r="RKP50" s="19"/>
      <c r="RKQ50" s="19"/>
      <c r="RKR50" s="21"/>
      <c r="RKS50" s="19"/>
      <c r="RLB50" s="19"/>
      <c r="RLC50" s="19"/>
      <c r="RLD50" s="19"/>
      <c r="RLE50" s="19"/>
      <c r="RLF50" s="21"/>
      <c r="RLG50" s="19"/>
      <c r="RLP50" s="19"/>
      <c r="RLQ50" s="19"/>
      <c r="RLR50" s="19"/>
      <c r="RLS50" s="19"/>
      <c r="RLT50" s="21"/>
      <c r="RLU50" s="19"/>
      <c r="RMD50" s="19"/>
      <c r="RME50" s="19"/>
      <c r="RMF50" s="19"/>
      <c r="RMG50" s="19"/>
      <c r="RMH50" s="21"/>
      <c r="RMI50" s="19"/>
      <c r="RMR50" s="19"/>
      <c r="RMS50" s="19"/>
      <c r="RMT50" s="19"/>
      <c r="RMU50" s="19"/>
      <c r="RMV50" s="21"/>
      <c r="RMW50" s="19"/>
      <c r="RNF50" s="19"/>
      <c r="RNG50" s="19"/>
      <c r="RNH50" s="19"/>
      <c r="RNI50" s="19"/>
      <c r="RNJ50" s="21"/>
      <c r="RNK50" s="19"/>
      <c r="RNT50" s="19"/>
      <c r="RNU50" s="19"/>
      <c r="RNV50" s="19"/>
      <c r="RNW50" s="19"/>
      <c r="RNX50" s="21"/>
      <c r="RNY50" s="19"/>
      <c r="ROH50" s="19"/>
      <c r="ROI50" s="19"/>
      <c r="ROJ50" s="19"/>
      <c r="ROK50" s="19"/>
      <c r="ROL50" s="21"/>
      <c r="ROM50" s="19"/>
      <c r="ROV50" s="19"/>
      <c r="ROW50" s="19"/>
      <c r="ROX50" s="19"/>
      <c r="ROY50" s="19"/>
      <c r="ROZ50" s="21"/>
      <c r="RPA50" s="19"/>
      <c r="RPJ50" s="19"/>
      <c r="RPK50" s="19"/>
      <c r="RPL50" s="19"/>
      <c r="RPM50" s="19"/>
      <c r="RPN50" s="21"/>
      <c r="RPO50" s="19"/>
      <c r="RPX50" s="19"/>
      <c r="RPY50" s="19"/>
      <c r="RPZ50" s="19"/>
      <c r="RQA50" s="19"/>
      <c r="RQB50" s="21"/>
      <c r="RQC50" s="19"/>
      <c r="RQL50" s="19"/>
      <c r="RQM50" s="19"/>
      <c r="RQN50" s="19"/>
      <c r="RQO50" s="19"/>
      <c r="RQP50" s="21"/>
      <c r="RQQ50" s="19"/>
      <c r="RQZ50" s="19"/>
      <c r="RRA50" s="19"/>
      <c r="RRB50" s="19"/>
      <c r="RRC50" s="19"/>
      <c r="RRD50" s="21"/>
      <c r="RRE50" s="19"/>
      <c r="RRN50" s="19"/>
      <c r="RRO50" s="19"/>
      <c r="RRP50" s="19"/>
      <c r="RRQ50" s="19"/>
      <c r="RRR50" s="21"/>
      <c r="RRS50" s="19"/>
      <c r="RSB50" s="19"/>
      <c r="RSC50" s="19"/>
      <c r="RSD50" s="19"/>
      <c r="RSE50" s="19"/>
      <c r="RSF50" s="21"/>
      <c r="RSG50" s="19"/>
      <c r="RSP50" s="19"/>
      <c r="RSQ50" s="19"/>
      <c r="RSR50" s="19"/>
      <c r="RSS50" s="19"/>
      <c r="RST50" s="21"/>
      <c r="RSU50" s="19"/>
      <c r="RTD50" s="19"/>
      <c r="RTE50" s="19"/>
      <c r="RTF50" s="19"/>
      <c r="RTG50" s="19"/>
      <c r="RTH50" s="21"/>
      <c r="RTI50" s="19"/>
      <c r="RTR50" s="19"/>
      <c r="RTS50" s="19"/>
      <c r="RTT50" s="19"/>
      <c r="RTU50" s="19"/>
      <c r="RTV50" s="21"/>
      <c r="RTW50" s="19"/>
      <c r="RUF50" s="19"/>
      <c r="RUG50" s="19"/>
      <c r="RUH50" s="19"/>
      <c r="RUI50" s="19"/>
      <c r="RUJ50" s="21"/>
      <c r="RUK50" s="19"/>
      <c r="RUT50" s="19"/>
      <c r="RUU50" s="19"/>
      <c r="RUV50" s="19"/>
      <c r="RUW50" s="19"/>
      <c r="RUX50" s="21"/>
      <c r="RUY50" s="19"/>
      <c r="RVH50" s="19"/>
      <c r="RVI50" s="19"/>
      <c r="RVJ50" s="19"/>
      <c r="RVK50" s="19"/>
      <c r="RVL50" s="21"/>
      <c r="RVM50" s="19"/>
      <c r="RVV50" s="19"/>
      <c r="RVW50" s="19"/>
      <c r="RVX50" s="19"/>
      <c r="RVY50" s="19"/>
      <c r="RVZ50" s="21"/>
      <c r="RWA50" s="19"/>
      <c r="RWJ50" s="19"/>
      <c r="RWK50" s="19"/>
      <c r="RWL50" s="19"/>
      <c r="RWM50" s="19"/>
      <c r="RWN50" s="21"/>
      <c r="RWO50" s="19"/>
      <c r="RWX50" s="19"/>
      <c r="RWY50" s="19"/>
      <c r="RWZ50" s="19"/>
      <c r="RXA50" s="19"/>
      <c r="RXB50" s="21"/>
      <c r="RXC50" s="19"/>
      <c r="RXL50" s="19"/>
      <c r="RXM50" s="19"/>
      <c r="RXN50" s="19"/>
      <c r="RXO50" s="19"/>
      <c r="RXP50" s="21"/>
      <c r="RXQ50" s="19"/>
      <c r="RXZ50" s="19"/>
      <c r="RYA50" s="19"/>
      <c r="RYB50" s="19"/>
      <c r="RYC50" s="19"/>
      <c r="RYD50" s="21"/>
      <c r="RYE50" s="19"/>
      <c r="RYN50" s="19"/>
      <c r="RYO50" s="19"/>
      <c r="RYP50" s="19"/>
      <c r="RYQ50" s="19"/>
      <c r="RYR50" s="21"/>
      <c r="RYS50" s="19"/>
      <c r="RZB50" s="19"/>
      <c r="RZC50" s="19"/>
      <c r="RZD50" s="19"/>
      <c r="RZE50" s="19"/>
      <c r="RZF50" s="21"/>
      <c r="RZG50" s="19"/>
      <c r="RZP50" s="19"/>
      <c r="RZQ50" s="19"/>
      <c r="RZR50" s="19"/>
      <c r="RZS50" s="19"/>
      <c r="RZT50" s="21"/>
      <c r="RZU50" s="19"/>
      <c r="SAD50" s="19"/>
      <c r="SAE50" s="19"/>
      <c r="SAF50" s="19"/>
      <c r="SAG50" s="19"/>
      <c r="SAH50" s="21"/>
      <c r="SAI50" s="19"/>
      <c r="SAR50" s="19"/>
      <c r="SAS50" s="19"/>
      <c r="SAT50" s="19"/>
      <c r="SAU50" s="19"/>
      <c r="SAV50" s="21"/>
      <c r="SAW50" s="19"/>
      <c r="SBF50" s="19"/>
      <c r="SBG50" s="19"/>
      <c r="SBH50" s="19"/>
      <c r="SBI50" s="19"/>
      <c r="SBJ50" s="21"/>
      <c r="SBK50" s="19"/>
      <c r="SBT50" s="19"/>
      <c r="SBU50" s="19"/>
      <c r="SBV50" s="19"/>
      <c r="SBW50" s="19"/>
      <c r="SBX50" s="21"/>
      <c r="SBY50" s="19"/>
      <c r="SCH50" s="19"/>
      <c r="SCI50" s="19"/>
      <c r="SCJ50" s="19"/>
      <c r="SCK50" s="19"/>
      <c r="SCL50" s="21"/>
      <c r="SCM50" s="19"/>
      <c r="SCV50" s="19"/>
      <c r="SCW50" s="19"/>
      <c r="SCX50" s="19"/>
      <c r="SCY50" s="19"/>
      <c r="SCZ50" s="21"/>
      <c r="SDA50" s="19"/>
      <c r="SDJ50" s="19"/>
      <c r="SDK50" s="19"/>
      <c r="SDL50" s="19"/>
      <c r="SDM50" s="19"/>
      <c r="SDN50" s="21"/>
      <c r="SDO50" s="19"/>
      <c r="SDX50" s="19"/>
      <c r="SDY50" s="19"/>
      <c r="SDZ50" s="19"/>
      <c r="SEA50" s="19"/>
      <c r="SEB50" s="21"/>
      <c r="SEC50" s="19"/>
      <c r="SEL50" s="19"/>
      <c r="SEM50" s="19"/>
      <c r="SEN50" s="19"/>
      <c r="SEO50" s="19"/>
      <c r="SEP50" s="21"/>
      <c r="SEQ50" s="19"/>
      <c r="SEZ50" s="19"/>
      <c r="SFA50" s="19"/>
      <c r="SFB50" s="19"/>
      <c r="SFC50" s="19"/>
      <c r="SFD50" s="21"/>
      <c r="SFE50" s="19"/>
      <c r="SFN50" s="19"/>
      <c r="SFO50" s="19"/>
      <c r="SFP50" s="19"/>
      <c r="SFQ50" s="19"/>
      <c r="SFR50" s="21"/>
      <c r="SFS50" s="19"/>
      <c r="SGB50" s="19"/>
      <c r="SGC50" s="19"/>
      <c r="SGD50" s="19"/>
      <c r="SGE50" s="19"/>
      <c r="SGF50" s="21"/>
      <c r="SGG50" s="19"/>
      <c r="SGP50" s="19"/>
      <c r="SGQ50" s="19"/>
      <c r="SGR50" s="19"/>
      <c r="SGS50" s="19"/>
      <c r="SGT50" s="21"/>
      <c r="SGU50" s="19"/>
      <c r="SHD50" s="19"/>
      <c r="SHE50" s="19"/>
      <c r="SHF50" s="19"/>
      <c r="SHG50" s="19"/>
      <c r="SHH50" s="21"/>
      <c r="SHI50" s="19"/>
      <c r="SHR50" s="19"/>
      <c r="SHS50" s="19"/>
      <c r="SHT50" s="19"/>
      <c r="SHU50" s="19"/>
      <c r="SHV50" s="21"/>
      <c r="SHW50" s="19"/>
      <c r="SIF50" s="19"/>
      <c r="SIG50" s="19"/>
      <c r="SIH50" s="19"/>
      <c r="SII50" s="19"/>
      <c r="SIJ50" s="21"/>
      <c r="SIK50" s="19"/>
      <c r="SIT50" s="19"/>
      <c r="SIU50" s="19"/>
      <c r="SIV50" s="19"/>
      <c r="SIW50" s="19"/>
      <c r="SIX50" s="21"/>
      <c r="SIY50" s="19"/>
      <c r="SJH50" s="19"/>
      <c r="SJI50" s="19"/>
      <c r="SJJ50" s="19"/>
      <c r="SJK50" s="19"/>
      <c r="SJL50" s="21"/>
      <c r="SJM50" s="19"/>
      <c r="SJV50" s="19"/>
      <c r="SJW50" s="19"/>
      <c r="SJX50" s="19"/>
      <c r="SJY50" s="19"/>
      <c r="SJZ50" s="21"/>
      <c r="SKA50" s="19"/>
      <c r="SKJ50" s="19"/>
      <c r="SKK50" s="19"/>
      <c r="SKL50" s="19"/>
      <c r="SKM50" s="19"/>
      <c r="SKN50" s="21"/>
      <c r="SKO50" s="19"/>
      <c r="SKX50" s="19"/>
      <c r="SKY50" s="19"/>
      <c r="SKZ50" s="19"/>
      <c r="SLA50" s="19"/>
      <c r="SLB50" s="21"/>
      <c r="SLC50" s="19"/>
      <c r="SLL50" s="19"/>
      <c r="SLM50" s="19"/>
      <c r="SLN50" s="19"/>
      <c r="SLO50" s="19"/>
      <c r="SLP50" s="21"/>
      <c r="SLQ50" s="19"/>
      <c r="SLZ50" s="19"/>
      <c r="SMA50" s="19"/>
      <c r="SMB50" s="19"/>
      <c r="SMC50" s="19"/>
      <c r="SMD50" s="21"/>
      <c r="SME50" s="19"/>
      <c r="SMN50" s="19"/>
      <c r="SMO50" s="19"/>
      <c r="SMP50" s="19"/>
      <c r="SMQ50" s="19"/>
      <c r="SMR50" s="21"/>
      <c r="SMS50" s="19"/>
      <c r="SNB50" s="19"/>
      <c r="SNC50" s="19"/>
      <c r="SND50" s="19"/>
      <c r="SNE50" s="19"/>
      <c r="SNF50" s="21"/>
      <c r="SNG50" s="19"/>
      <c r="SNP50" s="19"/>
      <c r="SNQ50" s="19"/>
      <c r="SNR50" s="19"/>
      <c r="SNS50" s="19"/>
      <c r="SNT50" s="21"/>
      <c r="SNU50" s="19"/>
      <c r="SOD50" s="19"/>
      <c r="SOE50" s="19"/>
      <c r="SOF50" s="19"/>
      <c r="SOG50" s="19"/>
      <c r="SOH50" s="21"/>
      <c r="SOI50" s="19"/>
      <c r="SOR50" s="19"/>
      <c r="SOS50" s="19"/>
      <c r="SOT50" s="19"/>
      <c r="SOU50" s="19"/>
      <c r="SOV50" s="21"/>
      <c r="SOW50" s="19"/>
      <c r="SPF50" s="19"/>
      <c r="SPG50" s="19"/>
      <c r="SPH50" s="19"/>
      <c r="SPI50" s="19"/>
      <c r="SPJ50" s="21"/>
      <c r="SPK50" s="19"/>
      <c r="SPT50" s="19"/>
      <c r="SPU50" s="19"/>
      <c r="SPV50" s="19"/>
      <c r="SPW50" s="19"/>
      <c r="SPX50" s="21"/>
      <c r="SPY50" s="19"/>
      <c r="SQH50" s="19"/>
      <c r="SQI50" s="19"/>
      <c r="SQJ50" s="19"/>
      <c r="SQK50" s="19"/>
      <c r="SQL50" s="21"/>
      <c r="SQM50" s="19"/>
      <c r="SQV50" s="19"/>
      <c r="SQW50" s="19"/>
      <c r="SQX50" s="19"/>
      <c r="SQY50" s="19"/>
      <c r="SQZ50" s="21"/>
      <c r="SRA50" s="19"/>
      <c r="SRJ50" s="19"/>
      <c r="SRK50" s="19"/>
      <c r="SRL50" s="19"/>
      <c r="SRM50" s="19"/>
      <c r="SRN50" s="21"/>
      <c r="SRO50" s="19"/>
      <c r="SRX50" s="19"/>
      <c r="SRY50" s="19"/>
      <c r="SRZ50" s="19"/>
      <c r="SSA50" s="19"/>
      <c r="SSB50" s="21"/>
      <c r="SSC50" s="19"/>
      <c r="SSL50" s="19"/>
      <c r="SSM50" s="19"/>
      <c r="SSN50" s="19"/>
      <c r="SSO50" s="19"/>
      <c r="SSP50" s="21"/>
      <c r="SSQ50" s="19"/>
      <c r="SSZ50" s="19"/>
      <c r="STA50" s="19"/>
      <c r="STB50" s="19"/>
      <c r="STC50" s="19"/>
      <c r="STD50" s="21"/>
      <c r="STE50" s="19"/>
      <c r="STN50" s="19"/>
      <c r="STO50" s="19"/>
      <c r="STP50" s="19"/>
      <c r="STQ50" s="19"/>
      <c r="STR50" s="21"/>
      <c r="STS50" s="19"/>
      <c r="SUB50" s="19"/>
      <c r="SUC50" s="19"/>
      <c r="SUD50" s="19"/>
      <c r="SUE50" s="19"/>
      <c r="SUF50" s="21"/>
      <c r="SUG50" s="19"/>
      <c r="SUP50" s="19"/>
      <c r="SUQ50" s="19"/>
      <c r="SUR50" s="19"/>
      <c r="SUS50" s="19"/>
      <c r="SUT50" s="21"/>
      <c r="SUU50" s="19"/>
      <c r="SVD50" s="19"/>
      <c r="SVE50" s="19"/>
      <c r="SVF50" s="19"/>
      <c r="SVG50" s="19"/>
      <c r="SVH50" s="21"/>
      <c r="SVI50" s="19"/>
      <c r="SVR50" s="19"/>
      <c r="SVS50" s="19"/>
      <c r="SVT50" s="19"/>
      <c r="SVU50" s="19"/>
      <c r="SVV50" s="21"/>
      <c r="SVW50" s="19"/>
      <c r="SWF50" s="19"/>
      <c r="SWG50" s="19"/>
      <c r="SWH50" s="19"/>
      <c r="SWI50" s="19"/>
      <c r="SWJ50" s="21"/>
      <c r="SWK50" s="19"/>
      <c r="SWT50" s="19"/>
      <c r="SWU50" s="19"/>
      <c r="SWV50" s="19"/>
      <c r="SWW50" s="19"/>
      <c r="SWX50" s="21"/>
      <c r="SWY50" s="19"/>
      <c r="SXH50" s="19"/>
      <c r="SXI50" s="19"/>
      <c r="SXJ50" s="19"/>
      <c r="SXK50" s="19"/>
      <c r="SXL50" s="21"/>
      <c r="SXM50" s="19"/>
      <c r="SXV50" s="19"/>
      <c r="SXW50" s="19"/>
      <c r="SXX50" s="19"/>
      <c r="SXY50" s="19"/>
      <c r="SXZ50" s="21"/>
      <c r="SYA50" s="19"/>
      <c r="SYJ50" s="19"/>
      <c r="SYK50" s="19"/>
      <c r="SYL50" s="19"/>
      <c r="SYM50" s="19"/>
      <c r="SYN50" s="21"/>
      <c r="SYO50" s="19"/>
      <c r="SYX50" s="19"/>
      <c r="SYY50" s="19"/>
      <c r="SYZ50" s="19"/>
      <c r="SZA50" s="19"/>
      <c r="SZB50" s="21"/>
      <c r="SZC50" s="19"/>
      <c r="SZL50" s="19"/>
      <c r="SZM50" s="19"/>
      <c r="SZN50" s="19"/>
      <c r="SZO50" s="19"/>
      <c r="SZP50" s="21"/>
      <c r="SZQ50" s="19"/>
      <c r="SZZ50" s="19"/>
      <c r="TAA50" s="19"/>
      <c r="TAB50" s="19"/>
      <c r="TAC50" s="19"/>
      <c r="TAD50" s="21"/>
      <c r="TAE50" s="19"/>
      <c r="TAN50" s="19"/>
      <c r="TAO50" s="19"/>
      <c r="TAP50" s="19"/>
      <c r="TAQ50" s="19"/>
      <c r="TAR50" s="21"/>
      <c r="TAS50" s="19"/>
      <c r="TBB50" s="19"/>
      <c r="TBC50" s="19"/>
      <c r="TBD50" s="19"/>
      <c r="TBE50" s="19"/>
      <c r="TBF50" s="21"/>
      <c r="TBG50" s="19"/>
      <c r="TBP50" s="19"/>
      <c r="TBQ50" s="19"/>
      <c r="TBR50" s="19"/>
      <c r="TBS50" s="19"/>
      <c r="TBT50" s="21"/>
      <c r="TBU50" s="19"/>
      <c r="TCD50" s="19"/>
      <c r="TCE50" s="19"/>
      <c r="TCF50" s="19"/>
      <c r="TCG50" s="19"/>
      <c r="TCH50" s="21"/>
      <c r="TCI50" s="19"/>
      <c r="TCR50" s="19"/>
      <c r="TCS50" s="19"/>
      <c r="TCT50" s="19"/>
      <c r="TCU50" s="19"/>
      <c r="TCV50" s="21"/>
      <c r="TCW50" s="19"/>
      <c r="TDF50" s="19"/>
      <c r="TDG50" s="19"/>
      <c r="TDH50" s="19"/>
      <c r="TDI50" s="19"/>
      <c r="TDJ50" s="21"/>
      <c r="TDK50" s="19"/>
      <c r="TDT50" s="19"/>
      <c r="TDU50" s="19"/>
      <c r="TDV50" s="19"/>
      <c r="TDW50" s="19"/>
      <c r="TDX50" s="21"/>
      <c r="TDY50" s="19"/>
      <c r="TEH50" s="19"/>
      <c r="TEI50" s="19"/>
      <c r="TEJ50" s="19"/>
      <c r="TEK50" s="19"/>
      <c r="TEL50" s="21"/>
      <c r="TEM50" s="19"/>
      <c r="TEV50" s="19"/>
      <c r="TEW50" s="19"/>
      <c r="TEX50" s="19"/>
      <c r="TEY50" s="19"/>
      <c r="TEZ50" s="21"/>
      <c r="TFA50" s="19"/>
      <c r="TFJ50" s="19"/>
      <c r="TFK50" s="19"/>
      <c r="TFL50" s="19"/>
      <c r="TFM50" s="19"/>
      <c r="TFN50" s="21"/>
      <c r="TFO50" s="19"/>
      <c r="TFX50" s="19"/>
      <c r="TFY50" s="19"/>
      <c r="TFZ50" s="19"/>
      <c r="TGA50" s="19"/>
      <c r="TGB50" s="21"/>
      <c r="TGC50" s="19"/>
      <c r="TGL50" s="19"/>
      <c r="TGM50" s="19"/>
      <c r="TGN50" s="19"/>
      <c r="TGO50" s="19"/>
      <c r="TGP50" s="21"/>
      <c r="TGQ50" s="19"/>
      <c r="TGZ50" s="19"/>
      <c r="THA50" s="19"/>
      <c r="THB50" s="19"/>
      <c r="THC50" s="19"/>
      <c r="THD50" s="21"/>
      <c r="THE50" s="19"/>
      <c r="THN50" s="19"/>
      <c r="THO50" s="19"/>
      <c r="THP50" s="19"/>
      <c r="THQ50" s="19"/>
      <c r="THR50" s="21"/>
      <c r="THS50" s="19"/>
      <c r="TIB50" s="19"/>
      <c r="TIC50" s="19"/>
      <c r="TID50" s="19"/>
      <c r="TIE50" s="19"/>
      <c r="TIF50" s="21"/>
      <c r="TIG50" s="19"/>
      <c r="TIP50" s="19"/>
      <c r="TIQ50" s="19"/>
      <c r="TIR50" s="19"/>
      <c r="TIS50" s="19"/>
      <c r="TIT50" s="21"/>
      <c r="TIU50" s="19"/>
      <c r="TJD50" s="19"/>
      <c r="TJE50" s="19"/>
      <c r="TJF50" s="19"/>
      <c r="TJG50" s="19"/>
      <c r="TJH50" s="21"/>
      <c r="TJI50" s="19"/>
      <c r="TJR50" s="19"/>
      <c r="TJS50" s="19"/>
      <c r="TJT50" s="19"/>
      <c r="TJU50" s="19"/>
      <c r="TJV50" s="21"/>
      <c r="TJW50" s="19"/>
      <c r="TKF50" s="19"/>
      <c r="TKG50" s="19"/>
      <c r="TKH50" s="19"/>
      <c r="TKI50" s="19"/>
      <c r="TKJ50" s="21"/>
      <c r="TKK50" s="19"/>
      <c r="TKT50" s="19"/>
      <c r="TKU50" s="19"/>
      <c r="TKV50" s="19"/>
      <c r="TKW50" s="19"/>
      <c r="TKX50" s="21"/>
      <c r="TKY50" s="19"/>
      <c r="TLH50" s="19"/>
      <c r="TLI50" s="19"/>
      <c r="TLJ50" s="19"/>
      <c r="TLK50" s="19"/>
      <c r="TLL50" s="21"/>
      <c r="TLM50" s="19"/>
      <c r="TLV50" s="19"/>
      <c r="TLW50" s="19"/>
      <c r="TLX50" s="19"/>
      <c r="TLY50" s="19"/>
      <c r="TLZ50" s="21"/>
      <c r="TMA50" s="19"/>
      <c r="TMJ50" s="19"/>
      <c r="TMK50" s="19"/>
      <c r="TML50" s="19"/>
      <c r="TMM50" s="19"/>
      <c r="TMN50" s="21"/>
      <c r="TMO50" s="19"/>
      <c r="TMX50" s="19"/>
      <c r="TMY50" s="19"/>
      <c r="TMZ50" s="19"/>
      <c r="TNA50" s="19"/>
      <c r="TNB50" s="21"/>
      <c r="TNC50" s="19"/>
      <c r="TNL50" s="19"/>
      <c r="TNM50" s="19"/>
      <c r="TNN50" s="19"/>
      <c r="TNO50" s="19"/>
      <c r="TNP50" s="21"/>
      <c r="TNQ50" s="19"/>
      <c r="TNZ50" s="19"/>
      <c r="TOA50" s="19"/>
      <c r="TOB50" s="19"/>
      <c r="TOC50" s="19"/>
      <c r="TOD50" s="21"/>
      <c r="TOE50" s="19"/>
      <c r="TON50" s="19"/>
      <c r="TOO50" s="19"/>
      <c r="TOP50" s="19"/>
      <c r="TOQ50" s="19"/>
      <c r="TOR50" s="21"/>
      <c r="TOS50" s="19"/>
      <c r="TPB50" s="19"/>
      <c r="TPC50" s="19"/>
      <c r="TPD50" s="19"/>
      <c r="TPE50" s="19"/>
      <c r="TPF50" s="21"/>
      <c r="TPG50" s="19"/>
      <c r="TPP50" s="19"/>
      <c r="TPQ50" s="19"/>
      <c r="TPR50" s="19"/>
      <c r="TPS50" s="19"/>
      <c r="TPT50" s="21"/>
      <c r="TPU50" s="19"/>
      <c r="TQD50" s="19"/>
      <c r="TQE50" s="19"/>
      <c r="TQF50" s="19"/>
      <c r="TQG50" s="19"/>
      <c r="TQH50" s="21"/>
      <c r="TQI50" s="19"/>
      <c r="TQR50" s="19"/>
      <c r="TQS50" s="19"/>
      <c r="TQT50" s="19"/>
      <c r="TQU50" s="19"/>
      <c r="TQV50" s="21"/>
      <c r="TQW50" s="19"/>
      <c r="TRF50" s="19"/>
      <c r="TRG50" s="19"/>
      <c r="TRH50" s="19"/>
      <c r="TRI50" s="19"/>
      <c r="TRJ50" s="21"/>
      <c r="TRK50" s="19"/>
      <c r="TRT50" s="19"/>
      <c r="TRU50" s="19"/>
      <c r="TRV50" s="19"/>
      <c r="TRW50" s="19"/>
      <c r="TRX50" s="21"/>
      <c r="TRY50" s="19"/>
      <c r="TSH50" s="19"/>
      <c r="TSI50" s="19"/>
      <c r="TSJ50" s="19"/>
      <c r="TSK50" s="19"/>
      <c r="TSL50" s="21"/>
      <c r="TSM50" s="19"/>
      <c r="TSV50" s="19"/>
      <c r="TSW50" s="19"/>
      <c r="TSX50" s="19"/>
      <c r="TSY50" s="19"/>
      <c r="TSZ50" s="21"/>
      <c r="TTA50" s="19"/>
      <c r="TTJ50" s="19"/>
      <c r="TTK50" s="19"/>
      <c r="TTL50" s="19"/>
      <c r="TTM50" s="19"/>
      <c r="TTN50" s="21"/>
      <c r="TTO50" s="19"/>
      <c r="TTX50" s="19"/>
      <c r="TTY50" s="19"/>
      <c r="TTZ50" s="19"/>
      <c r="TUA50" s="19"/>
      <c r="TUB50" s="21"/>
      <c r="TUC50" s="19"/>
      <c r="TUL50" s="19"/>
      <c r="TUM50" s="19"/>
      <c r="TUN50" s="19"/>
      <c r="TUO50" s="19"/>
      <c r="TUP50" s="21"/>
      <c r="TUQ50" s="19"/>
      <c r="TUZ50" s="19"/>
      <c r="TVA50" s="19"/>
      <c r="TVB50" s="19"/>
      <c r="TVC50" s="19"/>
      <c r="TVD50" s="21"/>
      <c r="TVE50" s="19"/>
      <c r="TVN50" s="19"/>
      <c r="TVO50" s="19"/>
      <c r="TVP50" s="19"/>
      <c r="TVQ50" s="19"/>
      <c r="TVR50" s="21"/>
      <c r="TVS50" s="19"/>
      <c r="TWB50" s="19"/>
      <c r="TWC50" s="19"/>
      <c r="TWD50" s="19"/>
      <c r="TWE50" s="19"/>
      <c r="TWF50" s="21"/>
      <c r="TWG50" s="19"/>
      <c r="TWP50" s="19"/>
      <c r="TWQ50" s="19"/>
      <c r="TWR50" s="19"/>
      <c r="TWS50" s="19"/>
      <c r="TWT50" s="21"/>
      <c r="TWU50" s="19"/>
      <c r="TXD50" s="19"/>
      <c r="TXE50" s="19"/>
      <c r="TXF50" s="19"/>
      <c r="TXG50" s="19"/>
      <c r="TXH50" s="21"/>
      <c r="TXI50" s="19"/>
      <c r="TXR50" s="19"/>
      <c r="TXS50" s="19"/>
      <c r="TXT50" s="19"/>
      <c r="TXU50" s="19"/>
      <c r="TXV50" s="21"/>
      <c r="TXW50" s="19"/>
      <c r="TYF50" s="19"/>
      <c r="TYG50" s="19"/>
      <c r="TYH50" s="19"/>
      <c r="TYI50" s="19"/>
      <c r="TYJ50" s="21"/>
      <c r="TYK50" s="19"/>
      <c r="TYT50" s="19"/>
      <c r="TYU50" s="19"/>
      <c r="TYV50" s="19"/>
      <c r="TYW50" s="19"/>
      <c r="TYX50" s="21"/>
      <c r="TYY50" s="19"/>
      <c r="TZH50" s="19"/>
      <c r="TZI50" s="19"/>
      <c r="TZJ50" s="19"/>
      <c r="TZK50" s="19"/>
      <c r="TZL50" s="21"/>
      <c r="TZM50" s="19"/>
      <c r="TZV50" s="19"/>
      <c r="TZW50" s="19"/>
      <c r="TZX50" s="19"/>
      <c r="TZY50" s="19"/>
      <c r="TZZ50" s="21"/>
      <c r="UAA50" s="19"/>
      <c r="UAJ50" s="19"/>
      <c r="UAK50" s="19"/>
      <c r="UAL50" s="19"/>
      <c r="UAM50" s="19"/>
      <c r="UAN50" s="21"/>
      <c r="UAO50" s="19"/>
      <c r="UAX50" s="19"/>
      <c r="UAY50" s="19"/>
      <c r="UAZ50" s="19"/>
      <c r="UBA50" s="19"/>
      <c r="UBB50" s="21"/>
      <c r="UBC50" s="19"/>
      <c r="UBL50" s="19"/>
      <c r="UBM50" s="19"/>
      <c r="UBN50" s="19"/>
      <c r="UBO50" s="19"/>
      <c r="UBP50" s="21"/>
      <c r="UBQ50" s="19"/>
      <c r="UBZ50" s="19"/>
      <c r="UCA50" s="19"/>
      <c r="UCB50" s="19"/>
      <c r="UCC50" s="19"/>
      <c r="UCD50" s="21"/>
      <c r="UCE50" s="19"/>
      <c r="UCN50" s="19"/>
      <c r="UCO50" s="19"/>
      <c r="UCP50" s="19"/>
      <c r="UCQ50" s="19"/>
      <c r="UCR50" s="21"/>
      <c r="UCS50" s="19"/>
      <c r="UDB50" s="19"/>
      <c r="UDC50" s="19"/>
      <c r="UDD50" s="19"/>
      <c r="UDE50" s="19"/>
      <c r="UDF50" s="21"/>
      <c r="UDG50" s="19"/>
      <c r="UDP50" s="19"/>
      <c r="UDQ50" s="19"/>
      <c r="UDR50" s="19"/>
      <c r="UDS50" s="19"/>
      <c r="UDT50" s="21"/>
      <c r="UDU50" s="19"/>
      <c r="UED50" s="19"/>
      <c r="UEE50" s="19"/>
      <c r="UEF50" s="19"/>
      <c r="UEG50" s="19"/>
      <c r="UEH50" s="21"/>
      <c r="UEI50" s="19"/>
      <c r="UER50" s="19"/>
      <c r="UES50" s="19"/>
      <c r="UET50" s="19"/>
      <c r="UEU50" s="19"/>
      <c r="UEV50" s="21"/>
      <c r="UEW50" s="19"/>
      <c r="UFF50" s="19"/>
      <c r="UFG50" s="19"/>
      <c r="UFH50" s="19"/>
      <c r="UFI50" s="19"/>
      <c r="UFJ50" s="21"/>
      <c r="UFK50" s="19"/>
      <c r="UFT50" s="19"/>
      <c r="UFU50" s="19"/>
      <c r="UFV50" s="19"/>
      <c r="UFW50" s="19"/>
      <c r="UFX50" s="21"/>
      <c r="UFY50" s="19"/>
      <c r="UGH50" s="19"/>
      <c r="UGI50" s="19"/>
      <c r="UGJ50" s="19"/>
      <c r="UGK50" s="19"/>
      <c r="UGL50" s="21"/>
      <c r="UGM50" s="19"/>
      <c r="UGV50" s="19"/>
      <c r="UGW50" s="19"/>
      <c r="UGX50" s="19"/>
      <c r="UGY50" s="19"/>
      <c r="UGZ50" s="21"/>
      <c r="UHA50" s="19"/>
      <c r="UHJ50" s="19"/>
      <c r="UHK50" s="19"/>
      <c r="UHL50" s="19"/>
      <c r="UHM50" s="19"/>
      <c r="UHN50" s="21"/>
      <c r="UHO50" s="19"/>
      <c r="UHX50" s="19"/>
      <c r="UHY50" s="19"/>
      <c r="UHZ50" s="19"/>
      <c r="UIA50" s="19"/>
      <c r="UIB50" s="21"/>
      <c r="UIC50" s="19"/>
      <c r="UIL50" s="19"/>
      <c r="UIM50" s="19"/>
      <c r="UIN50" s="19"/>
      <c r="UIO50" s="19"/>
      <c r="UIP50" s="21"/>
      <c r="UIQ50" s="19"/>
      <c r="UIZ50" s="19"/>
      <c r="UJA50" s="19"/>
      <c r="UJB50" s="19"/>
      <c r="UJC50" s="19"/>
      <c r="UJD50" s="21"/>
      <c r="UJE50" s="19"/>
      <c r="UJN50" s="19"/>
      <c r="UJO50" s="19"/>
      <c r="UJP50" s="19"/>
      <c r="UJQ50" s="19"/>
      <c r="UJR50" s="21"/>
      <c r="UJS50" s="19"/>
      <c r="UKB50" s="19"/>
      <c r="UKC50" s="19"/>
      <c r="UKD50" s="19"/>
      <c r="UKE50" s="19"/>
      <c r="UKF50" s="21"/>
      <c r="UKG50" s="19"/>
      <c r="UKP50" s="19"/>
      <c r="UKQ50" s="19"/>
      <c r="UKR50" s="19"/>
      <c r="UKS50" s="19"/>
      <c r="UKT50" s="21"/>
      <c r="UKU50" s="19"/>
      <c r="ULD50" s="19"/>
      <c r="ULE50" s="19"/>
      <c r="ULF50" s="19"/>
      <c r="ULG50" s="19"/>
      <c r="ULH50" s="21"/>
      <c r="ULI50" s="19"/>
      <c r="ULR50" s="19"/>
      <c r="ULS50" s="19"/>
      <c r="ULT50" s="19"/>
      <c r="ULU50" s="19"/>
      <c r="ULV50" s="21"/>
      <c r="ULW50" s="19"/>
      <c r="UMF50" s="19"/>
      <c r="UMG50" s="19"/>
      <c r="UMH50" s="19"/>
      <c r="UMI50" s="19"/>
      <c r="UMJ50" s="21"/>
      <c r="UMK50" s="19"/>
      <c r="UMT50" s="19"/>
      <c r="UMU50" s="19"/>
      <c r="UMV50" s="19"/>
      <c r="UMW50" s="19"/>
      <c r="UMX50" s="21"/>
      <c r="UMY50" s="19"/>
      <c r="UNH50" s="19"/>
      <c r="UNI50" s="19"/>
      <c r="UNJ50" s="19"/>
      <c r="UNK50" s="19"/>
      <c r="UNL50" s="21"/>
      <c r="UNM50" s="19"/>
      <c r="UNV50" s="19"/>
      <c r="UNW50" s="19"/>
      <c r="UNX50" s="19"/>
      <c r="UNY50" s="19"/>
      <c r="UNZ50" s="21"/>
      <c r="UOA50" s="19"/>
      <c r="UOJ50" s="19"/>
      <c r="UOK50" s="19"/>
      <c r="UOL50" s="19"/>
      <c r="UOM50" s="19"/>
      <c r="UON50" s="21"/>
      <c r="UOO50" s="19"/>
      <c r="UOX50" s="19"/>
      <c r="UOY50" s="19"/>
      <c r="UOZ50" s="19"/>
      <c r="UPA50" s="19"/>
      <c r="UPB50" s="21"/>
      <c r="UPC50" s="19"/>
      <c r="UPL50" s="19"/>
      <c r="UPM50" s="19"/>
      <c r="UPN50" s="19"/>
      <c r="UPO50" s="19"/>
      <c r="UPP50" s="21"/>
      <c r="UPQ50" s="19"/>
      <c r="UPZ50" s="19"/>
      <c r="UQA50" s="19"/>
      <c r="UQB50" s="19"/>
      <c r="UQC50" s="19"/>
      <c r="UQD50" s="21"/>
      <c r="UQE50" s="19"/>
      <c r="UQN50" s="19"/>
      <c r="UQO50" s="19"/>
      <c r="UQP50" s="19"/>
      <c r="UQQ50" s="19"/>
      <c r="UQR50" s="21"/>
      <c r="UQS50" s="19"/>
      <c r="URB50" s="19"/>
      <c r="URC50" s="19"/>
      <c r="URD50" s="19"/>
      <c r="URE50" s="19"/>
      <c r="URF50" s="21"/>
      <c r="URG50" s="19"/>
      <c r="URP50" s="19"/>
      <c r="URQ50" s="19"/>
      <c r="URR50" s="19"/>
      <c r="URS50" s="19"/>
      <c r="URT50" s="21"/>
      <c r="URU50" s="19"/>
      <c r="USD50" s="19"/>
      <c r="USE50" s="19"/>
      <c r="USF50" s="19"/>
      <c r="USG50" s="19"/>
      <c r="USH50" s="21"/>
      <c r="USI50" s="19"/>
      <c r="USR50" s="19"/>
      <c r="USS50" s="19"/>
      <c r="UST50" s="19"/>
      <c r="USU50" s="19"/>
      <c r="USV50" s="21"/>
      <c r="USW50" s="19"/>
      <c r="UTF50" s="19"/>
      <c r="UTG50" s="19"/>
      <c r="UTH50" s="19"/>
      <c r="UTI50" s="19"/>
      <c r="UTJ50" s="21"/>
      <c r="UTK50" s="19"/>
      <c r="UTT50" s="19"/>
      <c r="UTU50" s="19"/>
      <c r="UTV50" s="19"/>
      <c r="UTW50" s="19"/>
      <c r="UTX50" s="21"/>
      <c r="UTY50" s="19"/>
      <c r="UUH50" s="19"/>
      <c r="UUI50" s="19"/>
      <c r="UUJ50" s="19"/>
      <c r="UUK50" s="19"/>
      <c r="UUL50" s="21"/>
      <c r="UUM50" s="19"/>
      <c r="UUV50" s="19"/>
      <c r="UUW50" s="19"/>
      <c r="UUX50" s="19"/>
      <c r="UUY50" s="19"/>
      <c r="UUZ50" s="21"/>
      <c r="UVA50" s="19"/>
      <c r="UVJ50" s="19"/>
      <c r="UVK50" s="19"/>
      <c r="UVL50" s="19"/>
      <c r="UVM50" s="19"/>
      <c r="UVN50" s="21"/>
      <c r="UVO50" s="19"/>
      <c r="UVX50" s="19"/>
      <c r="UVY50" s="19"/>
      <c r="UVZ50" s="19"/>
      <c r="UWA50" s="19"/>
      <c r="UWB50" s="21"/>
      <c r="UWC50" s="19"/>
      <c r="UWL50" s="19"/>
      <c r="UWM50" s="19"/>
      <c r="UWN50" s="19"/>
      <c r="UWO50" s="19"/>
      <c r="UWP50" s="21"/>
      <c r="UWQ50" s="19"/>
      <c r="UWZ50" s="19"/>
      <c r="UXA50" s="19"/>
      <c r="UXB50" s="19"/>
      <c r="UXC50" s="19"/>
      <c r="UXD50" s="21"/>
      <c r="UXE50" s="19"/>
      <c r="UXN50" s="19"/>
      <c r="UXO50" s="19"/>
      <c r="UXP50" s="19"/>
      <c r="UXQ50" s="19"/>
      <c r="UXR50" s="21"/>
      <c r="UXS50" s="19"/>
      <c r="UYB50" s="19"/>
      <c r="UYC50" s="19"/>
      <c r="UYD50" s="19"/>
      <c r="UYE50" s="19"/>
      <c r="UYF50" s="21"/>
      <c r="UYG50" s="19"/>
      <c r="UYP50" s="19"/>
      <c r="UYQ50" s="19"/>
      <c r="UYR50" s="19"/>
      <c r="UYS50" s="19"/>
      <c r="UYT50" s="21"/>
      <c r="UYU50" s="19"/>
      <c r="UZD50" s="19"/>
      <c r="UZE50" s="19"/>
      <c r="UZF50" s="19"/>
      <c r="UZG50" s="19"/>
      <c r="UZH50" s="21"/>
      <c r="UZI50" s="19"/>
      <c r="UZR50" s="19"/>
      <c r="UZS50" s="19"/>
      <c r="UZT50" s="19"/>
      <c r="UZU50" s="19"/>
      <c r="UZV50" s="21"/>
      <c r="UZW50" s="19"/>
      <c r="VAF50" s="19"/>
      <c r="VAG50" s="19"/>
      <c r="VAH50" s="19"/>
      <c r="VAI50" s="19"/>
      <c r="VAJ50" s="21"/>
      <c r="VAK50" s="19"/>
      <c r="VAT50" s="19"/>
      <c r="VAU50" s="19"/>
      <c r="VAV50" s="19"/>
      <c r="VAW50" s="19"/>
      <c r="VAX50" s="21"/>
      <c r="VAY50" s="19"/>
      <c r="VBH50" s="19"/>
      <c r="VBI50" s="19"/>
      <c r="VBJ50" s="19"/>
      <c r="VBK50" s="19"/>
      <c r="VBL50" s="21"/>
      <c r="VBM50" s="19"/>
      <c r="VBV50" s="19"/>
      <c r="VBW50" s="19"/>
      <c r="VBX50" s="19"/>
      <c r="VBY50" s="19"/>
      <c r="VBZ50" s="21"/>
      <c r="VCA50" s="19"/>
      <c r="VCJ50" s="19"/>
      <c r="VCK50" s="19"/>
      <c r="VCL50" s="19"/>
      <c r="VCM50" s="19"/>
      <c r="VCN50" s="21"/>
      <c r="VCO50" s="19"/>
      <c r="VCX50" s="19"/>
      <c r="VCY50" s="19"/>
      <c r="VCZ50" s="19"/>
      <c r="VDA50" s="19"/>
      <c r="VDB50" s="21"/>
      <c r="VDC50" s="19"/>
      <c r="VDL50" s="19"/>
      <c r="VDM50" s="19"/>
      <c r="VDN50" s="19"/>
      <c r="VDO50" s="19"/>
      <c r="VDP50" s="21"/>
      <c r="VDQ50" s="19"/>
      <c r="VDZ50" s="19"/>
      <c r="VEA50" s="19"/>
      <c r="VEB50" s="19"/>
      <c r="VEC50" s="19"/>
      <c r="VED50" s="21"/>
      <c r="VEE50" s="19"/>
      <c r="VEN50" s="19"/>
      <c r="VEO50" s="19"/>
      <c r="VEP50" s="19"/>
      <c r="VEQ50" s="19"/>
      <c r="VER50" s="21"/>
      <c r="VES50" s="19"/>
      <c r="VFB50" s="19"/>
      <c r="VFC50" s="19"/>
      <c r="VFD50" s="19"/>
      <c r="VFE50" s="19"/>
      <c r="VFF50" s="21"/>
      <c r="VFG50" s="19"/>
      <c r="VFP50" s="19"/>
      <c r="VFQ50" s="19"/>
      <c r="VFR50" s="19"/>
      <c r="VFS50" s="19"/>
      <c r="VFT50" s="21"/>
      <c r="VFU50" s="19"/>
      <c r="VGD50" s="19"/>
      <c r="VGE50" s="19"/>
      <c r="VGF50" s="19"/>
      <c r="VGG50" s="19"/>
      <c r="VGH50" s="21"/>
      <c r="VGI50" s="19"/>
      <c r="VGR50" s="19"/>
      <c r="VGS50" s="19"/>
      <c r="VGT50" s="19"/>
      <c r="VGU50" s="19"/>
      <c r="VGV50" s="21"/>
      <c r="VGW50" s="19"/>
      <c r="VHF50" s="19"/>
      <c r="VHG50" s="19"/>
      <c r="VHH50" s="19"/>
      <c r="VHI50" s="19"/>
      <c r="VHJ50" s="21"/>
      <c r="VHK50" s="19"/>
      <c r="VHT50" s="19"/>
      <c r="VHU50" s="19"/>
      <c r="VHV50" s="19"/>
      <c r="VHW50" s="19"/>
      <c r="VHX50" s="21"/>
      <c r="VHY50" s="19"/>
      <c r="VIH50" s="19"/>
      <c r="VII50" s="19"/>
      <c r="VIJ50" s="19"/>
      <c r="VIK50" s="19"/>
      <c r="VIL50" s="21"/>
      <c r="VIM50" s="19"/>
      <c r="VIV50" s="19"/>
      <c r="VIW50" s="19"/>
      <c r="VIX50" s="19"/>
      <c r="VIY50" s="19"/>
      <c r="VIZ50" s="21"/>
      <c r="VJA50" s="19"/>
      <c r="VJJ50" s="19"/>
      <c r="VJK50" s="19"/>
      <c r="VJL50" s="19"/>
      <c r="VJM50" s="19"/>
      <c r="VJN50" s="21"/>
      <c r="VJO50" s="19"/>
      <c r="VJX50" s="19"/>
      <c r="VJY50" s="19"/>
      <c r="VJZ50" s="19"/>
      <c r="VKA50" s="19"/>
      <c r="VKB50" s="21"/>
      <c r="VKC50" s="19"/>
      <c r="VKL50" s="19"/>
      <c r="VKM50" s="19"/>
      <c r="VKN50" s="19"/>
      <c r="VKO50" s="19"/>
      <c r="VKP50" s="21"/>
      <c r="VKQ50" s="19"/>
      <c r="VKZ50" s="19"/>
      <c r="VLA50" s="19"/>
      <c r="VLB50" s="19"/>
      <c r="VLC50" s="19"/>
      <c r="VLD50" s="21"/>
      <c r="VLE50" s="19"/>
      <c r="VLN50" s="19"/>
      <c r="VLO50" s="19"/>
      <c r="VLP50" s="19"/>
      <c r="VLQ50" s="19"/>
      <c r="VLR50" s="21"/>
      <c r="VLS50" s="19"/>
      <c r="VMB50" s="19"/>
      <c r="VMC50" s="19"/>
      <c r="VMD50" s="19"/>
      <c r="VME50" s="19"/>
      <c r="VMF50" s="21"/>
      <c r="VMG50" s="19"/>
      <c r="VMP50" s="19"/>
      <c r="VMQ50" s="19"/>
      <c r="VMR50" s="19"/>
      <c r="VMS50" s="19"/>
      <c r="VMT50" s="21"/>
      <c r="VMU50" s="19"/>
      <c r="VND50" s="19"/>
      <c r="VNE50" s="19"/>
      <c r="VNF50" s="19"/>
      <c r="VNG50" s="19"/>
      <c r="VNH50" s="21"/>
      <c r="VNI50" s="19"/>
      <c r="VNR50" s="19"/>
      <c r="VNS50" s="19"/>
      <c r="VNT50" s="19"/>
      <c r="VNU50" s="19"/>
      <c r="VNV50" s="21"/>
      <c r="VNW50" s="19"/>
      <c r="VOF50" s="19"/>
      <c r="VOG50" s="19"/>
      <c r="VOH50" s="19"/>
      <c r="VOI50" s="19"/>
      <c r="VOJ50" s="21"/>
      <c r="VOK50" s="19"/>
      <c r="VOT50" s="19"/>
      <c r="VOU50" s="19"/>
      <c r="VOV50" s="19"/>
      <c r="VOW50" s="19"/>
      <c r="VOX50" s="21"/>
      <c r="VOY50" s="19"/>
      <c r="VPH50" s="19"/>
      <c r="VPI50" s="19"/>
      <c r="VPJ50" s="19"/>
      <c r="VPK50" s="19"/>
      <c r="VPL50" s="21"/>
      <c r="VPM50" s="19"/>
      <c r="VPV50" s="19"/>
      <c r="VPW50" s="19"/>
      <c r="VPX50" s="19"/>
      <c r="VPY50" s="19"/>
      <c r="VPZ50" s="21"/>
      <c r="VQA50" s="19"/>
      <c r="VQJ50" s="19"/>
      <c r="VQK50" s="19"/>
      <c r="VQL50" s="19"/>
      <c r="VQM50" s="19"/>
      <c r="VQN50" s="21"/>
      <c r="VQO50" s="19"/>
      <c r="VQX50" s="19"/>
      <c r="VQY50" s="19"/>
      <c r="VQZ50" s="19"/>
      <c r="VRA50" s="19"/>
      <c r="VRB50" s="21"/>
      <c r="VRC50" s="19"/>
      <c r="VRL50" s="19"/>
      <c r="VRM50" s="19"/>
      <c r="VRN50" s="19"/>
      <c r="VRO50" s="19"/>
      <c r="VRP50" s="21"/>
      <c r="VRQ50" s="19"/>
      <c r="VRZ50" s="19"/>
      <c r="VSA50" s="19"/>
      <c r="VSB50" s="19"/>
      <c r="VSC50" s="19"/>
      <c r="VSD50" s="21"/>
      <c r="VSE50" s="19"/>
      <c r="VSN50" s="19"/>
      <c r="VSO50" s="19"/>
      <c r="VSP50" s="19"/>
      <c r="VSQ50" s="19"/>
      <c r="VSR50" s="21"/>
      <c r="VSS50" s="19"/>
      <c r="VTB50" s="19"/>
      <c r="VTC50" s="19"/>
      <c r="VTD50" s="19"/>
      <c r="VTE50" s="19"/>
      <c r="VTF50" s="21"/>
      <c r="VTG50" s="19"/>
      <c r="VTP50" s="19"/>
      <c r="VTQ50" s="19"/>
      <c r="VTR50" s="19"/>
      <c r="VTS50" s="19"/>
      <c r="VTT50" s="21"/>
      <c r="VTU50" s="19"/>
      <c r="VUD50" s="19"/>
      <c r="VUE50" s="19"/>
      <c r="VUF50" s="19"/>
      <c r="VUG50" s="19"/>
      <c r="VUH50" s="21"/>
      <c r="VUI50" s="19"/>
      <c r="VUR50" s="19"/>
      <c r="VUS50" s="19"/>
      <c r="VUT50" s="19"/>
      <c r="VUU50" s="19"/>
      <c r="VUV50" s="21"/>
      <c r="VUW50" s="19"/>
      <c r="VVF50" s="19"/>
      <c r="VVG50" s="19"/>
      <c r="VVH50" s="19"/>
      <c r="VVI50" s="19"/>
      <c r="VVJ50" s="21"/>
      <c r="VVK50" s="19"/>
      <c r="VVT50" s="19"/>
      <c r="VVU50" s="19"/>
      <c r="VVV50" s="19"/>
      <c r="VVW50" s="19"/>
      <c r="VVX50" s="21"/>
      <c r="VVY50" s="19"/>
      <c r="VWH50" s="19"/>
      <c r="VWI50" s="19"/>
      <c r="VWJ50" s="19"/>
      <c r="VWK50" s="19"/>
      <c r="VWL50" s="21"/>
      <c r="VWM50" s="19"/>
      <c r="VWV50" s="19"/>
      <c r="VWW50" s="19"/>
      <c r="VWX50" s="19"/>
      <c r="VWY50" s="19"/>
      <c r="VWZ50" s="21"/>
      <c r="VXA50" s="19"/>
      <c r="VXJ50" s="19"/>
      <c r="VXK50" s="19"/>
      <c r="VXL50" s="19"/>
      <c r="VXM50" s="19"/>
      <c r="VXN50" s="21"/>
      <c r="VXO50" s="19"/>
      <c r="VXX50" s="19"/>
      <c r="VXY50" s="19"/>
      <c r="VXZ50" s="19"/>
      <c r="VYA50" s="19"/>
      <c r="VYB50" s="21"/>
      <c r="VYC50" s="19"/>
      <c r="VYL50" s="19"/>
      <c r="VYM50" s="19"/>
      <c r="VYN50" s="19"/>
      <c r="VYO50" s="19"/>
      <c r="VYP50" s="21"/>
      <c r="VYQ50" s="19"/>
      <c r="VYZ50" s="19"/>
      <c r="VZA50" s="19"/>
      <c r="VZB50" s="19"/>
      <c r="VZC50" s="19"/>
      <c r="VZD50" s="21"/>
      <c r="VZE50" s="19"/>
      <c r="VZN50" s="19"/>
      <c r="VZO50" s="19"/>
      <c r="VZP50" s="19"/>
      <c r="VZQ50" s="19"/>
      <c r="VZR50" s="21"/>
      <c r="VZS50" s="19"/>
      <c r="WAB50" s="19"/>
      <c r="WAC50" s="19"/>
      <c r="WAD50" s="19"/>
      <c r="WAE50" s="19"/>
      <c r="WAF50" s="21"/>
      <c r="WAG50" s="19"/>
      <c r="WAP50" s="19"/>
      <c r="WAQ50" s="19"/>
      <c r="WAR50" s="19"/>
      <c r="WAS50" s="19"/>
      <c r="WAT50" s="21"/>
      <c r="WAU50" s="19"/>
      <c r="WBD50" s="19"/>
      <c r="WBE50" s="19"/>
      <c r="WBF50" s="19"/>
      <c r="WBG50" s="19"/>
      <c r="WBH50" s="21"/>
      <c r="WBI50" s="19"/>
      <c r="WBR50" s="19"/>
      <c r="WBS50" s="19"/>
      <c r="WBT50" s="19"/>
      <c r="WBU50" s="19"/>
      <c r="WBV50" s="21"/>
      <c r="WBW50" s="19"/>
      <c r="WCF50" s="19"/>
      <c r="WCG50" s="19"/>
      <c r="WCH50" s="19"/>
      <c r="WCI50" s="19"/>
      <c r="WCJ50" s="21"/>
      <c r="WCK50" s="19"/>
      <c r="WCT50" s="19"/>
      <c r="WCU50" s="19"/>
      <c r="WCV50" s="19"/>
      <c r="WCW50" s="19"/>
      <c r="WCX50" s="21"/>
      <c r="WCY50" s="19"/>
      <c r="WDH50" s="19"/>
      <c r="WDI50" s="19"/>
      <c r="WDJ50" s="19"/>
      <c r="WDK50" s="19"/>
      <c r="WDL50" s="21"/>
      <c r="WDM50" s="19"/>
      <c r="WDV50" s="19"/>
      <c r="WDW50" s="19"/>
      <c r="WDX50" s="19"/>
      <c r="WDY50" s="19"/>
      <c r="WDZ50" s="21"/>
      <c r="WEA50" s="19"/>
      <c r="WEJ50" s="19"/>
      <c r="WEK50" s="19"/>
      <c r="WEL50" s="19"/>
      <c r="WEM50" s="19"/>
      <c r="WEN50" s="21"/>
      <c r="WEO50" s="19"/>
      <c r="WEX50" s="19"/>
      <c r="WEY50" s="19"/>
      <c r="WEZ50" s="19"/>
      <c r="WFA50" s="19"/>
      <c r="WFB50" s="21"/>
      <c r="WFC50" s="19"/>
      <c r="WFL50" s="19"/>
      <c r="WFM50" s="19"/>
      <c r="WFN50" s="19"/>
      <c r="WFO50" s="19"/>
      <c r="WFP50" s="21"/>
      <c r="WFQ50" s="19"/>
      <c r="WFZ50" s="19"/>
      <c r="WGA50" s="19"/>
      <c r="WGB50" s="19"/>
      <c r="WGC50" s="19"/>
      <c r="WGD50" s="21"/>
      <c r="WGE50" s="19"/>
      <c r="WGN50" s="19"/>
      <c r="WGO50" s="19"/>
      <c r="WGP50" s="19"/>
      <c r="WGQ50" s="19"/>
      <c r="WGR50" s="21"/>
      <c r="WGS50" s="19"/>
      <c r="WHB50" s="19"/>
      <c r="WHC50" s="19"/>
      <c r="WHD50" s="19"/>
      <c r="WHE50" s="19"/>
      <c r="WHF50" s="21"/>
      <c r="WHG50" s="19"/>
      <c r="WHP50" s="19"/>
      <c r="WHQ50" s="19"/>
      <c r="WHR50" s="19"/>
      <c r="WHS50" s="19"/>
      <c r="WHT50" s="21"/>
      <c r="WHU50" s="19"/>
      <c r="WID50" s="19"/>
      <c r="WIE50" s="19"/>
      <c r="WIF50" s="19"/>
      <c r="WIG50" s="19"/>
      <c r="WIH50" s="21"/>
      <c r="WII50" s="19"/>
      <c r="WIR50" s="19"/>
      <c r="WIS50" s="19"/>
      <c r="WIT50" s="19"/>
      <c r="WIU50" s="19"/>
      <c r="WIV50" s="21"/>
      <c r="WIW50" s="19"/>
      <c r="WJF50" s="19"/>
      <c r="WJG50" s="19"/>
      <c r="WJH50" s="19"/>
      <c r="WJI50" s="19"/>
      <c r="WJJ50" s="21"/>
      <c r="WJK50" s="19"/>
      <c r="WJT50" s="19"/>
      <c r="WJU50" s="19"/>
      <c r="WJV50" s="19"/>
      <c r="WJW50" s="19"/>
      <c r="WJX50" s="21"/>
      <c r="WJY50" s="19"/>
      <c r="WKH50" s="19"/>
      <c r="WKI50" s="19"/>
      <c r="WKJ50" s="19"/>
      <c r="WKK50" s="19"/>
      <c r="WKL50" s="21"/>
      <c r="WKM50" s="19"/>
      <c r="WKV50" s="19"/>
      <c r="WKW50" s="19"/>
      <c r="WKX50" s="19"/>
      <c r="WKY50" s="19"/>
      <c r="WKZ50" s="21"/>
      <c r="WLA50" s="19"/>
      <c r="WLJ50" s="19"/>
      <c r="WLK50" s="19"/>
      <c r="WLL50" s="19"/>
      <c r="WLM50" s="19"/>
      <c r="WLN50" s="21"/>
      <c r="WLO50" s="19"/>
      <c r="WLX50" s="19"/>
      <c r="WLY50" s="19"/>
      <c r="WLZ50" s="19"/>
      <c r="WMA50" s="19"/>
      <c r="WMB50" s="21"/>
      <c r="WMC50" s="19"/>
      <c r="WML50" s="19"/>
      <c r="WMM50" s="19"/>
      <c r="WMN50" s="19"/>
      <c r="WMO50" s="19"/>
      <c r="WMP50" s="21"/>
      <c r="WMQ50" s="19"/>
      <c r="WMZ50" s="19"/>
      <c r="WNA50" s="19"/>
      <c r="WNB50" s="19"/>
      <c r="WNC50" s="19"/>
      <c r="WND50" s="21"/>
      <c r="WNE50" s="19"/>
      <c r="WNN50" s="19"/>
      <c r="WNO50" s="19"/>
      <c r="WNP50" s="19"/>
      <c r="WNQ50" s="19"/>
      <c r="WNR50" s="21"/>
      <c r="WNS50" s="19"/>
      <c r="WOB50" s="19"/>
      <c r="WOC50" s="19"/>
      <c r="WOD50" s="19"/>
      <c r="WOE50" s="19"/>
      <c r="WOF50" s="21"/>
      <c r="WOG50" s="19"/>
      <c r="WOP50" s="19"/>
      <c r="WOQ50" s="19"/>
      <c r="WOR50" s="19"/>
      <c r="WOS50" s="19"/>
      <c r="WOT50" s="21"/>
      <c r="WOU50" s="19"/>
      <c r="WPD50" s="19"/>
      <c r="WPE50" s="19"/>
      <c r="WPF50" s="19"/>
      <c r="WPG50" s="19"/>
      <c r="WPH50" s="21"/>
      <c r="WPI50" s="19"/>
      <c r="WPR50" s="19"/>
      <c r="WPS50" s="19"/>
      <c r="WPT50" s="19"/>
      <c r="WPU50" s="19"/>
      <c r="WPV50" s="21"/>
      <c r="WPW50" s="19"/>
      <c r="WQF50" s="19"/>
      <c r="WQG50" s="19"/>
      <c r="WQH50" s="19"/>
      <c r="WQI50" s="19"/>
      <c r="WQJ50" s="21"/>
      <c r="WQK50" s="19"/>
      <c r="WQT50" s="19"/>
      <c r="WQU50" s="19"/>
      <c r="WQV50" s="19"/>
      <c r="WQW50" s="19"/>
      <c r="WQX50" s="21"/>
      <c r="WQY50" s="19"/>
      <c r="WRH50" s="19"/>
      <c r="WRI50" s="19"/>
      <c r="WRJ50" s="19"/>
      <c r="WRK50" s="19"/>
      <c r="WRL50" s="21"/>
      <c r="WRM50" s="19"/>
      <c r="WRV50" s="19"/>
      <c r="WRW50" s="19"/>
      <c r="WRX50" s="19"/>
      <c r="WRY50" s="19"/>
      <c r="WRZ50" s="21"/>
      <c r="WSA50" s="19"/>
      <c r="WSJ50" s="19"/>
      <c r="WSK50" s="19"/>
      <c r="WSL50" s="19"/>
      <c r="WSM50" s="19"/>
      <c r="WSN50" s="21"/>
      <c r="WSO50" s="19"/>
      <c r="WSX50" s="19"/>
      <c r="WSY50" s="19"/>
      <c r="WSZ50" s="19"/>
      <c r="WTA50" s="19"/>
      <c r="WTB50" s="21"/>
      <c r="WTC50" s="19"/>
      <c r="WTL50" s="19"/>
      <c r="WTM50" s="19"/>
      <c r="WTN50" s="19"/>
      <c r="WTO50" s="19"/>
      <c r="WTP50" s="21"/>
      <c r="WTQ50" s="19"/>
      <c r="WTZ50" s="19"/>
      <c r="WUA50" s="19"/>
      <c r="WUB50" s="19"/>
      <c r="WUC50" s="19"/>
      <c r="WUD50" s="21"/>
      <c r="WUE50" s="19"/>
      <c r="WUN50" s="19"/>
      <c r="WUO50" s="19"/>
      <c r="WUP50" s="19"/>
      <c r="WUQ50" s="19"/>
      <c r="WUR50" s="21"/>
      <c r="WUS50" s="19"/>
      <c r="WVB50" s="19"/>
      <c r="WVC50" s="19"/>
      <c r="WVD50" s="19"/>
      <c r="WVE50" s="19"/>
      <c r="WVF50" s="21"/>
      <c r="WVG50" s="19"/>
      <c r="WVP50" s="19"/>
      <c r="WVQ50" s="19"/>
      <c r="WVR50" s="19"/>
      <c r="WVS50" s="19"/>
      <c r="WVT50" s="21"/>
      <c r="WVU50" s="19"/>
      <c r="WWD50" s="19"/>
      <c r="WWE50" s="19"/>
      <c r="WWF50" s="19"/>
      <c r="WWG50" s="19"/>
      <c r="WWH50" s="21"/>
      <c r="WWI50" s="19"/>
      <c r="WWR50" s="19"/>
      <c r="WWS50" s="19"/>
      <c r="WWT50" s="19"/>
      <c r="WWU50" s="19"/>
      <c r="WWV50" s="21"/>
      <c r="WWW50" s="19"/>
      <c r="WXF50" s="19"/>
      <c r="WXG50" s="19"/>
      <c r="WXH50" s="19"/>
      <c r="WXI50" s="19"/>
      <c r="WXJ50" s="21"/>
      <c r="WXK50" s="19"/>
      <c r="WXT50" s="19"/>
      <c r="WXU50" s="19"/>
      <c r="WXV50" s="19"/>
      <c r="WXW50" s="19"/>
      <c r="WXX50" s="21"/>
      <c r="WXY50" s="19"/>
      <c r="WYH50" s="19"/>
      <c r="WYI50" s="19"/>
      <c r="WYJ50" s="19"/>
      <c r="WYK50" s="19"/>
      <c r="WYL50" s="21"/>
      <c r="WYM50" s="19"/>
      <c r="WYV50" s="19"/>
      <c r="WYW50" s="19"/>
      <c r="WYX50" s="19"/>
      <c r="WYY50" s="19"/>
      <c r="WYZ50" s="21"/>
      <c r="WZA50" s="19"/>
      <c r="WZJ50" s="19"/>
      <c r="WZK50" s="19"/>
      <c r="WZL50" s="19"/>
      <c r="WZM50" s="19"/>
      <c r="WZN50" s="21"/>
      <c r="WZO50" s="19"/>
      <c r="WZX50" s="19"/>
      <c r="WZY50" s="19"/>
      <c r="WZZ50" s="19"/>
      <c r="XAA50" s="19"/>
      <c r="XAB50" s="21"/>
      <c r="XAC50" s="19"/>
      <c r="XAL50" s="19"/>
      <c r="XAM50" s="19"/>
      <c r="XAN50" s="19"/>
      <c r="XAO50" s="19"/>
      <c r="XAP50" s="21"/>
      <c r="XAQ50" s="19"/>
      <c r="XAZ50" s="19"/>
      <c r="XBA50" s="19"/>
      <c r="XBB50" s="19"/>
      <c r="XBC50" s="19"/>
      <c r="XBD50" s="21"/>
      <c r="XBE50" s="19"/>
      <c r="XBN50" s="19"/>
      <c r="XBO50" s="19"/>
      <c r="XBP50" s="19"/>
      <c r="XBQ50" s="19"/>
      <c r="XBR50" s="21"/>
      <c r="XBS50" s="19"/>
      <c r="XCB50" s="19"/>
      <c r="XCC50" s="19"/>
      <c r="XCD50" s="19"/>
      <c r="XCE50" s="19"/>
      <c r="XCF50" s="21"/>
      <c r="XCG50" s="19"/>
      <c r="XCP50" s="19"/>
      <c r="XCQ50" s="19"/>
      <c r="XCR50" s="19"/>
      <c r="XCS50" s="19"/>
      <c r="XCT50" s="21"/>
      <c r="XCU50" s="19"/>
      <c r="XDD50" s="19"/>
      <c r="XDE50" s="19"/>
      <c r="XDF50" s="19"/>
      <c r="XDG50" s="19"/>
      <c r="XDH50" s="21"/>
      <c r="XDI50" s="19"/>
      <c r="XDR50" s="19"/>
      <c r="XDS50" s="19"/>
      <c r="XDT50" s="19"/>
      <c r="XDU50" s="19"/>
      <c r="XDV50" s="21"/>
      <c r="XDW50" s="19"/>
      <c r="XEF50" s="19"/>
      <c r="XEG50" s="19"/>
      <c r="XEH50" s="19"/>
      <c r="XEI50" s="19"/>
      <c r="XEJ50" s="21"/>
      <c r="XEK50" s="19"/>
    </row>
    <row r="51" spans="1:1021 1030:2043 2052:3065 3074:7167 7176:8189 8198:9211 9220:10233 10242:14335 14344:15357 15366:16365" s="20" customFormat="1">
      <c r="A51" s="19">
        <v>4</v>
      </c>
      <c r="B51" s="19">
        <v>2</v>
      </c>
      <c r="C51" s="20" t="s">
        <v>125</v>
      </c>
      <c r="D51" s="20">
        <v>10</v>
      </c>
      <c r="E51" s="20">
        <v>4</v>
      </c>
      <c r="F51" s="20">
        <v>3</v>
      </c>
      <c r="G51" s="20">
        <v>1</v>
      </c>
      <c r="H51" s="20">
        <v>0</v>
      </c>
      <c r="I51" s="20">
        <v>9</v>
      </c>
      <c r="J51" s="20">
        <v>2</v>
      </c>
      <c r="K51" s="19">
        <v>7</v>
      </c>
      <c r="L51" s="27"/>
      <c r="M51" s="19"/>
      <c r="V51" s="19"/>
      <c r="W51" s="19"/>
      <c r="X51" s="19"/>
      <c r="Y51" s="19"/>
      <c r="Z51" s="21"/>
      <c r="AA51" s="19"/>
      <c r="AJ51" s="19"/>
      <c r="AK51" s="19"/>
      <c r="AL51" s="19"/>
      <c r="AM51" s="19"/>
      <c r="AN51" s="21"/>
      <c r="AO51" s="19"/>
      <c r="AX51" s="19"/>
      <c r="AY51" s="19"/>
      <c r="AZ51" s="19"/>
      <c r="BA51" s="19"/>
      <c r="BB51" s="21"/>
      <c r="BC51" s="19"/>
      <c r="BL51" s="19"/>
      <c r="BM51" s="19"/>
      <c r="BN51" s="19"/>
      <c r="BO51" s="19"/>
      <c r="BP51" s="21"/>
      <c r="BQ51" s="19"/>
      <c r="BZ51" s="19"/>
      <c r="CA51" s="19"/>
      <c r="CB51" s="19"/>
      <c r="CC51" s="19"/>
      <c r="CD51" s="21"/>
      <c r="CE51" s="19"/>
      <c r="CN51" s="19"/>
      <c r="CO51" s="19"/>
      <c r="CP51" s="19"/>
      <c r="CQ51" s="19"/>
      <c r="CR51" s="21"/>
      <c r="CS51" s="19"/>
      <c r="DB51" s="19"/>
      <c r="DC51" s="19"/>
      <c r="DD51" s="19"/>
      <c r="DE51" s="19"/>
      <c r="DF51" s="21"/>
      <c r="DG51" s="19"/>
      <c r="DP51" s="19"/>
      <c r="DQ51" s="19"/>
      <c r="DR51" s="19"/>
      <c r="DS51" s="19"/>
      <c r="DT51" s="21"/>
      <c r="DU51" s="19"/>
      <c r="ED51" s="19"/>
      <c r="EE51" s="19"/>
      <c r="EF51" s="19"/>
      <c r="EG51" s="19"/>
      <c r="EH51" s="21"/>
      <c r="EI51" s="19"/>
      <c r="ER51" s="19"/>
      <c r="ES51" s="19"/>
      <c r="ET51" s="19"/>
      <c r="EU51" s="19"/>
      <c r="EV51" s="21"/>
      <c r="EW51" s="19"/>
      <c r="FF51" s="19"/>
      <c r="FG51" s="19"/>
      <c r="FH51" s="19"/>
      <c r="FI51" s="19"/>
      <c r="FJ51" s="21"/>
      <c r="FK51" s="19"/>
      <c r="FT51" s="19"/>
      <c r="FU51" s="19"/>
      <c r="FV51" s="19"/>
      <c r="FW51" s="19"/>
      <c r="FX51" s="21"/>
      <c r="FY51" s="19"/>
      <c r="GH51" s="19"/>
      <c r="GI51" s="19"/>
      <c r="GJ51" s="19"/>
      <c r="GK51" s="19"/>
      <c r="GL51" s="21"/>
      <c r="GM51" s="19"/>
      <c r="GV51" s="19"/>
      <c r="GW51" s="19"/>
      <c r="GX51" s="19"/>
      <c r="GY51" s="19"/>
      <c r="GZ51" s="21"/>
      <c r="HA51" s="19"/>
      <c r="HJ51" s="19"/>
      <c r="HK51" s="19"/>
      <c r="HL51" s="19"/>
      <c r="HM51" s="19"/>
      <c r="HN51" s="21"/>
      <c r="HO51" s="19"/>
      <c r="HX51" s="19"/>
      <c r="HY51" s="19"/>
      <c r="HZ51" s="19"/>
      <c r="IA51" s="19"/>
      <c r="IB51" s="21"/>
      <c r="IC51" s="19"/>
      <c r="IL51" s="19"/>
      <c r="IM51" s="19"/>
      <c r="IN51" s="19"/>
      <c r="IO51" s="19"/>
      <c r="IP51" s="21"/>
      <c r="IQ51" s="19"/>
      <c r="IZ51" s="19"/>
      <c r="JA51" s="19"/>
      <c r="JB51" s="19"/>
      <c r="JC51" s="19"/>
      <c r="JD51" s="21"/>
      <c r="JE51" s="19"/>
      <c r="JN51" s="19"/>
      <c r="JO51" s="19"/>
      <c r="JP51" s="19"/>
      <c r="JQ51" s="19"/>
      <c r="JR51" s="21"/>
      <c r="JS51" s="19"/>
      <c r="KB51" s="19"/>
      <c r="KC51" s="19"/>
      <c r="KD51" s="19"/>
      <c r="KE51" s="19"/>
      <c r="KF51" s="21"/>
      <c r="KG51" s="19"/>
      <c r="KP51" s="19"/>
      <c r="KQ51" s="19"/>
      <c r="KR51" s="19"/>
      <c r="KS51" s="19"/>
      <c r="KT51" s="21"/>
      <c r="KU51" s="19"/>
      <c r="LD51" s="19"/>
      <c r="LE51" s="19"/>
      <c r="LF51" s="19"/>
      <c r="LG51" s="19"/>
      <c r="LH51" s="21"/>
      <c r="LI51" s="19"/>
      <c r="LR51" s="19"/>
      <c r="LS51" s="19"/>
      <c r="LT51" s="19"/>
      <c r="LU51" s="19"/>
      <c r="LV51" s="21"/>
      <c r="LW51" s="19"/>
      <c r="MF51" s="19"/>
      <c r="MG51" s="19"/>
      <c r="MH51" s="19"/>
      <c r="MI51" s="19"/>
      <c r="MJ51" s="21"/>
      <c r="MK51" s="19"/>
      <c r="MT51" s="19"/>
      <c r="MU51" s="19"/>
      <c r="MV51" s="19"/>
      <c r="MW51" s="19"/>
      <c r="MX51" s="21"/>
      <c r="MY51" s="19"/>
      <c r="NH51" s="19"/>
      <c r="NI51" s="19"/>
      <c r="NJ51" s="19"/>
      <c r="NK51" s="19"/>
      <c r="NL51" s="21"/>
      <c r="NM51" s="19"/>
      <c r="NV51" s="19"/>
      <c r="NW51" s="19"/>
      <c r="NX51" s="19"/>
      <c r="NY51" s="19"/>
      <c r="NZ51" s="21"/>
      <c r="OA51" s="19"/>
      <c r="OJ51" s="19"/>
      <c r="OK51" s="19"/>
      <c r="OL51" s="19"/>
      <c r="OM51" s="19"/>
      <c r="ON51" s="21"/>
      <c r="OO51" s="19"/>
      <c r="OX51" s="19"/>
      <c r="OY51" s="19"/>
      <c r="OZ51" s="19"/>
      <c r="PA51" s="19"/>
      <c r="PB51" s="21"/>
      <c r="PC51" s="19"/>
      <c r="PL51" s="19"/>
      <c r="PM51" s="19"/>
      <c r="PN51" s="19"/>
      <c r="PO51" s="19"/>
      <c r="PP51" s="21"/>
      <c r="PQ51" s="19"/>
      <c r="PZ51" s="19"/>
      <c r="QA51" s="19"/>
      <c r="QB51" s="19"/>
      <c r="QC51" s="19"/>
      <c r="QD51" s="21"/>
      <c r="QE51" s="19"/>
      <c r="QN51" s="19"/>
      <c r="QO51" s="19"/>
      <c r="QP51" s="19"/>
      <c r="QQ51" s="19"/>
      <c r="QR51" s="21"/>
      <c r="QS51" s="19"/>
      <c r="RB51" s="19"/>
      <c r="RC51" s="19"/>
      <c r="RD51" s="19"/>
      <c r="RE51" s="19"/>
      <c r="RF51" s="21"/>
      <c r="RG51" s="19"/>
      <c r="RP51" s="19"/>
      <c r="RQ51" s="19"/>
      <c r="RR51" s="19"/>
      <c r="RS51" s="19"/>
      <c r="RT51" s="21"/>
      <c r="RU51" s="19"/>
      <c r="SD51" s="19"/>
      <c r="SE51" s="19"/>
      <c r="SF51" s="19"/>
      <c r="SG51" s="19"/>
      <c r="SH51" s="21"/>
      <c r="SI51" s="19"/>
      <c r="SR51" s="19"/>
      <c r="SS51" s="19"/>
      <c r="ST51" s="19"/>
      <c r="SU51" s="19"/>
      <c r="SV51" s="21"/>
      <c r="SW51" s="19"/>
      <c r="TF51" s="19"/>
      <c r="TG51" s="19"/>
      <c r="TH51" s="19"/>
      <c r="TI51" s="19"/>
      <c r="TJ51" s="21"/>
      <c r="TK51" s="19"/>
      <c r="TT51" s="19"/>
      <c r="TU51" s="19"/>
      <c r="TV51" s="19"/>
      <c r="TW51" s="19"/>
      <c r="TX51" s="21"/>
      <c r="TY51" s="19"/>
      <c r="UH51" s="19"/>
      <c r="UI51" s="19"/>
      <c r="UJ51" s="19"/>
      <c r="UK51" s="19"/>
      <c r="UL51" s="21"/>
      <c r="UM51" s="19"/>
      <c r="UV51" s="19"/>
      <c r="UW51" s="19"/>
      <c r="UX51" s="19"/>
      <c r="UY51" s="19"/>
      <c r="UZ51" s="21"/>
      <c r="VA51" s="19"/>
      <c r="VJ51" s="19"/>
      <c r="VK51" s="19"/>
      <c r="VL51" s="19"/>
      <c r="VM51" s="19"/>
      <c r="VN51" s="21"/>
      <c r="VO51" s="19"/>
      <c r="VX51" s="19"/>
      <c r="VY51" s="19"/>
      <c r="VZ51" s="19"/>
      <c r="WA51" s="19"/>
      <c r="WB51" s="21"/>
      <c r="WC51" s="19"/>
      <c r="WL51" s="19"/>
      <c r="WM51" s="19"/>
      <c r="WN51" s="19"/>
      <c r="WO51" s="19"/>
      <c r="WP51" s="21"/>
      <c r="WQ51" s="19"/>
      <c r="WZ51" s="19"/>
      <c r="XA51" s="19"/>
      <c r="XB51" s="19"/>
      <c r="XC51" s="19"/>
      <c r="XD51" s="21"/>
      <c r="XE51" s="19"/>
      <c r="XN51" s="19"/>
      <c r="XO51" s="19"/>
      <c r="XP51" s="19"/>
      <c r="XQ51" s="19"/>
      <c r="XR51" s="21"/>
      <c r="XS51" s="19"/>
      <c r="YB51" s="19"/>
      <c r="YC51" s="19"/>
      <c r="YD51" s="19"/>
      <c r="YE51" s="19"/>
      <c r="YF51" s="21"/>
      <c r="YG51" s="19"/>
      <c r="YP51" s="19"/>
      <c r="YQ51" s="19"/>
      <c r="YR51" s="19"/>
      <c r="YS51" s="19"/>
      <c r="YT51" s="21"/>
      <c r="YU51" s="19"/>
      <c r="ZD51" s="19"/>
      <c r="ZE51" s="19"/>
      <c r="ZF51" s="19"/>
      <c r="ZG51" s="19"/>
      <c r="ZH51" s="21"/>
      <c r="ZI51" s="19"/>
      <c r="ZR51" s="19"/>
      <c r="ZS51" s="19"/>
      <c r="ZT51" s="19"/>
      <c r="ZU51" s="19"/>
      <c r="ZV51" s="21"/>
      <c r="ZW51" s="19"/>
      <c r="AAF51" s="19"/>
      <c r="AAG51" s="19"/>
      <c r="AAH51" s="19"/>
      <c r="AAI51" s="19"/>
      <c r="AAJ51" s="21"/>
      <c r="AAK51" s="19"/>
      <c r="AAT51" s="19"/>
      <c r="AAU51" s="19"/>
      <c r="AAV51" s="19"/>
      <c r="AAW51" s="19"/>
      <c r="AAX51" s="21"/>
      <c r="AAY51" s="19"/>
      <c r="ABH51" s="19"/>
      <c r="ABI51" s="19"/>
      <c r="ABJ51" s="19"/>
      <c r="ABK51" s="19"/>
      <c r="ABL51" s="21"/>
      <c r="ABM51" s="19"/>
      <c r="ABV51" s="19"/>
      <c r="ABW51" s="19"/>
      <c r="ABX51" s="19"/>
      <c r="ABY51" s="19"/>
      <c r="ABZ51" s="21"/>
      <c r="ACA51" s="19"/>
      <c r="ACJ51" s="19"/>
      <c r="ACK51" s="19"/>
      <c r="ACL51" s="19"/>
      <c r="ACM51" s="19"/>
      <c r="ACN51" s="21"/>
      <c r="ACO51" s="19"/>
      <c r="ACX51" s="19"/>
      <c r="ACY51" s="19"/>
      <c r="ACZ51" s="19"/>
      <c r="ADA51" s="19"/>
      <c r="ADB51" s="21"/>
      <c r="ADC51" s="19"/>
      <c r="ADL51" s="19"/>
      <c r="ADM51" s="19"/>
      <c r="ADN51" s="19"/>
      <c r="ADO51" s="19"/>
      <c r="ADP51" s="21"/>
      <c r="ADQ51" s="19"/>
      <c r="ADZ51" s="19"/>
      <c r="AEA51" s="19"/>
      <c r="AEB51" s="19"/>
      <c r="AEC51" s="19"/>
      <c r="AED51" s="21"/>
      <c r="AEE51" s="19"/>
      <c r="AEN51" s="19"/>
      <c r="AEO51" s="19"/>
      <c r="AEP51" s="19"/>
      <c r="AEQ51" s="19"/>
      <c r="AER51" s="21"/>
      <c r="AES51" s="19"/>
      <c r="AFB51" s="19"/>
      <c r="AFC51" s="19"/>
      <c r="AFD51" s="19"/>
      <c r="AFE51" s="19"/>
      <c r="AFF51" s="21"/>
      <c r="AFG51" s="19"/>
      <c r="AFP51" s="19"/>
      <c r="AFQ51" s="19"/>
      <c r="AFR51" s="19"/>
      <c r="AFS51" s="19"/>
      <c r="AFT51" s="21"/>
      <c r="AFU51" s="19"/>
      <c r="AGD51" s="19"/>
      <c r="AGE51" s="19"/>
      <c r="AGF51" s="19"/>
      <c r="AGG51" s="19"/>
      <c r="AGH51" s="21"/>
      <c r="AGI51" s="19"/>
      <c r="AGR51" s="19"/>
      <c r="AGS51" s="19"/>
      <c r="AGT51" s="19"/>
      <c r="AGU51" s="19"/>
      <c r="AGV51" s="21"/>
      <c r="AGW51" s="19"/>
      <c r="AHF51" s="19"/>
      <c r="AHG51" s="19"/>
      <c r="AHH51" s="19"/>
      <c r="AHI51" s="19"/>
      <c r="AHJ51" s="21"/>
      <c r="AHK51" s="19"/>
      <c r="AHT51" s="19"/>
      <c r="AHU51" s="19"/>
      <c r="AHV51" s="19"/>
      <c r="AHW51" s="19"/>
      <c r="AHX51" s="21"/>
      <c r="AHY51" s="19"/>
      <c r="AIH51" s="19"/>
      <c r="AII51" s="19"/>
      <c r="AIJ51" s="19"/>
      <c r="AIK51" s="19"/>
      <c r="AIL51" s="21"/>
      <c r="AIM51" s="19"/>
      <c r="AIV51" s="19"/>
      <c r="AIW51" s="19"/>
      <c r="AIX51" s="19"/>
      <c r="AIY51" s="19"/>
      <c r="AIZ51" s="21"/>
      <c r="AJA51" s="19"/>
      <c r="AJJ51" s="19"/>
      <c r="AJK51" s="19"/>
      <c r="AJL51" s="19"/>
      <c r="AJM51" s="19"/>
      <c r="AJN51" s="21"/>
      <c r="AJO51" s="19"/>
      <c r="AJX51" s="19"/>
      <c r="AJY51" s="19"/>
      <c r="AJZ51" s="19"/>
      <c r="AKA51" s="19"/>
      <c r="AKB51" s="21"/>
      <c r="AKC51" s="19"/>
      <c r="AKL51" s="19"/>
      <c r="AKM51" s="19"/>
      <c r="AKN51" s="19"/>
      <c r="AKO51" s="19"/>
      <c r="AKP51" s="21"/>
      <c r="AKQ51" s="19"/>
      <c r="AKZ51" s="19"/>
      <c r="ALA51" s="19"/>
      <c r="ALB51" s="19"/>
      <c r="ALC51" s="19"/>
      <c r="ALD51" s="21"/>
      <c r="ALE51" s="19"/>
      <c r="ALN51" s="19"/>
      <c r="ALO51" s="19"/>
      <c r="ALP51" s="19"/>
      <c r="ALQ51" s="19"/>
      <c r="ALR51" s="21"/>
      <c r="ALS51" s="19"/>
      <c r="AMB51" s="19"/>
      <c r="AMC51" s="19"/>
      <c r="AMD51" s="19"/>
      <c r="AME51" s="19"/>
      <c r="AMF51" s="21"/>
      <c r="AMG51" s="19"/>
      <c r="AMP51" s="19"/>
      <c r="AMQ51" s="19"/>
      <c r="AMR51" s="19"/>
      <c r="AMS51" s="19"/>
      <c r="AMT51" s="21"/>
      <c r="AMU51" s="19"/>
      <c r="AND51" s="19"/>
      <c r="ANE51" s="19"/>
      <c r="ANF51" s="19"/>
      <c r="ANG51" s="19"/>
      <c r="ANH51" s="21"/>
      <c r="ANI51" s="19"/>
      <c r="ANR51" s="19"/>
      <c r="ANS51" s="19"/>
      <c r="ANT51" s="19"/>
      <c r="ANU51" s="19"/>
      <c r="ANV51" s="21"/>
      <c r="ANW51" s="19"/>
      <c r="AOF51" s="19"/>
      <c r="AOG51" s="19"/>
      <c r="AOH51" s="19"/>
      <c r="AOI51" s="19"/>
      <c r="AOJ51" s="21"/>
      <c r="AOK51" s="19"/>
      <c r="AOT51" s="19"/>
      <c r="AOU51" s="19"/>
      <c r="AOV51" s="19"/>
      <c r="AOW51" s="19"/>
      <c r="AOX51" s="21"/>
      <c r="AOY51" s="19"/>
      <c r="APH51" s="19"/>
      <c r="API51" s="19"/>
      <c r="APJ51" s="19"/>
      <c r="APK51" s="19"/>
      <c r="APL51" s="21"/>
      <c r="APM51" s="19"/>
      <c r="APV51" s="19"/>
      <c r="APW51" s="19"/>
      <c r="APX51" s="19"/>
      <c r="APY51" s="19"/>
      <c r="APZ51" s="21"/>
      <c r="AQA51" s="19"/>
      <c r="AQJ51" s="19"/>
      <c r="AQK51" s="19"/>
      <c r="AQL51" s="19"/>
      <c r="AQM51" s="19"/>
      <c r="AQN51" s="21"/>
      <c r="AQO51" s="19"/>
      <c r="AQX51" s="19"/>
      <c r="AQY51" s="19"/>
      <c r="AQZ51" s="19"/>
      <c r="ARA51" s="19"/>
      <c r="ARB51" s="21"/>
      <c r="ARC51" s="19"/>
      <c r="ARL51" s="19"/>
      <c r="ARM51" s="19"/>
      <c r="ARN51" s="19"/>
      <c r="ARO51" s="19"/>
      <c r="ARP51" s="21"/>
      <c r="ARQ51" s="19"/>
      <c r="ARZ51" s="19"/>
      <c r="ASA51" s="19"/>
      <c r="ASB51" s="19"/>
      <c r="ASC51" s="19"/>
      <c r="ASD51" s="21"/>
      <c r="ASE51" s="19"/>
      <c r="ASN51" s="19"/>
      <c r="ASO51" s="19"/>
      <c r="ASP51" s="19"/>
      <c r="ASQ51" s="19"/>
      <c r="ASR51" s="21"/>
      <c r="ASS51" s="19"/>
      <c r="ATB51" s="19"/>
      <c r="ATC51" s="19"/>
      <c r="ATD51" s="19"/>
      <c r="ATE51" s="19"/>
      <c r="ATF51" s="21"/>
      <c r="ATG51" s="19"/>
      <c r="ATP51" s="19"/>
      <c r="ATQ51" s="19"/>
      <c r="ATR51" s="19"/>
      <c r="ATS51" s="19"/>
      <c r="ATT51" s="21"/>
      <c r="ATU51" s="19"/>
      <c r="AUD51" s="19"/>
      <c r="AUE51" s="19"/>
      <c r="AUF51" s="19"/>
      <c r="AUG51" s="19"/>
      <c r="AUH51" s="21"/>
      <c r="AUI51" s="19"/>
      <c r="AUR51" s="19"/>
      <c r="AUS51" s="19"/>
      <c r="AUT51" s="19"/>
      <c r="AUU51" s="19"/>
      <c r="AUV51" s="21"/>
      <c r="AUW51" s="19"/>
      <c r="AVF51" s="19"/>
      <c r="AVG51" s="19"/>
      <c r="AVH51" s="19"/>
      <c r="AVI51" s="19"/>
      <c r="AVJ51" s="21"/>
      <c r="AVK51" s="19"/>
      <c r="AVT51" s="19"/>
      <c r="AVU51" s="19"/>
      <c r="AVV51" s="19"/>
      <c r="AVW51" s="19"/>
      <c r="AVX51" s="21"/>
      <c r="AVY51" s="19"/>
      <c r="AWH51" s="19"/>
      <c r="AWI51" s="19"/>
      <c r="AWJ51" s="19"/>
      <c r="AWK51" s="19"/>
      <c r="AWL51" s="21"/>
      <c r="AWM51" s="19"/>
      <c r="AWV51" s="19"/>
      <c r="AWW51" s="19"/>
      <c r="AWX51" s="19"/>
      <c r="AWY51" s="19"/>
      <c r="AWZ51" s="21"/>
      <c r="AXA51" s="19"/>
      <c r="AXJ51" s="19"/>
      <c r="AXK51" s="19"/>
      <c r="AXL51" s="19"/>
      <c r="AXM51" s="19"/>
      <c r="AXN51" s="21"/>
      <c r="AXO51" s="19"/>
      <c r="AXX51" s="19"/>
      <c r="AXY51" s="19"/>
      <c r="AXZ51" s="19"/>
      <c r="AYA51" s="19"/>
      <c r="AYB51" s="21"/>
      <c r="AYC51" s="19"/>
      <c r="AYL51" s="19"/>
      <c r="AYM51" s="19"/>
      <c r="AYN51" s="19"/>
      <c r="AYO51" s="19"/>
      <c r="AYP51" s="21"/>
      <c r="AYQ51" s="19"/>
      <c r="AYZ51" s="19"/>
      <c r="AZA51" s="19"/>
      <c r="AZB51" s="19"/>
      <c r="AZC51" s="19"/>
      <c r="AZD51" s="21"/>
      <c r="AZE51" s="19"/>
      <c r="AZN51" s="19"/>
      <c r="AZO51" s="19"/>
      <c r="AZP51" s="19"/>
      <c r="AZQ51" s="19"/>
      <c r="AZR51" s="21"/>
      <c r="AZS51" s="19"/>
      <c r="BAB51" s="19"/>
      <c r="BAC51" s="19"/>
      <c r="BAD51" s="19"/>
      <c r="BAE51" s="19"/>
      <c r="BAF51" s="21"/>
      <c r="BAG51" s="19"/>
      <c r="BAP51" s="19"/>
      <c r="BAQ51" s="19"/>
      <c r="BAR51" s="19"/>
      <c r="BAS51" s="19"/>
      <c r="BAT51" s="21"/>
      <c r="BAU51" s="19"/>
      <c r="BBD51" s="19"/>
      <c r="BBE51" s="19"/>
      <c r="BBF51" s="19"/>
      <c r="BBG51" s="19"/>
      <c r="BBH51" s="21"/>
      <c r="BBI51" s="19"/>
      <c r="BBR51" s="19"/>
      <c r="BBS51" s="19"/>
      <c r="BBT51" s="19"/>
      <c r="BBU51" s="19"/>
      <c r="BBV51" s="21"/>
      <c r="BBW51" s="19"/>
      <c r="BCF51" s="19"/>
      <c r="BCG51" s="19"/>
      <c r="BCH51" s="19"/>
      <c r="BCI51" s="19"/>
      <c r="BCJ51" s="21"/>
      <c r="BCK51" s="19"/>
      <c r="BCT51" s="19"/>
      <c r="BCU51" s="19"/>
      <c r="BCV51" s="19"/>
      <c r="BCW51" s="19"/>
      <c r="BCX51" s="21"/>
      <c r="BCY51" s="19"/>
      <c r="BDH51" s="19"/>
      <c r="BDI51" s="19"/>
      <c r="BDJ51" s="19"/>
      <c r="BDK51" s="19"/>
      <c r="BDL51" s="21"/>
      <c r="BDM51" s="19"/>
      <c r="BDV51" s="19"/>
      <c r="BDW51" s="19"/>
      <c r="BDX51" s="19"/>
      <c r="BDY51" s="19"/>
      <c r="BDZ51" s="21"/>
      <c r="BEA51" s="19"/>
      <c r="BEJ51" s="19"/>
      <c r="BEK51" s="19"/>
      <c r="BEL51" s="19"/>
      <c r="BEM51" s="19"/>
      <c r="BEN51" s="21"/>
      <c r="BEO51" s="19"/>
      <c r="BEX51" s="19"/>
      <c r="BEY51" s="19"/>
      <c r="BEZ51" s="19"/>
      <c r="BFA51" s="19"/>
      <c r="BFB51" s="21"/>
      <c r="BFC51" s="19"/>
      <c r="BFL51" s="19"/>
      <c r="BFM51" s="19"/>
      <c r="BFN51" s="19"/>
      <c r="BFO51" s="19"/>
      <c r="BFP51" s="21"/>
      <c r="BFQ51" s="19"/>
      <c r="BFZ51" s="19"/>
      <c r="BGA51" s="19"/>
      <c r="BGB51" s="19"/>
      <c r="BGC51" s="19"/>
      <c r="BGD51" s="21"/>
      <c r="BGE51" s="19"/>
      <c r="BGN51" s="19"/>
      <c r="BGO51" s="19"/>
      <c r="BGP51" s="19"/>
      <c r="BGQ51" s="19"/>
      <c r="BGR51" s="21"/>
      <c r="BGS51" s="19"/>
      <c r="BHB51" s="19"/>
      <c r="BHC51" s="19"/>
      <c r="BHD51" s="19"/>
      <c r="BHE51" s="19"/>
      <c r="BHF51" s="21"/>
      <c r="BHG51" s="19"/>
      <c r="BHP51" s="19"/>
      <c r="BHQ51" s="19"/>
      <c r="BHR51" s="19"/>
      <c r="BHS51" s="19"/>
      <c r="BHT51" s="21"/>
      <c r="BHU51" s="19"/>
      <c r="BID51" s="19"/>
      <c r="BIE51" s="19"/>
      <c r="BIF51" s="19"/>
      <c r="BIG51" s="19"/>
      <c r="BIH51" s="21"/>
      <c r="BII51" s="19"/>
      <c r="BIR51" s="19"/>
      <c r="BIS51" s="19"/>
      <c r="BIT51" s="19"/>
      <c r="BIU51" s="19"/>
      <c r="BIV51" s="21"/>
      <c r="BIW51" s="19"/>
      <c r="BJF51" s="19"/>
      <c r="BJG51" s="19"/>
      <c r="BJH51" s="19"/>
      <c r="BJI51" s="19"/>
      <c r="BJJ51" s="21"/>
      <c r="BJK51" s="19"/>
      <c r="BJT51" s="19"/>
      <c r="BJU51" s="19"/>
      <c r="BJV51" s="19"/>
      <c r="BJW51" s="19"/>
      <c r="BJX51" s="21"/>
      <c r="BJY51" s="19"/>
      <c r="BKH51" s="19"/>
      <c r="BKI51" s="19"/>
      <c r="BKJ51" s="19"/>
      <c r="BKK51" s="19"/>
      <c r="BKL51" s="21"/>
      <c r="BKM51" s="19"/>
      <c r="BKV51" s="19"/>
      <c r="BKW51" s="19"/>
      <c r="BKX51" s="19"/>
      <c r="BKY51" s="19"/>
      <c r="BKZ51" s="21"/>
      <c r="BLA51" s="19"/>
      <c r="BLJ51" s="19"/>
      <c r="BLK51" s="19"/>
      <c r="BLL51" s="19"/>
      <c r="BLM51" s="19"/>
      <c r="BLN51" s="21"/>
      <c r="BLO51" s="19"/>
      <c r="BLX51" s="19"/>
      <c r="BLY51" s="19"/>
      <c r="BLZ51" s="19"/>
      <c r="BMA51" s="19"/>
      <c r="BMB51" s="21"/>
      <c r="BMC51" s="19"/>
      <c r="BML51" s="19"/>
      <c r="BMM51" s="19"/>
      <c r="BMN51" s="19"/>
      <c r="BMO51" s="19"/>
      <c r="BMP51" s="21"/>
      <c r="BMQ51" s="19"/>
      <c r="BMZ51" s="19"/>
      <c r="BNA51" s="19"/>
      <c r="BNB51" s="19"/>
      <c r="BNC51" s="19"/>
      <c r="BND51" s="21"/>
      <c r="BNE51" s="19"/>
      <c r="BNN51" s="19"/>
      <c r="BNO51" s="19"/>
      <c r="BNP51" s="19"/>
      <c r="BNQ51" s="19"/>
      <c r="BNR51" s="21"/>
      <c r="BNS51" s="19"/>
      <c r="BOB51" s="19"/>
      <c r="BOC51" s="19"/>
      <c r="BOD51" s="19"/>
      <c r="BOE51" s="19"/>
      <c r="BOF51" s="21"/>
      <c r="BOG51" s="19"/>
      <c r="BOP51" s="19"/>
      <c r="BOQ51" s="19"/>
      <c r="BOR51" s="19"/>
      <c r="BOS51" s="19"/>
      <c r="BOT51" s="21"/>
      <c r="BOU51" s="19"/>
      <c r="BPD51" s="19"/>
      <c r="BPE51" s="19"/>
      <c r="BPF51" s="19"/>
      <c r="BPG51" s="19"/>
      <c r="BPH51" s="21"/>
      <c r="BPI51" s="19"/>
      <c r="BPR51" s="19"/>
      <c r="BPS51" s="19"/>
      <c r="BPT51" s="19"/>
      <c r="BPU51" s="19"/>
      <c r="BPV51" s="21"/>
      <c r="BPW51" s="19"/>
      <c r="BQF51" s="19"/>
      <c r="BQG51" s="19"/>
      <c r="BQH51" s="19"/>
      <c r="BQI51" s="19"/>
      <c r="BQJ51" s="21"/>
      <c r="BQK51" s="19"/>
      <c r="BQT51" s="19"/>
      <c r="BQU51" s="19"/>
      <c r="BQV51" s="19"/>
      <c r="BQW51" s="19"/>
      <c r="BQX51" s="21"/>
      <c r="BQY51" s="19"/>
      <c r="BRH51" s="19"/>
      <c r="BRI51" s="19"/>
      <c r="BRJ51" s="19"/>
      <c r="BRK51" s="19"/>
      <c r="BRL51" s="21"/>
      <c r="BRM51" s="19"/>
      <c r="BRV51" s="19"/>
      <c r="BRW51" s="19"/>
      <c r="BRX51" s="19"/>
      <c r="BRY51" s="19"/>
      <c r="BRZ51" s="21"/>
      <c r="BSA51" s="19"/>
      <c r="BSJ51" s="19"/>
      <c r="BSK51" s="19"/>
      <c r="BSL51" s="19"/>
      <c r="BSM51" s="19"/>
      <c r="BSN51" s="21"/>
      <c r="BSO51" s="19"/>
      <c r="BSX51" s="19"/>
      <c r="BSY51" s="19"/>
      <c r="BSZ51" s="19"/>
      <c r="BTA51" s="19"/>
      <c r="BTB51" s="21"/>
      <c r="BTC51" s="19"/>
      <c r="BTL51" s="19"/>
      <c r="BTM51" s="19"/>
      <c r="BTN51" s="19"/>
      <c r="BTO51" s="19"/>
      <c r="BTP51" s="21"/>
      <c r="BTQ51" s="19"/>
      <c r="BTZ51" s="19"/>
      <c r="BUA51" s="19"/>
      <c r="BUB51" s="19"/>
      <c r="BUC51" s="19"/>
      <c r="BUD51" s="21"/>
      <c r="BUE51" s="19"/>
      <c r="BUN51" s="19"/>
      <c r="BUO51" s="19"/>
      <c r="BUP51" s="19"/>
      <c r="BUQ51" s="19"/>
      <c r="BUR51" s="21"/>
      <c r="BUS51" s="19"/>
      <c r="BVB51" s="19"/>
      <c r="BVC51" s="19"/>
      <c r="BVD51" s="19"/>
      <c r="BVE51" s="19"/>
      <c r="BVF51" s="21"/>
      <c r="BVG51" s="19"/>
      <c r="BVP51" s="19"/>
      <c r="BVQ51" s="19"/>
      <c r="BVR51" s="19"/>
      <c r="BVS51" s="19"/>
      <c r="BVT51" s="21"/>
      <c r="BVU51" s="19"/>
      <c r="BWD51" s="19"/>
      <c r="BWE51" s="19"/>
      <c r="BWF51" s="19"/>
      <c r="BWG51" s="19"/>
      <c r="BWH51" s="21"/>
      <c r="BWI51" s="19"/>
      <c r="BWR51" s="19"/>
      <c r="BWS51" s="19"/>
      <c r="BWT51" s="19"/>
      <c r="BWU51" s="19"/>
      <c r="BWV51" s="21"/>
      <c r="BWW51" s="19"/>
      <c r="BXF51" s="19"/>
      <c r="BXG51" s="19"/>
      <c r="BXH51" s="19"/>
      <c r="BXI51" s="19"/>
      <c r="BXJ51" s="21"/>
      <c r="BXK51" s="19"/>
      <c r="BXT51" s="19"/>
      <c r="BXU51" s="19"/>
      <c r="BXV51" s="19"/>
      <c r="BXW51" s="19"/>
      <c r="BXX51" s="21"/>
      <c r="BXY51" s="19"/>
      <c r="BYH51" s="19"/>
      <c r="BYI51" s="19"/>
      <c r="BYJ51" s="19"/>
      <c r="BYK51" s="19"/>
      <c r="BYL51" s="21"/>
      <c r="BYM51" s="19"/>
      <c r="BYV51" s="19"/>
      <c r="BYW51" s="19"/>
      <c r="BYX51" s="19"/>
      <c r="BYY51" s="19"/>
      <c r="BYZ51" s="21"/>
      <c r="BZA51" s="19"/>
      <c r="BZJ51" s="19"/>
      <c r="BZK51" s="19"/>
      <c r="BZL51" s="19"/>
      <c r="BZM51" s="19"/>
      <c r="BZN51" s="21"/>
      <c r="BZO51" s="19"/>
      <c r="BZX51" s="19"/>
      <c r="BZY51" s="19"/>
      <c r="BZZ51" s="19"/>
      <c r="CAA51" s="19"/>
      <c r="CAB51" s="21"/>
      <c r="CAC51" s="19"/>
      <c r="CAL51" s="19"/>
      <c r="CAM51" s="19"/>
      <c r="CAN51" s="19"/>
      <c r="CAO51" s="19"/>
      <c r="CAP51" s="21"/>
      <c r="CAQ51" s="19"/>
      <c r="CAZ51" s="19"/>
      <c r="CBA51" s="19"/>
      <c r="CBB51" s="19"/>
      <c r="CBC51" s="19"/>
      <c r="CBD51" s="21"/>
      <c r="CBE51" s="19"/>
      <c r="CBN51" s="19"/>
      <c r="CBO51" s="19"/>
      <c r="CBP51" s="19"/>
      <c r="CBQ51" s="19"/>
      <c r="CBR51" s="21"/>
      <c r="CBS51" s="19"/>
      <c r="CCB51" s="19"/>
      <c r="CCC51" s="19"/>
      <c r="CCD51" s="19"/>
      <c r="CCE51" s="19"/>
      <c r="CCF51" s="21"/>
      <c r="CCG51" s="19"/>
      <c r="CCP51" s="19"/>
      <c r="CCQ51" s="19"/>
      <c r="CCR51" s="19"/>
      <c r="CCS51" s="19"/>
      <c r="CCT51" s="21"/>
      <c r="CCU51" s="19"/>
      <c r="CDD51" s="19"/>
      <c r="CDE51" s="19"/>
      <c r="CDF51" s="19"/>
      <c r="CDG51" s="19"/>
      <c r="CDH51" s="21"/>
      <c r="CDI51" s="19"/>
      <c r="CDR51" s="19"/>
      <c r="CDS51" s="19"/>
      <c r="CDT51" s="19"/>
      <c r="CDU51" s="19"/>
      <c r="CDV51" s="21"/>
      <c r="CDW51" s="19"/>
      <c r="CEF51" s="19"/>
      <c r="CEG51" s="19"/>
      <c r="CEH51" s="19"/>
      <c r="CEI51" s="19"/>
      <c r="CEJ51" s="21"/>
      <c r="CEK51" s="19"/>
      <c r="CET51" s="19"/>
      <c r="CEU51" s="19"/>
      <c r="CEV51" s="19"/>
      <c r="CEW51" s="19"/>
      <c r="CEX51" s="21"/>
      <c r="CEY51" s="19"/>
      <c r="CFH51" s="19"/>
      <c r="CFI51" s="19"/>
      <c r="CFJ51" s="19"/>
      <c r="CFK51" s="19"/>
      <c r="CFL51" s="21"/>
      <c r="CFM51" s="19"/>
      <c r="CFV51" s="19"/>
      <c r="CFW51" s="19"/>
      <c r="CFX51" s="19"/>
      <c r="CFY51" s="19"/>
      <c r="CFZ51" s="21"/>
      <c r="CGA51" s="19"/>
      <c r="CGJ51" s="19"/>
      <c r="CGK51" s="19"/>
      <c r="CGL51" s="19"/>
      <c r="CGM51" s="19"/>
      <c r="CGN51" s="21"/>
      <c r="CGO51" s="19"/>
      <c r="CGX51" s="19"/>
      <c r="CGY51" s="19"/>
      <c r="CGZ51" s="19"/>
      <c r="CHA51" s="19"/>
      <c r="CHB51" s="21"/>
      <c r="CHC51" s="19"/>
      <c r="CHL51" s="19"/>
      <c r="CHM51" s="19"/>
      <c r="CHN51" s="19"/>
      <c r="CHO51" s="19"/>
      <c r="CHP51" s="21"/>
      <c r="CHQ51" s="19"/>
      <c r="CHZ51" s="19"/>
      <c r="CIA51" s="19"/>
      <c r="CIB51" s="19"/>
      <c r="CIC51" s="19"/>
      <c r="CID51" s="21"/>
      <c r="CIE51" s="19"/>
      <c r="CIN51" s="19"/>
      <c r="CIO51" s="19"/>
      <c r="CIP51" s="19"/>
      <c r="CIQ51" s="19"/>
      <c r="CIR51" s="21"/>
      <c r="CIS51" s="19"/>
      <c r="CJB51" s="19"/>
      <c r="CJC51" s="19"/>
      <c r="CJD51" s="19"/>
      <c r="CJE51" s="19"/>
      <c r="CJF51" s="21"/>
      <c r="CJG51" s="19"/>
      <c r="CJP51" s="19"/>
      <c r="CJQ51" s="19"/>
      <c r="CJR51" s="19"/>
      <c r="CJS51" s="19"/>
      <c r="CJT51" s="21"/>
      <c r="CJU51" s="19"/>
      <c r="CKD51" s="19"/>
      <c r="CKE51" s="19"/>
      <c r="CKF51" s="19"/>
      <c r="CKG51" s="19"/>
      <c r="CKH51" s="21"/>
      <c r="CKI51" s="19"/>
      <c r="CKR51" s="19"/>
      <c r="CKS51" s="19"/>
      <c r="CKT51" s="19"/>
      <c r="CKU51" s="19"/>
      <c r="CKV51" s="21"/>
      <c r="CKW51" s="19"/>
      <c r="CLF51" s="19"/>
      <c r="CLG51" s="19"/>
      <c r="CLH51" s="19"/>
      <c r="CLI51" s="19"/>
      <c r="CLJ51" s="21"/>
      <c r="CLK51" s="19"/>
      <c r="CLT51" s="19"/>
      <c r="CLU51" s="19"/>
      <c r="CLV51" s="19"/>
      <c r="CLW51" s="19"/>
      <c r="CLX51" s="21"/>
      <c r="CLY51" s="19"/>
      <c r="CMH51" s="19"/>
      <c r="CMI51" s="19"/>
      <c r="CMJ51" s="19"/>
      <c r="CMK51" s="19"/>
      <c r="CML51" s="21"/>
      <c r="CMM51" s="19"/>
      <c r="CMV51" s="19"/>
      <c r="CMW51" s="19"/>
      <c r="CMX51" s="19"/>
      <c r="CMY51" s="19"/>
      <c r="CMZ51" s="21"/>
      <c r="CNA51" s="19"/>
      <c r="CNJ51" s="19"/>
      <c r="CNK51" s="19"/>
      <c r="CNL51" s="19"/>
      <c r="CNM51" s="19"/>
      <c r="CNN51" s="21"/>
      <c r="CNO51" s="19"/>
      <c r="CNX51" s="19"/>
      <c r="CNY51" s="19"/>
      <c r="CNZ51" s="19"/>
      <c r="COA51" s="19"/>
      <c r="COB51" s="21"/>
      <c r="COC51" s="19"/>
      <c r="COL51" s="19"/>
      <c r="COM51" s="19"/>
      <c r="CON51" s="19"/>
      <c r="COO51" s="19"/>
      <c r="COP51" s="21"/>
      <c r="COQ51" s="19"/>
      <c r="COZ51" s="19"/>
      <c r="CPA51" s="19"/>
      <c r="CPB51" s="19"/>
      <c r="CPC51" s="19"/>
      <c r="CPD51" s="21"/>
      <c r="CPE51" s="19"/>
      <c r="CPN51" s="19"/>
      <c r="CPO51" s="19"/>
      <c r="CPP51" s="19"/>
      <c r="CPQ51" s="19"/>
      <c r="CPR51" s="21"/>
      <c r="CPS51" s="19"/>
      <c r="CQB51" s="19"/>
      <c r="CQC51" s="19"/>
      <c r="CQD51" s="19"/>
      <c r="CQE51" s="19"/>
      <c r="CQF51" s="21"/>
      <c r="CQG51" s="19"/>
      <c r="CQP51" s="19"/>
      <c r="CQQ51" s="19"/>
      <c r="CQR51" s="19"/>
      <c r="CQS51" s="19"/>
      <c r="CQT51" s="21"/>
      <c r="CQU51" s="19"/>
      <c r="CRD51" s="19"/>
      <c r="CRE51" s="19"/>
      <c r="CRF51" s="19"/>
      <c r="CRG51" s="19"/>
      <c r="CRH51" s="21"/>
      <c r="CRI51" s="19"/>
      <c r="CRR51" s="19"/>
      <c r="CRS51" s="19"/>
      <c r="CRT51" s="19"/>
      <c r="CRU51" s="19"/>
      <c r="CRV51" s="21"/>
      <c r="CRW51" s="19"/>
      <c r="CSF51" s="19"/>
      <c r="CSG51" s="19"/>
      <c r="CSH51" s="19"/>
      <c r="CSI51" s="19"/>
      <c r="CSJ51" s="21"/>
      <c r="CSK51" s="19"/>
      <c r="CST51" s="19"/>
      <c r="CSU51" s="19"/>
      <c r="CSV51" s="19"/>
      <c r="CSW51" s="19"/>
      <c r="CSX51" s="21"/>
      <c r="CSY51" s="19"/>
      <c r="CTH51" s="19"/>
      <c r="CTI51" s="19"/>
      <c r="CTJ51" s="19"/>
      <c r="CTK51" s="19"/>
      <c r="CTL51" s="21"/>
      <c r="CTM51" s="19"/>
      <c r="CTV51" s="19"/>
      <c r="CTW51" s="19"/>
      <c r="CTX51" s="19"/>
      <c r="CTY51" s="19"/>
      <c r="CTZ51" s="21"/>
      <c r="CUA51" s="19"/>
      <c r="CUJ51" s="19"/>
      <c r="CUK51" s="19"/>
      <c r="CUL51" s="19"/>
      <c r="CUM51" s="19"/>
      <c r="CUN51" s="21"/>
      <c r="CUO51" s="19"/>
      <c r="CUX51" s="19"/>
      <c r="CUY51" s="19"/>
      <c r="CUZ51" s="19"/>
      <c r="CVA51" s="19"/>
      <c r="CVB51" s="21"/>
      <c r="CVC51" s="19"/>
      <c r="CVL51" s="19"/>
      <c r="CVM51" s="19"/>
      <c r="CVN51" s="19"/>
      <c r="CVO51" s="19"/>
      <c r="CVP51" s="21"/>
      <c r="CVQ51" s="19"/>
      <c r="CVZ51" s="19"/>
      <c r="CWA51" s="19"/>
      <c r="CWB51" s="19"/>
      <c r="CWC51" s="19"/>
      <c r="CWD51" s="21"/>
      <c r="CWE51" s="19"/>
      <c r="CWN51" s="19"/>
      <c r="CWO51" s="19"/>
      <c r="CWP51" s="19"/>
      <c r="CWQ51" s="19"/>
      <c r="CWR51" s="21"/>
      <c r="CWS51" s="19"/>
      <c r="CXB51" s="19"/>
      <c r="CXC51" s="19"/>
      <c r="CXD51" s="19"/>
      <c r="CXE51" s="19"/>
      <c r="CXF51" s="21"/>
      <c r="CXG51" s="19"/>
      <c r="CXP51" s="19"/>
      <c r="CXQ51" s="19"/>
      <c r="CXR51" s="19"/>
      <c r="CXS51" s="19"/>
      <c r="CXT51" s="21"/>
      <c r="CXU51" s="19"/>
      <c r="CYD51" s="19"/>
      <c r="CYE51" s="19"/>
      <c r="CYF51" s="19"/>
      <c r="CYG51" s="19"/>
      <c r="CYH51" s="21"/>
      <c r="CYI51" s="19"/>
      <c r="CYR51" s="19"/>
      <c r="CYS51" s="19"/>
      <c r="CYT51" s="19"/>
      <c r="CYU51" s="19"/>
      <c r="CYV51" s="21"/>
      <c r="CYW51" s="19"/>
      <c r="CZF51" s="19"/>
      <c r="CZG51" s="19"/>
      <c r="CZH51" s="19"/>
      <c r="CZI51" s="19"/>
      <c r="CZJ51" s="21"/>
      <c r="CZK51" s="19"/>
      <c r="CZT51" s="19"/>
      <c r="CZU51" s="19"/>
      <c r="CZV51" s="19"/>
      <c r="CZW51" s="19"/>
      <c r="CZX51" s="21"/>
      <c r="CZY51" s="19"/>
      <c r="DAH51" s="19"/>
      <c r="DAI51" s="19"/>
      <c r="DAJ51" s="19"/>
      <c r="DAK51" s="19"/>
      <c r="DAL51" s="21"/>
      <c r="DAM51" s="19"/>
      <c r="DAV51" s="19"/>
      <c r="DAW51" s="19"/>
      <c r="DAX51" s="19"/>
      <c r="DAY51" s="19"/>
      <c r="DAZ51" s="21"/>
      <c r="DBA51" s="19"/>
      <c r="DBJ51" s="19"/>
      <c r="DBK51" s="19"/>
      <c r="DBL51" s="19"/>
      <c r="DBM51" s="19"/>
      <c r="DBN51" s="21"/>
      <c r="DBO51" s="19"/>
      <c r="DBX51" s="19"/>
      <c r="DBY51" s="19"/>
      <c r="DBZ51" s="19"/>
      <c r="DCA51" s="19"/>
      <c r="DCB51" s="21"/>
      <c r="DCC51" s="19"/>
      <c r="DCL51" s="19"/>
      <c r="DCM51" s="19"/>
      <c r="DCN51" s="19"/>
      <c r="DCO51" s="19"/>
      <c r="DCP51" s="21"/>
      <c r="DCQ51" s="19"/>
      <c r="DCZ51" s="19"/>
      <c r="DDA51" s="19"/>
      <c r="DDB51" s="19"/>
      <c r="DDC51" s="19"/>
      <c r="DDD51" s="21"/>
      <c r="DDE51" s="19"/>
      <c r="DDN51" s="19"/>
      <c r="DDO51" s="19"/>
      <c r="DDP51" s="19"/>
      <c r="DDQ51" s="19"/>
      <c r="DDR51" s="21"/>
      <c r="DDS51" s="19"/>
      <c r="DEB51" s="19"/>
      <c r="DEC51" s="19"/>
      <c r="DED51" s="19"/>
      <c r="DEE51" s="19"/>
      <c r="DEF51" s="21"/>
      <c r="DEG51" s="19"/>
      <c r="DEP51" s="19"/>
      <c r="DEQ51" s="19"/>
      <c r="DER51" s="19"/>
      <c r="DES51" s="19"/>
      <c r="DET51" s="21"/>
      <c r="DEU51" s="19"/>
      <c r="DFD51" s="19"/>
      <c r="DFE51" s="19"/>
      <c r="DFF51" s="19"/>
      <c r="DFG51" s="19"/>
      <c r="DFH51" s="21"/>
      <c r="DFI51" s="19"/>
      <c r="DFR51" s="19"/>
      <c r="DFS51" s="19"/>
      <c r="DFT51" s="19"/>
      <c r="DFU51" s="19"/>
      <c r="DFV51" s="21"/>
      <c r="DFW51" s="19"/>
      <c r="DGF51" s="19"/>
      <c r="DGG51" s="19"/>
      <c r="DGH51" s="19"/>
      <c r="DGI51" s="19"/>
      <c r="DGJ51" s="21"/>
      <c r="DGK51" s="19"/>
      <c r="DGT51" s="19"/>
      <c r="DGU51" s="19"/>
      <c r="DGV51" s="19"/>
      <c r="DGW51" s="19"/>
      <c r="DGX51" s="21"/>
      <c r="DGY51" s="19"/>
      <c r="DHH51" s="19"/>
      <c r="DHI51" s="19"/>
      <c r="DHJ51" s="19"/>
      <c r="DHK51" s="19"/>
      <c r="DHL51" s="21"/>
      <c r="DHM51" s="19"/>
      <c r="DHV51" s="19"/>
      <c r="DHW51" s="19"/>
      <c r="DHX51" s="19"/>
      <c r="DHY51" s="19"/>
      <c r="DHZ51" s="21"/>
      <c r="DIA51" s="19"/>
      <c r="DIJ51" s="19"/>
      <c r="DIK51" s="19"/>
      <c r="DIL51" s="19"/>
      <c r="DIM51" s="19"/>
      <c r="DIN51" s="21"/>
      <c r="DIO51" s="19"/>
      <c r="DIX51" s="19"/>
      <c r="DIY51" s="19"/>
      <c r="DIZ51" s="19"/>
      <c r="DJA51" s="19"/>
      <c r="DJB51" s="21"/>
      <c r="DJC51" s="19"/>
      <c r="DJL51" s="19"/>
      <c r="DJM51" s="19"/>
      <c r="DJN51" s="19"/>
      <c r="DJO51" s="19"/>
      <c r="DJP51" s="21"/>
      <c r="DJQ51" s="19"/>
      <c r="DJZ51" s="19"/>
      <c r="DKA51" s="19"/>
      <c r="DKB51" s="19"/>
      <c r="DKC51" s="19"/>
      <c r="DKD51" s="21"/>
      <c r="DKE51" s="19"/>
      <c r="DKN51" s="19"/>
      <c r="DKO51" s="19"/>
      <c r="DKP51" s="19"/>
      <c r="DKQ51" s="19"/>
      <c r="DKR51" s="21"/>
      <c r="DKS51" s="19"/>
      <c r="DLB51" s="19"/>
      <c r="DLC51" s="19"/>
      <c r="DLD51" s="19"/>
      <c r="DLE51" s="19"/>
      <c r="DLF51" s="21"/>
      <c r="DLG51" s="19"/>
      <c r="DLP51" s="19"/>
      <c r="DLQ51" s="19"/>
      <c r="DLR51" s="19"/>
      <c r="DLS51" s="19"/>
      <c r="DLT51" s="21"/>
      <c r="DLU51" s="19"/>
      <c r="DMD51" s="19"/>
      <c r="DME51" s="19"/>
      <c r="DMF51" s="19"/>
      <c r="DMG51" s="19"/>
      <c r="DMH51" s="21"/>
      <c r="DMI51" s="19"/>
      <c r="DMR51" s="19"/>
      <c r="DMS51" s="19"/>
      <c r="DMT51" s="19"/>
      <c r="DMU51" s="19"/>
      <c r="DMV51" s="21"/>
      <c r="DMW51" s="19"/>
      <c r="DNF51" s="19"/>
      <c r="DNG51" s="19"/>
      <c r="DNH51" s="19"/>
      <c r="DNI51" s="19"/>
      <c r="DNJ51" s="21"/>
      <c r="DNK51" s="19"/>
      <c r="DNT51" s="19"/>
      <c r="DNU51" s="19"/>
      <c r="DNV51" s="19"/>
      <c r="DNW51" s="19"/>
      <c r="DNX51" s="21"/>
      <c r="DNY51" s="19"/>
      <c r="DOH51" s="19"/>
      <c r="DOI51" s="19"/>
      <c r="DOJ51" s="19"/>
      <c r="DOK51" s="19"/>
      <c r="DOL51" s="21"/>
      <c r="DOM51" s="19"/>
      <c r="DOV51" s="19"/>
      <c r="DOW51" s="19"/>
      <c r="DOX51" s="19"/>
      <c r="DOY51" s="19"/>
      <c r="DOZ51" s="21"/>
      <c r="DPA51" s="19"/>
      <c r="DPJ51" s="19"/>
      <c r="DPK51" s="19"/>
      <c r="DPL51" s="19"/>
      <c r="DPM51" s="19"/>
      <c r="DPN51" s="21"/>
      <c r="DPO51" s="19"/>
      <c r="DPX51" s="19"/>
      <c r="DPY51" s="19"/>
      <c r="DPZ51" s="19"/>
      <c r="DQA51" s="19"/>
      <c r="DQB51" s="21"/>
      <c r="DQC51" s="19"/>
      <c r="DQL51" s="19"/>
      <c r="DQM51" s="19"/>
      <c r="DQN51" s="19"/>
      <c r="DQO51" s="19"/>
      <c r="DQP51" s="21"/>
      <c r="DQQ51" s="19"/>
      <c r="DQZ51" s="19"/>
      <c r="DRA51" s="19"/>
      <c r="DRB51" s="19"/>
      <c r="DRC51" s="19"/>
      <c r="DRD51" s="21"/>
      <c r="DRE51" s="19"/>
      <c r="DRN51" s="19"/>
      <c r="DRO51" s="19"/>
      <c r="DRP51" s="19"/>
      <c r="DRQ51" s="19"/>
      <c r="DRR51" s="21"/>
      <c r="DRS51" s="19"/>
      <c r="DSB51" s="19"/>
      <c r="DSC51" s="19"/>
      <c r="DSD51" s="19"/>
      <c r="DSE51" s="19"/>
      <c r="DSF51" s="21"/>
      <c r="DSG51" s="19"/>
      <c r="DSP51" s="19"/>
      <c r="DSQ51" s="19"/>
      <c r="DSR51" s="19"/>
      <c r="DSS51" s="19"/>
      <c r="DST51" s="21"/>
      <c r="DSU51" s="19"/>
      <c r="DTD51" s="19"/>
      <c r="DTE51" s="19"/>
      <c r="DTF51" s="19"/>
      <c r="DTG51" s="19"/>
      <c r="DTH51" s="21"/>
      <c r="DTI51" s="19"/>
      <c r="DTR51" s="19"/>
      <c r="DTS51" s="19"/>
      <c r="DTT51" s="19"/>
      <c r="DTU51" s="19"/>
      <c r="DTV51" s="21"/>
      <c r="DTW51" s="19"/>
      <c r="DUF51" s="19"/>
      <c r="DUG51" s="19"/>
      <c r="DUH51" s="19"/>
      <c r="DUI51" s="19"/>
      <c r="DUJ51" s="21"/>
      <c r="DUK51" s="19"/>
      <c r="DUT51" s="19"/>
      <c r="DUU51" s="19"/>
      <c r="DUV51" s="19"/>
      <c r="DUW51" s="19"/>
      <c r="DUX51" s="21"/>
      <c r="DUY51" s="19"/>
      <c r="DVH51" s="19"/>
      <c r="DVI51" s="19"/>
      <c r="DVJ51" s="19"/>
      <c r="DVK51" s="19"/>
      <c r="DVL51" s="21"/>
      <c r="DVM51" s="19"/>
      <c r="DVV51" s="19"/>
      <c r="DVW51" s="19"/>
      <c r="DVX51" s="19"/>
      <c r="DVY51" s="19"/>
      <c r="DVZ51" s="21"/>
      <c r="DWA51" s="19"/>
      <c r="DWJ51" s="19"/>
      <c r="DWK51" s="19"/>
      <c r="DWL51" s="19"/>
      <c r="DWM51" s="19"/>
      <c r="DWN51" s="21"/>
      <c r="DWO51" s="19"/>
      <c r="DWX51" s="19"/>
      <c r="DWY51" s="19"/>
      <c r="DWZ51" s="19"/>
      <c r="DXA51" s="19"/>
      <c r="DXB51" s="21"/>
      <c r="DXC51" s="19"/>
      <c r="DXL51" s="19"/>
      <c r="DXM51" s="19"/>
      <c r="DXN51" s="19"/>
      <c r="DXO51" s="19"/>
      <c r="DXP51" s="21"/>
      <c r="DXQ51" s="19"/>
      <c r="DXZ51" s="19"/>
      <c r="DYA51" s="19"/>
      <c r="DYB51" s="19"/>
      <c r="DYC51" s="19"/>
      <c r="DYD51" s="21"/>
      <c r="DYE51" s="19"/>
      <c r="DYN51" s="19"/>
      <c r="DYO51" s="19"/>
      <c r="DYP51" s="19"/>
      <c r="DYQ51" s="19"/>
      <c r="DYR51" s="21"/>
      <c r="DYS51" s="19"/>
      <c r="DZB51" s="19"/>
      <c r="DZC51" s="19"/>
      <c r="DZD51" s="19"/>
      <c r="DZE51" s="19"/>
      <c r="DZF51" s="21"/>
      <c r="DZG51" s="19"/>
      <c r="DZP51" s="19"/>
      <c r="DZQ51" s="19"/>
      <c r="DZR51" s="19"/>
      <c r="DZS51" s="19"/>
      <c r="DZT51" s="21"/>
      <c r="DZU51" s="19"/>
      <c r="EAD51" s="19"/>
      <c r="EAE51" s="19"/>
      <c r="EAF51" s="19"/>
      <c r="EAG51" s="19"/>
      <c r="EAH51" s="21"/>
      <c r="EAI51" s="19"/>
      <c r="EAR51" s="19"/>
      <c r="EAS51" s="19"/>
      <c r="EAT51" s="19"/>
      <c r="EAU51" s="19"/>
      <c r="EAV51" s="21"/>
      <c r="EAW51" s="19"/>
      <c r="EBF51" s="19"/>
      <c r="EBG51" s="19"/>
      <c r="EBH51" s="19"/>
      <c r="EBI51" s="19"/>
      <c r="EBJ51" s="21"/>
      <c r="EBK51" s="19"/>
      <c r="EBT51" s="19"/>
      <c r="EBU51" s="19"/>
      <c r="EBV51" s="19"/>
      <c r="EBW51" s="19"/>
      <c r="EBX51" s="21"/>
      <c r="EBY51" s="19"/>
      <c r="ECH51" s="19"/>
      <c r="ECI51" s="19"/>
      <c r="ECJ51" s="19"/>
      <c r="ECK51" s="19"/>
      <c r="ECL51" s="21"/>
      <c r="ECM51" s="19"/>
      <c r="ECV51" s="19"/>
      <c r="ECW51" s="19"/>
      <c r="ECX51" s="19"/>
      <c r="ECY51" s="19"/>
      <c r="ECZ51" s="21"/>
      <c r="EDA51" s="19"/>
      <c r="EDJ51" s="19"/>
      <c r="EDK51" s="19"/>
      <c r="EDL51" s="19"/>
      <c r="EDM51" s="19"/>
      <c r="EDN51" s="21"/>
      <c r="EDO51" s="19"/>
      <c r="EDX51" s="19"/>
      <c r="EDY51" s="19"/>
      <c r="EDZ51" s="19"/>
      <c r="EEA51" s="19"/>
      <c r="EEB51" s="21"/>
      <c r="EEC51" s="19"/>
      <c r="EEL51" s="19"/>
      <c r="EEM51" s="19"/>
      <c r="EEN51" s="19"/>
      <c r="EEO51" s="19"/>
      <c r="EEP51" s="21"/>
      <c r="EEQ51" s="19"/>
      <c r="EEZ51" s="19"/>
      <c r="EFA51" s="19"/>
      <c r="EFB51" s="19"/>
      <c r="EFC51" s="19"/>
      <c r="EFD51" s="21"/>
      <c r="EFE51" s="19"/>
      <c r="EFN51" s="19"/>
      <c r="EFO51" s="19"/>
      <c r="EFP51" s="19"/>
      <c r="EFQ51" s="19"/>
      <c r="EFR51" s="21"/>
      <c r="EFS51" s="19"/>
      <c r="EGB51" s="19"/>
      <c r="EGC51" s="19"/>
      <c r="EGD51" s="19"/>
      <c r="EGE51" s="19"/>
      <c r="EGF51" s="21"/>
      <c r="EGG51" s="19"/>
      <c r="EGP51" s="19"/>
      <c r="EGQ51" s="19"/>
      <c r="EGR51" s="19"/>
      <c r="EGS51" s="19"/>
      <c r="EGT51" s="21"/>
      <c r="EGU51" s="19"/>
      <c r="EHD51" s="19"/>
      <c r="EHE51" s="19"/>
      <c r="EHF51" s="19"/>
      <c r="EHG51" s="19"/>
      <c r="EHH51" s="21"/>
      <c r="EHI51" s="19"/>
      <c r="EHR51" s="19"/>
      <c r="EHS51" s="19"/>
      <c r="EHT51" s="19"/>
      <c r="EHU51" s="19"/>
      <c r="EHV51" s="21"/>
      <c r="EHW51" s="19"/>
      <c r="EIF51" s="19"/>
      <c r="EIG51" s="19"/>
      <c r="EIH51" s="19"/>
      <c r="EII51" s="19"/>
      <c r="EIJ51" s="21"/>
      <c r="EIK51" s="19"/>
      <c r="EIT51" s="19"/>
      <c r="EIU51" s="19"/>
      <c r="EIV51" s="19"/>
      <c r="EIW51" s="19"/>
      <c r="EIX51" s="21"/>
      <c r="EIY51" s="19"/>
      <c r="EJH51" s="19"/>
      <c r="EJI51" s="19"/>
      <c r="EJJ51" s="19"/>
      <c r="EJK51" s="19"/>
      <c r="EJL51" s="21"/>
      <c r="EJM51" s="19"/>
      <c r="EJV51" s="19"/>
      <c r="EJW51" s="19"/>
      <c r="EJX51" s="19"/>
      <c r="EJY51" s="19"/>
      <c r="EJZ51" s="21"/>
      <c r="EKA51" s="19"/>
      <c r="EKJ51" s="19"/>
      <c r="EKK51" s="19"/>
      <c r="EKL51" s="19"/>
      <c r="EKM51" s="19"/>
      <c r="EKN51" s="21"/>
      <c r="EKO51" s="19"/>
      <c r="EKX51" s="19"/>
      <c r="EKY51" s="19"/>
      <c r="EKZ51" s="19"/>
      <c r="ELA51" s="19"/>
      <c r="ELB51" s="21"/>
      <c r="ELC51" s="19"/>
      <c r="ELL51" s="19"/>
      <c r="ELM51" s="19"/>
      <c r="ELN51" s="19"/>
      <c r="ELO51" s="19"/>
      <c r="ELP51" s="21"/>
      <c r="ELQ51" s="19"/>
      <c r="ELZ51" s="19"/>
      <c r="EMA51" s="19"/>
      <c r="EMB51" s="19"/>
      <c r="EMC51" s="19"/>
      <c r="EMD51" s="21"/>
      <c r="EME51" s="19"/>
      <c r="EMN51" s="19"/>
      <c r="EMO51" s="19"/>
      <c r="EMP51" s="19"/>
      <c r="EMQ51" s="19"/>
      <c r="EMR51" s="21"/>
      <c r="EMS51" s="19"/>
      <c r="ENB51" s="19"/>
      <c r="ENC51" s="19"/>
      <c r="END51" s="19"/>
      <c r="ENE51" s="19"/>
      <c r="ENF51" s="21"/>
      <c r="ENG51" s="19"/>
      <c r="ENP51" s="19"/>
      <c r="ENQ51" s="19"/>
      <c r="ENR51" s="19"/>
      <c r="ENS51" s="19"/>
      <c r="ENT51" s="21"/>
      <c r="ENU51" s="19"/>
      <c r="EOD51" s="19"/>
      <c r="EOE51" s="19"/>
      <c r="EOF51" s="19"/>
      <c r="EOG51" s="19"/>
      <c r="EOH51" s="21"/>
      <c r="EOI51" s="19"/>
      <c r="EOR51" s="19"/>
      <c r="EOS51" s="19"/>
      <c r="EOT51" s="19"/>
      <c r="EOU51" s="19"/>
      <c r="EOV51" s="21"/>
      <c r="EOW51" s="19"/>
      <c r="EPF51" s="19"/>
      <c r="EPG51" s="19"/>
      <c r="EPH51" s="19"/>
      <c r="EPI51" s="19"/>
      <c r="EPJ51" s="21"/>
      <c r="EPK51" s="19"/>
      <c r="EPT51" s="19"/>
      <c r="EPU51" s="19"/>
      <c r="EPV51" s="19"/>
      <c r="EPW51" s="19"/>
      <c r="EPX51" s="21"/>
      <c r="EPY51" s="19"/>
      <c r="EQH51" s="19"/>
      <c r="EQI51" s="19"/>
      <c r="EQJ51" s="19"/>
      <c r="EQK51" s="19"/>
      <c r="EQL51" s="21"/>
      <c r="EQM51" s="19"/>
      <c r="EQV51" s="19"/>
      <c r="EQW51" s="19"/>
      <c r="EQX51" s="19"/>
      <c r="EQY51" s="19"/>
      <c r="EQZ51" s="21"/>
      <c r="ERA51" s="19"/>
      <c r="ERJ51" s="19"/>
      <c r="ERK51" s="19"/>
      <c r="ERL51" s="19"/>
      <c r="ERM51" s="19"/>
      <c r="ERN51" s="21"/>
      <c r="ERO51" s="19"/>
      <c r="ERX51" s="19"/>
      <c r="ERY51" s="19"/>
      <c r="ERZ51" s="19"/>
      <c r="ESA51" s="19"/>
      <c r="ESB51" s="21"/>
      <c r="ESC51" s="19"/>
      <c r="ESL51" s="19"/>
      <c r="ESM51" s="19"/>
      <c r="ESN51" s="19"/>
      <c r="ESO51" s="19"/>
      <c r="ESP51" s="21"/>
      <c r="ESQ51" s="19"/>
      <c r="ESZ51" s="19"/>
      <c r="ETA51" s="19"/>
      <c r="ETB51" s="19"/>
      <c r="ETC51" s="19"/>
      <c r="ETD51" s="21"/>
      <c r="ETE51" s="19"/>
      <c r="ETN51" s="19"/>
      <c r="ETO51" s="19"/>
      <c r="ETP51" s="19"/>
      <c r="ETQ51" s="19"/>
      <c r="ETR51" s="21"/>
      <c r="ETS51" s="19"/>
      <c r="EUB51" s="19"/>
      <c r="EUC51" s="19"/>
      <c r="EUD51" s="19"/>
      <c r="EUE51" s="19"/>
      <c r="EUF51" s="21"/>
      <c r="EUG51" s="19"/>
      <c r="EUP51" s="19"/>
      <c r="EUQ51" s="19"/>
      <c r="EUR51" s="19"/>
      <c r="EUS51" s="19"/>
      <c r="EUT51" s="21"/>
      <c r="EUU51" s="19"/>
      <c r="EVD51" s="19"/>
      <c r="EVE51" s="19"/>
      <c r="EVF51" s="19"/>
      <c r="EVG51" s="19"/>
      <c r="EVH51" s="21"/>
      <c r="EVI51" s="19"/>
      <c r="EVR51" s="19"/>
      <c r="EVS51" s="19"/>
      <c r="EVT51" s="19"/>
      <c r="EVU51" s="19"/>
      <c r="EVV51" s="21"/>
      <c r="EVW51" s="19"/>
      <c r="EWF51" s="19"/>
      <c r="EWG51" s="19"/>
      <c r="EWH51" s="19"/>
      <c r="EWI51" s="19"/>
      <c r="EWJ51" s="21"/>
      <c r="EWK51" s="19"/>
      <c r="EWT51" s="19"/>
      <c r="EWU51" s="19"/>
      <c r="EWV51" s="19"/>
      <c r="EWW51" s="19"/>
      <c r="EWX51" s="21"/>
      <c r="EWY51" s="19"/>
      <c r="EXH51" s="19"/>
      <c r="EXI51" s="19"/>
      <c r="EXJ51" s="19"/>
      <c r="EXK51" s="19"/>
      <c r="EXL51" s="21"/>
      <c r="EXM51" s="19"/>
      <c r="EXV51" s="19"/>
      <c r="EXW51" s="19"/>
      <c r="EXX51" s="19"/>
      <c r="EXY51" s="19"/>
      <c r="EXZ51" s="21"/>
      <c r="EYA51" s="19"/>
      <c r="EYJ51" s="19"/>
      <c r="EYK51" s="19"/>
      <c r="EYL51" s="19"/>
      <c r="EYM51" s="19"/>
      <c r="EYN51" s="21"/>
      <c r="EYO51" s="19"/>
      <c r="EYX51" s="19"/>
      <c r="EYY51" s="19"/>
      <c r="EYZ51" s="19"/>
      <c r="EZA51" s="19"/>
      <c r="EZB51" s="21"/>
      <c r="EZC51" s="19"/>
      <c r="EZL51" s="19"/>
      <c r="EZM51" s="19"/>
      <c r="EZN51" s="19"/>
      <c r="EZO51" s="19"/>
      <c r="EZP51" s="21"/>
      <c r="EZQ51" s="19"/>
      <c r="EZZ51" s="19"/>
      <c r="FAA51" s="19"/>
      <c r="FAB51" s="19"/>
      <c r="FAC51" s="19"/>
      <c r="FAD51" s="21"/>
      <c r="FAE51" s="19"/>
      <c r="FAN51" s="19"/>
      <c r="FAO51" s="19"/>
      <c r="FAP51" s="19"/>
      <c r="FAQ51" s="19"/>
      <c r="FAR51" s="21"/>
      <c r="FAS51" s="19"/>
      <c r="FBB51" s="19"/>
      <c r="FBC51" s="19"/>
      <c r="FBD51" s="19"/>
      <c r="FBE51" s="19"/>
      <c r="FBF51" s="21"/>
      <c r="FBG51" s="19"/>
      <c r="FBP51" s="19"/>
      <c r="FBQ51" s="19"/>
      <c r="FBR51" s="19"/>
      <c r="FBS51" s="19"/>
      <c r="FBT51" s="21"/>
      <c r="FBU51" s="19"/>
      <c r="FCD51" s="19"/>
      <c r="FCE51" s="19"/>
      <c r="FCF51" s="19"/>
      <c r="FCG51" s="19"/>
      <c r="FCH51" s="21"/>
      <c r="FCI51" s="19"/>
      <c r="FCR51" s="19"/>
      <c r="FCS51" s="19"/>
      <c r="FCT51" s="19"/>
      <c r="FCU51" s="19"/>
      <c r="FCV51" s="21"/>
      <c r="FCW51" s="19"/>
      <c r="FDF51" s="19"/>
      <c r="FDG51" s="19"/>
      <c r="FDH51" s="19"/>
      <c r="FDI51" s="19"/>
      <c r="FDJ51" s="21"/>
      <c r="FDK51" s="19"/>
      <c r="FDT51" s="19"/>
      <c r="FDU51" s="19"/>
      <c r="FDV51" s="19"/>
      <c r="FDW51" s="19"/>
      <c r="FDX51" s="21"/>
      <c r="FDY51" s="19"/>
      <c r="FEH51" s="19"/>
      <c r="FEI51" s="19"/>
      <c r="FEJ51" s="19"/>
      <c r="FEK51" s="19"/>
      <c r="FEL51" s="21"/>
      <c r="FEM51" s="19"/>
      <c r="FEV51" s="19"/>
      <c r="FEW51" s="19"/>
      <c r="FEX51" s="19"/>
      <c r="FEY51" s="19"/>
      <c r="FEZ51" s="21"/>
      <c r="FFA51" s="19"/>
      <c r="FFJ51" s="19"/>
      <c r="FFK51" s="19"/>
      <c r="FFL51" s="19"/>
      <c r="FFM51" s="19"/>
      <c r="FFN51" s="21"/>
      <c r="FFO51" s="19"/>
      <c r="FFX51" s="19"/>
      <c r="FFY51" s="19"/>
      <c r="FFZ51" s="19"/>
      <c r="FGA51" s="19"/>
      <c r="FGB51" s="21"/>
      <c r="FGC51" s="19"/>
      <c r="FGL51" s="19"/>
      <c r="FGM51" s="19"/>
      <c r="FGN51" s="19"/>
      <c r="FGO51" s="19"/>
      <c r="FGP51" s="21"/>
      <c r="FGQ51" s="19"/>
      <c r="FGZ51" s="19"/>
      <c r="FHA51" s="19"/>
      <c r="FHB51" s="19"/>
      <c r="FHC51" s="19"/>
      <c r="FHD51" s="21"/>
      <c r="FHE51" s="19"/>
      <c r="FHN51" s="19"/>
      <c r="FHO51" s="19"/>
      <c r="FHP51" s="19"/>
      <c r="FHQ51" s="19"/>
      <c r="FHR51" s="21"/>
      <c r="FHS51" s="19"/>
      <c r="FIB51" s="19"/>
      <c r="FIC51" s="19"/>
      <c r="FID51" s="19"/>
      <c r="FIE51" s="19"/>
      <c r="FIF51" s="21"/>
      <c r="FIG51" s="19"/>
      <c r="FIP51" s="19"/>
      <c r="FIQ51" s="19"/>
      <c r="FIR51" s="19"/>
      <c r="FIS51" s="19"/>
      <c r="FIT51" s="21"/>
      <c r="FIU51" s="19"/>
      <c r="FJD51" s="19"/>
      <c r="FJE51" s="19"/>
      <c r="FJF51" s="19"/>
      <c r="FJG51" s="19"/>
      <c r="FJH51" s="21"/>
      <c r="FJI51" s="19"/>
      <c r="FJR51" s="19"/>
      <c r="FJS51" s="19"/>
      <c r="FJT51" s="19"/>
      <c r="FJU51" s="19"/>
      <c r="FJV51" s="21"/>
      <c r="FJW51" s="19"/>
      <c r="FKF51" s="19"/>
      <c r="FKG51" s="19"/>
      <c r="FKH51" s="19"/>
      <c r="FKI51" s="19"/>
      <c r="FKJ51" s="21"/>
      <c r="FKK51" s="19"/>
      <c r="FKT51" s="19"/>
      <c r="FKU51" s="19"/>
      <c r="FKV51" s="19"/>
      <c r="FKW51" s="19"/>
      <c r="FKX51" s="21"/>
      <c r="FKY51" s="19"/>
      <c r="FLH51" s="19"/>
      <c r="FLI51" s="19"/>
      <c r="FLJ51" s="19"/>
      <c r="FLK51" s="19"/>
      <c r="FLL51" s="21"/>
      <c r="FLM51" s="19"/>
      <c r="FLV51" s="19"/>
      <c r="FLW51" s="19"/>
      <c r="FLX51" s="19"/>
      <c r="FLY51" s="19"/>
      <c r="FLZ51" s="21"/>
      <c r="FMA51" s="19"/>
      <c r="FMJ51" s="19"/>
      <c r="FMK51" s="19"/>
      <c r="FML51" s="19"/>
      <c r="FMM51" s="19"/>
      <c r="FMN51" s="21"/>
      <c r="FMO51" s="19"/>
      <c r="FMX51" s="19"/>
      <c r="FMY51" s="19"/>
      <c r="FMZ51" s="19"/>
      <c r="FNA51" s="19"/>
      <c r="FNB51" s="21"/>
      <c r="FNC51" s="19"/>
      <c r="FNL51" s="19"/>
      <c r="FNM51" s="19"/>
      <c r="FNN51" s="19"/>
      <c r="FNO51" s="19"/>
      <c r="FNP51" s="21"/>
      <c r="FNQ51" s="19"/>
      <c r="FNZ51" s="19"/>
      <c r="FOA51" s="19"/>
      <c r="FOB51" s="19"/>
      <c r="FOC51" s="19"/>
      <c r="FOD51" s="21"/>
      <c r="FOE51" s="19"/>
      <c r="FON51" s="19"/>
      <c r="FOO51" s="19"/>
      <c r="FOP51" s="19"/>
      <c r="FOQ51" s="19"/>
      <c r="FOR51" s="21"/>
      <c r="FOS51" s="19"/>
      <c r="FPB51" s="19"/>
      <c r="FPC51" s="19"/>
      <c r="FPD51" s="19"/>
      <c r="FPE51" s="19"/>
      <c r="FPF51" s="21"/>
      <c r="FPG51" s="19"/>
      <c r="FPP51" s="19"/>
      <c r="FPQ51" s="19"/>
      <c r="FPR51" s="19"/>
      <c r="FPS51" s="19"/>
      <c r="FPT51" s="21"/>
      <c r="FPU51" s="19"/>
      <c r="FQD51" s="19"/>
      <c r="FQE51" s="19"/>
      <c r="FQF51" s="19"/>
      <c r="FQG51" s="19"/>
      <c r="FQH51" s="21"/>
      <c r="FQI51" s="19"/>
      <c r="FQR51" s="19"/>
      <c r="FQS51" s="19"/>
      <c r="FQT51" s="19"/>
      <c r="FQU51" s="19"/>
      <c r="FQV51" s="21"/>
      <c r="FQW51" s="19"/>
      <c r="FRF51" s="19"/>
      <c r="FRG51" s="19"/>
      <c r="FRH51" s="19"/>
      <c r="FRI51" s="19"/>
      <c r="FRJ51" s="21"/>
      <c r="FRK51" s="19"/>
      <c r="FRT51" s="19"/>
      <c r="FRU51" s="19"/>
      <c r="FRV51" s="19"/>
      <c r="FRW51" s="19"/>
      <c r="FRX51" s="21"/>
      <c r="FRY51" s="19"/>
      <c r="FSH51" s="19"/>
      <c r="FSI51" s="19"/>
      <c r="FSJ51" s="19"/>
      <c r="FSK51" s="19"/>
      <c r="FSL51" s="21"/>
      <c r="FSM51" s="19"/>
      <c r="FSV51" s="19"/>
      <c r="FSW51" s="19"/>
      <c r="FSX51" s="19"/>
      <c r="FSY51" s="19"/>
      <c r="FSZ51" s="21"/>
      <c r="FTA51" s="19"/>
      <c r="FTJ51" s="19"/>
      <c r="FTK51" s="19"/>
      <c r="FTL51" s="19"/>
      <c r="FTM51" s="19"/>
      <c r="FTN51" s="21"/>
      <c r="FTO51" s="19"/>
      <c r="FTX51" s="19"/>
      <c r="FTY51" s="19"/>
      <c r="FTZ51" s="19"/>
      <c r="FUA51" s="19"/>
      <c r="FUB51" s="21"/>
      <c r="FUC51" s="19"/>
      <c r="FUL51" s="19"/>
      <c r="FUM51" s="19"/>
      <c r="FUN51" s="19"/>
      <c r="FUO51" s="19"/>
      <c r="FUP51" s="21"/>
      <c r="FUQ51" s="19"/>
      <c r="FUZ51" s="19"/>
      <c r="FVA51" s="19"/>
      <c r="FVB51" s="19"/>
      <c r="FVC51" s="19"/>
      <c r="FVD51" s="21"/>
      <c r="FVE51" s="19"/>
      <c r="FVN51" s="19"/>
      <c r="FVO51" s="19"/>
      <c r="FVP51" s="19"/>
      <c r="FVQ51" s="19"/>
      <c r="FVR51" s="21"/>
      <c r="FVS51" s="19"/>
      <c r="FWB51" s="19"/>
      <c r="FWC51" s="19"/>
      <c r="FWD51" s="19"/>
      <c r="FWE51" s="19"/>
      <c r="FWF51" s="21"/>
      <c r="FWG51" s="19"/>
      <c r="FWP51" s="19"/>
      <c r="FWQ51" s="19"/>
      <c r="FWR51" s="19"/>
      <c r="FWS51" s="19"/>
      <c r="FWT51" s="21"/>
      <c r="FWU51" s="19"/>
      <c r="FXD51" s="19"/>
      <c r="FXE51" s="19"/>
      <c r="FXF51" s="19"/>
      <c r="FXG51" s="19"/>
      <c r="FXH51" s="21"/>
      <c r="FXI51" s="19"/>
      <c r="FXR51" s="19"/>
      <c r="FXS51" s="19"/>
      <c r="FXT51" s="19"/>
      <c r="FXU51" s="19"/>
      <c r="FXV51" s="21"/>
      <c r="FXW51" s="19"/>
      <c r="FYF51" s="19"/>
      <c r="FYG51" s="19"/>
      <c r="FYH51" s="19"/>
      <c r="FYI51" s="19"/>
      <c r="FYJ51" s="21"/>
      <c r="FYK51" s="19"/>
      <c r="FYT51" s="19"/>
      <c r="FYU51" s="19"/>
      <c r="FYV51" s="19"/>
      <c r="FYW51" s="19"/>
      <c r="FYX51" s="21"/>
      <c r="FYY51" s="19"/>
      <c r="FZH51" s="19"/>
      <c r="FZI51" s="19"/>
      <c r="FZJ51" s="19"/>
      <c r="FZK51" s="19"/>
      <c r="FZL51" s="21"/>
      <c r="FZM51" s="19"/>
      <c r="FZV51" s="19"/>
      <c r="FZW51" s="19"/>
      <c r="FZX51" s="19"/>
      <c r="FZY51" s="19"/>
      <c r="FZZ51" s="21"/>
      <c r="GAA51" s="19"/>
      <c r="GAJ51" s="19"/>
      <c r="GAK51" s="19"/>
      <c r="GAL51" s="19"/>
      <c r="GAM51" s="19"/>
      <c r="GAN51" s="21"/>
      <c r="GAO51" s="19"/>
      <c r="GAX51" s="19"/>
      <c r="GAY51" s="19"/>
      <c r="GAZ51" s="19"/>
      <c r="GBA51" s="19"/>
      <c r="GBB51" s="21"/>
      <c r="GBC51" s="19"/>
      <c r="GBL51" s="19"/>
      <c r="GBM51" s="19"/>
      <c r="GBN51" s="19"/>
      <c r="GBO51" s="19"/>
      <c r="GBP51" s="21"/>
      <c r="GBQ51" s="19"/>
      <c r="GBZ51" s="19"/>
      <c r="GCA51" s="19"/>
      <c r="GCB51" s="19"/>
      <c r="GCC51" s="19"/>
      <c r="GCD51" s="21"/>
      <c r="GCE51" s="19"/>
      <c r="GCN51" s="19"/>
      <c r="GCO51" s="19"/>
      <c r="GCP51" s="19"/>
      <c r="GCQ51" s="19"/>
      <c r="GCR51" s="21"/>
      <c r="GCS51" s="19"/>
      <c r="GDB51" s="19"/>
      <c r="GDC51" s="19"/>
      <c r="GDD51" s="19"/>
      <c r="GDE51" s="19"/>
      <c r="GDF51" s="21"/>
      <c r="GDG51" s="19"/>
      <c r="GDP51" s="19"/>
      <c r="GDQ51" s="19"/>
      <c r="GDR51" s="19"/>
      <c r="GDS51" s="19"/>
      <c r="GDT51" s="21"/>
      <c r="GDU51" s="19"/>
      <c r="GED51" s="19"/>
      <c r="GEE51" s="19"/>
      <c r="GEF51" s="19"/>
      <c r="GEG51" s="19"/>
      <c r="GEH51" s="21"/>
      <c r="GEI51" s="19"/>
      <c r="GER51" s="19"/>
      <c r="GES51" s="19"/>
      <c r="GET51" s="19"/>
      <c r="GEU51" s="19"/>
      <c r="GEV51" s="21"/>
      <c r="GEW51" s="19"/>
      <c r="GFF51" s="19"/>
      <c r="GFG51" s="19"/>
      <c r="GFH51" s="19"/>
      <c r="GFI51" s="19"/>
      <c r="GFJ51" s="21"/>
      <c r="GFK51" s="19"/>
      <c r="GFT51" s="19"/>
      <c r="GFU51" s="19"/>
      <c r="GFV51" s="19"/>
      <c r="GFW51" s="19"/>
      <c r="GFX51" s="21"/>
      <c r="GFY51" s="19"/>
      <c r="GGH51" s="19"/>
      <c r="GGI51" s="19"/>
      <c r="GGJ51" s="19"/>
      <c r="GGK51" s="19"/>
      <c r="GGL51" s="21"/>
      <c r="GGM51" s="19"/>
      <c r="GGV51" s="19"/>
      <c r="GGW51" s="19"/>
      <c r="GGX51" s="19"/>
      <c r="GGY51" s="19"/>
      <c r="GGZ51" s="21"/>
      <c r="GHA51" s="19"/>
      <c r="GHJ51" s="19"/>
      <c r="GHK51" s="19"/>
      <c r="GHL51" s="19"/>
      <c r="GHM51" s="19"/>
      <c r="GHN51" s="21"/>
      <c r="GHO51" s="19"/>
      <c r="GHX51" s="19"/>
      <c r="GHY51" s="19"/>
      <c r="GHZ51" s="19"/>
      <c r="GIA51" s="19"/>
      <c r="GIB51" s="21"/>
      <c r="GIC51" s="19"/>
      <c r="GIL51" s="19"/>
      <c r="GIM51" s="19"/>
      <c r="GIN51" s="19"/>
      <c r="GIO51" s="19"/>
      <c r="GIP51" s="21"/>
      <c r="GIQ51" s="19"/>
      <c r="GIZ51" s="19"/>
      <c r="GJA51" s="19"/>
      <c r="GJB51" s="19"/>
      <c r="GJC51" s="19"/>
      <c r="GJD51" s="21"/>
      <c r="GJE51" s="19"/>
      <c r="GJN51" s="19"/>
      <c r="GJO51" s="19"/>
      <c r="GJP51" s="19"/>
      <c r="GJQ51" s="19"/>
      <c r="GJR51" s="21"/>
      <c r="GJS51" s="19"/>
      <c r="GKB51" s="19"/>
      <c r="GKC51" s="19"/>
      <c r="GKD51" s="19"/>
      <c r="GKE51" s="19"/>
      <c r="GKF51" s="21"/>
      <c r="GKG51" s="19"/>
      <c r="GKP51" s="19"/>
      <c r="GKQ51" s="19"/>
      <c r="GKR51" s="19"/>
      <c r="GKS51" s="19"/>
      <c r="GKT51" s="21"/>
      <c r="GKU51" s="19"/>
      <c r="GLD51" s="19"/>
      <c r="GLE51" s="19"/>
      <c r="GLF51" s="19"/>
      <c r="GLG51" s="19"/>
      <c r="GLH51" s="21"/>
      <c r="GLI51" s="19"/>
      <c r="GLR51" s="19"/>
      <c r="GLS51" s="19"/>
      <c r="GLT51" s="19"/>
      <c r="GLU51" s="19"/>
      <c r="GLV51" s="21"/>
      <c r="GLW51" s="19"/>
      <c r="GMF51" s="19"/>
      <c r="GMG51" s="19"/>
      <c r="GMH51" s="19"/>
      <c r="GMI51" s="19"/>
      <c r="GMJ51" s="21"/>
      <c r="GMK51" s="19"/>
      <c r="GMT51" s="19"/>
      <c r="GMU51" s="19"/>
      <c r="GMV51" s="19"/>
      <c r="GMW51" s="19"/>
      <c r="GMX51" s="21"/>
      <c r="GMY51" s="19"/>
      <c r="GNH51" s="19"/>
      <c r="GNI51" s="19"/>
      <c r="GNJ51" s="19"/>
      <c r="GNK51" s="19"/>
      <c r="GNL51" s="21"/>
      <c r="GNM51" s="19"/>
      <c r="GNV51" s="19"/>
      <c r="GNW51" s="19"/>
      <c r="GNX51" s="19"/>
      <c r="GNY51" s="19"/>
      <c r="GNZ51" s="21"/>
      <c r="GOA51" s="19"/>
      <c r="GOJ51" s="19"/>
      <c r="GOK51" s="19"/>
      <c r="GOL51" s="19"/>
      <c r="GOM51" s="19"/>
      <c r="GON51" s="21"/>
      <c r="GOO51" s="19"/>
      <c r="GOX51" s="19"/>
      <c r="GOY51" s="19"/>
      <c r="GOZ51" s="19"/>
      <c r="GPA51" s="19"/>
      <c r="GPB51" s="21"/>
      <c r="GPC51" s="19"/>
      <c r="GPL51" s="19"/>
      <c r="GPM51" s="19"/>
      <c r="GPN51" s="19"/>
      <c r="GPO51" s="19"/>
      <c r="GPP51" s="21"/>
      <c r="GPQ51" s="19"/>
      <c r="GPZ51" s="19"/>
      <c r="GQA51" s="19"/>
      <c r="GQB51" s="19"/>
      <c r="GQC51" s="19"/>
      <c r="GQD51" s="21"/>
      <c r="GQE51" s="19"/>
      <c r="GQN51" s="19"/>
      <c r="GQO51" s="19"/>
      <c r="GQP51" s="19"/>
      <c r="GQQ51" s="19"/>
      <c r="GQR51" s="21"/>
      <c r="GQS51" s="19"/>
      <c r="GRB51" s="19"/>
      <c r="GRC51" s="19"/>
      <c r="GRD51" s="19"/>
      <c r="GRE51" s="19"/>
      <c r="GRF51" s="21"/>
      <c r="GRG51" s="19"/>
      <c r="GRP51" s="19"/>
      <c r="GRQ51" s="19"/>
      <c r="GRR51" s="19"/>
      <c r="GRS51" s="19"/>
      <c r="GRT51" s="21"/>
      <c r="GRU51" s="19"/>
      <c r="GSD51" s="19"/>
      <c r="GSE51" s="19"/>
      <c r="GSF51" s="19"/>
      <c r="GSG51" s="19"/>
      <c r="GSH51" s="21"/>
      <c r="GSI51" s="19"/>
      <c r="GSR51" s="19"/>
      <c r="GSS51" s="19"/>
      <c r="GST51" s="19"/>
      <c r="GSU51" s="19"/>
      <c r="GSV51" s="21"/>
      <c r="GSW51" s="19"/>
      <c r="GTF51" s="19"/>
      <c r="GTG51" s="19"/>
      <c r="GTH51" s="19"/>
      <c r="GTI51" s="19"/>
      <c r="GTJ51" s="21"/>
      <c r="GTK51" s="19"/>
      <c r="GTT51" s="19"/>
      <c r="GTU51" s="19"/>
      <c r="GTV51" s="19"/>
      <c r="GTW51" s="19"/>
      <c r="GTX51" s="21"/>
      <c r="GTY51" s="19"/>
      <c r="GUH51" s="19"/>
      <c r="GUI51" s="19"/>
      <c r="GUJ51" s="19"/>
      <c r="GUK51" s="19"/>
      <c r="GUL51" s="21"/>
      <c r="GUM51" s="19"/>
      <c r="GUV51" s="19"/>
      <c r="GUW51" s="19"/>
      <c r="GUX51" s="19"/>
      <c r="GUY51" s="19"/>
      <c r="GUZ51" s="21"/>
      <c r="GVA51" s="19"/>
      <c r="GVJ51" s="19"/>
      <c r="GVK51" s="19"/>
      <c r="GVL51" s="19"/>
      <c r="GVM51" s="19"/>
      <c r="GVN51" s="21"/>
      <c r="GVO51" s="19"/>
      <c r="GVX51" s="19"/>
      <c r="GVY51" s="19"/>
      <c r="GVZ51" s="19"/>
      <c r="GWA51" s="19"/>
      <c r="GWB51" s="21"/>
      <c r="GWC51" s="19"/>
      <c r="GWL51" s="19"/>
      <c r="GWM51" s="19"/>
      <c r="GWN51" s="19"/>
      <c r="GWO51" s="19"/>
      <c r="GWP51" s="21"/>
      <c r="GWQ51" s="19"/>
      <c r="GWZ51" s="19"/>
      <c r="GXA51" s="19"/>
      <c r="GXB51" s="19"/>
      <c r="GXC51" s="19"/>
      <c r="GXD51" s="21"/>
      <c r="GXE51" s="19"/>
      <c r="GXN51" s="19"/>
      <c r="GXO51" s="19"/>
      <c r="GXP51" s="19"/>
      <c r="GXQ51" s="19"/>
      <c r="GXR51" s="21"/>
      <c r="GXS51" s="19"/>
      <c r="GYB51" s="19"/>
      <c r="GYC51" s="19"/>
      <c r="GYD51" s="19"/>
      <c r="GYE51" s="19"/>
      <c r="GYF51" s="21"/>
      <c r="GYG51" s="19"/>
      <c r="GYP51" s="19"/>
      <c r="GYQ51" s="19"/>
      <c r="GYR51" s="19"/>
      <c r="GYS51" s="19"/>
      <c r="GYT51" s="21"/>
      <c r="GYU51" s="19"/>
      <c r="GZD51" s="19"/>
      <c r="GZE51" s="19"/>
      <c r="GZF51" s="19"/>
      <c r="GZG51" s="19"/>
      <c r="GZH51" s="21"/>
      <c r="GZI51" s="19"/>
      <c r="GZR51" s="19"/>
      <c r="GZS51" s="19"/>
      <c r="GZT51" s="19"/>
      <c r="GZU51" s="19"/>
      <c r="GZV51" s="21"/>
      <c r="GZW51" s="19"/>
      <c r="HAF51" s="19"/>
      <c r="HAG51" s="19"/>
      <c r="HAH51" s="19"/>
      <c r="HAI51" s="19"/>
      <c r="HAJ51" s="21"/>
      <c r="HAK51" s="19"/>
      <c r="HAT51" s="19"/>
      <c r="HAU51" s="19"/>
      <c r="HAV51" s="19"/>
      <c r="HAW51" s="19"/>
      <c r="HAX51" s="21"/>
      <c r="HAY51" s="19"/>
      <c r="HBH51" s="19"/>
      <c r="HBI51" s="19"/>
      <c r="HBJ51" s="19"/>
      <c r="HBK51" s="19"/>
      <c r="HBL51" s="21"/>
      <c r="HBM51" s="19"/>
      <c r="HBV51" s="19"/>
      <c r="HBW51" s="19"/>
      <c r="HBX51" s="19"/>
      <c r="HBY51" s="19"/>
      <c r="HBZ51" s="21"/>
      <c r="HCA51" s="19"/>
      <c r="HCJ51" s="19"/>
      <c r="HCK51" s="19"/>
      <c r="HCL51" s="19"/>
      <c r="HCM51" s="19"/>
      <c r="HCN51" s="21"/>
      <c r="HCO51" s="19"/>
      <c r="HCX51" s="19"/>
      <c r="HCY51" s="19"/>
      <c r="HCZ51" s="19"/>
      <c r="HDA51" s="19"/>
      <c r="HDB51" s="21"/>
      <c r="HDC51" s="19"/>
      <c r="HDL51" s="19"/>
      <c r="HDM51" s="19"/>
      <c r="HDN51" s="19"/>
      <c r="HDO51" s="19"/>
      <c r="HDP51" s="21"/>
      <c r="HDQ51" s="19"/>
      <c r="HDZ51" s="19"/>
      <c r="HEA51" s="19"/>
      <c r="HEB51" s="19"/>
      <c r="HEC51" s="19"/>
      <c r="HED51" s="21"/>
      <c r="HEE51" s="19"/>
      <c r="HEN51" s="19"/>
      <c r="HEO51" s="19"/>
      <c r="HEP51" s="19"/>
      <c r="HEQ51" s="19"/>
      <c r="HER51" s="21"/>
      <c r="HES51" s="19"/>
      <c r="HFB51" s="19"/>
      <c r="HFC51" s="19"/>
      <c r="HFD51" s="19"/>
      <c r="HFE51" s="19"/>
      <c r="HFF51" s="21"/>
      <c r="HFG51" s="19"/>
      <c r="HFP51" s="19"/>
      <c r="HFQ51" s="19"/>
      <c r="HFR51" s="19"/>
      <c r="HFS51" s="19"/>
      <c r="HFT51" s="21"/>
      <c r="HFU51" s="19"/>
      <c r="HGD51" s="19"/>
      <c r="HGE51" s="19"/>
      <c r="HGF51" s="19"/>
      <c r="HGG51" s="19"/>
      <c r="HGH51" s="21"/>
      <c r="HGI51" s="19"/>
      <c r="HGR51" s="19"/>
      <c r="HGS51" s="19"/>
      <c r="HGT51" s="19"/>
      <c r="HGU51" s="19"/>
      <c r="HGV51" s="21"/>
      <c r="HGW51" s="19"/>
      <c r="HHF51" s="19"/>
      <c r="HHG51" s="19"/>
      <c r="HHH51" s="19"/>
      <c r="HHI51" s="19"/>
      <c r="HHJ51" s="21"/>
      <c r="HHK51" s="19"/>
      <c r="HHT51" s="19"/>
      <c r="HHU51" s="19"/>
      <c r="HHV51" s="19"/>
      <c r="HHW51" s="19"/>
      <c r="HHX51" s="21"/>
      <c r="HHY51" s="19"/>
      <c r="HIH51" s="19"/>
      <c r="HII51" s="19"/>
      <c r="HIJ51" s="19"/>
      <c r="HIK51" s="19"/>
      <c r="HIL51" s="21"/>
      <c r="HIM51" s="19"/>
      <c r="HIV51" s="19"/>
      <c r="HIW51" s="19"/>
      <c r="HIX51" s="19"/>
      <c r="HIY51" s="19"/>
      <c r="HIZ51" s="21"/>
      <c r="HJA51" s="19"/>
      <c r="HJJ51" s="19"/>
      <c r="HJK51" s="19"/>
      <c r="HJL51" s="19"/>
      <c r="HJM51" s="19"/>
      <c r="HJN51" s="21"/>
      <c r="HJO51" s="19"/>
      <c r="HJX51" s="19"/>
      <c r="HJY51" s="19"/>
      <c r="HJZ51" s="19"/>
      <c r="HKA51" s="19"/>
      <c r="HKB51" s="21"/>
      <c r="HKC51" s="19"/>
      <c r="HKL51" s="19"/>
      <c r="HKM51" s="19"/>
      <c r="HKN51" s="19"/>
      <c r="HKO51" s="19"/>
      <c r="HKP51" s="21"/>
      <c r="HKQ51" s="19"/>
      <c r="HKZ51" s="19"/>
      <c r="HLA51" s="19"/>
      <c r="HLB51" s="19"/>
      <c r="HLC51" s="19"/>
      <c r="HLD51" s="21"/>
      <c r="HLE51" s="19"/>
      <c r="HLN51" s="19"/>
      <c r="HLO51" s="19"/>
      <c r="HLP51" s="19"/>
      <c r="HLQ51" s="19"/>
      <c r="HLR51" s="21"/>
      <c r="HLS51" s="19"/>
      <c r="HMB51" s="19"/>
      <c r="HMC51" s="19"/>
      <c r="HMD51" s="19"/>
      <c r="HME51" s="19"/>
      <c r="HMF51" s="21"/>
      <c r="HMG51" s="19"/>
      <c r="HMP51" s="19"/>
      <c r="HMQ51" s="19"/>
      <c r="HMR51" s="19"/>
      <c r="HMS51" s="19"/>
      <c r="HMT51" s="21"/>
      <c r="HMU51" s="19"/>
      <c r="HND51" s="19"/>
      <c r="HNE51" s="19"/>
      <c r="HNF51" s="19"/>
      <c r="HNG51" s="19"/>
      <c r="HNH51" s="21"/>
      <c r="HNI51" s="19"/>
      <c r="HNR51" s="19"/>
      <c r="HNS51" s="19"/>
      <c r="HNT51" s="19"/>
      <c r="HNU51" s="19"/>
      <c r="HNV51" s="21"/>
      <c r="HNW51" s="19"/>
      <c r="HOF51" s="19"/>
      <c r="HOG51" s="19"/>
      <c r="HOH51" s="19"/>
      <c r="HOI51" s="19"/>
      <c r="HOJ51" s="21"/>
      <c r="HOK51" s="19"/>
      <c r="HOT51" s="19"/>
      <c r="HOU51" s="19"/>
      <c r="HOV51" s="19"/>
      <c r="HOW51" s="19"/>
      <c r="HOX51" s="21"/>
      <c r="HOY51" s="19"/>
      <c r="HPH51" s="19"/>
      <c r="HPI51" s="19"/>
      <c r="HPJ51" s="19"/>
      <c r="HPK51" s="19"/>
      <c r="HPL51" s="21"/>
      <c r="HPM51" s="19"/>
      <c r="HPV51" s="19"/>
      <c r="HPW51" s="19"/>
      <c r="HPX51" s="19"/>
      <c r="HPY51" s="19"/>
      <c r="HPZ51" s="21"/>
      <c r="HQA51" s="19"/>
      <c r="HQJ51" s="19"/>
      <c r="HQK51" s="19"/>
      <c r="HQL51" s="19"/>
      <c r="HQM51" s="19"/>
      <c r="HQN51" s="21"/>
      <c r="HQO51" s="19"/>
      <c r="HQX51" s="19"/>
      <c r="HQY51" s="19"/>
      <c r="HQZ51" s="19"/>
      <c r="HRA51" s="19"/>
      <c r="HRB51" s="21"/>
      <c r="HRC51" s="19"/>
      <c r="HRL51" s="19"/>
      <c r="HRM51" s="19"/>
      <c r="HRN51" s="19"/>
      <c r="HRO51" s="19"/>
      <c r="HRP51" s="21"/>
      <c r="HRQ51" s="19"/>
      <c r="HRZ51" s="19"/>
      <c r="HSA51" s="19"/>
      <c r="HSB51" s="19"/>
      <c r="HSC51" s="19"/>
      <c r="HSD51" s="21"/>
      <c r="HSE51" s="19"/>
      <c r="HSN51" s="19"/>
      <c r="HSO51" s="19"/>
      <c r="HSP51" s="19"/>
      <c r="HSQ51" s="19"/>
      <c r="HSR51" s="21"/>
      <c r="HSS51" s="19"/>
      <c r="HTB51" s="19"/>
      <c r="HTC51" s="19"/>
      <c r="HTD51" s="19"/>
      <c r="HTE51" s="19"/>
      <c r="HTF51" s="21"/>
      <c r="HTG51" s="19"/>
      <c r="HTP51" s="19"/>
      <c r="HTQ51" s="19"/>
      <c r="HTR51" s="19"/>
      <c r="HTS51" s="19"/>
      <c r="HTT51" s="21"/>
      <c r="HTU51" s="19"/>
      <c r="HUD51" s="19"/>
      <c r="HUE51" s="19"/>
      <c r="HUF51" s="19"/>
      <c r="HUG51" s="19"/>
      <c r="HUH51" s="21"/>
      <c r="HUI51" s="19"/>
      <c r="HUR51" s="19"/>
      <c r="HUS51" s="19"/>
      <c r="HUT51" s="19"/>
      <c r="HUU51" s="19"/>
      <c r="HUV51" s="21"/>
      <c r="HUW51" s="19"/>
      <c r="HVF51" s="19"/>
      <c r="HVG51" s="19"/>
      <c r="HVH51" s="19"/>
      <c r="HVI51" s="19"/>
      <c r="HVJ51" s="21"/>
      <c r="HVK51" s="19"/>
      <c r="HVT51" s="19"/>
      <c r="HVU51" s="19"/>
      <c r="HVV51" s="19"/>
      <c r="HVW51" s="19"/>
      <c r="HVX51" s="21"/>
      <c r="HVY51" s="19"/>
      <c r="HWH51" s="19"/>
      <c r="HWI51" s="19"/>
      <c r="HWJ51" s="19"/>
      <c r="HWK51" s="19"/>
      <c r="HWL51" s="21"/>
      <c r="HWM51" s="19"/>
      <c r="HWV51" s="19"/>
      <c r="HWW51" s="19"/>
      <c r="HWX51" s="19"/>
      <c r="HWY51" s="19"/>
      <c r="HWZ51" s="21"/>
      <c r="HXA51" s="19"/>
      <c r="HXJ51" s="19"/>
      <c r="HXK51" s="19"/>
      <c r="HXL51" s="19"/>
      <c r="HXM51" s="19"/>
      <c r="HXN51" s="21"/>
      <c r="HXO51" s="19"/>
      <c r="HXX51" s="19"/>
      <c r="HXY51" s="19"/>
      <c r="HXZ51" s="19"/>
      <c r="HYA51" s="19"/>
      <c r="HYB51" s="21"/>
      <c r="HYC51" s="19"/>
      <c r="HYL51" s="19"/>
      <c r="HYM51" s="19"/>
      <c r="HYN51" s="19"/>
      <c r="HYO51" s="19"/>
      <c r="HYP51" s="21"/>
      <c r="HYQ51" s="19"/>
      <c r="HYZ51" s="19"/>
      <c r="HZA51" s="19"/>
      <c r="HZB51" s="19"/>
      <c r="HZC51" s="19"/>
      <c r="HZD51" s="21"/>
      <c r="HZE51" s="19"/>
      <c r="HZN51" s="19"/>
      <c r="HZO51" s="19"/>
      <c r="HZP51" s="19"/>
      <c r="HZQ51" s="19"/>
      <c r="HZR51" s="21"/>
      <c r="HZS51" s="19"/>
      <c r="IAB51" s="19"/>
      <c r="IAC51" s="19"/>
      <c r="IAD51" s="19"/>
      <c r="IAE51" s="19"/>
      <c r="IAF51" s="21"/>
      <c r="IAG51" s="19"/>
      <c r="IAP51" s="19"/>
      <c r="IAQ51" s="19"/>
      <c r="IAR51" s="19"/>
      <c r="IAS51" s="19"/>
      <c r="IAT51" s="21"/>
      <c r="IAU51" s="19"/>
      <c r="IBD51" s="19"/>
      <c r="IBE51" s="19"/>
      <c r="IBF51" s="19"/>
      <c r="IBG51" s="19"/>
      <c r="IBH51" s="21"/>
      <c r="IBI51" s="19"/>
      <c r="IBR51" s="19"/>
      <c r="IBS51" s="19"/>
      <c r="IBT51" s="19"/>
      <c r="IBU51" s="19"/>
      <c r="IBV51" s="21"/>
      <c r="IBW51" s="19"/>
      <c r="ICF51" s="19"/>
      <c r="ICG51" s="19"/>
      <c r="ICH51" s="19"/>
      <c r="ICI51" s="19"/>
      <c r="ICJ51" s="21"/>
      <c r="ICK51" s="19"/>
      <c r="ICT51" s="19"/>
      <c r="ICU51" s="19"/>
      <c r="ICV51" s="19"/>
      <c r="ICW51" s="19"/>
      <c r="ICX51" s="21"/>
      <c r="ICY51" s="19"/>
      <c r="IDH51" s="19"/>
      <c r="IDI51" s="19"/>
      <c r="IDJ51" s="19"/>
      <c r="IDK51" s="19"/>
      <c r="IDL51" s="21"/>
      <c r="IDM51" s="19"/>
      <c r="IDV51" s="19"/>
      <c r="IDW51" s="19"/>
      <c r="IDX51" s="19"/>
      <c r="IDY51" s="19"/>
      <c r="IDZ51" s="21"/>
      <c r="IEA51" s="19"/>
      <c r="IEJ51" s="19"/>
      <c r="IEK51" s="19"/>
      <c r="IEL51" s="19"/>
      <c r="IEM51" s="19"/>
      <c r="IEN51" s="21"/>
      <c r="IEO51" s="19"/>
      <c r="IEX51" s="19"/>
      <c r="IEY51" s="19"/>
      <c r="IEZ51" s="19"/>
      <c r="IFA51" s="19"/>
      <c r="IFB51" s="21"/>
      <c r="IFC51" s="19"/>
      <c r="IFL51" s="19"/>
      <c r="IFM51" s="19"/>
      <c r="IFN51" s="19"/>
      <c r="IFO51" s="19"/>
      <c r="IFP51" s="21"/>
      <c r="IFQ51" s="19"/>
      <c r="IFZ51" s="19"/>
      <c r="IGA51" s="19"/>
      <c r="IGB51" s="19"/>
      <c r="IGC51" s="19"/>
      <c r="IGD51" s="21"/>
      <c r="IGE51" s="19"/>
      <c r="IGN51" s="19"/>
      <c r="IGO51" s="19"/>
      <c r="IGP51" s="19"/>
      <c r="IGQ51" s="19"/>
      <c r="IGR51" s="21"/>
      <c r="IGS51" s="19"/>
      <c r="IHB51" s="19"/>
      <c r="IHC51" s="19"/>
      <c r="IHD51" s="19"/>
      <c r="IHE51" s="19"/>
      <c r="IHF51" s="21"/>
      <c r="IHG51" s="19"/>
      <c r="IHP51" s="19"/>
      <c r="IHQ51" s="19"/>
      <c r="IHR51" s="19"/>
      <c r="IHS51" s="19"/>
      <c r="IHT51" s="21"/>
      <c r="IHU51" s="19"/>
      <c r="IID51" s="19"/>
      <c r="IIE51" s="19"/>
      <c r="IIF51" s="19"/>
      <c r="IIG51" s="19"/>
      <c r="IIH51" s="21"/>
      <c r="III51" s="19"/>
      <c r="IIR51" s="19"/>
      <c r="IIS51" s="19"/>
      <c r="IIT51" s="19"/>
      <c r="IIU51" s="19"/>
      <c r="IIV51" s="21"/>
      <c r="IIW51" s="19"/>
      <c r="IJF51" s="19"/>
      <c r="IJG51" s="19"/>
      <c r="IJH51" s="19"/>
      <c r="IJI51" s="19"/>
      <c r="IJJ51" s="21"/>
      <c r="IJK51" s="19"/>
      <c r="IJT51" s="19"/>
      <c r="IJU51" s="19"/>
      <c r="IJV51" s="19"/>
      <c r="IJW51" s="19"/>
      <c r="IJX51" s="21"/>
      <c r="IJY51" s="19"/>
      <c r="IKH51" s="19"/>
      <c r="IKI51" s="19"/>
      <c r="IKJ51" s="19"/>
      <c r="IKK51" s="19"/>
      <c r="IKL51" s="21"/>
      <c r="IKM51" s="19"/>
      <c r="IKV51" s="19"/>
      <c r="IKW51" s="19"/>
      <c r="IKX51" s="19"/>
      <c r="IKY51" s="19"/>
      <c r="IKZ51" s="21"/>
      <c r="ILA51" s="19"/>
      <c r="ILJ51" s="19"/>
      <c r="ILK51" s="19"/>
      <c r="ILL51" s="19"/>
      <c r="ILM51" s="19"/>
      <c r="ILN51" s="21"/>
      <c r="ILO51" s="19"/>
      <c r="ILX51" s="19"/>
      <c r="ILY51" s="19"/>
      <c r="ILZ51" s="19"/>
      <c r="IMA51" s="19"/>
      <c r="IMB51" s="21"/>
      <c r="IMC51" s="19"/>
      <c r="IML51" s="19"/>
      <c r="IMM51" s="19"/>
      <c r="IMN51" s="19"/>
      <c r="IMO51" s="19"/>
      <c r="IMP51" s="21"/>
      <c r="IMQ51" s="19"/>
      <c r="IMZ51" s="19"/>
      <c r="INA51" s="19"/>
      <c r="INB51" s="19"/>
      <c r="INC51" s="19"/>
      <c r="IND51" s="21"/>
      <c r="INE51" s="19"/>
      <c r="INN51" s="19"/>
      <c r="INO51" s="19"/>
      <c r="INP51" s="19"/>
      <c r="INQ51" s="19"/>
      <c r="INR51" s="21"/>
      <c r="INS51" s="19"/>
      <c r="IOB51" s="19"/>
      <c r="IOC51" s="19"/>
      <c r="IOD51" s="19"/>
      <c r="IOE51" s="19"/>
      <c r="IOF51" s="21"/>
      <c r="IOG51" s="19"/>
      <c r="IOP51" s="19"/>
      <c r="IOQ51" s="19"/>
      <c r="IOR51" s="19"/>
      <c r="IOS51" s="19"/>
      <c r="IOT51" s="21"/>
      <c r="IOU51" s="19"/>
      <c r="IPD51" s="19"/>
      <c r="IPE51" s="19"/>
      <c r="IPF51" s="19"/>
      <c r="IPG51" s="19"/>
      <c r="IPH51" s="21"/>
      <c r="IPI51" s="19"/>
      <c r="IPR51" s="19"/>
      <c r="IPS51" s="19"/>
      <c r="IPT51" s="19"/>
      <c r="IPU51" s="19"/>
      <c r="IPV51" s="21"/>
      <c r="IPW51" s="19"/>
      <c r="IQF51" s="19"/>
      <c r="IQG51" s="19"/>
      <c r="IQH51" s="19"/>
      <c r="IQI51" s="19"/>
      <c r="IQJ51" s="21"/>
      <c r="IQK51" s="19"/>
      <c r="IQT51" s="19"/>
      <c r="IQU51" s="19"/>
      <c r="IQV51" s="19"/>
      <c r="IQW51" s="19"/>
      <c r="IQX51" s="21"/>
      <c r="IQY51" s="19"/>
      <c r="IRH51" s="19"/>
      <c r="IRI51" s="19"/>
      <c r="IRJ51" s="19"/>
      <c r="IRK51" s="19"/>
      <c r="IRL51" s="21"/>
      <c r="IRM51" s="19"/>
      <c r="IRV51" s="19"/>
      <c r="IRW51" s="19"/>
      <c r="IRX51" s="19"/>
      <c r="IRY51" s="19"/>
      <c r="IRZ51" s="21"/>
      <c r="ISA51" s="19"/>
      <c r="ISJ51" s="19"/>
      <c r="ISK51" s="19"/>
      <c r="ISL51" s="19"/>
      <c r="ISM51" s="19"/>
      <c r="ISN51" s="21"/>
      <c r="ISO51" s="19"/>
      <c r="ISX51" s="19"/>
      <c r="ISY51" s="19"/>
      <c r="ISZ51" s="19"/>
      <c r="ITA51" s="19"/>
      <c r="ITB51" s="21"/>
      <c r="ITC51" s="19"/>
      <c r="ITL51" s="19"/>
      <c r="ITM51" s="19"/>
      <c r="ITN51" s="19"/>
      <c r="ITO51" s="19"/>
      <c r="ITP51" s="21"/>
      <c r="ITQ51" s="19"/>
      <c r="ITZ51" s="19"/>
      <c r="IUA51" s="19"/>
      <c r="IUB51" s="19"/>
      <c r="IUC51" s="19"/>
      <c r="IUD51" s="21"/>
      <c r="IUE51" s="19"/>
      <c r="IUN51" s="19"/>
      <c r="IUO51" s="19"/>
      <c r="IUP51" s="19"/>
      <c r="IUQ51" s="19"/>
      <c r="IUR51" s="21"/>
      <c r="IUS51" s="19"/>
      <c r="IVB51" s="19"/>
      <c r="IVC51" s="19"/>
      <c r="IVD51" s="19"/>
      <c r="IVE51" s="19"/>
      <c r="IVF51" s="21"/>
      <c r="IVG51" s="19"/>
      <c r="IVP51" s="19"/>
      <c r="IVQ51" s="19"/>
      <c r="IVR51" s="19"/>
      <c r="IVS51" s="19"/>
      <c r="IVT51" s="21"/>
      <c r="IVU51" s="19"/>
      <c r="IWD51" s="19"/>
      <c r="IWE51" s="19"/>
      <c r="IWF51" s="19"/>
      <c r="IWG51" s="19"/>
      <c r="IWH51" s="21"/>
      <c r="IWI51" s="19"/>
      <c r="IWR51" s="19"/>
      <c r="IWS51" s="19"/>
      <c r="IWT51" s="19"/>
      <c r="IWU51" s="19"/>
      <c r="IWV51" s="21"/>
      <c r="IWW51" s="19"/>
      <c r="IXF51" s="19"/>
      <c r="IXG51" s="19"/>
      <c r="IXH51" s="19"/>
      <c r="IXI51" s="19"/>
      <c r="IXJ51" s="21"/>
      <c r="IXK51" s="19"/>
      <c r="IXT51" s="19"/>
      <c r="IXU51" s="19"/>
      <c r="IXV51" s="19"/>
      <c r="IXW51" s="19"/>
      <c r="IXX51" s="21"/>
      <c r="IXY51" s="19"/>
      <c r="IYH51" s="19"/>
      <c r="IYI51" s="19"/>
      <c r="IYJ51" s="19"/>
      <c r="IYK51" s="19"/>
      <c r="IYL51" s="21"/>
      <c r="IYM51" s="19"/>
      <c r="IYV51" s="19"/>
      <c r="IYW51" s="19"/>
      <c r="IYX51" s="19"/>
      <c r="IYY51" s="19"/>
      <c r="IYZ51" s="21"/>
      <c r="IZA51" s="19"/>
      <c r="IZJ51" s="19"/>
      <c r="IZK51" s="19"/>
      <c r="IZL51" s="19"/>
      <c r="IZM51" s="19"/>
      <c r="IZN51" s="21"/>
      <c r="IZO51" s="19"/>
      <c r="IZX51" s="19"/>
      <c r="IZY51" s="19"/>
      <c r="IZZ51" s="19"/>
      <c r="JAA51" s="19"/>
      <c r="JAB51" s="21"/>
      <c r="JAC51" s="19"/>
      <c r="JAL51" s="19"/>
      <c r="JAM51" s="19"/>
      <c r="JAN51" s="19"/>
      <c r="JAO51" s="19"/>
      <c r="JAP51" s="21"/>
      <c r="JAQ51" s="19"/>
      <c r="JAZ51" s="19"/>
      <c r="JBA51" s="19"/>
      <c r="JBB51" s="19"/>
      <c r="JBC51" s="19"/>
      <c r="JBD51" s="21"/>
      <c r="JBE51" s="19"/>
      <c r="JBN51" s="19"/>
      <c r="JBO51" s="19"/>
      <c r="JBP51" s="19"/>
      <c r="JBQ51" s="19"/>
      <c r="JBR51" s="21"/>
      <c r="JBS51" s="19"/>
      <c r="JCB51" s="19"/>
      <c r="JCC51" s="19"/>
      <c r="JCD51" s="19"/>
      <c r="JCE51" s="19"/>
      <c r="JCF51" s="21"/>
      <c r="JCG51" s="19"/>
      <c r="JCP51" s="19"/>
      <c r="JCQ51" s="19"/>
      <c r="JCR51" s="19"/>
      <c r="JCS51" s="19"/>
      <c r="JCT51" s="21"/>
      <c r="JCU51" s="19"/>
      <c r="JDD51" s="19"/>
      <c r="JDE51" s="19"/>
      <c r="JDF51" s="19"/>
      <c r="JDG51" s="19"/>
      <c r="JDH51" s="21"/>
      <c r="JDI51" s="19"/>
      <c r="JDR51" s="19"/>
      <c r="JDS51" s="19"/>
      <c r="JDT51" s="19"/>
      <c r="JDU51" s="19"/>
      <c r="JDV51" s="21"/>
      <c r="JDW51" s="19"/>
      <c r="JEF51" s="19"/>
      <c r="JEG51" s="19"/>
      <c r="JEH51" s="19"/>
      <c r="JEI51" s="19"/>
      <c r="JEJ51" s="21"/>
      <c r="JEK51" s="19"/>
      <c r="JET51" s="19"/>
      <c r="JEU51" s="19"/>
      <c r="JEV51" s="19"/>
      <c r="JEW51" s="19"/>
      <c r="JEX51" s="21"/>
      <c r="JEY51" s="19"/>
      <c r="JFH51" s="19"/>
      <c r="JFI51" s="19"/>
      <c r="JFJ51" s="19"/>
      <c r="JFK51" s="19"/>
      <c r="JFL51" s="21"/>
      <c r="JFM51" s="19"/>
      <c r="JFV51" s="19"/>
      <c r="JFW51" s="19"/>
      <c r="JFX51" s="19"/>
      <c r="JFY51" s="19"/>
      <c r="JFZ51" s="21"/>
      <c r="JGA51" s="19"/>
      <c r="JGJ51" s="19"/>
      <c r="JGK51" s="19"/>
      <c r="JGL51" s="19"/>
      <c r="JGM51" s="19"/>
      <c r="JGN51" s="21"/>
      <c r="JGO51" s="19"/>
      <c r="JGX51" s="19"/>
      <c r="JGY51" s="19"/>
      <c r="JGZ51" s="19"/>
      <c r="JHA51" s="19"/>
      <c r="JHB51" s="21"/>
      <c r="JHC51" s="19"/>
      <c r="JHL51" s="19"/>
      <c r="JHM51" s="19"/>
      <c r="JHN51" s="19"/>
      <c r="JHO51" s="19"/>
      <c r="JHP51" s="21"/>
      <c r="JHQ51" s="19"/>
      <c r="JHZ51" s="19"/>
      <c r="JIA51" s="19"/>
      <c r="JIB51" s="19"/>
      <c r="JIC51" s="19"/>
      <c r="JID51" s="21"/>
      <c r="JIE51" s="19"/>
      <c r="JIN51" s="19"/>
      <c r="JIO51" s="19"/>
      <c r="JIP51" s="19"/>
      <c r="JIQ51" s="19"/>
      <c r="JIR51" s="21"/>
      <c r="JIS51" s="19"/>
      <c r="JJB51" s="19"/>
      <c r="JJC51" s="19"/>
      <c r="JJD51" s="19"/>
      <c r="JJE51" s="19"/>
      <c r="JJF51" s="21"/>
      <c r="JJG51" s="19"/>
      <c r="JJP51" s="19"/>
      <c r="JJQ51" s="19"/>
      <c r="JJR51" s="19"/>
      <c r="JJS51" s="19"/>
      <c r="JJT51" s="21"/>
      <c r="JJU51" s="19"/>
      <c r="JKD51" s="19"/>
      <c r="JKE51" s="19"/>
      <c r="JKF51" s="19"/>
      <c r="JKG51" s="19"/>
      <c r="JKH51" s="21"/>
      <c r="JKI51" s="19"/>
      <c r="JKR51" s="19"/>
      <c r="JKS51" s="19"/>
      <c r="JKT51" s="19"/>
      <c r="JKU51" s="19"/>
      <c r="JKV51" s="21"/>
      <c r="JKW51" s="19"/>
      <c r="JLF51" s="19"/>
      <c r="JLG51" s="19"/>
      <c r="JLH51" s="19"/>
      <c r="JLI51" s="19"/>
      <c r="JLJ51" s="21"/>
      <c r="JLK51" s="19"/>
      <c r="JLT51" s="19"/>
      <c r="JLU51" s="19"/>
      <c r="JLV51" s="19"/>
      <c r="JLW51" s="19"/>
      <c r="JLX51" s="21"/>
      <c r="JLY51" s="19"/>
      <c r="JMH51" s="19"/>
      <c r="JMI51" s="19"/>
      <c r="JMJ51" s="19"/>
      <c r="JMK51" s="19"/>
      <c r="JML51" s="21"/>
      <c r="JMM51" s="19"/>
      <c r="JMV51" s="19"/>
      <c r="JMW51" s="19"/>
      <c r="JMX51" s="19"/>
      <c r="JMY51" s="19"/>
      <c r="JMZ51" s="21"/>
      <c r="JNA51" s="19"/>
      <c r="JNJ51" s="19"/>
      <c r="JNK51" s="19"/>
      <c r="JNL51" s="19"/>
      <c r="JNM51" s="19"/>
      <c r="JNN51" s="21"/>
      <c r="JNO51" s="19"/>
      <c r="JNX51" s="19"/>
      <c r="JNY51" s="19"/>
      <c r="JNZ51" s="19"/>
      <c r="JOA51" s="19"/>
      <c r="JOB51" s="21"/>
      <c r="JOC51" s="19"/>
      <c r="JOL51" s="19"/>
      <c r="JOM51" s="19"/>
      <c r="JON51" s="19"/>
      <c r="JOO51" s="19"/>
      <c r="JOP51" s="21"/>
      <c r="JOQ51" s="19"/>
      <c r="JOZ51" s="19"/>
      <c r="JPA51" s="19"/>
      <c r="JPB51" s="19"/>
      <c r="JPC51" s="19"/>
      <c r="JPD51" s="21"/>
      <c r="JPE51" s="19"/>
      <c r="JPN51" s="19"/>
      <c r="JPO51" s="19"/>
      <c r="JPP51" s="19"/>
      <c r="JPQ51" s="19"/>
      <c r="JPR51" s="21"/>
      <c r="JPS51" s="19"/>
      <c r="JQB51" s="19"/>
      <c r="JQC51" s="19"/>
      <c r="JQD51" s="19"/>
      <c r="JQE51" s="19"/>
      <c r="JQF51" s="21"/>
      <c r="JQG51" s="19"/>
      <c r="JQP51" s="19"/>
      <c r="JQQ51" s="19"/>
      <c r="JQR51" s="19"/>
      <c r="JQS51" s="19"/>
      <c r="JQT51" s="21"/>
      <c r="JQU51" s="19"/>
      <c r="JRD51" s="19"/>
      <c r="JRE51" s="19"/>
      <c r="JRF51" s="19"/>
      <c r="JRG51" s="19"/>
      <c r="JRH51" s="21"/>
      <c r="JRI51" s="19"/>
      <c r="JRR51" s="19"/>
      <c r="JRS51" s="19"/>
      <c r="JRT51" s="19"/>
      <c r="JRU51" s="19"/>
      <c r="JRV51" s="21"/>
      <c r="JRW51" s="19"/>
      <c r="JSF51" s="19"/>
      <c r="JSG51" s="19"/>
      <c r="JSH51" s="19"/>
      <c r="JSI51" s="19"/>
      <c r="JSJ51" s="21"/>
      <c r="JSK51" s="19"/>
      <c r="JST51" s="19"/>
      <c r="JSU51" s="19"/>
      <c r="JSV51" s="19"/>
      <c r="JSW51" s="19"/>
      <c r="JSX51" s="21"/>
      <c r="JSY51" s="19"/>
      <c r="JTH51" s="19"/>
      <c r="JTI51" s="19"/>
      <c r="JTJ51" s="19"/>
      <c r="JTK51" s="19"/>
      <c r="JTL51" s="21"/>
      <c r="JTM51" s="19"/>
      <c r="JTV51" s="19"/>
      <c r="JTW51" s="19"/>
      <c r="JTX51" s="19"/>
      <c r="JTY51" s="19"/>
      <c r="JTZ51" s="21"/>
      <c r="JUA51" s="19"/>
      <c r="JUJ51" s="19"/>
      <c r="JUK51" s="19"/>
      <c r="JUL51" s="19"/>
      <c r="JUM51" s="19"/>
      <c r="JUN51" s="21"/>
      <c r="JUO51" s="19"/>
      <c r="JUX51" s="19"/>
      <c r="JUY51" s="19"/>
      <c r="JUZ51" s="19"/>
      <c r="JVA51" s="19"/>
      <c r="JVB51" s="21"/>
      <c r="JVC51" s="19"/>
      <c r="JVL51" s="19"/>
      <c r="JVM51" s="19"/>
      <c r="JVN51" s="19"/>
      <c r="JVO51" s="19"/>
      <c r="JVP51" s="21"/>
      <c r="JVQ51" s="19"/>
      <c r="JVZ51" s="19"/>
      <c r="JWA51" s="19"/>
      <c r="JWB51" s="19"/>
      <c r="JWC51" s="19"/>
      <c r="JWD51" s="21"/>
      <c r="JWE51" s="19"/>
      <c r="JWN51" s="19"/>
      <c r="JWO51" s="19"/>
      <c r="JWP51" s="19"/>
      <c r="JWQ51" s="19"/>
      <c r="JWR51" s="21"/>
      <c r="JWS51" s="19"/>
      <c r="JXB51" s="19"/>
      <c r="JXC51" s="19"/>
      <c r="JXD51" s="19"/>
      <c r="JXE51" s="19"/>
      <c r="JXF51" s="21"/>
      <c r="JXG51" s="19"/>
      <c r="JXP51" s="19"/>
      <c r="JXQ51" s="19"/>
      <c r="JXR51" s="19"/>
      <c r="JXS51" s="19"/>
      <c r="JXT51" s="21"/>
      <c r="JXU51" s="19"/>
      <c r="JYD51" s="19"/>
      <c r="JYE51" s="19"/>
      <c r="JYF51" s="19"/>
      <c r="JYG51" s="19"/>
      <c r="JYH51" s="21"/>
      <c r="JYI51" s="19"/>
      <c r="JYR51" s="19"/>
      <c r="JYS51" s="19"/>
      <c r="JYT51" s="19"/>
      <c r="JYU51" s="19"/>
      <c r="JYV51" s="21"/>
      <c r="JYW51" s="19"/>
      <c r="JZF51" s="19"/>
      <c r="JZG51" s="19"/>
      <c r="JZH51" s="19"/>
      <c r="JZI51" s="19"/>
      <c r="JZJ51" s="21"/>
      <c r="JZK51" s="19"/>
      <c r="JZT51" s="19"/>
      <c r="JZU51" s="19"/>
      <c r="JZV51" s="19"/>
      <c r="JZW51" s="19"/>
      <c r="JZX51" s="21"/>
      <c r="JZY51" s="19"/>
      <c r="KAH51" s="19"/>
      <c r="KAI51" s="19"/>
      <c r="KAJ51" s="19"/>
      <c r="KAK51" s="19"/>
      <c r="KAL51" s="21"/>
      <c r="KAM51" s="19"/>
      <c r="KAV51" s="19"/>
      <c r="KAW51" s="19"/>
      <c r="KAX51" s="19"/>
      <c r="KAY51" s="19"/>
      <c r="KAZ51" s="21"/>
      <c r="KBA51" s="19"/>
      <c r="KBJ51" s="19"/>
      <c r="KBK51" s="19"/>
      <c r="KBL51" s="19"/>
      <c r="KBM51" s="19"/>
      <c r="KBN51" s="21"/>
      <c r="KBO51" s="19"/>
      <c r="KBX51" s="19"/>
      <c r="KBY51" s="19"/>
      <c r="KBZ51" s="19"/>
      <c r="KCA51" s="19"/>
      <c r="KCB51" s="21"/>
      <c r="KCC51" s="19"/>
      <c r="KCL51" s="19"/>
      <c r="KCM51" s="19"/>
      <c r="KCN51" s="19"/>
      <c r="KCO51" s="19"/>
      <c r="KCP51" s="21"/>
      <c r="KCQ51" s="19"/>
      <c r="KCZ51" s="19"/>
      <c r="KDA51" s="19"/>
      <c r="KDB51" s="19"/>
      <c r="KDC51" s="19"/>
      <c r="KDD51" s="21"/>
      <c r="KDE51" s="19"/>
      <c r="KDN51" s="19"/>
      <c r="KDO51" s="19"/>
      <c r="KDP51" s="19"/>
      <c r="KDQ51" s="19"/>
      <c r="KDR51" s="21"/>
      <c r="KDS51" s="19"/>
      <c r="KEB51" s="19"/>
      <c r="KEC51" s="19"/>
      <c r="KED51" s="19"/>
      <c r="KEE51" s="19"/>
      <c r="KEF51" s="21"/>
      <c r="KEG51" s="19"/>
      <c r="KEP51" s="19"/>
      <c r="KEQ51" s="19"/>
      <c r="KER51" s="19"/>
      <c r="KES51" s="19"/>
      <c r="KET51" s="21"/>
      <c r="KEU51" s="19"/>
      <c r="KFD51" s="19"/>
      <c r="KFE51" s="19"/>
      <c r="KFF51" s="19"/>
      <c r="KFG51" s="19"/>
      <c r="KFH51" s="21"/>
      <c r="KFI51" s="19"/>
      <c r="KFR51" s="19"/>
      <c r="KFS51" s="19"/>
      <c r="KFT51" s="19"/>
      <c r="KFU51" s="19"/>
      <c r="KFV51" s="21"/>
      <c r="KFW51" s="19"/>
      <c r="KGF51" s="19"/>
      <c r="KGG51" s="19"/>
      <c r="KGH51" s="19"/>
      <c r="KGI51" s="19"/>
      <c r="KGJ51" s="21"/>
      <c r="KGK51" s="19"/>
      <c r="KGT51" s="19"/>
      <c r="KGU51" s="19"/>
      <c r="KGV51" s="19"/>
      <c r="KGW51" s="19"/>
      <c r="KGX51" s="21"/>
      <c r="KGY51" s="19"/>
      <c r="KHH51" s="19"/>
      <c r="KHI51" s="19"/>
      <c r="KHJ51" s="19"/>
      <c r="KHK51" s="19"/>
      <c r="KHL51" s="21"/>
      <c r="KHM51" s="19"/>
      <c r="KHV51" s="19"/>
      <c r="KHW51" s="19"/>
      <c r="KHX51" s="19"/>
      <c r="KHY51" s="19"/>
      <c r="KHZ51" s="21"/>
      <c r="KIA51" s="19"/>
      <c r="KIJ51" s="19"/>
      <c r="KIK51" s="19"/>
      <c r="KIL51" s="19"/>
      <c r="KIM51" s="19"/>
      <c r="KIN51" s="21"/>
      <c r="KIO51" s="19"/>
      <c r="KIX51" s="19"/>
      <c r="KIY51" s="19"/>
      <c r="KIZ51" s="19"/>
      <c r="KJA51" s="19"/>
      <c r="KJB51" s="21"/>
      <c r="KJC51" s="19"/>
      <c r="KJL51" s="19"/>
      <c r="KJM51" s="19"/>
      <c r="KJN51" s="19"/>
      <c r="KJO51" s="19"/>
      <c r="KJP51" s="21"/>
      <c r="KJQ51" s="19"/>
      <c r="KJZ51" s="19"/>
      <c r="KKA51" s="19"/>
      <c r="KKB51" s="19"/>
      <c r="KKC51" s="19"/>
      <c r="KKD51" s="21"/>
      <c r="KKE51" s="19"/>
      <c r="KKN51" s="19"/>
      <c r="KKO51" s="19"/>
      <c r="KKP51" s="19"/>
      <c r="KKQ51" s="19"/>
      <c r="KKR51" s="21"/>
      <c r="KKS51" s="19"/>
      <c r="KLB51" s="19"/>
      <c r="KLC51" s="19"/>
      <c r="KLD51" s="19"/>
      <c r="KLE51" s="19"/>
      <c r="KLF51" s="21"/>
      <c r="KLG51" s="19"/>
      <c r="KLP51" s="19"/>
      <c r="KLQ51" s="19"/>
      <c r="KLR51" s="19"/>
      <c r="KLS51" s="19"/>
      <c r="KLT51" s="21"/>
      <c r="KLU51" s="19"/>
      <c r="KMD51" s="19"/>
      <c r="KME51" s="19"/>
      <c r="KMF51" s="19"/>
      <c r="KMG51" s="19"/>
      <c r="KMH51" s="21"/>
      <c r="KMI51" s="19"/>
      <c r="KMR51" s="19"/>
      <c r="KMS51" s="19"/>
      <c r="KMT51" s="19"/>
      <c r="KMU51" s="19"/>
      <c r="KMV51" s="21"/>
      <c r="KMW51" s="19"/>
      <c r="KNF51" s="19"/>
      <c r="KNG51" s="19"/>
      <c r="KNH51" s="19"/>
      <c r="KNI51" s="19"/>
      <c r="KNJ51" s="21"/>
      <c r="KNK51" s="19"/>
      <c r="KNT51" s="19"/>
      <c r="KNU51" s="19"/>
      <c r="KNV51" s="19"/>
      <c r="KNW51" s="19"/>
      <c r="KNX51" s="21"/>
      <c r="KNY51" s="19"/>
      <c r="KOH51" s="19"/>
      <c r="KOI51" s="19"/>
      <c r="KOJ51" s="19"/>
      <c r="KOK51" s="19"/>
      <c r="KOL51" s="21"/>
      <c r="KOM51" s="19"/>
      <c r="KOV51" s="19"/>
      <c r="KOW51" s="19"/>
      <c r="KOX51" s="19"/>
      <c r="KOY51" s="19"/>
      <c r="KOZ51" s="21"/>
      <c r="KPA51" s="19"/>
      <c r="KPJ51" s="19"/>
      <c r="KPK51" s="19"/>
      <c r="KPL51" s="19"/>
      <c r="KPM51" s="19"/>
      <c r="KPN51" s="21"/>
      <c r="KPO51" s="19"/>
      <c r="KPX51" s="19"/>
      <c r="KPY51" s="19"/>
      <c r="KPZ51" s="19"/>
      <c r="KQA51" s="19"/>
      <c r="KQB51" s="21"/>
      <c r="KQC51" s="19"/>
      <c r="KQL51" s="19"/>
      <c r="KQM51" s="19"/>
      <c r="KQN51" s="19"/>
      <c r="KQO51" s="19"/>
      <c r="KQP51" s="21"/>
      <c r="KQQ51" s="19"/>
      <c r="KQZ51" s="19"/>
      <c r="KRA51" s="19"/>
      <c r="KRB51" s="19"/>
      <c r="KRC51" s="19"/>
      <c r="KRD51" s="21"/>
      <c r="KRE51" s="19"/>
      <c r="KRN51" s="19"/>
      <c r="KRO51" s="19"/>
      <c r="KRP51" s="19"/>
      <c r="KRQ51" s="19"/>
      <c r="KRR51" s="21"/>
      <c r="KRS51" s="19"/>
      <c r="KSB51" s="19"/>
      <c r="KSC51" s="19"/>
      <c r="KSD51" s="19"/>
      <c r="KSE51" s="19"/>
      <c r="KSF51" s="21"/>
      <c r="KSG51" s="19"/>
      <c r="KSP51" s="19"/>
      <c r="KSQ51" s="19"/>
      <c r="KSR51" s="19"/>
      <c r="KSS51" s="19"/>
      <c r="KST51" s="21"/>
      <c r="KSU51" s="19"/>
      <c r="KTD51" s="19"/>
      <c r="KTE51" s="19"/>
      <c r="KTF51" s="19"/>
      <c r="KTG51" s="19"/>
      <c r="KTH51" s="21"/>
      <c r="KTI51" s="19"/>
      <c r="KTR51" s="19"/>
      <c r="KTS51" s="19"/>
      <c r="KTT51" s="19"/>
      <c r="KTU51" s="19"/>
      <c r="KTV51" s="21"/>
      <c r="KTW51" s="19"/>
      <c r="KUF51" s="19"/>
      <c r="KUG51" s="19"/>
      <c r="KUH51" s="19"/>
      <c r="KUI51" s="19"/>
      <c r="KUJ51" s="21"/>
      <c r="KUK51" s="19"/>
      <c r="KUT51" s="19"/>
      <c r="KUU51" s="19"/>
      <c r="KUV51" s="19"/>
      <c r="KUW51" s="19"/>
      <c r="KUX51" s="21"/>
      <c r="KUY51" s="19"/>
      <c r="KVH51" s="19"/>
      <c r="KVI51" s="19"/>
      <c r="KVJ51" s="19"/>
      <c r="KVK51" s="19"/>
      <c r="KVL51" s="21"/>
      <c r="KVM51" s="19"/>
      <c r="KVV51" s="19"/>
      <c r="KVW51" s="19"/>
      <c r="KVX51" s="19"/>
      <c r="KVY51" s="19"/>
      <c r="KVZ51" s="21"/>
      <c r="KWA51" s="19"/>
      <c r="KWJ51" s="19"/>
      <c r="KWK51" s="19"/>
      <c r="KWL51" s="19"/>
      <c r="KWM51" s="19"/>
      <c r="KWN51" s="21"/>
      <c r="KWO51" s="19"/>
      <c r="KWX51" s="19"/>
      <c r="KWY51" s="19"/>
      <c r="KWZ51" s="19"/>
      <c r="KXA51" s="19"/>
      <c r="KXB51" s="21"/>
      <c r="KXC51" s="19"/>
      <c r="KXL51" s="19"/>
      <c r="KXM51" s="19"/>
      <c r="KXN51" s="19"/>
      <c r="KXO51" s="19"/>
      <c r="KXP51" s="21"/>
      <c r="KXQ51" s="19"/>
      <c r="KXZ51" s="19"/>
      <c r="KYA51" s="19"/>
      <c r="KYB51" s="19"/>
      <c r="KYC51" s="19"/>
      <c r="KYD51" s="21"/>
      <c r="KYE51" s="19"/>
      <c r="KYN51" s="19"/>
      <c r="KYO51" s="19"/>
      <c r="KYP51" s="19"/>
      <c r="KYQ51" s="19"/>
      <c r="KYR51" s="21"/>
      <c r="KYS51" s="19"/>
      <c r="KZB51" s="19"/>
      <c r="KZC51" s="19"/>
      <c r="KZD51" s="19"/>
      <c r="KZE51" s="19"/>
      <c r="KZF51" s="21"/>
      <c r="KZG51" s="19"/>
      <c r="KZP51" s="19"/>
      <c r="KZQ51" s="19"/>
      <c r="KZR51" s="19"/>
      <c r="KZS51" s="19"/>
      <c r="KZT51" s="21"/>
      <c r="KZU51" s="19"/>
      <c r="LAD51" s="19"/>
      <c r="LAE51" s="19"/>
      <c r="LAF51" s="19"/>
      <c r="LAG51" s="19"/>
      <c r="LAH51" s="21"/>
      <c r="LAI51" s="19"/>
      <c r="LAR51" s="19"/>
      <c r="LAS51" s="19"/>
      <c r="LAT51" s="19"/>
      <c r="LAU51" s="19"/>
      <c r="LAV51" s="21"/>
      <c r="LAW51" s="19"/>
      <c r="LBF51" s="19"/>
      <c r="LBG51" s="19"/>
      <c r="LBH51" s="19"/>
      <c r="LBI51" s="19"/>
      <c r="LBJ51" s="21"/>
      <c r="LBK51" s="19"/>
      <c r="LBT51" s="19"/>
      <c r="LBU51" s="19"/>
      <c r="LBV51" s="19"/>
      <c r="LBW51" s="19"/>
      <c r="LBX51" s="21"/>
      <c r="LBY51" s="19"/>
      <c r="LCH51" s="19"/>
      <c r="LCI51" s="19"/>
      <c r="LCJ51" s="19"/>
      <c r="LCK51" s="19"/>
      <c r="LCL51" s="21"/>
      <c r="LCM51" s="19"/>
      <c r="LCV51" s="19"/>
      <c r="LCW51" s="19"/>
      <c r="LCX51" s="19"/>
      <c r="LCY51" s="19"/>
      <c r="LCZ51" s="21"/>
      <c r="LDA51" s="19"/>
      <c r="LDJ51" s="19"/>
      <c r="LDK51" s="19"/>
      <c r="LDL51" s="19"/>
      <c r="LDM51" s="19"/>
      <c r="LDN51" s="21"/>
      <c r="LDO51" s="19"/>
      <c r="LDX51" s="19"/>
      <c r="LDY51" s="19"/>
      <c r="LDZ51" s="19"/>
      <c r="LEA51" s="19"/>
      <c r="LEB51" s="21"/>
      <c r="LEC51" s="19"/>
      <c r="LEL51" s="19"/>
      <c r="LEM51" s="19"/>
      <c r="LEN51" s="19"/>
      <c r="LEO51" s="19"/>
      <c r="LEP51" s="21"/>
      <c r="LEQ51" s="19"/>
      <c r="LEZ51" s="19"/>
      <c r="LFA51" s="19"/>
      <c r="LFB51" s="19"/>
      <c r="LFC51" s="19"/>
      <c r="LFD51" s="21"/>
      <c r="LFE51" s="19"/>
      <c r="LFN51" s="19"/>
      <c r="LFO51" s="19"/>
      <c r="LFP51" s="19"/>
      <c r="LFQ51" s="19"/>
      <c r="LFR51" s="21"/>
      <c r="LFS51" s="19"/>
      <c r="LGB51" s="19"/>
      <c r="LGC51" s="19"/>
      <c r="LGD51" s="19"/>
      <c r="LGE51" s="19"/>
      <c r="LGF51" s="21"/>
      <c r="LGG51" s="19"/>
      <c r="LGP51" s="19"/>
      <c r="LGQ51" s="19"/>
      <c r="LGR51" s="19"/>
      <c r="LGS51" s="19"/>
      <c r="LGT51" s="21"/>
      <c r="LGU51" s="19"/>
      <c r="LHD51" s="19"/>
      <c r="LHE51" s="19"/>
      <c r="LHF51" s="19"/>
      <c r="LHG51" s="19"/>
      <c r="LHH51" s="21"/>
      <c r="LHI51" s="19"/>
      <c r="LHR51" s="19"/>
      <c r="LHS51" s="19"/>
      <c r="LHT51" s="19"/>
      <c r="LHU51" s="19"/>
      <c r="LHV51" s="21"/>
      <c r="LHW51" s="19"/>
      <c r="LIF51" s="19"/>
      <c r="LIG51" s="19"/>
      <c r="LIH51" s="19"/>
      <c r="LII51" s="19"/>
      <c r="LIJ51" s="21"/>
      <c r="LIK51" s="19"/>
      <c r="LIT51" s="19"/>
      <c r="LIU51" s="19"/>
      <c r="LIV51" s="19"/>
      <c r="LIW51" s="19"/>
      <c r="LIX51" s="21"/>
      <c r="LIY51" s="19"/>
      <c r="LJH51" s="19"/>
      <c r="LJI51" s="19"/>
      <c r="LJJ51" s="19"/>
      <c r="LJK51" s="19"/>
      <c r="LJL51" s="21"/>
      <c r="LJM51" s="19"/>
      <c r="LJV51" s="19"/>
      <c r="LJW51" s="19"/>
      <c r="LJX51" s="19"/>
      <c r="LJY51" s="19"/>
      <c r="LJZ51" s="21"/>
      <c r="LKA51" s="19"/>
      <c r="LKJ51" s="19"/>
      <c r="LKK51" s="19"/>
      <c r="LKL51" s="19"/>
      <c r="LKM51" s="19"/>
      <c r="LKN51" s="21"/>
      <c r="LKO51" s="19"/>
      <c r="LKX51" s="19"/>
      <c r="LKY51" s="19"/>
      <c r="LKZ51" s="19"/>
      <c r="LLA51" s="19"/>
      <c r="LLB51" s="21"/>
      <c r="LLC51" s="19"/>
      <c r="LLL51" s="19"/>
      <c r="LLM51" s="19"/>
      <c r="LLN51" s="19"/>
      <c r="LLO51" s="19"/>
      <c r="LLP51" s="21"/>
      <c r="LLQ51" s="19"/>
      <c r="LLZ51" s="19"/>
      <c r="LMA51" s="19"/>
      <c r="LMB51" s="19"/>
      <c r="LMC51" s="19"/>
      <c r="LMD51" s="21"/>
      <c r="LME51" s="19"/>
      <c r="LMN51" s="19"/>
      <c r="LMO51" s="19"/>
      <c r="LMP51" s="19"/>
      <c r="LMQ51" s="19"/>
      <c r="LMR51" s="21"/>
      <c r="LMS51" s="19"/>
      <c r="LNB51" s="19"/>
      <c r="LNC51" s="19"/>
      <c r="LND51" s="19"/>
      <c r="LNE51" s="19"/>
      <c r="LNF51" s="21"/>
      <c r="LNG51" s="19"/>
      <c r="LNP51" s="19"/>
      <c r="LNQ51" s="19"/>
      <c r="LNR51" s="19"/>
      <c r="LNS51" s="19"/>
      <c r="LNT51" s="21"/>
      <c r="LNU51" s="19"/>
      <c r="LOD51" s="19"/>
      <c r="LOE51" s="19"/>
      <c r="LOF51" s="19"/>
      <c r="LOG51" s="19"/>
      <c r="LOH51" s="21"/>
      <c r="LOI51" s="19"/>
      <c r="LOR51" s="19"/>
      <c r="LOS51" s="19"/>
      <c r="LOT51" s="19"/>
      <c r="LOU51" s="19"/>
      <c r="LOV51" s="21"/>
      <c r="LOW51" s="19"/>
      <c r="LPF51" s="19"/>
      <c r="LPG51" s="19"/>
      <c r="LPH51" s="19"/>
      <c r="LPI51" s="19"/>
      <c r="LPJ51" s="21"/>
      <c r="LPK51" s="19"/>
      <c r="LPT51" s="19"/>
      <c r="LPU51" s="19"/>
      <c r="LPV51" s="19"/>
      <c r="LPW51" s="19"/>
      <c r="LPX51" s="21"/>
      <c r="LPY51" s="19"/>
      <c r="LQH51" s="19"/>
      <c r="LQI51" s="19"/>
      <c r="LQJ51" s="19"/>
      <c r="LQK51" s="19"/>
      <c r="LQL51" s="21"/>
      <c r="LQM51" s="19"/>
      <c r="LQV51" s="19"/>
      <c r="LQW51" s="19"/>
      <c r="LQX51" s="19"/>
      <c r="LQY51" s="19"/>
      <c r="LQZ51" s="21"/>
      <c r="LRA51" s="19"/>
      <c r="LRJ51" s="19"/>
      <c r="LRK51" s="19"/>
      <c r="LRL51" s="19"/>
      <c r="LRM51" s="19"/>
      <c r="LRN51" s="21"/>
      <c r="LRO51" s="19"/>
      <c r="LRX51" s="19"/>
      <c r="LRY51" s="19"/>
      <c r="LRZ51" s="19"/>
      <c r="LSA51" s="19"/>
      <c r="LSB51" s="21"/>
      <c r="LSC51" s="19"/>
      <c r="LSL51" s="19"/>
      <c r="LSM51" s="19"/>
      <c r="LSN51" s="19"/>
      <c r="LSO51" s="19"/>
      <c r="LSP51" s="21"/>
      <c r="LSQ51" s="19"/>
      <c r="LSZ51" s="19"/>
      <c r="LTA51" s="19"/>
      <c r="LTB51" s="19"/>
      <c r="LTC51" s="19"/>
      <c r="LTD51" s="21"/>
      <c r="LTE51" s="19"/>
      <c r="LTN51" s="19"/>
      <c r="LTO51" s="19"/>
      <c r="LTP51" s="19"/>
      <c r="LTQ51" s="19"/>
      <c r="LTR51" s="21"/>
      <c r="LTS51" s="19"/>
      <c r="LUB51" s="19"/>
      <c r="LUC51" s="19"/>
      <c r="LUD51" s="19"/>
      <c r="LUE51" s="19"/>
      <c r="LUF51" s="21"/>
      <c r="LUG51" s="19"/>
      <c r="LUP51" s="19"/>
      <c r="LUQ51" s="19"/>
      <c r="LUR51" s="19"/>
      <c r="LUS51" s="19"/>
      <c r="LUT51" s="21"/>
      <c r="LUU51" s="19"/>
      <c r="LVD51" s="19"/>
      <c r="LVE51" s="19"/>
      <c r="LVF51" s="19"/>
      <c r="LVG51" s="19"/>
      <c r="LVH51" s="21"/>
      <c r="LVI51" s="19"/>
      <c r="LVR51" s="19"/>
      <c r="LVS51" s="19"/>
      <c r="LVT51" s="19"/>
      <c r="LVU51" s="19"/>
      <c r="LVV51" s="21"/>
      <c r="LVW51" s="19"/>
      <c r="LWF51" s="19"/>
      <c r="LWG51" s="19"/>
      <c r="LWH51" s="19"/>
      <c r="LWI51" s="19"/>
      <c r="LWJ51" s="21"/>
      <c r="LWK51" s="19"/>
      <c r="LWT51" s="19"/>
      <c r="LWU51" s="19"/>
      <c r="LWV51" s="19"/>
      <c r="LWW51" s="19"/>
      <c r="LWX51" s="21"/>
      <c r="LWY51" s="19"/>
      <c r="LXH51" s="19"/>
      <c r="LXI51" s="19"/>
      <c r="LXJ51" s="19"/>
      <c r="LXK51" s="19"/>
      <c r="LXL51" s="21"/>
      <c r="LXM51" s="19"/>
      <c r="LXV51" s="19"/>
      <c r="LXW51" s="19"/>
      <c r="LXX51" s="19"/>
      <c r="LXY51" s="19"/>
      <c r="LXZ51" s="21"/>
      <c r="LYA51" s="19"/>
      <c r="LYJ51" s="19"/>
      <c r="LYK51" s="19"/>
      <c r="LYL51" s="19"/>
      <c r="LYM51" s="19"/>
      <c r="LYN51" s="21"/>
      <c r="LYO51" s="19"/>
      <c r="LYX51" s="19"/>
      <c r="LYY51" s="19"/>
      <c r="LYZ51" s="19"/>
      <c r="LZA51" s="19"/>
      <c r="LZB51" s="21"/>
      <c r="LZC51" s="19"/>
      <c r="LZL51" s="19"/>
      <c r="LZM51" s="19"/>
      <c r="LZN51" s="19"/>
      <c r="LZO51" s="19"/>
      <c r="LZP51" s="21"/>
      <c r="LZQ51" s="19"/>
      <c r="LZZ51" s="19"/>
      <c r="MAA51" s="19"/>
      <c r="MAB51" s="19"/>
      <c r="MAC51" s="19"/>
      <c r="MAD51" s="21"/>
      <c r="MAE51" s="19"/>
      <c r="MAN51" s="19"/>
      <c r="MAO51" s="19"/>
      <c r="MAP51" s="19"/>
      <c r="MAQ51" s="19"/>
      <c r="MAR51" s="21"/>
      <c r="MAS51" s="19"/>
      <c r="MBB51" s="19"/>
      <c r="MBC51" s="19"/>
      <c r="MBD51" s="19"/>
      <c r="MBE51" s="19"/>
      <c r="MBF51" s="21"/>
      <c r="MBG51" s="19"/>
      <c r="MBP51" s="19"/>
      <c r="MBQ51" s="19"/>
      <c r="MBR51" s="19"/>
      <c r="MBS51" s="19"/>
      <c r="MBT51" s="21"/>
      <c r="MBU51" s="19"/>
      <c r="MCD51" s="19"/>
      <c r="MCE51" s="19"/>
      <c r="MCF51" s="19"/>
      <c r="MCG51" s="19"/>
      <c r="MCH51" s="21"/>
      <c r="MCI51" s="19"/>
      <c r="MCR51" s="19"/>
      <c r="MCS51" s="19"/>
      <c r="MCT51" s="19"/>
      <c r="MCU51" s="19"/>
      <c r="MCV51" s="21"/>
      <c r="MCW51" s="19"/>
      <c r="MDF51" s="19"/>
      <c r="MDG51" s="19"/>
      <c r="MDH51" s="19"/>
      <c r="MDI51" s="19"/>
      <c r="MDJ51" s="21"/>
      <c r="MDK51" s="19"/>
      <c r="MDT51" s="19"/>
      <c r="MDU51" s="19"/>
      <c r="MDV51" s="19"/>
      <c r="MDW51" s="19"/>
      <c r="MDX51" s="21"/>
      <c r="MDY51" s="19"/>
      <c r="MEH51" s="19"/>
      <c r="MEI51" s="19"/>
      <c r="MEJ51" s="19"/>
      <c r="MEK51" s="19"/>
      <c r="MEL51" s="21"/>
      <c r="MEM51" s="19"/>
      <c r="MEV51" s="19"/>
      <c r="MEW51" s="19"/>
      <c r="MEX51" s="19"/>
      <c r="MEY51" s="19"/>
      <c r="MEZ51" s="21"/>
      <c r="MFA51" s="19"/>
      <c r="MFJ51" s="19"/>
      <c r="MFK51" s="19"/>
      <c r="MFL51" s="19"/>
      <c r="MFM51" s="19"/>
      <c r="MFN51" s="21"/>
      <c r="MFO51" s="19"/>
      <c r="MFX51" s="19"/>
      <c r="MFY51" s="19"/>
      <c r="MFZ51" s="19"/>
      <c r="MGA51" s="19"/>
      <c r="MGB51" s="21"/>
      <c r="MGC51" s="19"/>
      <c r="MGL51" s="19"/>
      <c r="MGM51" s="19"/>
      <c r="MGN51" s="19"/>
      <c r="MGO51" s="19"/>
      <c r="MGP51" s="21"/>
      <c r="MGQ51" s="19"/>
      <c r="MGZ51" s="19"/>
      <c r="MHA51" s="19"/>
      <c r="MHB51" s="19"/>
      <c r="MHC51" s="19"/>
      <c r="MHD51" s="21"/>
      <c r="MHE51" s="19"/>
      <c r="MHN51" s="19"/>
      <c r="MHO51" s="19"/>
      <c r="MHP51" s="19"/>
      <c r="MHQ51" s="19"/>
      <c r="MHR51" s="21"/>
      <c r="MHS51" s="19"/>
      <c r="MIB51" s="19"/>
      <c r="MIC51" s="19"/>
      <c r="MID51" s="19"/>
      <c r="MIE51" s="19"/>
      <c r="MIF51" s="21"/>
      <c r="MIG51" s="19"/>
      <c r="MIP51" s="19"/>
      <c r="MIQ51" s="19"/>
      <c r="MIR51" s="19"/>
      <c r="MIS51" s="19"/>
      <c r="MIT51" s="21"/>
      <c r="MIU51" s="19"/>
      <c r="MJD51" s="19"/>
      <c r="MJE51" s="19"/>
      <c r="MJF51" s="19"/>
      <c r="MJG51" s="19"/>
      <c r="MJH51" s="21"/>
      <c r="MJI51" s="19"/>
      <c r="MJR51" s="19"/>
      <c r="MJS51" s="19"/>
      <c r="MJT51" s="19"/>
      <c r="MJU51" s="19"/>
      <c r="MJV51" s="21"/>
      <c r="MJW51" s="19"/>
      <c r="MKF51" s="19"/>
      <c r="MKG51" s="19"/>
      <c r="MKH51" s="19"/>
      <c r="MKI51" s="19"/>
      <c r="MKJ51" s="21"/>
      <c r="MKK51" s="19"/>
      <c r="MKT51" s="19"/>
      <c r="MKU51" s="19"/>
      <c r="MKV51" s="19"/>
      <c r="MKW51" s="19"/>
      <c r="MKX51" s="21"/>
      <c r="MKY51" s="19"/>
      <c r="MLH51" s="19"/>
      <c r="MLI51" s="19"/>
      <c r="MLJ51" s="19"/>
      <c r="MLK51" s="19"/>
      <c r="MLL51" s="21"/>
      <c r="MLM51" s="19"/>
      <c r="MLV51" s="19"/>
      <c r="MLW51" s="19"/>
      <c r="MLX51" s="19"/>
      <c r="MLY51" s="19"/>
      <c r="MLZ51" s="21"/>
      <c r="MMA51" s="19"/>
      <c r="MMJ51" s="19"/>
      <c r="MMK51" s="19"/>
      <c r="MML51" s="19"/>
      <c r="MMM51" s="19"/>
      <c r="MMN51" s="21"/>
      <c r="MMO51" s="19"/>
      <c r="MMX51" s="19"/>
      <c r="MMY51" s="19"/>
      <c r="MMZ51" s="19"/>
      <c r="MNA51" s="19"/>
      <c r="MNB51" s="21"/>
      <c r="MNC51" s="19"/>
      <c r="MNL51" s="19"/>
      <c r="MNM51" s="19"/>
      <c r="MNN51" s="19"/>
      <c r="MNO51" s="19"/>
      <c r="MNP51" s="21"/>
      <c r="MNQ51" s="19"/>
      <c r="MNZ51" s="19"/>
      <c r="MOA51" s="19"/>
      <c r="MOB51" s="19"/>
      <c r="MOC51" s="19"/>
      <c r="MOD51" s="21"/>
      <c r="MOE51" s="19"/>
      <c r="MON51" s="19"/>
      <c r="MOO51" s="19"/>
      <c r="MOP51" s="19"/>
      <c r="MOQ51" s="19"/>
      <c r="MOR51" s="21"/>
      <c r="MOS51" s="19"/>
      <c r="MPB51" s="19"/>
      <c r="MPC51" s="19"/>
      <c r="MPD51" s="19"/>
      <c r="MPE51" s="19"/>
      <c r="MPF51" s="21"/>
      <c r="MPG51" s="19"/>
      <c r="MPP51" s="19"/>
      <c r="MPQ51" s="19"/>
      <c r="MPR51" s="19"/>
      <c r="MPS51" s="19"/>
      <c r="MPT51" s="21"/>
      <c r="MPU51" s="19"/>
      <c r="MQD51" s="19"/>
      <c r="MQE51" s="19"/>
      <c r="MQF51" s="19"/>
      <c r="MQG51" s="19"/>
      <c r="MQH51" s="21"/>
      <c r="MQI51" s="19"/>
      <c r="MQR51" s="19"/>
      <c r="MQS51" s="19"/>
      <c r="MQT51" s="19"/>
      <c r="MQU51" s="19"/>
      <c r="MQV51" s="21"/>
      <c r="MQW51" s="19"/>
      <c r="MRF51" s="19"/>
      <c r="MRG51" s="19"/>
      <c r="MRH51" s="19"/>
      <c r="MRI51" s="19"/>
      <c r="MRJ51" s="21"/>
      <c r="MRK51" s="19"/>
      <c r="MRT51" s="19"/>
      <c r="MRU51" s="19"/>
      <c r="MRV51" s="19"/>
      <c r="MRW51" s="19"/>
      <c r="MRX51" s="21"/>
      <c r="MRY51" s="19"/>
      <c r="MSH51" s="19"/>
      <c r="MSI51" s="19"/>
      <c r="MSJ51" s="19"/>
      <c r="MSK51" s="19"/>
      <c r="MSL51" s="21"/>
      <c r="MSM51" s="19"/>
      <c r="MSV51" s="19"/>
      <c r="MSW51" s="19"/>
      <c r="MSX51" s="19"/>
      <c r="MSY51" s="19"/>
      <c r="MSZ51" s="21"/>
      <c r="MTA51" s="19"/>
      <c r="MTJ51" s="19"/>
      <c r="MTK51" s="19"/>
      <c r="MTL51" s="19"/>
      <c r="MTM51" s="19"/>
      <c r="MTN51" s="21"/>
      <c r="MTO51" s="19"/>
      <c r="MTX51" s="19"/>
      <c r="MTY51" s="19"/>
      <c r="MTZ51" s="19"/>
      <c r="MUA51" s="19"/>
      <c r="MUB51" s="21"/>
      <c r="MUC51" s="19"/>
      <c r="MUL51" s="19"/>
      <c r="MUM51" s="19"/>
      <c r="MUN51" s="19"/>
      <c r="MUO51" s="19"/>
      <c r="MUP51" s="21"/>
      <c r="MUQ51" s="19"/>
      <c r="MUZ51" s="19"/>
      <c r="MVA51" s="19"/>
      <c r="MVB51" s="19"/>
      <c r="MVC51" s="19"/>
      <c r="MVD51" s="21"/>
      <c r="MVE51" s="19"/>
      <c r="MVN51" s="19"/>
      <c r="MVO51" s="19"/>
      <c r="MVP51" s="19"/>
      <c r="MVQ51" s="19"/>
      <c r="MVR51" s="21"/>
      <c r="MVS51" s="19"/>
      <c r="MWB51" s="19"/>
      <c r="MWC51" s="19"/>
      <c r="MWD51" s="19"/>
      <c r="MWE51" s="19"/>
      <c r="MWF51" s="21"/>
      <c r="MWG51" s="19"/>
      <c r="MWP51" s="19"/>
      <c r="MWQ51" s="19"/>
      <c r="MWR51" s="19"/>
      <c r="MWS51" s="19"/>
      <c r="MWT51" s="21"/>
      <c r="MWU51" s="19"/>
      <c r="MXD51" s="19"/>
      <c r="MXE51" s="19"/>
      <c r="MXF51" s="19"/>
      <c r="MXG51" s="19"/>
      <c r="MXH51" s="21"/>
      <c r="MXI51" s="19"/>
      <c r="MXR51" s="19"/>
      <c r="MXS51" s="19"/>
      <c r="MXT51" s="19"/>
      <c r="MXU51" s="19"/>
      <c r="MXV51" s="21"/>
      <c r="MXW51" s="19"/>
      <c r="MYF51" s="19"/>
      <c r="MYG51" s="19"/>
      <c r="MYH51" s="19"/>
      <c r="MYI51" s="19"/>
      <c r="MYJ51" s="21"/>
      <c r="MYK51" s="19"/>
      <c r="MYT51" s="19"/>
      <c r="MYU51" s="19"/>
      <c r="MYV51" s="19"/>
      <c r="MYW51" s="19"/>
      <c r="MYX51" s="21"/>
      <c r="MYY51" s="19"/>
      <c r="MZH51" s="19"/>
      <c r="MZI51" s="19"/>
      <c r="MZJ51" s="19"/>
      <c r="MZK51" s="19"/>
      <c r="MZL51" s="21"/>
      <c r="MZM51" s="19"/>
      <c r="MZV51" s="19"/>
      <c r="MZW51" s="19"/>
      <c r="MZX51" s="19"/>
      <c r="MZY51" s="19"/>
      <c r="MZZ51" s="21"/>
      <c r="NAA51" s="19"/>
      <c r="NAJ51" s="19"/>
      <c r="NAK51" s="19"/>
      <c r="NAL51" s="19"/>
      <c r="NAM51" s="19"/>
      <c r="NAN51" s="21"/>
      <c r="NAO51" s="19"/>
      <c r="NAX51" s="19"/>
      <c r="NAY51" s="19"/>
      <c r="NAZ51" s="19"/>
      <c r="NBA51" s="19"/>
      <c r="NBB51" s="21"/>
      <c r="NBC51" s="19"/>
      <c r="NBL51" s="19"/>
      <c r="NBM51" s="19"/>
      <c r="NBN51" s="19"/>
      <c r="NBO51" s="19"/>
      <c r="NBP51" s="21"/>
      <c r="NBQ51" s="19"/>
      <c r="NBZ51" s="19"/>
      <c r="NCA51" s="19"/>
      <c r="NCB51" s="19"/>
      <c r="NCC51" s="19"/>
      <c r="NCD51" s="21"/>
      <c r="NCE51" s="19"/>
      <c r="NCN51" s="19"/>
      <c r="NCO51" s="19"/>
      <c r="NCP51" s="19"/>
      <c r="NCQ51" s="19"/>
      <c r="NCR51" s="21"/>
      <c r="NCS51" s="19"/>
      <c r="NDB51" s="19"/>
      <c r="NDC51" s="19"/>
      <c r="NDD51" s="19"/>
      <c r="NDE51" s="19"/>
      <c r="NDF51" s="21"/>
      <c r="NDG51" s="19"/>
      <c r="NDP51" s="19"/>
      <c r="NDQ51" s="19"/>
      <c r="NDR51" s="19"/>
      <c r="NDS51" s="19"/>
      <c r="NDT51" s="21"/>
      <c r="NDU51" s="19"/>
      <c r="NED51" s="19"/>
      <c r="NEE51" s="19"/>
      <c r="NEF51" s="19"/>
      <c r="NEG51" s="19"/>
      <c r="NEH51" s="21"/>
      <c r="NEI51" s="19"/>
      <c r="NER51" s="19"/>
      <c r="NES51" s="19"/>
      <c r="NET51" s="19"/>
      <c r="NEU51" s="19"/>
      <c r="NEV51" s="21"/>
      <c r="NEW51" s="19"/>
      <c r="NFF51" s="19"/>
      <c r="NFG51" s="19"/>
      <c r="NFH51" s="19"/>
      <c r="NFI51" s="19"/>
      <c r="NFJ51" s="21"/>
      <c r="NFK51" s="19"/>
      <c r="NFT51" s="19"/>
      <c r="NFU51" s="19"/>
      <c r="NFV51" s="19"/>
      <c r="NFW51" s="19"/>
      <c r="NFX51" s="21"/>
      <c r="NFY51" s="19"/>
      <c r="NGH51" s="19"/>
      <c r="NGI51" s="19"/>
      <c r="NGJ51" s="19"/>
      <c r="NGK51" s="19"/>
      <c r="NGL51" s="21"/>
      <c r="NGM51" s="19"/>
      <c r="NGV51" s="19"/>
      <c r="NGW51" s="19"/>
      <c r="NGX51" s="19"/>
      <c r="NGY51" s="19"/>
      <c r="NGZ51" s="21"/>
      <c r="NHA51" s="19"/>
      <c r="NHJ51" s="19"/>
      <c r="NHK51" s="19"/>
      <c r="NHL51" s="19"/>
      <c r="NHM51" s="19"/>
      <c r="NHN51" s="21"/>
      <c r="NHO51" s="19"/>
      <c r="NHX51" s="19"/>
      <c r="NHY51" s="19"/>
      <c r="NHZ51" s="19"/>
      <c r="NIA51" s="19"/>
      <c r="NIB51" s="21"/>
      <c r="NIC51" s="19"/>
      <c r="NIL51" s="19"/>
      <c r="NIM51" s="19"/>
      <c r="NIN51" s="19"/>
      <c r="NIO51" s="19"/>
      <c r="NIP51" s="21"/>
      <c r="NIQ51" s="19"/>
      <c r="NIZ51" s="19"/>
      <c r="NJA51" s="19"/>
      <c r="NJB51" s="19"/>
      <c r="NJC51" s="19"/>
      <c r="NJD51" s="21"/>
      <c r="NJE51" s="19"/>
      <c r="NJN51" s="19"/>
      <c r="NJO51" s="19"/>
      <c r="NJP51" s="19"/>
      <c r="NJQ51" s="19"/>
      <c r="NJR51" s="21"/>
      <c r="NJS51" s="19"/>
      <c r="NKB51" s="19"/>
      <c r="NKC51" s="19"/>
      <c r="NKD51" s="19"/>
      <c r="NKE51" s="19"/>
      <c r="NKF51" s="21"/>
      <c r="NKG51" s="19"/>
      <c r="NKP51" s="19"/>
      <c r="NKQ51" s="19"/>
      <c r="NKR51" s="19"/>
      <c r="NKS51" s="19"/>
      <c r="NKT51" s="21"/>
      <c r="NKU51" s="19"/>
      <c r="NLD51" s="19"/>
      <c r="NLE51" s="19"/>
      <c r="NLF51" s="19"/>
      <c r="NLG51" s="19"/>
      <c r="NLH51" s="21"/>
      <c r="NLI51" s="19"/>
      <c r="NLR51" s="19"/>
      <c r="NLS51" s="19"/>
      <c r="NLT51" s="19"/>
      <c r="NLU51" s="19"/>
      <c r="NLV51" s="21"/>
      <c r="NLW51" s="19"/>
      <c r="NMF51" s="19"/>
      <c r="NMG51" s="19"/>
      <c r="NMH51" s="19"/>
      <c r="NMI51" s="19"/>
      <c r="NMJ51" s="21"/>
      <c r="NMK51" s="19"/>
      <c r="NMT51" s="19"/>
      <c r="NMU51" s="19"/>
      <c r="NMV51" s="19"/>
      <c r="NMW51" s="19"/>
      <c r="NMX51" s="21"/>
      <c r="NMY51" s="19"/>
      <c r="NNH51" s="19"/>
      <c r="NNI51" s="19"/>
      <c r="NNJ51" s="19"/>
      <c r="NNK51" s="19"/>
      <c r="NNL51" s="21"/>
      <c r="NNM51" s="19"/>
      <c r="NNV51" s="19"/>
      <c r="NNW51" s="19"/>
      <c r="NNX51" s="19"/>
      <c r="NNY51" s="19"/>
      <c r="NNZ51" s="21"/>
      <c r="NOA51" s="19"/>
      <c r="NOJ51" s="19"/>
      <c r="NOK51" s="19"/>
      <c r="NOL51" s="19"/>
      <c r="NOM51" s="19"/>
      <c r="NON51" s="21"/>
      <c r="NOO51" s="19"/>
      <c r="NOX51" s="19"/>
      <c r="NOY51" s="19"/>
      <c r="NOZ51" s="19"/>
      <c r="NPA51" s="19"/>
      <c r="NPB51" s="21"/>
      <c r="NPC51" s="19"/>
      <c r="NPL51" s="19"/>
      <c r="NPM51" s="19"/>
      <c r="NPN51" s="19"/>
      <c r="NPO51" s="19"/>
      <c r="NPP51" s="21"/>
      <c r="NPQ51" s="19"/>
      <c r="NPZ51" s="19"/>
      <c r="NQA51" s="19"/>
      <c r="NQB51" s="19"/>
      <c r="NQC51" s="19"/>
      <c r="NQD51" s="21"/>
      <c r="NQE51" s="19"/>
      <c r="NQN51" s="19"/>
      <c r="NQO51" s="19"/>
      <c r="NQP51" s="19"/>
      <c r="NQQ51" s="19"/>
      <c r="NQR51" s="21"/>
      <c r="NQS51" s="19"/>
      <c r="NRB51" s="19"/>
      <c r="NRC51" s="19"/>
      <c r="NRD51" s="19"/>
      <c r="NRE51" s="19"/>
      <c r="NRF51" s="21"/>
      <c r="NRG51" s="19"/>
      <c r="NRP51" s="19"/>
      <c r="NRQ51" s="19"/>
      <c r="NRR51" s="19"/>
      <c r="NRS51" s="19"/>
      <c r="NRT51" s="21"/>
      <c r="NRU51" s="19"/>
      <c r="NSD51" s="19"/>
      <c r="NSE51" s="19"/>
      <c r="NSF51" s="19"/>
      <c r="NSG51" s="19"/>
      <c r="NSH51" s="21"/>
      <c r="NSI51" s="19"/>
      <c r="NSR51" s="19"/>
      <c r="NSS51" s="19"/>
      <c r="NST51" s="19"/>
      <c r="NSU51" s="19"/>
      <c r="NSV51" s="21"/>
      <c r="NSW51" s="19"/>
      <c r="NTF51" s="19"/>
      <c r="NTG51" s="19"/>
      <c r="NTH51" s="19"/>
      <c r="NTI51" s="19"/>
      <c r="NTJ51" s="21"/>
      <c r="NTK51" s="19"/>
      <c r="NTT51" s="19"/>
      <c r="NTU51" s="19"/>
      <c r="NTV51" s="19"/>
      <c r="NTW51" s="19"/>
      <c r="NTX51" s="21"/>
      <c r="NTY51" s="19"/>
      <c r="NUH51" s="19"/>
      <c r="NUI51" s="19"/>
      <c r="NUJ51" s="19"/>
      <c r="NUK51" s="19"/>
      <c r="NUL51" s="21"/>
      <c r="NUM51" s="19"/>
      <c r="NUV51" s="19"/>
      <c r="NUW51" s="19"/>
      <c r="NUX51" s="19"/>
      <c r="NUY51" s="19"/>
      <c r="NUZ51" s="21"/>
      <c r="NVA51" s="19"/>
      <c r="NVJ51" s="19"/>
      <c r="NVK51" s="19"/>
      <c r="NVL51" s="19"/>
      <c r="NVM51" s="19"/>
      <c r="NVN51" s="21"/>
      <c r="NVO51" s="19"/>
      <c r="NVX51" s="19"/>
      <c r="NVY51" s="19"/>
      <c r="NVZ51" s="19"/>
      <c r="NWA51" s="19"/>
      <c r="NWB51" s="21"/>
      <c r="NWC51" s="19"/>
      <c r="NWL51" s="19"/>
      <c r="NWM51" s="19"/>
      <c r="NWN51" s="19"/>
      <c r="NWO51" s="19"/>
      <c r="NWP51" s="21"/>
      <c r="NWQ51" s="19"/>
      <c r="NWZ51" s="19"/>
      <c r="NXA51" s="19"/>
      <c r="NXB51" s="19"/>
      <c r="NXC51" s="19"/>
      <c r="NXD51" s="21"/>
      <c r="NXE51" s="19"/>
      <c r="NXN51" s="19"/>
      <c r="NXO51" s="19"/>
      <c r="NXP51" s="19"/>
      <c r="NXQ51" s="19"/>
      <c r="NXR51" s="21"/>
      <c r="NXS51" s="19"/>
      <c r="NYB51" s="19"/>
      <c r="NYC51" s="19"/>
      <c r="NYD51" s="19"/>
      <c r="NYE51" s="19"/>
      <c r="NYF51" s="21"/>
      <c r="NYG51" s="19"/>
      <c r="NYP51" s="19"/>
      <c r="NYQ51" s="19"/>
      <c r="NYR51" s="19"/>
      <c r="NYS51" s="19"/>
      <c r="NYT51" s="21"/>
      <c r="NYU51" s="19"/>
      <c r="NZD51" s="19"/>
      <c r="NZE51" s="19"/>
      <c r="NZF51" s="19"/>
      <c r="NZG51" s="19"/>
      <c r="NZH51" s="21"/>
      <c r="NZI51" s="19"/>
      <c r="NZR51" s="19"/>
      <c r="NZS51" s="19"/>
      <c r="NZT51" s="19"/>
      <c r="NZU51" s="19"/>
      <c r="NZV51" s="21"/>
      <c r="NZW51" s="19"/>
      <c r="OAF51" s="19"/>
      <c r="OAG51" s="19"/>
      <c r="OAH51" s="19"/>
      <c r="OAI51" s="19"/>
      <c r="OAJ51" s="21"/>
      <c r="OAK51" s="19"/>
      <c r="OAT51" s="19"/>
      <c r="OAU51" s="19"/>
      <c r="OAV51" s="19"/>
      <c r="OAW51" s="19"/>
      <c r="OAX51" s="21"/>
      <c r="OAY51" s="19"/>
      <c r="OBH51" s="19"/>
      <c r="OBI51" s="19"/>
      <c r="OBJ51" s="19"/>
      <c r="OBK51" s="19"/>
      <c r="OBL51" s="21"/>
      <c r="OBM51" s="19"/>
      <c r="OBV51" s="19"/>
      <c r="OBW51" s="19"/>
      <c r="OBX51" s="19"/>
      <c r="OBY51" s="19"/>
      <c r="OBZ51" s="21"/>
      <c r="OCA51" s="19"/>
      <c r="OCJ51" s="19"/>
      <c r="OCK51" s="19"/>
      <c r="OCL51" s="19"/>
      <c r="OCM51" s="19"/>
      <c r="OCN51" s="21"/>
      <c r="OCO51" s="19"/>
      <c r="OCX51" s="19"/>
      <c r="OCY51" s="19"/>
      <c r="OCZ51" s="19"/>
      <c r="ODA51" s="19"/>
      <c r="ODB51" s="21"/>
      <c r="ODC51" s="19"/>
      <c r="ODL51" s="19"/>
      <c r="ODM51" s="19"/>
      <c r="ODN51" s="19"/>
      <c r="ODO51" s="19"/>
      <c r="ODP51" s="21"/>
      <c r="ODQ51" s="19"/>
      <c r="ODZ51" s="19"/>
      <c r="OEA51" s="19"/>
      <c r="OEB51" s="19"/>
      <c r="OEC51" s="19"/>
      <c r="OED51" s="21"/>
      <c r="OEE51" s="19"/>
      <c r="OEN51" s="19"/>
      <c r="OEO51" s="19"/>
      <c r="OEP51" s="19"/>
      <c r="OEQ51" s="19"/>
      <c r="OER51" s="21"/>
      <c r="OES51" s="19"/>
      <c r="OFB51" s="19"/>
      <c r="OFC51" s="19"/>
      <c r="OFD51" s="19"/>
      <c r="OFE51" s="19"/>
      <c r="OFF51" s="21"/>
      <c r="OFG51" s="19"/>
      <c r="OFP51" s="19"/>
      <c r="OFQ51" s="19"/>
      <c r="OFR51" s="19"/>
      <c r="OFS51" s="19"/>
      <c r="OFT51" s="21"/>
      <c r="OFU51" s="19"/>
      <c r="OGD51" s="19"/>
      <c r="OGE51" s="19"/>
      <c r="OGF51" s="19"/>
      <c r="OGG51" s="19"/>
      <c r="OGH51" s="21"/>
      <c r="OGI51" s="19"/>
      <c r="OGR51" s="19"/>
      <c r="OGS51" s="19"/>
      <c r="OGT51" s="19"/>
      <c r="OGU51" s="19"/>
      <c r="OGV51" s="21"/>
      <c r="OGW51" s="19"/>
      <c r="OHF51" s="19"/>
      <c r="OHG51" s="19"/>
      <c r="OHH51" s="19"/>
      <c r="OHI51" s="19"/>
      <c r="OHJ51" s="21"/>
      <c r="OHK51" s="19"/>
      <c r="OHT51" s="19"/>
      <c r="OHU51" s="19"/>
      <c r="OHV51" s="19"/>
      <c r="OHW51" s="19"/>
      <c r="OHX51" s="21"/>
      <c r="OHY51" s="19"/>
      <c r="OIH51" s="19"/>
      <c r="OII51" s="19"/>
      <c r="OIJ51" s="19"/>
      <c r="OIK51" s="19"/>
      <c r="OIL51" s="21"/>
      <c r="OIM51" s="19"/>
      <c r="OIV51" s="19"/>
      <c r="OIW51" s="19"/>
      <c r="OIX51" s="19"/>
      <c r="OIY51" s="19"/>
      <c r="OIZ51" s="21"/>
      <c r="OJA51" s="19"/>
      <c r="OJJ51" s="19"/>
      <c r="OJK51" s="19"/>
      <c r="OJL51" s="19"/>
      <c r="OJM51" s="19"/>
      <c r="OJN51" s="21"/>
      <c r="OJO51" s="19"/>
      <c r="OJX51" s="19"/>
      <c r="OJY51" s="19"/>
      <c r="OJZ51" s="19"/>
      <c r="OKA51" s="19"/>
      <c r="OKB51" s="21"/>
      <c r="OKC51" s="19"/>
      <c r="OKL51" s="19"/>
      <c r="OKM51" s="19"/>
      <c r="OKN51" s="19"/>
      <c r="OKO51" s="19"/>
      <c r="OKP51" s="21"/>
      <c r="OKQ51" s="19"/>
      <c r="OKZ51" s="19"/>
      <c r="OLA51" s="19"/>
      <c r="OLB51" s="19"/>
      <c r="OLC51" s="19"/>
      <c r="OLD51" s="21"/>
      <c r="OLE51" s="19"/>
      <c r="OLN51" s="19"/>
      <c r="OLO51" s="19"/>
      <c r="OLP51" s="19"/>
      <c r="OLQ51" s="19"/>
      <c r="OLR51" s="21"/>
      <c r="OLS51" s="19"/>
      <c r="OMB51" s="19"/>
      <c r="OMC51" s="19"/>
      <c r="OMD51" s="19"/>
      <c r="OME51" s="19"/>
      <c r="OMF51" s="21"/>
      <c r="OMG51" s="19"/>
      <c r="OMP51" s="19"/>
      <c r="OMQ51" s="19"/>
      <c r="OMR51" s="19"/>
      <c r="OMS51" s="19"/>
      <c r="OMT51" s="21"/>
      <c r="OMU51" s="19"/>
      <c r="OND51" s="19"/>
      <c r="ONE51" s="19"/>
      <c r="ONF51" s="19"/>
      <c r="ONG51" s="19"/>
      <c r="ONH51" s="21"/>
      <c r="ONI51" s="19"/>
      <c r="ONR51" s="19"/>
      <c r="ONS51" s="19"/>
      <c r="ONT51" s="19"/>
      <c r="ONU51" s="19"/>
      <c r="ONV51" s="21"/>
      <c r="ONW51" s="19"/>
      <c r="OOF51" s="19"/>
      <c r="OOG51" s="19"/>
      <c r="OOH51" s="19"/>
      <c r="OOI51" s="19"/>
      <c r="OOJ51" s="21"/>
      <c r="OOK51" s="19"/>
      <c r="OOT51" s="19"/>
      <c r="OOU51" s="19"/>
      <c r="OOV51" s="19"/>
      <c r="OOW51" s="19"/>
      <c r="OOX51" s="21"/>
      <c r="OOY51" s="19"/>
      <c r="OPH51" s="19"/>
      <c r="OPI51" s="19"/>
      <c r="OPJ51" s="19"/>
      <c r="OPK51" s="19"/>
      <c r="OPL51" s="21"/>
      <c r="OPM51" s="19"/>
      <c r="OPV51" s="19"/>
      <c r="OPW51" s="19"/>
      <c r="OPX51" s="19"/>
      <c r="OPY51" s="19"/>
      <c r="OPZ51" s="21"/>
      <c r="OQA51" s="19"/>
      <c r="OQJ51" s="19"/>
      <c r="OQK51" s="19"/>
      <c r="OQL51" s="19"/>
      <c r="OQM51" s="19"/>
      <c r="OQN51" s="21"/>
      <c r="OQO51" s="19"/>
      <c r="OQX51" s="19"/>
      <c r="OQY51" s="19"/>
      <c r="OQZ51" s="19"/>
      <c r="ORA51" s="19"/>
      <c r="ORB51" s="21"/>
      <c r="ORC51" s="19"/>
      <c r="ORL51" s="19"/>
      <c r="ORM51" s="19"/>
      <c r="ORN51" s="19"/>
      <c r="ORO51" s="19"/>
      <c r="ORP51" s="21"/>
      <c r="ORQ51" s="19"/>
      <c r="ORZ51" s="19"/>
      <c r="OSA51" s="19"/>
      <c r="OSB51" s="19"/>
      <c r="OSC51" s="19"/>
      <c r="OSD51" s="21"/>
      <c r="OSE51" s="19"/>
      <c r="OSN51" s="19"/>
      <c r="OSO51" s="19"/>
      <c r="OSP51" s="19"/>
      <c r="OSQ51" s="19"/>
      <c r="OSR51" s="21"/>
      <c r="OSS51" s="19"/>
      <c r="OTB51" s="19"/>
      <c r="OTC51" s="19"/>
      <c r="OTD51" s="19"/>
      <c r="OTE51" s="19"/>
      <c r="OTF51" s="21"/>
      <c r="OTG51" s="19"/>
      <c r="OTP51" s="19"/>
      <c r="OTQ51" s="19"/>
      <c r="OTR51" s="19"/>
      <c r="OTS51" s="19"/>
      <c r="OTT51" s="21"/>
      <c r="OTU51" s="19"/>
      <c r="OUD51" s="19"/>
      <c r="OUE51" s="19"/>
      <c r="OUF51" s="19"/>
      <c r="OUG51" s="19"/>
      <c r="OUH51" s="21"/>
      <c r="OUI51" s="19"/>
      <c r="OUR51" s="19"/>
      <c r="OUS51" s="19"/>
      <c r="OUT51" s="19"/>
      <c r="OUU51" s="19"/>
      <c r="OUV51" s="21"/>
      <c r="OUW51" s="19"/>
      <c r="OVF51" s="19"/>
      <c r="OVG51" s="19"/>
      <c r="OVH51" s="19"/>
      <c r="OVI51" s="19"/>
      <c r="OVJ51" s="21"/>
      <c r="OVK51" s="19"/>
      <c r="OVT51" s="19"/>
      <c r="OVU51" s="19"/>
      <c r="OVV51" s="19"/>
      <c r="OVW51" s="19"/>
      <c r="OVX51" s="21"/>
      <c r="OVY51" s="19"/>
      <c r="OWH51" s="19"/>
      <c r="OWI51" s="19"/>
      <c r="OWJ51" s="19"/>
      <c r="OWK51" s="19"/>
      <c r="OWL51" s="21"/>
      <c r="OWM51" s="19"/>
      <c r="OWV51" s="19"/>
      <c r="OWW51" s="19"/>
      <c r="OWX51" s="19"/>
      <c r="OWY51" s="19"/>
      <c r="OWZ51" s="21"/>
      <c r="OXA51" s="19"/>
      <c r="OXJ51" s="19"/>
      <c r="OXK51" s="19"/>
      <c r="OXL51" s="19"/>
      <c r="OXM51" s="19"/>
      <c r="OXN51" s="21"/>
      <c r="OXO51" s="19"/>
      <c r="OXX51" s="19"/>
      <c r="OXY51" s="19"/>
      <c r="OXZ51" s="19"/>
      <c r="OYA51" s="19"/>
      <c r="OYB51" s="21"/>
      <c r="OYC51" s="19"/>
      <c r="OYL51" s="19"/>
      <c r="OYM51" s="19"/>
      <c r="OYN51" s="19"/>
      <c r="OYO51" s="19"/>
      <c r="OYP51" s="21"/>
      <c r="OYQ51" s="19"/>
      <c r="OYZ51" s="19"/>
      <c r="OZA51" s="19"/>
      <c r="OZB51" s="19"/>
      <c r="OZC51" s="19"/>
      <c r="OZD51" s="21"/>
      <c r="OZE51" s="19"/>
      <c r="OZN51" s="19"/>
      <c r="OZO51" s="19"/>
      <c r="OZP51" s="19"/>
      <c r="OZQ51" s="19"/>
      <c r="OZR51" s="21"/>
      <c r="OZS51" s="19"/>
      <c r="PAB51" s="19"/>
      <c r="PAC51" s="19"/>
      <c r="PAD51" s="19"/>
      <c r="PAE51" s="19"/>
      <c r="PAF51" s="21"/>
      <c r="PAG51" s="19"/>
      <c r="PAP51" s="19"/>
      <c r="PAQ51" s="19"/>
      <c r="PAR51" s="19"/>
      <c r="PAS51" s="19"/>
      <c r="PAT51" s="21"/>
      <c r="PAU51" s="19"/>
      <c r="PBD51" s="19"/>
      <c r="PBE51" s="19"/>
      <c r="PBF51" s="19"/>
      <c r="PBG51" s="19"/>
      <c r="PBH51" s="21"/>
      <c r="PBI51" s="19"/>
      <c r="PBR51" s="19"/>
      <c r="PBS51" s="19"/>
      <c r="PBT51" s="19"/>
      <c r="PBU51" s="19"/>
      <c r="PBV51" s="21"/>
      <c r="PBW51" s="19"/>
      <c r="PCF51" s="19"/>
      <c r="PCG51" s="19"/>
      <c r="PCH51" s="19"/>
      <c r="PCI51" s="19"/>
      <c r="PCJ51" s="21"/>
      <c r="PCK51" s="19"/>
      <c r="PCT51" s="19"/>
      <c r="PCU51" s="19"/>
      <c r="PCV51" s="19"/>
      <c r="PCW51" s="19"/>
      <c r="PCX51" s="21"/>
      <c r="PCY51" s="19"/>
      <c r="PDH51" s="19"/>
      <c r="PDI51" s="19"/>
      <c r="PDJ51" s="19"/>
      <c r="PDK51" s="19"/>
      <c r="PDL51" s="21"/>
      <c r="PDM51" s="19"/>
      <c r="PDV51" s="19"/>
      <c r="PDW51" s="19"/>
      <c r="PDX51" s="19"/>
      <c r="PDY51" s="19"/>
      <c r="PDZ51" s="21"/>
      <c r="PEA51" s="19"/>
      <c r="PEJ51" s="19"/>
      <c r="PEK51" s="19"/>
      <c r="PEL51" s="19"/>
      <c r="PEM51" s="19"/>
      <c r="PEN51" s="21"/>
      <c r="PEO51" s="19"/>
      <c r="PEX51" s="19"/>
      <c r="PEY51" s="19"/>
      <c r="PEZ51" s="19"/>
      <c r="PFA51" s="19"/>
      <c r="PFB51" s="21"/>
      <c r="PFC51" s="19"/>
      <c r="PFL51" s="19"/>
      <c r="PFM51" s="19"/>
      <c r="PFN51" s="19"/>
      <c r="PFO51" s="19"/>
      <c r="PFP51" s="21"/>
      <c r="PFQ51" s="19"/>
      <c r="PFZ51" s="19"/>
      <c r="PGA51" s="19"/>
      <c r="PGB51" s="19"/>
      <c r="PGC51" s="19"/>
      <c r="PGD51" s="21"/>
      <c r="PGE51" s="19"/>
      <c r="PGN51" s="19"/>
      <c r="PGO51" s="19"/>
      <c r="PGP51" s="19"/>
      <c r="PGQ51" s="19"/>
      <c r="PGR51" s="21"/>
      <c r="PGS51" s="19"/>
      <c r="PHB51" s="19"/>
      <c r="PHC51" s="19"/>
      <c r="PHD51" s="19"/>
      <c r="PHE51" s="19"/>
      <c r="PHF51" s="21"/>
      <c r="PHG51" s="19"/>
      <c r="PHP51" s="19"/>
      <c r="PHQ51" s="19"/>
      <c r="PHR51" s="19"/>
      <c r="PHS51" s="19"/>
      <c r="PHT51" s="21"/>
      <c r="PHU51" s="19"/>
      <c r="PID51" s="19"/>
      <c r="PIE51" s="19"/>
      <c r="PIF51" s="19"/>
      <c r="PIG51" s="19"/>
      <c r="PIH51" s="21"/>
      <c r="PII51" s="19"/>
      <c r="PIR51" s="19"/>
      <c r="PIS51" s="19"/>
      <c r="PIT51" s="19"/>
      <c r="PIU51" s="19"/>
      <c r="PIV51" s="21"/>
      <c r="PIW51" s="19"/>
      <c r="PJF51" s="19"/>
      <c r="PJG51" s="19"/>
      <c r="PJH51" s="19"/>
      <c r="PJI51" s="19"/>
      <c r="PJJ51" s="21"/>
      <c r="PJK51" s="19"/>
      <c r="PJT51" s="19"/>
      <c r="PJU51" s="19"/>
      <c r="PJV51" s="19"/>
      <c r="PJW51" s="19"/>
      <c r="PJX51" s="21"/>
      <c r="PJY51" s="19"/>
      <c r="PKH51" s="19"/>
      <c r="PKI51" s="19"/>
      <c r="PKJ51" s="19"/>
      <c r="PKK51" s="19"/>
      <c r="PKL51" s="21"/>
      <c r="PKM51" s="19"/>
      <c r="PKV51" s="19"/>
      <c r="PKW51" s="19"/>
      <c r="PKX51" s="19"/>
      <c r="PKY51" s="19"/>
      <c r="PKZ51" s="21"/>
      <c r="PLA51" s="19"/>
      <c r="PLJ51" s="19"/>
      <c r="PLK51" s="19"/>
      <c r="PLL51" s="19"/>
      <c r="PLM51" s="19"/>
      <c r="PLN51" s="21"/>
      <c r="PLO51" s="19"/>
      <c r="PLX51" s="19"/>
      <c r="PLY51" s="19"/>
      <c r="PLZ51" s="19"/>
      <c r="PMA51" s="19"/>
      <c r="PMB51" s="21"/>
      <c r="PMC51" s="19"/>
      <c r="PML51" s="19"/>
      <c r="PMM51" s="19"/>
      <c r="PMN51" s="19"/>
      <c r="PMO51" s="19"/>
      <c r="PMP51" s="21"/>
      <c r="PMQ51" s="19"/>
      <c r="PMZ51" s="19"/>
      <c r="PNA51" s="19"/>
      <c r="PNB51" s="19"/>
      <c r="PNC51" s="19"/>
      <c r="PND51" s="21"/>
      <c r="PNE51" s="19"/>
      <c r="PNN51" s="19"/>
      <c r="PNO51" s="19"/>
      <c r="PNP51" s="19"/>
      <c r="PNQ51" s="19"/>
      <c r="PNR51" s="21"/>
      <c r="PNS51" s="19"/>
      <c r="POB51" s="19"/>
      <c r="POC51" s="19"/>
      <c r="POD51" s="19"/>
      <c r="POE51" s="19"/>
      <c r="POF51" s="21"/>
      <c r="POG51" s="19"/>
      <c r="POP51" s="19"/>
      <c r="POQ51" s="19"/>
      <c r="POR51" s="19"/>
      <c r="POS51" s="19"/>
      <c r="POT51" s="21"/>
      <c r="POU51" s="19"/>
      <c r="PPD51" s="19"/>
      <c r="PPE51" s="19"/>
      <c r="PPF51" s="19"/>
      <c r="PPG51" s="19"/>
      <c r="PPH51" s="21"/>
      <c r="PPI51" s="19"/>
      <c r="PPR51" s="19"/>
      <c r="PPS51" s="19"/>
      <c r="PPT51" s="19"/>
      <c r="PPU51" s="19"/>
      <c r="PPV51" s="21"/>
      <c r="PPW51" s="19"/>
      <c r="PQF51" s="19"/>
      <c r="PQG51" s="19"/>
      <c r="PQH51" s="19"/>
      <c r="PQI51" s="19"/>
      <c r="PQJ51" s="21"/>
      <c r="PQK51" s="19"/>
      <c r="PQT51" s="19"/>
      <c r="PQU51" s="19"/>
      <c r="PQV51" s="19"/>
      <c r="PQW51" s="19"/>
      <c r="PQX51" s="21"/>
      <c r="PQY51" s="19"/>
      <c r="PRH51" s="19"/>
      <c r="PRI51" s="19"/>
      <c r="PRJ51" s="19"/>
      <c r="PRK51" s="19"/>
      <c r="PRL51" s="21"/>
      <c r="PRM51" s="19"/>
      <c r="PRV51" s="19"/>
      <c r="PRW51" s="19"/>
      <c r="PRX51" s="19"/>
      <c r="PRY51" s="19"/>
      <c r="PRZ51" s="21"/>
      <c r="PSA51" s="19"/>
      <c r="PSJ51" s="19"/>
      <c r="PSK51" s="19"/>
      <c r="PSL51" s="19"/>
      <c r="PSM51" s="19"/>
      <c r="PSN51" s="21"/>
      <c r="PSO51" s="19"/>
      <c r="PSX51" s="19"/>
      <c r="PSY51" s="19"/>
      <c r="PSZ51" s="19"/>
      <c r="PTA51" s="19"/>
      <c r="PTB51" s="21"/>
      <c r="PTC51" s="19"/>
      <c r="PTL51" s="19"/>
      <c r="PTM51" s="19"/>
      <c r="PTN51" s="19"/>
      <c r="PTO51" s="19"/>
      <c r="PTP51" s="21"/>
      <c r="PTQ51" s="19"/>
      <c r="PTZ51" s="19"/>
      <c r="PUA51" s="19"/>
      <c r="PUB51" s="19"/>
      <c r="PUC51" s="19"/>
      <c r="PUD51" s="21"/>
      <c r="PUE51" s="19"/>
      <c r="PUN51" s="19"/>
      <c r="PUO51" s="19"/>
      <c r="PUP51" s="19"/>
      <c r="PUQ51" s="19"/>
      <c r="PUR51" s="21"/>
      <c r="PUS51" s="19"/>
      <c r="PVB51" s="19"/>
      <c r="PVC51" s="19"/>
      <c r="PVD51" s="19"/>
      <c r="PVE51" s="19"/>
      <c r="PVF51" s="21"/>
      <c r="PVG51" s="19"/>
      <c r="PVP51" s="19"/>
      <c r="PVQ51" s="19"/>
      <c r="PVR51" s="19"/>
      <c r="PVS51" s="19"/>
      <c r="PVT51" s="21"/>
      <c r="PVU51" s="19"/>
      <c r="PWD51" s="19"/>
      <c r="PWE51" s="19"/>
      <c r="PWF51" s="19"/>
      <c r="PWG51" s="19"/>
      <c r="PWH51" s="21"/>
      <c r="PWI51" s="19"/>
      <c r="PWR51" s="19"/>
      <c r="PWS51" s="19"/>
      <c r="PWT51" s="19"/>
      <c r="PWU51" s="19"/>
      <c r="PWV51" s="21"/>
      <c r="PWW51" s="19"/>
      <c r="PXF51" s="19"/>
      <c r="PXG51" s="19"/>
      <c r="PXH51" s="19"/>
      <c r="PXI51" s="19"/>
      <c r="PXJ51" s="21"/>
      <c r="PXK51" s="19"/>
      <c r="PXT51" s="19"/>
      <c r="PXU51" s="19"/>
      <c r="PXV51" s="19"/>
      <c r="PXW51" s="19"/>
      <c r="PXX51" s="21"/>
      <c r="PXY51" s="19"/>
      <c r="PYH51" s="19"/>
      <c r="PYI51" s="19"/>
      <c r="PYJ51" s="19"/>
      <c r="PYK51" s="19"/>
      <c r="PYL51" s="21"/>
      <c r="PYM51" s="19"/>
      <c r="PYV51" s="19"/>
      <c r="PYW51" s="19"/>
      <c r="PYX51" s="19"/>
      <c r="PYY51" s="19"/>
      <c r="PYZ51" s="21"/>
      <c r="PZA51" s="19"/>
      <c r="PZJ51" s="19"/>
      <c r="PZK51" s="19"/>
      <c r="PZL51" s="19"/>
      <c r="PZM51" s="19"/>
      <c r="PZN51" s="21"/>
      <c r="PZO51" s="19"/>
      <c r="PZX51" s="19"/>
      <c r="PZY51" s="19"/>
      <c r="PZZ51" s="19"/>
      <c r="QAA51" s="19"/>
      <c r="QAB51" s="21"/>
      <c r="QAC51" s="19"/>
      <c r="QAL51" s="19"/>
      <c r="QAM51" s="19"/>
      <c r="QAN51" s="19"/>
      <c r="QAO51" s="19"/>
      <c r="QAP51" s="21"/>
      <c r="QAQ51" s="19"/>
      <c r="QAZ51" s="19"/>
      <c r="QBA51" s="19"/>
      <c r="QBB51" s="19"/>
      <c r="QBC51" s="19"/>
      <c r="QBD51" s="21"/>
      <c r="QBE51" s="19"/>
      <c r="QBN51" s="19"/>
      <c r="QBO51" s="19"/>
      <c r="QBP51" s="19"/>
      <c r="QBQ51" s="19"/>
      <c r="QBR51" s="21"/>
      <c r="QBS51" s="19"/>
      <c r="QCB51" s="19"/>
      <c r="QCC51" s="19"/>
      <c r="QCD51" s="19"/>
      <c r="QCE51" s="19"/>
      <c r="QCF51" s="21"/>
      <c r="QCG51" s="19"/>
      <c r="QCP51" s="19"/>
      <c r="QCQ51" s="19"/>
      <c r="QCR51" s="19"/>
      <c r="QCS51" s="19"/>
      <c r="QCT51" s="21"/>
      <c r="QCU51" s="19"/>
      <c r="QDD51" s="19"/>
      <c r="QDE51" s="19"/>
      <c r="QDF51" s="19"/>
      <c r="QDG51" s="19"/>
      <c r="QDH51" s="21"/>
      <c r="QDI51" s="19"/>
      <c r="QDR51" s="19"/>
      <c r="QDS51" s="19"/>
      <c r="QDT51" s="19"/>
      <c r="QDU51" s="19"/>
      <c r="QDV51" s="21"/>
      <c r="QDW51" s="19"/>
      <c r="QEF51" s="19"/>
      <c r="QEG51" s="19"/>
      <c r="QEH51" s="19"/>
      <c r="QEI51" s="19"/>
      <c r="QEJ51" s="21"/>
      <c r="QEK51" s="19"/>
      <c r="QET51" s="19"/>
      <c r="QEU51" s="19"/>
      <c r="QEV51" s="19"/>
      <c r="QEW51" s="19"/>
      <c r="QEX51" s="21"/>
      <c r="QEY51" s="19"/>
      <c r="QFH51" s="19"/>
      <c r="QFI51" s="19"/>
      <c r="QFJ51" s="19"/>
      <c r="QFK51" s="19"/>
      <c r="QFL51" s="21"/>
      <c r="QFM51" s="19"/>
      <c r="QFV51" s="19"/>
      <c r="QFW51" s="19"/>
      <c r="QFX51" s="19"/>
      <c r="QFY51" s="19"/>
      <c r="QFZ51" s="21"/>
      <c r="QGA51" s="19"/>
      <c r="QGJ51" s="19"/>
      <c r="QGK51" s="19"/>
      <c r="QGL51" s="19"/>
      <c r="QGM51" s="19"/>
      <c r="QGN51" s="21"/>
      <c r="QGO51" s="19"/>
      <c r="QGX51" s="19"/>
      <c r="QGY51" s="19"/>
      <c r="QGZ51" s="19"/>
      <c r="QHA51" s="19"/>
      <c r="QHB51" s="21"/>
      <c r="QHC51" s="19"/>
      <c r="QHL51" s="19"/>
      <c r="QHM51" s="19"/>
      <c r="QHN51" s="19"/>
      <c r="QHO51" s="19"/>
      <c r="QHP51" s="21"/>
      <c r="QHQ51" s="19"/>
      <c r="QHZ51" s="19"/>
      <c r="QIA51" s="19"/>
      <c r="QIB51" s="19"/>
      <c r="QIC51" s="19"/>
      <c r="QID51" s="21"/>
      <c r="QIE51" s="19"/>
      <c r="QIN51" s="19"/>
      <c r="QIO51" s="19"/>
      <c r="QIP51" s="19"/>
      <c r="QIQ51" s="19"/>
      <c r="QIR51" s="21"/>
      <c r="QIS51" s="19"/>
      <c r="QJB51" s="19"/>
      <c r="QJC51" s="19"/>
      <c r="QJD51" s="19"/>
      <c r="QJE51" s="19"/>
      <c r="QJF51" s="21"/>
      <c r="QJG51" s="19"/>
      <c r="QJP51" s="19"/>
      <c r="QJQ51" s="19"/>
      <c r="QJR51" s="19"/>
      <c r="QJS51" s="19"/>
      <c r="QJT51" s="21"/>
      <c r="QJU51" s="19"/>
      <c r="QKD51" s="19"/>
      <c r="QKE51" s="19"/>
      <c r="QKF51" s="19"/>
      <c r="QKG51" s="19"/>
      <c r="QKH51" s="21"/>
      <c r="QKI51" s="19"/>
      <c r="QKR51" s="19"/>
      <c r="QKS51" s="19"/>
      <c r="QKT51" s="19"/>
      <c r="QKU51" s="19"/>
      <c r="QKV51" s="21"/>
      <c r="QKW51" s="19"/>
      <c r="QLF51" s="19"/>
      <c r="QLG51" s="19"/>
      <c r="QLH51" s="19"/>
      <c r="QLI51" s="19"/>
      <c r="QLJ51" s="21"/>
      <c r="QLK51" s="19"/>
      <c r="QLT51" s="19"/>
      <c r="QLU51" s="19"/>
      <c r="QLV51" s="19"/>
      <c r="QLW51" s="19"/>
      <c r="QLX51" s="21"/>
      <c r="QLY51" s="19"/>
      <c r="QMH51" s="19"/>
      <c r="QMI51" s="19"/>
      <c r="QMJ51" s="19"/>
      <c r="QMK51" s="19"/>
      <c r="QML51" s="21"/>
      <c r="QMM51" s="19"/>
      <c r="QMV51" s="19"/>
      <c r="QMW51" s="19"/>
      <c r="QMX51" s="19"/>
      <c r="QMY51" s="19"/>
      <c r="QMZ51" s="21"/>
      <c r="QNA51" s="19"/>
      <c r="QNJ51" s="19"/>
      <c r="QNK51" s="19"/>
      <c r="QNL51" s="19"/>
      <c r="QNM51" s="19"/>
      <c r="QNN51" s="21"/>
      <c r="QNO51" s="19"/>
      <c r="QNX51" s="19"/>
      <c r="QNY51" s="19"/>
      <c r="QNZ51" s="19"/>
      <c r="QOA51" s="19"/>
      <c r="QOB51" s="21"/>
      <c r="QOC51" s="19"/>
      <c r="QOL51" s="19"/>
      <c r="QOM51" s="19"/>
      <c r="QON51" s="19"/>
      <c r="QOO51" s="19"/>
      <c r="QOP51" s="21"/>
      <c r="QOQ51" s="19"/>
      <c r="QOZ51" s="19"/>
      <c r="QPA51" s="19"/>
      <c r="QPB51" s="19"/>
      <c r="QPC51" s="19"/>
      <c r="QPD51" s="21"/>
      <c r="QPE51" s="19"/>
      <c r="QPN51" s="19"/>
      <c r="QPO51" s="19"/>
      <c r="QPP51" s="19"/>
      <c r="QPQ51" s="19"/>
      <c r="QPR51" s="21"/>
      <c r="QPS51" s="19"/>
      <c r="QQB51" s="19"/>
      <c r="QQC51" s="19"/>
      <c r="QQD51" s="19"/>
      <c r="QQE51" s="19"/>
      <c r="QQF51" s="21"/>
      <c r="QQG51" s="19"/>
      <c r="QQP51" s="19"/>
      <c r="QQQ51" s="19"/>
      <c r="QQR51" s="19"/>
      <c r="QQS51" s="19"/>
      <c r="QQT51" s="21"/>
      <c r="QQU51" s="19"/>
      <c r="QRD51" s="19"/>
      <c r="QRE51" s="19"/>
      <c r="QRF51" s="19"/>
      <c r="QRG51" s="19"/>
      <c r="QRH51" s="21"/>
      <c r="QRI51" s="19"/>
      <c r="QRR51" s="19"/>
      <c r="QRS51" s="19"/>
      <c r="QRT51" s="19"/>
      <c r="QRU51" s="19"/>
      <c r="QRV51" s="21"/>
      <c r="QRW51" s="19"/>
      <c r="QSF51" s="19"/>
      <c r="QSG51" s="19"/>
      <c r="QSH51" s="19"/>
      <c r="QSI51" s="19"/>
      <c r="QSJ51" s="21"/>
      <c r="QSK51" s="19"/>
      <c r="QST51" s="19"/>
      <c r="QSU51" s="19"/>
      <c r="QSV51" s="19"/>
      <c r="QSW51" s="19"/>
      <c r="QSX51" s="21"/>
      <c r="QSY51" s="19"/>
      <c r="QTH51" s="19"/>
      <c r="QTI51" s="19"/>
      <c r="QTJ51" s="19"/>
      <c r="QTK51" s="19"/>
      <c r="QTL51" s="21"/>
      <c r="QTM51" s="19"/>
      <c r="QTV51" s="19"/>
      <c r="QTW51" s="19"/>
      <c r="QTX51" s="19"/>
      <c r="QTY51" s="19"/>
      <c r="QTZ51" s="21"/>
      <c r="QUA51" s="19"/>
      <c r="QUJ51" s="19"/>
      <c r="QUK51" s="19"/>
      <c r="QUL51" s="19"/>
      <c r="QUM51" s="19"/>
      <c r="QUN51" s="21"/>
      <c r="QUO51" s="19"/>
      <c r="QUX51" s="19"/>
      <c r="QUY51" s="19"/>
      <c r="QUZ51" s="19"/>
      <c r="QVA51" s="19"/>
      <c r="QVB51" s="21"/>
      <c r="QVC51" s="19"/>
      <c r="QVL51" s="19"/>
      <c r="QVM51" s="19"/>
      <c r="QVN51" s="19"/>
      <c r="QVO51" s="19"/>
      <c r="QVP51" s="21"/>
      <c r="QVQ51" s="19"/>
      <c r="QVZ51" s="19"/>
      <c r="QWA51" s="19"/>
      <c r="QWB51" s="19"/>
      <c r="QWC51" s="19"/>
      <c r="QWD51" s="21"/>
      <c r="QWE51" s="19"/>
      <c r="QWN51" s="19"/>
      <c r="QWO51" s="19"/>
      <c r="QWP51" s="19"/>
      <c r="QWQ51" s="19"/>
      <c r="QWR51" s="21"/>
      <c r="QWS51" s="19"/>
      <c r="QXB51" s="19"/>
      <c r="QXC51" s="19"/>
      <c r="QXD51" s="19"/>
      <c r="QXE51" s="19"/>
      <c r="QXF51" s="21"/>
      <c r="QXG51" s="19"/>
      <c r="QXP51" s="19"/>
      <c r="QXQ51" s="19"/>
      <c r="QXR51" s="19"/>
      <c r="QXS51" s="19"/>
      <c r="QXT51" s="21"/>
      <c r="QXU51" s="19"/>
      <c r="QYD51" s="19"/>
      <c r="QYE51" s="19"/>
      <c r="QYF51" s="19"/>
      <c r="QYG51" s="19"/>
      <c r="QYH51" s="21"/>
      <c r="QYI51" s="19"/>
      <c r="QYR51" s="19"/>
      <c r="QYS51" s="19"/>
      <c r="QYT51" s="19"/>
      <c r="QYU51" s="19"/>
      <c r="QYV51" s="21"/>
      <c r="QYW51" s="19"/>
      <c r="QZF51" s="19"/>
      <c r="QZG51" s="19"/>
      <c r="QZH51" s="19"/>
      <c r="QZI51" s="19"/>
      <c r="QZJ51" s="21"/>
      <c r="QZK51" s="19"/>
      <c r="QZT51" s="19"/>
      <c r="QZU51" s="19"/>
      <c r="QZV51" s="19"/>
      <c r="QZW51" s="19"/>
      <c r="QZX51" s="21"/>
      <c r="QZY51" s="19"/>
      <c r="RAH51" s="19"/>
      <c r="RAI51" s="19"/>
      <c r="RAJ51" s="19"/>
      <c r="RAK51" s="19"/>
      <c r="RAL51" s="21"/>
      <c r="RAM51" s="19"/>
      <c r="RAV51" s="19"/>
      <c r="RAW51" s="19"/>
      <c r="RAX51" s="19"/>
      <c r="RAY51" s="19"/>
      <c r="RAZ51" s="21"/>
      <c r="RBA51" s="19"/>
      <c r="RBJ51" s="19"/>
      <c r="RBK51" s="19"/>
      <c r="RBL51" s="19"/>
      <c r="RBM51" s="19"/>
      <c r="RBN51" s="21"/>
      <c r="RBO51" s="19"/>
      <c r="RBX51" s="19"/>
      <c r="RBY51" s="19"/>
      <c r="RBZ51" s="19"/>
      <c r="RCA51" s="19"/>
      <c r="RCB51" s="21"/>
      <c r="RCC51" s="19"/>
      <c r="RCL51" s="19"/>
      <c r="RCM51" s="19"/>
      <c r="RCN51" s="19"/>
      <c r="RCO51" s="19"/>
      <c r="RCP51" s="21"/>
      <c r="RCQ51" s="19"/>
      <c r="RCZ51" s="19"/>
      <c r="RDA51" s="19"/>
      <c r="RDB51" s="19"/>
      <c r="RDC51" s="19"/>
      <c r="RDD51" s="21"/>
      <c r="RDE51" s="19"/>
      <c r="RDN51" s="19"/>
      <c r="RDO51" s="19"/>
      <c r="RDP51" s="19"/>
      <c r="RDQ51" s="19"/>
      <c r="RDR51" s="21"/>
      <c r="RDS51" s="19"/>
      <c r="REB51" s="19"/>
      <c r="REC51" s="19"/>
      <c r="RED51" s="19"/>
      <c r="REE51" s="19"/>
      <c r="REF51" s="21"/>
      <c r="REG51" s="19"/>
      <c r="REP51" s="19"/>
      <c r="REQ51" s="19"/>
      <c r="RER51" s="19"/>
      <c r="RES51" s="19"/>
      <c r="RET51" s="21"/>
      <c r="REU51" s="19"/>
      <c r="RFD51" s="19"/>
      <c r="RFE51" s="19"/>
      <c r="RFF51" s="19"/>
      <c r="RFG51" s="19"/>
      <c r="RFH51" s="21"/>
      <c r="RFI51" s="19"/>
      <c r="RFR51" s="19"/>
      <c r="RFS51" s="19"/>
      <c r="RFT51" s="19"/>
      <c r="RFU51" s="19"/>
      <c r="RFV51" s="21"/>
      <c r="RFW51" s="19"/>
      <c r="RGF51" s="19"/>
      <c r="RGG51" s="19"/>
      <c r="RGH51" s="19"/>
      <c r="RGI51" s="19"/>
      <c r="RGJ51" s="21"/>
      <c r="RGK51" s="19"/>
      <c r="RGT51" s="19"/>
      <c r="RGU51" s="19"/>
      <c r="RGV51" s="19"/>
      <c r="RGW51" s="19"/>
      <c r="RGX51" s="21"/>
      <c r="RGY51" s="19"/>
      <c r="RHH51" s="19"/>
      <c r="RHI51" s="19"/>
      <c r="RHJ51" s="19"/>
      <c r="RHK51" s="19"/>
      <c r="RHL51" s="21"/>
      <c r="RHM51" s="19"/>
      <c r="RHV51" s="19"/>
      <c r="RHW51" s="19"/>
      <c r="RHX51" s="19"/>
      <c r="RHY51" s="19"/>
      <c r="RHZ51" s="21"/>
      <c r="RIA51" s="19"/>
      <c r="RIJ51" s="19"/>
      <c r="RIK51" s="19"/>
      <c r="RIL51" s="19"/>
      <c r="RIM51" s="19"/>
      <c r="RIN51" s="21"/>
      <c r="RIO51" s="19"/>
      <c r="RIX51" s="19"/>
      <c r="RIY51" s="19"/>
      <c r="RIZ51" s="19"/>
      <c r="RJA51" s="19"/>
      <c r="RJB51" s="21"/>
      <c r="RJC51" s="19"/>
      <c r="RJL51" s="19"/>
      <c r="RJM51" s="19"/>
      <c r="RJN51" s="19"/>
      <c r="RJO51" s="19"/>
      <c r="RJP51" s="21"/>
      <c r="RJQ51" s="19"/>
      <c r="RJZ51" s="19"/>
      <c r="RKA51" s="19"/>
      <c r="RKB51" s="19"/>
      <c r="RKC51" s="19"/>
      <c r="RKD51" s="21"/>
      <c r="RKE51" s="19"/>
      <c r="RKN51" s="19"/>
      <c r="RKO51" s="19"/>
      <c r="RKP51" s="19"/>
      <c r="RKQ51" s="19"/>
      <c r="RKR51" s="21"/>
      <c r="RKS51" s="19"/>
      <c r="RLB51" s="19"/>
      <c r="RLC51" s="19"/>
      <c r="RLD51" s="19"/>
      <c r="RLE51" s="19"/>
      <c r="RLF51" s="21"/>
      <c r="RLG51" s="19"/>
      <c r="RLP51" s="19"/>
      <c r="RLQ51" s="19"/>
      <c r="RLR51" s="19"/>
      <c r="RLS51" s="19"/>
      <c r="RLT51" s="21"/>
      <c r="RLU51" s="19"/>
      <c r="RMD51" s="19"/>
      <c r="RME51" s="19"/>
      <c r="RMF51" s="19"/>
      <c r="RMG51" s="19"/>
      <c r="RMH51" s="21"/>
      <c r="RMI51" s="19"/>
      <c r="RMR51" s="19"/>
      <c r="RMS51" s="19"/>
      <c r="RMT51" s="19"/>
      <c r="RMU51" s="19"/>
      <c r="RMV51" s="21"/>
      <c r="RMW51" s="19"/>
      <c r="RNF51" s="19"/>
      <c r="RNG51" s="19"/>
      <c r="RNH51" s="19"/>
      <c r="RNI51" s="19"/>
      <c r="RNJ51" s="21"/>
      <c r="RNK51" s="19"/>
      <c r="RNT51" s="19"/>
      <c r="RNU51" s="19"/>
      <c r="RNV51" s="19"/>
      <c r="RNW51" s="19"/>
      <c r="RNX51" s="21"/>
      <c r="RNY51" s="19"/>
      <c r="ROH51" s="19"/>
      <c r="ROI51" s="19"/>
      <c r="ROJ51" s="19"/>
      <c r="ROK51" s="19"/>
      <c r="ROL51" s="21"/>
      <c r="ROM51" s="19"/>
      <c r="ROV51" s="19"/>
      <c r="ROW51" s="19"/>
      <c r="ROX51" s="19"/>
      <c r="ROY51" s="19"/>
      <c r="ROZ51" s="21"/>
      <c r="RPA51" s="19"/>
      <c r="RPJ51" s="19"/>
      <c r="RPK51" s="19"/>
      <c r="RPL51" s="19"/>
      <c r="RPM51" s="19"/>
      <c r="RPN51" s="21"/>
      <c r="RPO51" s="19"/>
      <c r="RPX51" s="19"/>
      <c r="RPY51" s="19"/>
      <c r="RPZ51" s="19"/>
      <c r="RQA51" s="19"/>
      <c r="RQB51" s="21"/>
      <c r="RQC51" s="19"/>
      <c r="RQL51" s="19"/>
      <c r="RQM51" s="19"/>
      <c r="RQN51" s="19"/>
      <c r="RQO51" s="19"/>
      <c r="RQP51" s="21"/>
      <c r="RQQ51" s="19"/>
      <c r="RQZ51" s="19"/>
      <c r="RRA51" s="19"/>
      <c r="RRB51" s="19"/>
      <c r="RRC51" s="19"/>
      <c r="RRD51" s="21"/>
      <c r="RRE51" s="19"/>
      <c r="RRN51" s="19"/>
      <c r="RRO51" s="19"/>
      <c r="RRP51" s="19"/>
      <c r="RRQ51" s="19"/>
      <c r="RRR51" s="21"/>
      <c r="RRS51" s="19"/>
      <c r="RSB51" s="19"/>
      <c r="RSC51" s="19"/>
      <c r="RSD51" s="19"/>
      <c r="RSE51" s="19"/>
      <c r="RSF51" s="21"/>
      <c r="RSG51" s="19"/>
      <c r="RSP51" s="19"/>
      <c r="RSQ51" s="19"/>
      <c r="RSR51" s="19"/>
      <c r="RSS51" s="19"/>
      <c r="RST51" s="21"/>
      <c r="RSU51" s="19"/>
      <c r="RTD51" s="19"/>
      <c r="RTE51" s="19"/>
      <c r="RTF51" s="19"/>
      <c r="RTG51" s="19"/>
      <c r="RTH51" s="21"/>
      <c r="RTI51" s="19"/>
      <c r="RTR51" s="19"/>
      <c r="RTS51" s="19"/>
      <c r="RTT51" s="19"/>
      <c r="RTU51" s="19"/>
      <c r="RTV51" s="21"/>
      <c r="RTW51" s="19"/>
      <c r="RUF51" s="19"/>
      <c r="RUG51" s="19"/>
      <c r="RUH51" s="19"/>
      <c r="RUI51" s="19"/>
      <c r="RUJ51" s="21"/>
      <c r="RUK51" s="19"/>
      <c r="RUT51" s="19"/>
      <c r="RUU51" s="19"/>
      <c r="RUV51" s="19"/>
      <c r="RUW51" s="19"/>
      <c r="RUX51" s="21"/>
      <c r="RUY51" s="19"/>
      <c r="RVH51" s="19"/>
      <c r="RVI51" s="19"/>
      <c r="RVJ51" s="19"/>
      <c r="RVK51" s="19"/>
      <c r="RVL51" s="21"/>
      <c r="RVM51" s="19"/>
      <c r="RVV51" s="19"/>
      <c r="RVW51" s="19"/>
      <c r="RVX51" s="19"/>
      <c r="RVY51" s="19"/>
      <c r="RVZ51" s="21"/>
      <c r="RWA51" s="19"/>
      <c r="RWJ51" s="19"/>
      <c r="RWK51" s="19"/>
      <c r="RWL51" s="19"/>
      <c r="RWM51" s="19"/>
      <c r="RWN51" s="21"/>
      <c r="RWO51" s="19"/>
      <c r="RWX51" s="19"/>
      <c r="RWY51" s="19"/>
      <c r="RWZ51" s="19"/>
      <c r="RXA51" s="19"/>
      <c r="RXB51" s="21"/>
      <c r="RXC51" s="19"/>
      <c r="RXL51" s="19"/>
      <c r="RXM51" s="19"/>
      <c r="RXN51" s="19"/>
      <c r="RXO51" s="19"/>
      <c r="RXP51" s="21"/>
      <c r="RXQ51" s="19"/>
      <c r="RXZ51" s="19"/>
      <c r="RYA51" s="19"/>
      <c r="RYB51" s="19"/>
      <c r="RYC51" s="19"/>
      <c r="RYD51" s="21"/>
      <c r="RYE51" s="19"/>
      <c r="RYN51" s="19"/>
      <c r="RYO51" s="19"/>
      <c r="RYP51" s="19"/>
      <c r="RYQ51" s="19"/>
      <c r="RYR51" s="21"/>
      <c r="RYS51" s="19"/>
      <c r="RZB51" s="19"/>
      <c r="RZC51" s="19"/>
      <c r="RZD51" s="19"/>
      <c r="RZE51" s="19"/>
      <c r="RZF51" s="21"/>
      <c r="RZG51" s="19"/>
      <c r="RZP51" s="19"/>
      <c r="RZQ51" s="19"/>
      <c r="RZR51" s="19"/>
      <c r="RZS51" s="19"/>
      <c r="RZT51" s="21"/>
      <c r="RZU51" s="19"/>
      <c r="SAD51" s="19"/>
      <c r="SAE51" s="19"/>
      <c r="SAF51" s="19"/>
      <c r="SAG51" s="19"/>
      <c r="SAH51" s="21"/>
      <c r="SAI51" s="19"/>
      <c r="SAR51" s="19"/>
      <c r="SAS51" s="19"/>
      <c r="SAT51" s="19"/>
      <c r="SAU51" s="19"/>
      <c r="SAV51" s="21"/>
      <c r="SAW51" s="19"/>
      <c r="SBF51" s="19"/>
      <c r="SBG51" s="19"/>
      <c r="SBH51" s="19"/>
      <c r="SBI51" s="19"/>
      <c r="SBJ51" s="21"/>
      <c r="SBK51" s="19"/>
      <c r="SBT51" s="19"/>
      <c r="SBU51" s="19"/>
      <c r="SBV51" s="19"/>
      <c r="SBW51" s="19"/>
      <c r="SBX51" s="21"/>
      <c r="SBY51" s="19"/>
      <c r="SCH51" s="19"/>
      <c r="SCI51" s="19"/>
      <c r="SCJ51" s="19"/>
      <c r="SCK51" s="19"/>
      <c r="SCL51" s="21"/>
      <c r="SCM51" s="19"/>
      <c r="SCV51" s="19"/>
      <c r="SCW51" s="19"/>
      <c r="SCX51" s="19"/>
      <c r="SCY51" s="19"/>
      <c r="SCZ51" s="21"/>
      <c r="SDA51" s="19"/>
      <c r="SDJ51" s="19"/>
      <c r="SDK51" s="19"/>
      <c r="SDL51" s="19"/>
      <c r="SDM51" s="19"/>
      <c r="SDN51" s="21"/>
      <c r="SDO51" s="19"/>
      <c r="SDX51" s="19"/>
      <c r="SDY51" s="19"/>
      <c r="SDZ51" s="19"/>
      <c r="SEA51" s="19"/>
      <c r="SEB51" s="21"/>
      <c r="SEC51" s="19"/>
      <c r="SEL51" s="19"/>
      <c r="SEM51" s="19"/>
      <c r="SEN51" s="19"/>
      <c r="SEO51" s="19"/>
      <c r="SEP51" s="21"/>
      <c r="SEQ51" s="19"/>
      <c r="SEZ51" s="19"/>
      <c r="SFA51" s="19"/>
      <c r="SFB51" s="19"/>
      <c r="SFC51" s="19"/>
      <c r="SFD51" s="21"/>
      <c r="SFE51" s="19"/>
      <c r="SFN51" s="19"/>
      <c r="SFO51" s="19"/>
      <c r="SFP51" s="19"/>
      <c r="SFQ51" s="19"/>
      <c r="SFR51" s="21"/>
      <c r="SFS51" s="19"/>
      <c r="SGB51" s="19"/>
      <c r="SGC51" s="19"/>
      <c r="SGD51" s="19"/>
      <c r="SGE51" s="19"/>
      <c r="SGF51" s="21"/>
      <c r="SGG51" s="19"/>
      <c r="SGP51" s="19"/>
      <c r="SGQ51" s="19"/>
      <c r="SGR51" s="19"/>
      <c r="SGS51" s="19"/>
      <c r="SGT51" s="21"/>
      <c r="SGU51" s="19"/>
      <c r="SHD51" s="19"/>
      <c r="SHE51" s="19"/>
      <c r="SHF51" s="19"/>
      <c r="SHG51" s="19"/>
      <c r="SHH51" s="21"/>
      <c r="SHI51" s="19"/>
      <c r="SHR51" s="19"/>
      <c r="SHS51" s="19"/>
      <c r="SHT51" s="19"/>
      <c r="SHU51" s="19"/>
      <c r="SHV51" s="21"/>
      <c r="SHW51" s="19"/>
      <c r="SIF51" s="19"/>
      <c r="SIG51" s="19"/>
      <c r="SIH51" s="19"/>
      <c r="SII51" s="19"/>
      <c r="SIJ51" s="21"/>
      <c r="SIK51" s="19"/>
      <c r="SIT51" s="19"/>
      <c r="SIU51" s="19"/>
      <c r="SIV51" s="19"/>
      <c r="SIW51" s="19"/>
      <c r="SIX51" s="21"/>
      <c r="SIY51" s="19"/>
      <c r="SJH51" s="19"/>
      <c r="SJI51" s="19"/>
      <c r="SJJ51" s="19"/>
      <c r="SJK51" s="19"/>
      <c r="SJL51" s="21"/>
      <c r="SJM51" s="19"/>
      <c r="SJV51" s="19"/>
      <c r="SJW51" s="19"/>
      <c r="SJX51" s="19"/>
      <c r="SJY51" s="19"/>
      <c r="SJZ51" s="21"/>
      <c r="SKA51" s="19"/>
      <c r="SKJ51" s="19"/>
      <c r="SKK51" s="19"/>
      <c r="SKL51" s="19"/>
      <c r="SKM51" s="19"/>
      <c r="SKN51" s="21"/>
      <c r="SKO51" s="19"/>
      <c r="SKX51" s="19"/>
      <c r="SKY51" s="19"/>
      <c r="SKZ51" s="19"/>
      <c r="SLA51" s="19"/>
      <c r="SLB51" s="21"/>
      <c r="SLC51" s="19"/>
      <c r="SLL51" s="19"/>
      <c r="SLM51" s="19"/>
      <c r="SLN51" s="19"/>
      <c r="SLO51" s="19"/>
      <c r="SLP51" s="21"/>
      <c r="SLQ51" s="19"/>
      <c r="SLZ51" s="19"/>
      <c r="SMA51" s="19"/>
      <c r="SMB51" s="19"/>
      <c r="SMC51" s="19"/>
      <c r="SMD51" s="21"/>
      <c r="SME51" s="19"/>
      <c r="SMN51" s="19"/>
      <c r="SMO51" s="19"/>
      <c r="SMP51" s="19"/>
      <c r="SMQ51" s="19"/>
      <c r="SMR51" s="21"/>
      <c r="SMS51" s="19"/>
      <c r="SNB51" s="19"/>
      <c r="SNC51" s="19"/>
      <c r="SND51" s="19"/>
      <c r="SNE51" s="19"/>
      <c r="SNF51" s="21"/>
      <c r="SNG51" s="19"/>
      <c r="SNP51" s="19"/>
      <c r="SNQ51" s="19"/>
      <c r="SNR51" s="19"/>
      <c r="SNS51" s="19"/>
      <c r="SNT51" s="21"/>
      <c r="SNU51" s="19"/>
      <c r="SOD51" s="19"/>
      <c r="SOE51" s="19"/>
      <c r="SOF51" s="19"/>
      <c r="SOG51" s="19"/>
      <c r="SOH51" s="21"/>
      <c r="SOI51" s="19"/>
      <c r="SOR51" s="19"/>
      <c r="SOS51" s="19"/>
      <c r="SOT51" s="19"/>
      <c r="SOU51" s="19"/>
      <c r="SOV51" s="21"/>
      <c r="SOW51" s="19"/>
      <c r="SPF51" s="19"/>
      <c r="SPG51" s="19"/>
      <c r="SPH51" s="19"/>
      <c r="SPI51" s="19"/>
      <c r="SPJ51" s="21"/>
      <c r="SPK51" s="19"/>
      <c r="SPT51" s="19"/>
      <c r="SPU51" s="19"/>
      <c r="SPV51" s="19"/>
      <c r="SPW51" s="19"/>
      <c r="SPX51" s="21"/>
      <c r="SPY51" s="19"/>
      <c r="SQH51" s="19"/>
      <c r="SQI51" s="19"/>
      <c r="SQJ51" s="19"/>
      <c r="SQK51" s="19"/>
      <c r="SQL51" s="21"/>
      <c r="SQM51" s="19"/>
      <c r="SQV51" s="19"/>
      <c r="SQW51" s="19"/>
      <c r="SQX51" s="19"/>
      <c r="SQY51" s="19"/>
      <c r="SQZ51" s="21"/>
      <c r="SRA51" s="19"/>
      <c r="SRJ51" s="19"/>
      <c r="SRK51" s="19"/>
      <c r="SRL51" s="19"/>
      <c r="SRM51" s="19"/>
      <c r="SRN51" s="21"/>
      <c r="SRO51" s="19"/>
      <c r="SRX51" s="19"/>
      <c r="SRY51" s="19"/>
      <c r="SRZ51" s="19"/>
      <c r="SSA51" s="19"/>
      <c r="SSB51" s="21"/>
      <c r="SSC51" s="19"/>
      <c r="SSL51" s="19"/>
      <c r="SSM51" s="19"/>
      <c r="SSN51" s="19"/>
      <c r="SSO51" s="19"/>
      <c r="SSP51" s="21"/>
      <c r="SSQ51" s="19"/>
      <c r="SSZ51" s="19"/>
      <c r="STA51" s="19"/>
      <c r="STB51" s="19"/>
      <c r="STC51" s="19"/>
      <c r="STD51" s="21"/>
      <c r="STE51" s="19"/>
      <c r="STN51" s="19"/>
      <c r="STO51" s="19"/>
      <c r="STP51" s="19"/>
      <c r="STQ51" s="19"/>
      <c r="STR51" s="21"/>
      <c r="STS51" s="19"/>
      <c r="SUB51" s="19"/>
      <c r="SUC51" s="19"/>
      <c r="SUD51" s="19"/>
      <c r="SUE51" s="19"/>
      <c r="SUF51" s="21"/>
      <c r="SUG51" s="19"/>
      <c r="SUP51" s="19"/>
      <c r="SUQ51" s="19"/>
      <c r="SUR51" s="19"/>
      <c r="SUS51" s="19"/>
      <c r="SUT51" s="21"/>
      <c r="SUU51" s="19"/>
      <c r="SVD51" s="19"/>
      <c r="SVE51" s="19"/>
      <c r="SVF51" s="19"/>
      <c r="SVG51" s="19"/>
      <c r="SVH51" s="21"/>
      <c r="SVI51" s="19"/>
      <c r="SVR51" s="19"/>
      <c r="SVS51" s="19"/>
      <c r="SVT51" s="19"/>
      <c r="SVU51" s="19"/>
      <c r="SVV51" s="21"/>
      <c r="SVW51" s="19"/>
      <c r="SWF51" s="19"/>
      <c r="SWG51" s="19"/>
      <c r="SWH51" s="19"/>
      <c r="SWI51" s="19"/>
      <c r="SWJ51" s="21"/>
      <c r="SWK51" s="19"/>
      <c r="SWT51" s="19"/>
      <c r="SWU51" s="19"/>
      <c r="SWV51" s="19"/>
      <c r="SWW51" s="19"/>
      <c r="SWX51" s="21"/>
      <c r="SWY51" s="19"/>
      <c r="SXH51" s="19"/>
      <c r="SXI51" s="19"/>
      <c r="SXJ51" s="19"/>
      <c r="SXK51" s="19"/>
      <c r="SXL51" s="21"/>
      <c r="SXM51" s="19"/>
      <c r="SXV51" s="19"/>
      <c r="SXW51" s="19"/>
      <c r="SXX51" s="19"/>
      <c r="SXY51" s="19"/>
      <c r="SXZ51" s="21"/>
      <c r="SYA51" s="19"/>
      <c r="SYJ51" s="19"/>
      <c r="SYK51" s="19"/>
      <c r="SYL51" s="19"/>
      <c r="SYM51" s="19"/>
      <c r="SYN51" s="21"/>
      <c r="SYO51" s="19"/>
      <c r="SYX51" s="19"/>
      <c r="SYY51" s="19"/>
      <c r="SYZ51" s="19"/>
      <c r="SZA51" s="19"/>
      <c r="SZB51" s="21"/>
      <c r="SZC51" s="19"/>
      <c r="SZL51" s="19"/>
      <c r="SZM51" s="19"/>
      <c r="SZN51" s="19"/>
      <c r="SZO51" s="19"/>
      <c r="SZP51" s="21"/>
      <c r="SZQ51" s="19"/>
      <c r="SZZ51" s="19"/>
      <c r="TAA51" s="19"/>
      <c r="TAB51" s="19"/>
      <c r="TAC51" s="19"/>
      <c r="TAD51" s="21"/>
      <c r="TAE51" s="19"/>
      <c r="TAN51" s="19"/>
      <c r="TAO51" s="19"/>
      <c r="TAP51" s="19"/>
      <c r="TAQ51" s="19"/>
      <c r="TAR51" s="21"/>
      <c r="TAS51" s="19"/>
      <c r="TBB51" s="19"/>
      <c r="TBC51" s="19"/>
      <c r="TBD51" s="19"/>
      <c r="TBE51" s="19"/>
      <c r="TBF51" s="21"/>
      <c r="TBG51" s="19"/>
      <c r="TBP51" s="19"/>
      <c r="TBQ51" s="19"/>
      <c r="TBR51" s="19"/>
      <c r="TBS51" s="19"/>
      <c r="TBT51" s="21"/>
      <c r="TBU51" s="19"/>
      <c r="TCD51" s="19"/>
      <c r="TCE51" s="19"/>
      <c r="TCF51" s="19"/>
      <c r="TCG51" s="19"/>
      <c r="TCH51" s="21"/>
      <c r="TCI51" s="19"/>
      <c r="TCR51" s="19"/>
      <c r="TCS51" s="19"/>
      <c r="TCT51" s="19"/>
      <c r="TCU51" s="19"/>
      <c r="TCV51" s="21"/>
      <c r="TCW51" s="19"/>
      <c r="TDF51" s="19"/>
      <c r="TDG51" s="19"/>
      <c r="TDH51" s="19"/>
      <c r="TDI51" s="19"/>
      <c r="TDJ51" s="21"/>
      <c r="TDK51" s="19"/>
      <c r="TDT51" s="19"/>
      <c r="TDU51" s="19"/>
      <c r="TDV51" s="19"/>
      <c r="TDW51" s="19"/>
      <c r="TDX51" s="21"/>
      <c r="TDY51" s="19"/>
      <c r="TEH51" s="19"/>
      <c r="TEI51" s="19"/>
      <c r="TEJ51" s="19"/>
      <c r="TEK51" s="19"/>
      <c r="TEL51" s="21"/>
      <c r="TEM51" s="19"/>
      <c r="TEV51" s="19"/>
      <c r="TEW51" s="19"/>
      <c r="TEX51" s="19"/>
      <c r="TEY51" s="19"/>
      <c r="TEZ51" s="21"/>
      <c r="TFA51" s="19"/>
      <c r="TFJ51" s="19"/>
      <c r="TFK51" s="19"/>
      <c r="TFL51" s="19"/>
      <c r="TFM51" s="19"/>
      <c r="TFN51" s="21"/>
      <c r="TFO51" s="19"/>
      <c r="TFX51" s="19"/>
      <c r="TFY51" s="19"/>
      <c r="TFZ51" s="19"/>
      <c r="TGA51" s="19"/>
      <c r="TGB51" s="21"/>
      <c r="TGC51" s="19"/>
      <c r="TGL51" s="19"/>
      <c r="TGM51" s="19"/>
      <c r="TGN51" s="19"/>
      <c r="TGO51" s="19"/>
      <c r="TGP51" s="21"/>
      <c r="TGQ51" s="19"/>
      <c r="TGZ51" s="19"/>
      <c r="THA51" s="19"/>
      <c r="THB51" s="19"/>
      <c r="THC51" s="19"/>
      <c r="THD51" s="21"/>
      <c r="THE51" s="19"/>
      <c r="THN51" s="19"/>
      <c r="THO51" s="19"/>
      <c r="THP51" s="19"/>
      <c r="THQ51" s="19"/>
      <c r="THR51" s="21"/>
      <c r="THS51" s="19"/>
      <c r="TIB51" s="19"/>
      <c r="TIC51" s="19"/>
      <c r="TID51" s="19"/>
      <c r="TIE51" s="19"/>
      <c r="TIF51" s="21"/>
      <c r="TIG51" s="19"/>
      <c r="TIP51" s="19"/>
      <c r="TIQ51" s="19"/>
      <c r="TIR51" s="19"/>
      <c r="TIS51" s="19"/>
      <c r="TIT51" s="21"/>
      <c r="TIU51" s="19"/>
      <c r="TJD51" s="19"/>
      <c r="TJE51" s="19"/>
      <c r="TJF51" s="19"/>
      <c r="TJG51" s="19"/>
      <c r="TJH51" s="21"/>
      <c r="TJI51" s="19"/>
      <c r="TJR51" s="19"/>
      <c r="TJS51" s="19"/>
      <c r="TJT51" s="19"/>
      <c r="TJU51" s="19"/>
      <c r="TJV51" s="21"/>
      <c r="TJW51" s="19"/>
      <c r="TKF51" s="19"/>
      <c r="TKG51" s="19"/>
      <c r="TKH51" s="19"/>
      <c r="TKI51" s="19"/>
      <c r="TKJ51" s="21"/>
      <c r="TKK51" s="19"/>
      <c r="TKT51" s="19"/>
      <c r="TKU51" s="19"/>
      <c r="TKV51" s="19"/>
      <c r="TKW51" s="19"/>
      <c r="TKX51" s="21"/>
      <c r="TKY51" s="19"/>
      <c r="TLH51" s="19"/>
      <c r="TLI51" s="19"/>
      <c r="TLJ51" s="19"/>
      <c r="TLK51" s="19"/>
      <c r="TLL51" s="21"/>
      <c r="TLM51" s="19"/>
      <c r="TLV51" s="19"/>
      <c r="TLW51" s="19"/>
      <c r="TLX51" s="19"/>
      <c r="TLY51" s="19"/>
      <c r="TLZ51" s="21"/>
      <c r="TMA51" s="19"/>
      <c r="TMJ51" s="19"/>
      <c r="TMK51" s="19"/>
      <c r="TML51" s="19"/>
      <c r="TMM51" s="19"/>
      <c r="TMN51" s="21"/>
      <c r="TMO51" s="19"/>
      <c r="TMX51" s="19"/>
      <c r="TMY51" s="19"/>
      <c r="TMZ51" s="19"/>
      <c r="TNA51" s="19"/>
      <c r="TNB51" s="21"/>
      <c r="TNC51" s="19"/>
      <c r="TNL51" s="19"/>
      <c r="TNM51" s="19"/>
      <c r="TNN51" s="19"/>
      <c r="TNO51" s="19"/>
      <c r="TNP51" s="21"/>
      <c r="TNQ51" s="19"/>
      <c r="TNZ51" s="19"/>
      <c r="TOA51" s="19"/>
      <c r="TOB51" s="19"/>
      <c r="TOC51" s="19"/>
      <c r="TOD51" s="21"/>
      <c r="TOE51" s="19"/>
      <c r="TON51" s="19"/>
      <c r="TOO51" s="19"/>
      <c r="TOP51" s="19"/>
      <c r="TOQ51" s="19"/>
      <c r="TOR51" s="21"/>
      <c r="TOS51" s="19"/>
      <c r="TPB51" s="19"/>
      <c r="TPC51" s="19"/>
      <c r="TPD51" s="19"/>
      <c r="TPE51" s="19"/>
      <c r="TPF51" s="21"/>
      <c r="TPG51" s="19"/>
      <c r="TPP51" s="19"/>
      <c r="TPQ51" s="19"/>
      <c r="TPR51" s="19"/>
      <c r="TPS51" s="19"/>
      <c r="TPT51" s="21"/>
      <c r="TPU51" s="19"/>
      <c r="TQD51" s="19"/>
      <c r="TQE51" s="19"/>
      <c r="TQF51" s="19"/>
      <c r="TQG51" s="19"/>
      <c r="TQH51" s="21"/>
      <c r="TQI51" s="19"/>
      <c r="TQR51" s="19"/>
      <c r="TQS51" s="19"/>
      <c r="TQT51" s="19"/>
      <c r="TQU51" s="19"/>
      <c r="TQV51" s="21"/>
      <c r="TQW51" s="19"/>
      <c r="TRF51" s="19"/>
      <c r="TRG51" s="19"/>
      <c r="TRH51" s="19"/>
      <c r="TRI51" s="19"/>
      <c r="TRJ51" s="21"/>
      <c r="TRK51" s="19"/>
      <c r="TRT51" s="19"/>
      <c r="TRU51" s="19"/>
      <c r="TRV51" s="19"/>
      <c r="TRW51" s="19"/>
      <c r="TRX51" s="21"/>
      <c r="TRY51" s="19"/>
      <c r="TSH51" s="19"/>
      <c r="TSI51" s="19"/>
      <c r="TSJ51" s="19"/>
      <c r="TSK51" s="19"/>
      <c r="TSL51" s="21"/>
      <c r="TSM51" s="19"/>
      <c r="TSV51" s="19"/>
      <c r="TSW51" s="19"/>
      <c r="TSX51" s="19"/>
      <c r="TSY51" s="19"/>
      <c r="TSZ51" s="21"/>
      <c r="TTA51" s="19"/>
      <c r="TTJ51" s="19"/>
      <c r="TTK51" s="19"/>
      <c r="TTL51" s="19"/>
      <c r="TTM51" s="19"/>
      <c r="TTN51" s="21"/>
      <c r="TTO51" s="19"/>
      <c r="TTX51" s="19"/>
      <c r="TTY51" s="19"/>
      <c r="TTZ51" s="19"/>
      <c r="TUA51" s="19"/>
      <c r="TUB51" s="21"/>
      <c r="TUC51" s="19"/>
      <c r="TUL51" s="19"/>
      <c r="TUM51" s="19"/>
      <c r="TUN51" s="19"/>
      <c r="TUO51" s="19"/>
      <c r="TUP51" s="21"/>
      <c r="TUQ51" s="19"/>
      <c r="TUZ51" s="19"/>
      <c r="TVA51" s="19"/>
      <c r="TVB51" s="19"/>
      <c r="TVC51" s="19"/>
      <c r="TVD51" s="21"/>
      <c r="TVE51" s="19"/>
      <c r="TVN51" s="19"/>
      <c r="TVO51" s="19"/>
      <c r="TVP51" s="19"/>
      <c r="TVQ51" s="19"/>
      <c r="TVR51" s="21"/>
      <c r="TVS51" s="19"/>
      <c r="TWB51" s="19"/>
      <c r="TWC51" s="19"/>
      <c r="TWD51" s="19"/>
      <c r="TWE51" s="19"/>
      <c r="TWF51" s="21"/>
      <c r="TWG51" s="19"/>
      <c r="TWP51" s="19"/>
      <c r="TWQ51" s="19"/>
      <c r="TWR51" s="19"/>
      <c r="TWS51" s="19"/>
      <c r="TWT51" s="21"/>
      <c r="TWU51" s="19"/>
      <c r="TXD51" s="19"/>
      <c r="TXE51" s="19"/>
      <c r="TXF51" s="19"/>
      <c r="TXG51" s="19"/>
      <c r="TXH51" s="21"/>
      <c r="TXI51" s="19"/>
      <c r="TXR51" s="19"/>
      <c r="TXS51" s="19"/>
      <c r="TXT51" s="19"/>
      <c r="TXU51" s="19"/>
      <c r="TXV51" s="21"/>
      <c r="TXW51" s="19"/>
      <c r="TYF51" s="19"/>
      <c r="TYG51" s="19"/>
      <c r="TYH51" s="19"/>
      <c r="TYI51" s="19"/>
      <c r="TYJ51" s="21"/>
      <c r="TYK51" s="19"/>
      <c r="TYT51" s="19"/>
      <c r="TYU51" s="19"/>
      <c r="TYV51" s="19"/>
      <c r="TYW51" s="19"/>
      <c r="TYX51" s="21"/>
      <c r="TYY51" s="19"/>
      <c r="TZH51" s="19"/>
      <c r="TZI51" s="19"/>
      <c r="TZJ51" s="19"/>
      <c r="TZK51" s="19"/>
      <c r="TZL51" s="21"/>
      <c r="TZM51" s="19"/>
      <c r="TZV51" s="19"/>
      <c r="TZW51" s="19"/>
      <c r="TZX51" s="19"/>
      <c r="TZY51" s="19"/>
      <c r="TZZ51" s="21"/>
      <c r="UAA51" s="19"/>
      <c r="UAJ51" s="19"/>
      <c r="UAK51" s="19"/>
      <c r="UAL51" s="19"/>
      <c r="UAM51" s="19"/>
      <c r="UAN51" s="21"/>
      <c r="UAO51" s="19"/>
      <c r="UAX51" s="19"/>
      <c r="UAY51" s="19"/>
      <c r="UAZ51" s="19"/>
      <c r="UBA51" s="19"/>
      <c r="UBB51" s="21"/>
      <c r="UBC51" s="19"/>
      <c r="UBL51" s="19"/>
      <c r="UBM51" s="19"/>
      <c r="UBN51" s="19"/>
      <c r="UBO51" s="19"/>
      <c r="UBP51" s="21"/>
      <c r="UBQ51" s="19"/>
      <c r="UBZ51" s="19"/>
      <c r="UCA51" s="19"/>
      <c r="UCB51" s="19"/>
      <c r="UCC51" s="19"/>
      <c r="UCD51" s="21"/>
      <c r="UCE51" s="19"/>
      <c r="UCN51" s="19"/>
      <c r="UCO51" s="19"/>
      <c r="UCP51" s="19"/>
      <c r="UCQ51" s="19"/>
      <c r="UCR51" s="21"/>
      <c r="UCS51" s="19"/>
      <c r="UDB51" s="19"/>
      <c r="UDC51" s="19"/>
      <c r="UDD51" s="19"/>
      <c r="UDE51" s="19"/>
      <c r="UDF51" s="21"/>
      <c r="UDG51" s="19"/>
      <c r="UDP51" s="19"/>
      <c r="UDQ51" s="19"/>
      <c r="UDR51" s="19"/>
      <c r="UDS51" s="19"/>
      <c r="UDT51" s="21"/>
      <c r="UDU51" s="19"/>
      <c r="UED51" s="19"/>
      <c r="UEE51" s="19"/>
      <c r="UEF51" s="19"/>
      <c r="UEG51" s="19"/>
      <c r="UEH51" s="21"/>
      <c r="UEI51" s="19"/>
      <c r="UER51" s="19"/>
      <c r="UES51" s="19"/>
      <c r="UET51" s="19"/>
      <c r="UEU51" s="19"/>
      <c r="UEV51" s="21"/>
      <c r="UEW51" s="19"/>
      <c r="UFF51" s="19"/>
      <c r="UFG51" s="19"/>
      <c r="UFH51" s="19"/>
      <c r="UFI51" s="19"/>
      <c r="UFJ51" s="21"/>
      <c r="UFK51" s="19"/>
      <c r="UFT51" s="19"/>
      <c r="UFU51" s="19"/>
      <c r="UFV51" s="19"/>
      <c r="UFW51" s="19"/>
      <c r="UFX51" s="21"/>
      <c r="UFY51" s="19"/>
      <c r="UGH51" s="19"/>
      <c r="UGI51" s="19"/>
      <c r="UGJ51" s="19"/>
      <c r="UGK51" s="19"/>
      <c r="UGL51" s="21"/>
      <c r="UGM51" s="19"/>
      <c r="UGV51" s="19"/>
      <c r="UGW51" s="19"/>
      <c r="UGX51" s="19"/>
      <c r="UGY51" s="19"/>
      <c r="UGZ51" s="21"/>
      <c r="UHA51" s="19"/>
      <c r="UHJ51" s="19"/>
      <c r="UHK51" s="19"/>
      <c r="UHL51" s="19"/>
      <c r="UHM51" s="19"/>
      <c r="UHN51" s="21"/>
      <c r="UHO51" s="19"/>
      <c r="UHX51" s="19"/>
      <c r="UHY51" s="19"/>
      <c r="UHZ51" s="19"/>
      <c r="UIA51" s="19"/>
      <c r="UIB51" s="21"/>
      <c r="UIC51" s="19"/>
      <c r="UIL51" s="19"/>
      <c r="UIM51" s="19"/>
      <c r="UIN51" s="19"/>
      <c r="UIO51" s="19"/>
      <c r="UIP51" s="21"/>
      <c r="UIQ51" s="19"/>
      <c r="UIZ51" s="19"/>
      <c r="UJA51" s="19"/>
      <c r="UJB51" s="19"/>
      <c r="UJC51" s="19"/>
      <c r="UJD51" s="21"/>
      <c r="UJE51" s="19"/>
      <c r="UJN51" s="19"/>
      <c r="UJO51" s="19"/>
      <c r="UJP51" s="19"/>
      <c r="UJQ51" s="19"/>
      <c r="UJR51" s="21"/>
      <c r="UJS51" s="19"/>
      <c r="UKB51" s="19"/>
      <c r="UKC51" s="19"/>
      <c r="UKD51" s="19"/>
      <c r="UKE51" s="19"/>
      <c r="UKF51" s="21"/>
      <c r="UKG51" s="19"/>
      <c r="UKP51" s="19"/>
      <c r="UKQ51" s="19"/>
      <c r="UKR51" s="19"/>
      <c r="UKS51" s="19"/>
      <c r="UKT51" s="21"/>
      <c r="UKU51" s="19"/>
      <c r="ULD51" s="19"/>
      <c r="ULE51" s="19"/>
      <c r="ULF51" s="19"/>
      <c r="ULG51" s="19"/>
      <c r="ULH51" s="21"/>
      <c r="ULI51" s="19"/>
      <c r="ULR51" s="19"/>
      <c r="ULS51" s="19"/>
      <c r="ULT51" s="19"/>
      <c r="ULU51" s="19"/>
      <c r="ULV51" s="21"/>
      <c r="ULW51" s="19"/>
      <c r="UMF51" s="19"/>
      <c r="UMG51" s="19"/>
      <c r="UMH51" s="19"/>
      <c r="UMI51" s="19"/>
      <c r="UMJ51" s="21"/>
      <c r="UMK51" s="19"/>
      <c r="UMT51" s="19"/>
      <c r="UMU51" s="19"/>
      <c r="UMV51" s="19"/>
      <c r="UMW51" s="19"/>
      <c r="UMX51" s="21"/>
      <c r="UMY51" s="19"/>
      <c r="UNH51" s="19"/>
      <c r="UNI51" s="19"/>
      <c r="UNJ51" s="19"/>
      <c r="UNK51" s="19"/>
      <c r="UNL51" s="21"/>
      <c r="UNM51" s="19"/>
      <c r="UNV51" s="19"/>
      <c r="UNW51" s="19"/>
      <c r="UNX51" s="19"/>
      <c r="UNY51" s="19"/>
      <c r="UNZ51" s="21"/>
      <c r="UOA51" s="19"/>
      <c r="UOJ51" s="19"/>
      <c r="UOK51" s="19"/>
      <c r="UOL51" s="19"/>
      <c r="UOM51" s="19"/>
      <c r="UON51" s="21"/>
      <c r="UOO51" s="19"/>
      <c r="UOX51" s="19"/>
      <c r="UOY51" s="19"/>
      <c r="UOZ51" s="19"/>
      <c r="UPA51" s="19"/>
      <c r="UPB51" s="21"/>
      <c r="UPC51" s="19"/>
      <c r="UPL51" s="19"/>
      <c r="UPM51" s="19"/>
      <c r="UPN51" s="19"/>
      <c r="UPO51" s="19"/>
      <c r="UPP51" s="21"/>
      <c r="UPQ51" s="19"/>
      <c r="UPZ51" s="19"/>
      <c r="UQA51" s="19"/>
      <c r="UQB51" s="19"/>
      <c r="UQC51" s="19"/>
      <c r="UQD51" s="21"/>
      <c r="UQE51" s="19"/>
      <c r="UQN51" s="19"/>
      <c r="UQO51" s="19"/>
      <c r="UQP51" s="19"/>
      <c r="UQQ51" s="19"/>
      <c r="UQR51" s="21"/>
      <c r="UQS51" s="19"/>
      <c r="URB51" s="19"/>
      <c r="URC51" s="19"/>
      <c r="URD51" s="19"/>
      <c r="URE51" s="19"/>
      <c r="URF51" s="21"/>
      <c r="URG51" s="19"/>
      <c r="URP51" s="19"/>
      <c r="URQ51" s="19"/>
      <c r="URR51" s="19"/>
      <c r="URS51" s="19"/>
      <c r="URT51" s="21"/>
      <c r="URU51" s="19"/>
      <c r="USD51" s="19"/>
      <c r="USE51" s="19"/>
      <c r="USF51" s="19"/>
      <c r="USG51" s="19"/>
      <c r="USH51" s="21"/>
      <c r="USI51" s="19"/>
      <c r="USR51" s="19"/>
      <c r="USS51" s="19"/>
      <c r="UST51" s="19"/>
      <c r="USU51" s="19"/>
      <c r="USV51" s="21"/>
      <c r="USW51" s="19"/>
      <c r="UTF51" s="19"/>
      <c r="UTG51" s="19"/>
      <c r="UTH51" s="19"/>
      <c r="UTI51" s="19"/>
      <c r="UTJ51" s="21"/>
      <c r="UTK51" s="19"/>
      <c r="UTT51" s="19"/>
      <c r="UTU51" s="19"/>
      <c r="UTV51" s="19"/>
      <c r="UTW51" s="19"/>
      <c r="UTX51" s="21"/>
      <c r="UTY51" s="19"/>
      <c r="UUH51" s="19"/>
      <c r="UUI51" s="19"/>
      <c r="UUJ51" s="19"/>
      <c r="UUK51" s="19"/>
      <c r="UUL51" s="21"/>
      <c r="UUM51" s="19"/>
      <c r="UUV51" s="19"/>
      <c r="UUW51" s="19"/>
      <c r="UUX51" s="19"/>
      <c r="UUY51" s="19"/>
      <c r="UUZ51" s="21"/>
      <c r="UVA51" s="19"/>
      <c r="UVJ51" s="19"/>
      <c r="UVK51" s="19"/>
      <c r="UVL51" s="19"/>
      <c r="UVM51" s="19"/>
      <c r="UVN51" s="21"/>
      <c r="UVO51" s="19"/>
      <c r="UVX51" s="19"/>
      <c r="UVY51" s="19"/>
      <c r="UVZ51" s="19"/>
      <c r="UWA51" s="19"/>
      <c r="UWB51" s="21"/>
      <c r="UWC51" s="19"/>
      <c r="UWL51" s="19"/>
      <c r="UWM51" s="19"/>
      <c r="UWN51" s="19"/>
      <c r="UWO51" s="19"/>
      <c r="UWP51" s="21"/>
      <c r="UWQ51" s="19"/>
      <c r="UWZ51" s="19"/>
      <c r="UXA51" s="19"/>
      <c r="UXB51" s="19"/>
      <c r="UXC51" s="19"/>
      <c r="UXD51" s="21"/>
      <c r="UXE51" s="19"/>
      <c r="UXN51" s="19"/>
      <c r="UXO51" s="19"/>
      <c r="UXP51" s="19"/>
      <c r="UXQ51" s="19"/>
      <c r="UXR51" s="21"/>
      <c r="UXS51" s="19"/>
      <c r="UYB51" s="19"/>
      <c r="UYC51" s="19"/>
      <c r="UYD51" s="19"/>
      <c r="UYE51" s="19"/>
      <c r="UYF51" s="21"/>
      <c r="UYG51" s="19"/>
      <c r="UYP51" s="19"/>
      <c r="UYQ51" s="19"/>
      <c r="UYR51" s="19"/>
      <c r="UYS51" s="19"/>
      <c r="UYT51" s="21"/>
      <c r="UYU51" s="19"/>
      <c r="UZD51" s="19"/>
      <c r="UZE51" s="19"/>
      <c r="UZF51" s="19"/>
      <c r="UZG51" s="19"/>
      <c r="UZH51" s="21"/>
      <c r="UZI51" s="19"/>
      <c r="UZR51" s="19"/>
      <c r="UZS51" s="19"/>
      <c r="UZT51" s="19"/>
      <c r="UZU51" s="19"/>
      <c r="UZV51" s="21"/>
      <c r="UZW51" s="19"/>
      <c r="VAF51" s="19"/>
      <c r="VAG51" s="19"/>
      <c r="VAH51" s="19"/>
      <c r="VAI51" s="19"/>
      <c r="VAJ51" s="21"/>
      <c r="VAK51" s="19"/>
      <c r="VAT51" s="19"/>
      <c r="VAU51" s="19"/>
      <c r="VAV51" s="19"/>
      <c r="VAW51" s="19"/>
      <c r="VAX51" s="21"/>
      <c r="VAY51" s="19"/>
      <c r="VBH51" s="19"/>
      <c r="VBI51" s="19"/>
      <c r="VBJ51" s="19"/>
      <c r="VBK51" s="19"/>
      <c r="VBL51" s="21"/>
      <c r="VBM51" s="19"/>
      <c r="VBV51" s="19"/>
      <c r="VBW51" s="19"/>
      <c r="VBX51" s="19"/>
      <c r="VBY51" s="19"/>
      <c r="VBZ51" s="21"/>
      <c r="VCA51" s="19"/>
      <c r="VCJ51" s="19"/>
      <c r="VCK51" s="19"/>
      <c r="VCL51" s="19"/>
      <c r="VCM51" s="19"/>
      <c r="VCN51" s="21"/>
      <c r="VCO51" s="19"/>
      <c r="VCX51" s="19"/>
      <c r="VCY51" s="19"/>
      <c r="VCZ51" s="19"/>
      <c r="VDA51" s="19"/>
      <c r="VDB51" s="21"/>
      <c r="VDC51" s="19"/>
      <c r="VDL51" s="19"/>
      <c r="VDM51" s="19"/>
      <c r="VDN51" s="19"/>
      <c r="VDO51" s="19"/>
      <c r="VDP51" s="21"/>
      <c r="VDQ51" s="19"/>
      <c r="VDZ51" s="19"/>
      <c r="VEA51" s="19"/>
      <c r="VEB51" s="19"/>
      <c r="VEC51" s="19"/>
      <c r="VED51" s="21"/>
      <c r="VEE51" s="19"/>
      <c r="VEN51" s="19"/>
      <c r="VEO51" s="19"/>
      <c r="VEP51" s="19"/>
      <c r="VEQ51" s="19"/>
      <c r="VER51" s="21"/>
      <c r="VES51" s="19"/>
      <c r="VFB51" s="19"/>
      <c r="VFC51" s="19"/>
      <c r="VFD51" s="19"/>
      <c r="VFE51" s="19"/>
      <c r="VFF51" s="21"/>
      <c r="VFG51" s="19"/>
      <c r="VFP51" s="19"/>
      <c r="VFQ51" s="19"/>
      <c r="VFR51" s="19"/>
      <c r="VFS51" s="19"/>
      <c r="VFT51" s="21"/>
      <c r="VFU51" s="19"/>
      <c r="VGD51" s="19"/>
      <c r="VGE51" s="19"/>
      <c r="VGF51" s="19"/>
      <c r="VGG51" s="19"/>
      <c r="VGH51" s="21"/>
      <c r="VGI51" s="19"/>
      <c r="VGR51" s="19"/>
      <c r="VGS51" s="19"/>
      <c r="VGT51" s="19"/>
      <c r="VGU51" s="19"/>
      <c r="VGV51" s="21"/>
      <c r="VGW51" s="19"/>
      <c r="VHF51" s="19"/>
      <c r="VHG51" s="19"/>
      <c r="VHH51" s="19"/>
      <c r="VHI51" s="19"/>
      <c r="VHJ51" s="21"/>
      <c r="VHK51" s="19"/>
      <c r="VHT51" s="19"/>
      <c r="VHU51" s="19"/>
      <c r="VHV51" s="19"/>
      <c r="VHW51" s="19"/>
      <c r="VHX51" s="21"/>
      <c r="VHY51" s="19"/>
      <c r="VIH51" s="19"/>
      <c r="VII51" s="19"/>
      <c r="VIJ51" s="19"/>
      <c r="VIK51" s="19"/>
      <c r="VIL51" s="21"/>
      <c r="VIM51" s="19"/>
      <c r="VIV51" s="19"/>
      <c r="VIW51" s="19"/>
      <c r="VIX51" s="19"/>
      <c r="VIY51" s="19"/>
      <c r="VIZ51" s="21"/>
      <c r="VJA51" s="19"/>
      <c r="VJJ51" s="19"/>
      <c r="VJK51" s="19"/>
      <c r="VJL51" s="19"/>
      <c r="VJM51" s="19"/>
      <c r="VJN51" s="21"/>
      <c r="VJO51" s="19"/>
      <c r="VJX51" s="19"/>
      <c r="VJY51" s="19"/>
      <c r="VJZ51" s="19"/>
      <c r="VKA51" s="19"/>
      <c r="VKB51" s="21"/>
      <c r="VKC51" s="19"/>
      <c r="VKL51" s="19"/>
      <c r="VKM51" s="19"/>
      <c r="VKN51" s="19"/>
      <c r="VKO51" s="19"/>
      <c r="VKP51" s="21"/>
      <c r="VKQ51" s="19"/>
      <c r="VKZ51" s="19"/>
      <c r="VLA51" s="19"/>
      <c r="VLB51" s="19"/>
      <c r="VLC51" s="19"/>
      <c r="VLD51" s="21"/>
      <c r="VLE51" s="19"/>
      <c r="VLN51" s="19"/>
      <c r="VLO51" s="19"/>
      <c r="VLP51" s="19"/>
      <c r="VLQ51" s="19"/>
      <c r="VLR51" s="21"/>
      <c r="VLS51" s="19"/>
      <c r="VMB51" s="19"/>
      <c r="VMC51" s="19"/>
      <c r="VMD51" s="19"/>
      <c r="VME51" s="19"/>
      <c r="VMF51" s="21"/>
      <c r="VMG51" s="19"/>
      <c r="VMP51" s="19"/>
      <c r="VMQ51" s="19"/>
      <c r="VMR51" s="19"/>
      <c r="VMS51" s="19"/>
      <c r="VMT51" s="21"/>
      <c r="VMU51" s="19"/>
      <c r="VND51" s="19"/>
      <c r="VNE51" s="19"/>
      <c r="VNF51" s="19"/>
      <c r="VNG51" s="19"/>
      <c r="VNH51" s="21"/>
      <c r="VNI51" s="19"/>
      <c r="VNR51" s="19"/>
      <c r="VNS51" s="19"/>
      <c r="VNT51" s="19"/>
      <c r="VNU51" s="19"/>
      <c r="VNV51" s="21"/>
      <c r="VNW51" s="19"/>
      <c r="VOF51" s="19"/>
      <c r="VOG51" s="19"/>
      <c r="VOH51" s="19"/>
      <c r="VOI51" s="19"/>
      <c r="VOJ51" s="21"/>
      <c r="VOK51" s="19"/>
      <c r="VOT51" s="19"/>
      <c r="VOU51" s="19"/>
      <c r="VOV51" s="19"/>
      <c r="VOW51" s="19"/>
      <c r="VOX51" s="21"/>
      <c r="VOY51" s="19"/>
      <c r="VPH51" s="19"/>
      <c r="VPI51" s="19"/>
      <c r="VPJ51" s="19"/>
      <c r="VPK51" s="19"/>
      <c r="VPL51" s="21"/>
      <c r="VPM51" s="19"/>
      <c r="VPV51" s="19"/>
      <c r="VPW51" s="19"/>
      <c r="VPX51" s="19"/>
      <c r="VPY51" s="19"/>
      <c r="VPZ51" s="21"/>
      <c r="VQA51" s="19"/>
      <c r="VQJ51" s="19"/>
      <c r="VQK51" s="19"/>
      <c r="VQL51" s="19"/>
      <c r="VQM51" s="19"/>
      <c r="VQN51" s="21"/>
      <c r="VQO51" s="19"/>
      <c r="VQX51" s="19"/>
      <c r="VQY51" s="19"/>
      <c r="VQZ51" s="19"/>
      <c r="VRA51" s="19"/>
      <c r="VRB51" s="21"/>
      <c r="VRC51" s="19"/>
      <c r="VRL51" s="19"/>
      <c r="VRM51" s="19"/>
      <c r="VRN51" s="19"/>
      <c r="VRO51" s="19"/>
      <c r="VRP51" s="21"/>
      <c r="VRQ51" s="19"/>
      <c r="VRZ51" s="19"/>
      <c r="VSA51" s="19"/>
      <c r="VSB51" s="19"/>
      <c r="VSC51" s="19"/>
      <c r="VSD51" s="21"/>
      <c r="VSE51" s="19"/>
      <c r="VSN51" s="19"/>
      <c r="VSO51" s="19"/>
      <c r="VSP51" s="19"/>
      <c r="VSQ51" s="19"/>
      <c r="VSR51" s="21"/>
      <c r="VSS51" s="19"/>
      <c r="VTB51" s="19"/>
      <c r="VTC51" s="19"/>
      <c r="VTD51" s="19"/>
      <c r="VTE51" s="19"/>
      <c r="VTF51" s="21"/>
      <c r="VTG51" s="19"/>
      <c r="VTP51" s="19"/>
      <c r="VTQ51" s="19"/>
      <c r="VTR51" s="19"/>
      <c r="VTS51" s="19"/>
      <c r="VTT51" s="21"/>
      <c r="VTU51" s="19"/>
      <c r="VUD51" s="19"/>
      <c r="VUE51" s="19"/>
      <c r="VUF51" s="19"/>
      <c r="VUG51" s="19"/>
      <c r="VUH51" s="21"/>
      <c r="VUI51" s="19"/>
      <c r="VUR51" s="19"/>
      <c r="VUS51" s="19"/>
      <c r="VUT51" s="19"/>
      <c r="VUU51" s="19"/>
      <c r="VUV51" s="21"/>
      <c r="VUW51" s="19"/>
      <c r="VVF51" s="19"/>
      <c r="VVG51" s="19"/>
      <c r="VVH51" s="19"/>
      <c r="VVI51" s="19"/>
      <c r="VVJ51" s="21"/>
      <c r="VVK51" s="19"/>
      <c r="VVT51" s="19"/>
      <c r="VVU51" s="19"/>
      <c r="VVV51" s="19"/>
      <c r="VVW51" s="19"/>
      <c r="VVX51" s="21"/>
      <c r="VVY51" s="19"/>
      <c r="VWH51" s="19"/>
      <c r="VWI51" s="19"/>
      <c r="VWJ51" s="19"/>
      <c r="VWK51" s="19"/>
      <c r="VWL51" s="21"/>
      <c r="VWM51" s="19"/>
      <c r="VWV51" s="19"/>
      <c r="VWW51" s="19"/>
      <c r="VWX51" s="19"/>
      <c r="VWY51" s="19"/>
      <c r="VWZ51" s="21"/>
      <c r="VXA51" s="19"/>
      <c r="VXJ51" s="19"/>
      <c r="VXK51" s="19"/>
      <c r="VXL51" s="19"/>
      <c r="VXM51" s="19"/>
      <c r="VXN51" s="21"/>
      <c r="VXO51" s="19"/>
      <c r="VXX51" s="19"/>
      <c r="VXY51" s="19"/>
      <c r="VXZ51" s="19"/>
      <c r="VYA51" s="19"/>
      <c r="VYB51" s="21"/>
      <c r="VYC51" s="19"/>
      <c r="VYL51" s="19"/>
      <c r="VYM51" s="19"/>
      <c r="VYN51" s="19"/>
      <c r="VYO51" s="19"/>
      <c r="VYP51" s="21"/>
      <c r="VYQ51" s="19"/>
      <c r="VYZ51" s="19"/>
      <c r="VZA51" s="19"/>
      <c r="VZB51" s="19"/>
      <c r="VZC51" s="19"/>
      <c r="VZD51" s="21"/>
      <c r="VZE51" s="19"/>
      <c r="VZN51" s="19"/>
      <c r="VZO51" s="19"/>
      <c r="VZP51" s="19"/>
      <c r="VZQ51" s="19"/>
      <c r="VZR51" s="21"/>
      <c r="VZS51" s="19"/>
      <c r="WAB51" s="19"/>
      <c r="WAC51" s="19"/>
      <c r="WAD51" s="19"/>
      <c r="WAE51" s="19"/>
      <c r="WAF51" s="21"/>
      <c r="WAG51" s="19"/>
      <c r="WAP51" s="19"/>
      <c r="WAQ51" s="19"/>
      <c r="WAR51" s="19"/>
      <c r="WAS51" s="19"/>
      <c r="WAT51" s="21"/>
      <c r="WAU51" s="19"/>
      <c r="WBD51" s="19"/>
      <c r="WBE51" s="19"/>
      <c r="WBF51" s="19"/>
      <c r="WBG51" s="19"/>
      <c r="WBH51" s="21"/>
      <c r="WBI51" s="19"/>
      <c r="WBR51" s="19"/>
      <c r="WBS51" s="19"/>
      <c r="WBT51" s="19"/>
      <c r="WBU51" s="19"/>
      <c r="WBV51" s="21"/>
      <c r="WBW51" s="19"/>
      <c r="WCF51" s="19"/>
      <c r="WCG51" s="19"/>
      <c r="WCH51" s="19"/>
      <c r="WCI51" s="19"/>
      <c r="WCJ51" s="21"/>
      <c r="WCK51" s="19"/>
      <c r="WCT51" s="19"/>
      <c r="WCU51" s="19"/>
      <c r="WCV51" s="19"/>
      <c r="WCW51" s="19"/>
      <c r="WCX51" s="21"/>
      <c r="WCY51" s="19"/>
      <c r="WDH51" s="19"/>
      <c r="WDI51" s="19"/>
      <c r="WDJ51" s="19"/>
      <c r="WDK51" s="19"/>
      <c r="WDL51" s="21"/>
      <c r="WDM51" s="19"/>
      <c r="WDV51" s="19"/>
      <c r="WDW51" s="19"/>
      <c r="WDX51" s="19"/>
      <c r="WDY51" s="19"/>
      <c r="WDZ51" s="21"/>
      <c r="WEA51" s="19"/>
      <c r="WEJ51" s="19"/>
      <c r="WEK51" s="19"/>
      <c r="WEL51" s="19"/>
      <c r="WEM51" s="19"/>
      <c r="WEN51" s="21"/>
      <c r="WEO51" s="19"/>
      <c r="WEX51" s="19"/>
      <c r="WEY51" s="19"/>
      <c r="WEZ51" s="19"/>
      <c r="WFA51" s="19"/>
      <c r="WFB51" s="21"/>
      <c r="WFC51" s="19"/>
      <c r="WFL51" s="19"/>
      <c r="WFM51" s="19"/>
      <c r="WFN51" s="19"/>
      <c r="WFO51" s="19"/>
      <c r="WFP51" s="21"/>
      <c r="WFQ51" s="19"/>
      <c r="WFZ51" s="19"/>
      <c r="WGA51" s="19"/>
      <c r="WGB51" s="19"/>
      <c r="WGC51" s="19"/>
      <c r="WGD51" s="21"/>
      <c r="WGE51" s="19"/>
      <c r="WGN51" s="19"/>
      <c r="WGO51" s="19"/>
      <c r="WGP51" s="19"/>
      <c r="WGQ51" s="19"/>
      <c r="WGR51" s="21"/>
      <c r="WGS51" s="19"/>
      <c r="WHB51" s="19"/>
      <c r="WHC51" s="19"/>
      <c r="WHD51" s="19"/>
      <c r="WHE51" s="19"/>
      <c r="WHF51" s="21"/>
      <c r="WHG51" s="19"/>
      <c r="WHP51" s="19"/>
      <c r="WHQ51" s="19"/>
      <c r="WHR51" s="19"/>
      <c r="WHS51" s="19"/>
      <c r="WHT51" s="21"/>
      <c r="WHU51" s="19"/>
      <c r="WID51" s="19"/>
      <c r="WIE51" s="19"/>
      <c r="WIF51" s="19"/>
      <c r="WIG51" s="19"/>
      <c r="WIH51" s="21"/>
      <c r="WII51" s="19"/>
      <c r="WIR51" s="19"/>
      <c r="WIS51" s="19"/>
      <c r="WIT51" s="19"/>
      <c r="WIU51" s="19"/>
      <c r="WIV51" s="21"/>
      <c r="WIW51" s="19"/>
      <c r="WJF51" s="19"/>
      <c r="WJG51" s="19"/>
      <c r="WJH51" s="19"/>
      <c r="WJI51" s="19"/>
      <c r="WJJ51" s="21"/>
      <c r="WJK51" s="19"/>
      <c r="WJT51" s="19"/>
      <c r="WJU51" s="19"/>
      <c r="WJV51" s="19"/>
      <c r="WJW51" s="19"/>
      <c r="WJX51" s="21"/>
      <c r="WJY51" s="19"/>
      <c r="WKH51" s="19"/>
      <c r="WKI51" s="19"/>
      <c r="WKJ51" s="19"/>
      <c r="WKK51" s="19"/>
      <c r="WKL51" s="21"/>
      <c r="WKM51" s="19"/>
      <c r="WKV51" s="19"/>
      <c r="WKW51" s="19"/>
      <c r="WKX51" s="19"/>
      <c r="WKY51" s="19"/>
      <c r="WKZ51" s="21"/>
      <c r="WLA51" s="19"/>
      <c r="WLJ51" s="19"/>
      <c r="WLK51" s="19"/>
      <c r="WLL51" s="19"/>
      <c r="WLM51" s="19"/>
      <c r="WLN51" s="21"/>
      <c r="WLO51" s="19"/>
      <c r="WLX51" s="19"/>
      <c r="WLY51" s="19"/>
      <c r="WLZ51" s="19"/>
      <c r="WMA51" s="19"/>
      <c r="WMB51" s="21"/>
      <c r="WMC51" s="19"/>
      <c r="WML51" s="19"/>
      <c r="WMM51" s="19"/>
      <c r="WMN51" s="19"/>
      <c r="WMO51" s="19"/>
      <c r="WMP51" s="21"/>
      <c r="WMQ51" s="19"/>
      <c r="WMZ51" s="19"/>
      <c r="WNA51" s="19"/>
      <c r="WNB51" s="19"/>
      <c r="WNC51" s="19"/>
      <c r="WND51" s="21"/>
      <c r="WNE51" s="19"/>
      <c r="WNN51" s="19"/>
      <c r="WNO51" s="19"/>
      <c r="WNP51" s="19"/>
      <c r="WNQ51" s="19"/>
      <c r="WNR51" s="21"/>
      <c r="WNS51" s="19"/>
      <c r="WOB51" s="19"/>
      <c r="WOC51" s="19"/>
      <c r="WOD51" s="19"/>
      <c r="WOE51" s="19"/>
      <c r="WOF51" s="21"/>
      <c r="WOG51" s="19"/>
      <c r="WOP51" s="19"/>
      <c r="WOQ51" s="19"/>
      <c r="WOR51" s="19"/>
      <c r="WOS51" s="19"/>
      <c r="WOT51" s="21"/>
      <c r="WOU51" s="19"/>
      <c r="WPD51" s="19"/>
      <c r="WPE51" s="19"/>
      <c r="WPF51" s="19"/>
      <c r="WPG51" s="19"/>
      <c r="WPH51" s="21"/>
      <c r="WPI51" s="19"/>
      <c r="WPR51" s="19"/>
      <c r="WPS51" s="19"/>
      <c r="WPT51" s="19"/>
      <c r="WPU51" s="19"/>
      <c r="WPV51" s="21"/>
      <c r="WPW51" s="19"/>
      <c r="WQF51" s="19"/>
      <c r="WQG51" s="19"/>
      <c r="WQH51" s="19"/>
      <c r="WQI51" s="19"/>
      <c r="WQJ51" s="21"/>
      <c r="WQK51" s="19"/>
      <c r="WQT51" s="19"/>
      <c r="WQU51" s="19"/>
      <c r="WQV51" s="19"/>
      <c r="WQW51" s="19"/>
      <c r="WQX51" s="21"/>
      <c r="WQY51" s="19"/>
      <c r="WRH51" s="19"/>
      <c r="WRI51" s="19"/>
      <c r="WRJ51" s="19"/>
      <c r="WRK51" s="19"/>
      <c r="WRL51" s="21"/>
      <c r="WRM51" s="19"/>
      <c r="WRV51" s="19"/>
      <c r="WRW51" s="19"/>
      <c r="WRX51" s="19"/>
      <c r="WRY51" s="19"/>
      <c r="WRZ51" s="21"/>
      <c r="WSA51" s="19"/>
      <c r="WSJ51" s="19"/>
      <c r="WSK51" s="19"/>
      <c r="WSL51" s="19"/>
      <c r="WSM51" s="19"/>
      <c r="WSN51" s="21"/>
      <c r="WSO51" s="19"/>
      <c r="WSX51" s="19"/>
      <c r="WSY51" s="19"/>
      <c r="WSZ51" s="19"/>
      <c r="WTA51" s="19"/>
      <c r="WTB51" s="21"/>
      <c r="WTC51" s="19"/>
      <c r="WTL51" s="19"/>
      <c r="WTM51" s="19"/>
      <c r="WTN51" s="19"/>
      <c r="WTO51" s="19"/>
      <c r="WTP51" s="21"/>
      <c r="WTQ51" s="19"/>
      <c r="WTZ51" s="19"/>
      <c r="WUA51" s="19"/>
      <c r="WUB51" s="19"/>
      <c r="WUC51" s="19"/>
      <c r="WUD51" s="21"/>
      <c r="WUE51" s="19"/>
      <c r="WUN51" s="19"/>
      <c r="WUO51" s="19"/>
      <c r="WUP51" s="19"/>
      <c r="WUQ51" s="19"/>
      <c r="WUR51" s="21"/>
      <c r="WUS51" s="19"/>
      <c r="WVB51" s="19"/>
      <c r="WVC51" s="19"/>
      <c r="WVD51" s="19"/>
      <c r="WVE51" s="19"/>
      <c r="WVF51" s="21"/>
      <c r="WVG51" s="19"/>
      <c r="WVP51" s="19"/>
      <c r="WVQ51" s="19"/>
      <c r="WVR51" s="19"/>
      <c r="WVS51" s="19"/>
      <c r="WVT51" s="21"/>
      <c r="WVU51" s="19"/>
      <c r="WWD51" s="19"/>
      <c r="WWE51" s="19"/>
      <c r="WWF51" s="19"/>
      <c r="WWG51" s="19"/>
      <c r="WWH51" s="21"/>
      <c r="WWI51" s="19"/>
      <c r="WWR51" s="19"/>
      <c r="WWS51" s="19"/>
      <c r="WWT51" s="19"/>
      <c r="WWU51" s="19"/>
      <c r="WWV51" s="21"/>
      <c r="WWW51" s="19"/>
      <c r="WXF51" s="19"/>
      <c r="WXG51" s="19"/>
      <c r="WXH51" s="19"/>
      <c r="WXI51" s="19"/>
      <c r="WXJ51" s="21"/>
      <c r="WXK51" s="19"/>
      <c r="WXT51" s="19"/>
      <c r="WXU51" s="19"/>
      <c r="WXV51" s="19"/>
      <c r="WXW51" s="19"/>
      <c r="WXX51" s="21"/>
      <c r="WXY51" s="19"/>
      <c r="WYH51" s="19"/>
      <c r="WYI51" s="19"/>
      <c r="WYJ51" s="19"/>
      <c r="WYK51" s="19"/>
      <c r="WYL51" s="21"/>
      <c r="WYM51" s="19"/>
      <c r="WYV51" s="19"/>
      <c r="WYW51" s="19"/>
      <c r="WYX51" s="19"/>
      <c r="WYY51" s="19"/>
      <c r="WYZ51" s="21"/>
      <c r="WZA51" s="19"/>
      <c r="WZJ51" s="19"/>
      <c r="WZK51" s="19"/>
      <c r="WZL51" s="19"/>
      <c r="WZM51" s="19"/>
      <c r="WZN51" s="21"/>
      <c r="WZO51" s="19"/>
      <c r="WZX51" s="19"/>
      <c r="WZY51" s="19"/>
      <c r="WZZ51" s="19"/>
      <c r="XAA51" s="19"/>
      <c r="XAB51" s="21"/>
      <c r="XAC51" s="19"/>
      <c r="XAL51" s="19"/>
      <c r="XAM51" s="19"/>
      <c r="XAN51" s="19"/>
      <c r="XAO51" s="19"/>
      <c r="XAP51" s="21"/>
      <c r="XAQ51" s="19"/>
      <c r="XAZ51" s="19"/>
      <c r="XBA51" s="19"/>
      <c r="XBB51" s="19"/>
      <c r="XBC51" s="19"/>
      <c r="XBD51" s="21"/>
      <c r="XBE51" s="19"/>
      <c r="XBN51" s="19"/>
      <c r="XBO51" s="19"/>
      <c r="XBP51" s="19"/>
      <c r="XBQ51" s="19"/>
      <c r="XBR51" s="21"/>
      <c r="XBS51" s="19"/>
      <c r="XCB51" s="19"/>
      <c r="XCC51" s="19"/>
      <c r="XCD51" s="19"/>
      <c r="XCE51" s="19"/>
      <c r="XCF51" s="21"/>
      <c r="XCG51" s="19"/>
      <c r="XCP51" s="19"/>
      <c r="XCQ51" s="19"/>
      <c r="XCR51" s="19"/>
      <c r="XCS51" s="19"/>
      <c r="XCT51" s="21"/>
      <c r="XCU51" s="19"/>
      <c r="XDD51" s="19"/>
      <c r="XDE51" s="19"/>
      <c r="XDF51" s="19"/>
      <c r="XDG51" s="19"/>
      <c r="XDH51" s="21"/>
      <c r="XDI51" s="19"/>
      <c r="XDR51" s="19"/>
      <c r="XDS51" s="19"/>
      <c r="XDT51" s="19"/>
      <c r="XDU51" s="19"/>
      <c r="XDV51" s="21"/>
      <c r="XDW51" s="19"/>
      <c r="XEF51" s="19"/>
      <c r="XEG51" s="19"/>
      <c r="XEH51" s="19"/>
      <c r="XEI51" s="19"/>
      <c r="XEJ51" s="21"/>
      <c r="XEK51" s="19"/>
    </row>
    <row r="52" spans="1:1021 1030:2043 2052:3065 3074:7167 7176:8189 8198:9211 9220:10233 10242:14335 14344:15357 15366:16365" s="20" customFormat="1">
      <c r="A52" s="19">
        <v>4</v>
      </c>
      <c r="B52" s="19">
        <v>3</v>
      </c>
      <c r="C52" s="20" t="s">
        <v>121</v>
      </c>
      <c r="D52" s="20">
        <v>9</v>
      </c>
      <c r="E52" s="20">
        <v>4</v>
      </c>
      <c r="F52" s="20">
        <v>3</v>
      </c>
      <c r="G52" s="20">
        <v>0</v>
      </c>
      <c r="H52" s="20">
        <v>1</v>
      </c>
      <c r="I52" s="20">
        <v>11</v>
      </c>
      <c r="J52" s="20">
        <v>4</v>
      </c>
      <c r="K52" s="19">
        <v>7</v>
      </c>
      <c r="L52" s="27"/>
      <c r="M52" s="19"/>
      <c r="V52" s="19"/>
      <c r="W52" s="19"/>
      <c r="X52" s="19"/>
      <c r="Y52" s="19"/>
      <c r="Z52" s="21"/>
      <c r="AA52" s="19"/>
      <c r="AJ52" s="19"/>
      <c r="AK52" s="19"/>
      <c r="AL52" s="19"/>
      <c r="AM52" s="19"/>
      <c r="AN52" s="21"/>
      <c r="AO52" s="19"/>
      <c r="AX52" s="19"/>
      <c r="AY52" s="19"/>
      <c r="AZ52" s="19"/>
      <c r="BA52" s="19"/>
      <c r="BB52" s="21"/>
      <c r="BC52" s="19"/>
      <c r="BL52" s="19"/>
      <c r="BM52" s="19"/>
      <c r="BN52" s="19"/>
      <c r="BO52" s="19"/>
      <c r="BP52" s="21"/>
      <c r="BQ52" s="19"/>
      <c r="BZ52" s="19"/>
      <c r="CA52" s="19"/>
      <c r="CB52" s="19"/>
      <c r="CC52" s="19"/>
      <c r="CD52" s="21"/>
      <c r="CE52" s="19"/>
      <c r="CN52" s="19"/>
      <c r="CO52" s="19"/>
      <c r="CP52" s="19"/>
      <c r="CQ52" s="19"/>
      <c r="CR52" s="21"/>
      <c r="CS52" s="19"/>
      <c r="DB52" s="19"/>
      <c r="DC52" s="19"/>
      <c r="DD52" s="19"/>
      <c r="DE52" s="19"/>
      <c r="DF52" s="21"/>
      <c r="DG52" s="19"/>
      <c r="DP52" s="19"/>
      <c r="DQ52" s="19"/>
      <c r="DR52" s="19"/>
      <c r="DS52" s="19"/>
      <c r="DT52" s="21"/>
      <c r="DU52" s="19"/>
      <c r="ED52" s="19"/>
      <c r="EE52" s="19"/>
      <c r="EF52" s="19"/>
      <c r="EG52" s="19"/>
      <c r="EH52" s="21"/>
      <c r="EI52" s="19"/>
      <c r="ER52" s="19"/>
      <c r="ES52" s="19"/>
      <c r="ET52" s="19"/>
      <c r="EU52" s="19"/>
      <c r="EV52" s="21"/>
      <c r="EW52" s="19"/>
      <c r="FF52" s="19"/>
      <c r="FG52" s="19"/>
      <c r="FH52" s="19"/>
      <c r="FI52" s="19"/>
      <c r="FJ52" s="21"/>
      <c r="FK52" s="19"/>
      <c r="FT52" s="19"/>
      <c r="FU52" s="19"/>
      <c r="FV52" s="19"/>
      <c r="FW52" s="19"/>
      <c r="FX52" s="21"/>
      <c r="FY52" s="19"/>
      <c r="GH52" s="19"/>
      <c r="GI52" s="19"/>
      <c r="GJ52" s="19"/>
      <c r="GK52" s="19"/>
      <c r="GL52" s="21"/>
      <c r="GM52" s="19"/>
      <c r="GV52" s="19"/>
      <c r="GW52" s="19"/>
      <c r="GX52" s="19"/>
      <c r="GY52" s="19"/>
      <c r="GZ52" s="21"/>
      <c r="HA52" s="19"/>
      <c r="HJ52" s="19"/>
      <c r="HK52" s="19"/>
      <c r="HL52" s="19"/>
      <c r="HM52" s="19"/>
      <c r="HN52" s="21"/>
      <c r="HO52" s="19"/>
      <c r="HX52" s="19"/>
      <c r="HY52" s="19"/>
      <c r="HZ52" s="19"/>
      <c r="IA52" s="19"/>
      <c r="IB52" s="21"/>
      <c r="IC52" s="19"/>
      <c r="IL52" s="19"/>
      <c r="IM52" s="19"/>
      <c r="IN52" s="19"/>
      <c r="IO52" s="19"/>
      <c r="IP52" s="21"/>
      <c r="IQ52" s="19"/>
      <c r="IZ52" s="19"/>
      <c r="JA52" s="19"/>
      <c r="JB52" s="19"/>
      <c r="JC52" s="19"/>
      <c r="JD52" s="21"/>
      <c r="JE52" s="19"/>
      <c r="JN52" s="19"/>
      <c r="JO52" s="19"/>
      <c r="JP52" s="19"/>
      <c r="JQ52" s="19"/>
      <c r="JR52" s="21"/>
      <c r="JS52" s="19"/>
      <c r="KB52" s="19"/>
      <c r="KC52" s="19"/>
      <c r="KD52" s="19"/>
      <c r="KE52" s="19"/>
      <c r="KF52" s="21"/>
      <c r="KG52" s="19"/>
      <c r="KP52" s="19"/>
      <c r="KQ52" s="19"/>
      <c r="KR52" s="19"/>
      <c r="KS52" s="19"/>
      <c r="KT52" s="21"/>
      <c r="KU52" s="19"/>
      <c r="LD52" s="19"/>
      <c r="LE52" s="19"/>
      <c r="LF52" s="19"/>
      <c r="LG52" s="19"/>
      <c r="LH52" s="21"/>
      <c r="LI52" s="19"/>
      <c r="LR52" s="19"/>
      <c r="LS52" s="19"/>
      <c r="LT52" s="19"/>
      <c r="LU52" s="19"/>
      <c r="LV52" s="21"/>
      <c r="LW52" s="19"/>
      <c r="MF52" s="19"/>
      <c r="MG52" s="19"/>
      <c r="MH52" s="19"/>
      <c r="MI52" s="19"/>
      <c r="MJ52" s="21"/>
      <c r="MK52" s="19"/>
      <c r="MT52" s="19"/>
      <c r="MU52" s="19"/>
      <c r="MV52" s="19"/>
      <c r="MW52" s="19"/>
      <c r="MX52" s="21"/>
      <c r="MY52" s="19"/>
      <c r="NH52" s="19"/>
      <c r="NI52" s="19"/>
      <c r="NJ52" s="19"/>
      <c r="NK52" s="19"/>
      <c r="NL52" s="21"/>
      <c r="NM52" s="19"/>
      <c r="NV52" s="19"/>
      <c r="NW52" s="19"/>
      <c r="NX52" s="19"/>
      <c r="NY52" s="19"/>
      <c r="NZ52" s="21"/>
      <c r="OA52" s="19"/>
      <c r="OJ52" s="19"/>
      <c r="OK52" s="19"/>
      <c r="OL52" s="19"/>
      <c r="OM52" s="19"/>
      <c r="ON52" s="21"/>
      <c r="OO52" s="19"/>
      <c r="OX52" s="19"/>
      <c r="OY52" s="19"/>
      <c r="OZ52" s="19"/>
      <c r="PA52" s="19"/>
      <c r="PB52" s="21"/>
      <c r="PC52" s="19"/>
      <c r="PL52" s="19"/>
      <c r="PM52" s="19"/>
      <c r="PN52" s="19"/>
      <c r="PO52" s="19"/>
      <c r="PP52" s="21"/>
      <c r="PQ52" s="19"/>
      <c r="PZ52" s="19"/>
      <c r="QA52" s="19"/>
      <c r="QB52" s="19"/>
      <c r="QC52" s="19"/>
      <c r="QD52" s="21"/>
      <c r="QE52" s="19"/>
      <c r="QN52" s="19"/>
      <c r="QO52" s="19"/>
      <c r="QP52" s="19"/>
      <c r="QQ52" s="19"/>
      <c r="QR52" s="21"/>
      <c r="QS52" s="19"/>
      <c r="RB52" s="19"/>
      <c r="RC52" s="19"/>
      <c r="RD52" s="19"/>
      <c r="RE52" s="19"/>
      <c r="RF52" s="21"/>
      <c r="RG52" s="19"/>
      <c r="RP52" s="19"/>
      <c r="RQ52" s="19"/>
      <c r="RR52" s="19"/>
      <c r="RS52" s="19"/>
      <c r="RT52" s="21"/>
      <c r="RU52" s="19"/>
      <c r="SD52" s="19"/>
      <c r="SE52" s="19"/>
      <c r="SF52" s="19"/>
      <c r="SG52" s="19"/>
      <c r="SH52" s="21"/>
      <c r="SI52" s="19"/>
      <c r="SR52" s="19"/>
      <c r="SS52" s="19"/>
      <c r="ST52" s="19"/>
      <c r="SU52" s="19"/>
      <c r="SV52" s="21"/>
      <c r="SW52" s="19"/>
      <c r="TF52" s="19"/>
      <c r="TG52" s="19"/>
      <c r="TH52" s="19"/>
      <c r="TI52" s="19"/>
      <c r="TJ52" s="21"/>
      <c r="TK52" s="19"/>
      <c r="TT52" s="19"/>
      <c r="TU52" s="19"/>
      <c r="TV52" s="19"/>
      <c r="TW52" s="19"/>
      <c r="TX52" s="21"/>
      <c r="TY52" s="19"/>
      <c r="UH52" s="19"/>
      <c r="UI52" s="19"/>
      <c r="UJ52" s="19"/>
      <c r="UK52" s="19"/>
      <c r="UL52" s="21"/>
      <c r="UM52" s="19"/>
      <c r="UV52" s="19"/>
      <c r="UW52" s="19"/>
      <c r="UX52" s="19"/>
      <c r="UY52" s="19"/>
      <c r="UZ52" s="21"/>
      <c r="VA52" s="19"/>
      <c r="VJ52" s="19"/>
      <c r="VK52" s="19"/>
      <c r="VL52" s="19"/>
      <c r="VM52" s="19"/>
      <c r="VN52" s="21"/>
      <c r="VO52" s="19"/>
      <c r="VX52" s="19"/>
      <c r="VY52" s="19"/>
      <c r="VZ52" s="19"/>
      <c r="WA52" s="19"/>
      <c r="WB52" s="21"/>
      <c r="WC52" s="19"/>
      <c r="WL52" s="19"/>
      <c r="WM52" s="19"/>
      <c r="WN52" s="19"/>
      <c r="WO52" s="19"/>
      <c r="WP52" s="21"/>
      <c r="WQ52" s="19"/>
      <c r="WZ52" s="19"/>
      <c r="XA52" s="19"/>
      <c r="XB52" s="19"/>
      <c r="XC52" s="19"/>
      <c r="XD52" s="21"/>
      <c r="XE52" s="19"/>
      <c r="XN52" s="19"/>
      <c r="XO52" s="19"/>
      <c r="XP52" s="19"/>
      <c r="XQ52" s="19"/>
      <c r="XR52" s="21"/>
      <c r="XS52" s="19"/>
      <c r="YB52" s="19"/>
      <c r="YC52" s="19"/>
      <c r="YD52" s="19"/>
      <c r="YE52" s="19"/>
      <c r="YF52" s="21"/>
      <c r="YG52" s="19"/>
      <c r="YP52" s="19"/>
      <c r="YQ52" s="19"/>
      <c r="YR52" s="19"/>
      <c r="YS52" s="19"/>
      <c r="YT52" s="21"/>
      <c r="YU52" s="19"/>
      <c r="ZD52" s="19"/>
      <c r="ZE52" s="19"/>
      <c r="ZF52" s="19"/>
      <c r="ZG52" s="19"/>
      <c r="ZH52" s="21"/>
      <c r="ZI52" s="19"/>
      <c r="ZR52" s="19"/>
      <c r="ZS52" s="19"/>
      <c r="ZT52" s="19"/>
      <c r="ZU52" s="19"/>
      <c r="ZV52" s="21"/>
      <c r="ZW52" s="19"/>
      <c r="AAF52" s="19"/>
      <c r="AAG52" s="19"/>
      <c r="AAH52" s="19"/>
      <c r="AAI52" s="19"/>
      <c r="AAJ52" s="21"/>
      <c r="AAK52" s="19"/>
      <c r="AAT52" s="19"/>
      <c r="AAU52" s="19"/>
      <c r="AAV52" s="19"/>
      <c r="AAW52" s="19"/>
      <c r="AAX52" s="21"/>
      <c r="AAY52" s="19"/>
      <c r="ABH52" s="19"/>
      <c r="ABI52" s="19"/>
      <c r="ABJ52" s="19"/>
      <c r="ABK52" s="19"/>
      <c r="ABL52" s="21"/>
      <c r="ABM52" s="19"/>
      <c r="ABV52" s="19"/>
      <c r="ABW52" s="19"/>
      <c r="ABX52" s="19"/>
      <c r="ABY52" s="19"/>
      <c r="ABZ52" s="21"/>
      <c r="ACA52" s="19"/>
      <c r="ACJ52" s="19"/>
      <c r="ACK52" s="19"/>
      <c r="ACL52" s="19"/>
      <c r="ACM52" s="19"/>
      <c r="ACN52" s="21"/>
      <c r="ACO52" s="19"/>
      <c r="ACX52" s="19"/>
      <c r="ACY52" s="19"/>
      <c r="ACZ52" s="19"/>
      <c r="ADA52" s="19"/>
      <c r="ADB52" s="21"/>
      <c r="ADC52" s="19"/>
      <c r="ADL52" s="19"/>
      <c r="ADM52" s="19"/>
      <c r="ADN52" s="19"/>
      <c r="ADO52" s="19"/>
      <c r="ADP52" s="21"/>
      <c r="ADQ52" s="19"/>
      <c r="ADZ52" s="19"/>
      <c r="AEA52" s="19"/>
      <c r="AEB52" s="19"/>
      <c r="AEC52" s="19"/>
      <c r="AED52" s="21"/>
      <c r="AEE52" s="19"/>
      <c r="AEN52" s="19"/>
      <c r="AEO52" s="19"/>
      <c r="AEP52" s="19"/>
      <c r="AEQ52" s="19"/>
      <c r="AER52" s="21"/>
      <c r="AES52" s="19"/>
      <c r="AFB52" s="19"/>
      <c r="AFC52" s="19"/>
      <c r="AFD52" s="19"/>
      <c r="AFE52" s="19"/>
      <c r="AFF52" s="21"/>
      <c r="AFG52" s="19"/>
      <c r="AFP52" s="19"/>
      <c r="AFQ52" s="19"/>
      <c r="AFR52" s="19"/>
      <c r="AFS52" s="19"/>
      <c r="AFT52" s="21"/>
      <c r="AFU52" s="19"/>
      <c r="AGD52" s="19"/>
      <c r="AGE52" s="19"/>
      <c r="AGF52" s="19"/>
      <c r="AGG52" s="19"/>
      <c r="AGH52" s="21"/>
      <c r="AGI52" s="19"/>
      <c r="AGR52" s="19"/>
      <c r="AGS52" s="19"/>
      <c r="AGT52" s="19"/>
      <c r="AGU52" s="19"/>
      <c r="AGV52" s="21"/>
      <c r="AGW52" s="19"/>
      <c r="AHF52" s="19"/>
      <c r="AHG52" s="19"/>
      <c r="AHH52" s="19"/>
      <c r="AHI52" s="19"/>
      <c r="AHJ52" s="21"/>
      <c r="AHK52" s="19"/>
      <c r="AHT52" s="19"/>
      <c r="AHU52" s="19"/>
      <c r="AHV52" s="19"/>
      <c r="AHW52" s="19"/>
      <c r="AHX52" s="21"/>
      <c r="AHY52" s="19"/>
      <c r="AIH52" s="19"/>
      <c r="AII52" s="19"/>
      <c r="AIJ52" s="19"/>
      <c r="AIK52" s="19"/>
      <c r="AIL52" s="21"/>
      <c r="AIM52" s="19"/>
      <c r="AIV52" s="19"/>
      <c r="AIW52" s="19"/>
      <c r="AIX52" s="19"/>
      <c r="AIY52" s="19"/>
      <c r="AIZ52" s="21"/>
      <c r="AJA52" s="19"/>
      <c r="AJJ52" s="19"/>
      <c r="AJK52" s="19"/>
      <c r="AJL52" s="19"/>
      <c r="AJM52" s="19"/>
      <c r="AJN52" s="21"/>
      <c r="AJO52" s="19"/>
      <c r="AJX52" s="19"/>
      <c r="AJY52" s="19"/>
      <c r="AJZ52" s="19"/>
      <c r="AKA52" s="19"/>
      <c r="AKB52" s="21"/>
      <c r="AKC52" s="19"/>
      <c r="AKL52" s="19"/>
      <c r="AKM52" s="19"/>
      <c r="AKN52" s="19"/>
      <c r="AKO52" s="19"/>
      <c r="AKP52" s="21"/>
      <c r="AKQ52" s="19"/>
      <c r="AKZ52" s="19"/>
      <c r="ALA52" s="19"/>
      <c r="ALB52" s="19"/>
      <c r="ALC52" s="19"/>
      <c r="ALD52" s="21"/>
      <c r="ALE52" s="19"/>
      <c r="ALN52" s="19"/>
      <c r="ALO52" s="19"/>
      <c r="ALP52" s="19"/>
      <c r="ALQ52" s="19"/>
      <c r="ALR52" s="21"/>
      <c r="ALS52" s="19"/>
      <c r="AMB52" s="19"/>
      <c r="AMC52" s="19"/>
      <c r="AMD52" s="19"/>
      <c r="AME52" s="19"/>
      <c r="AMF52" s="21"/>
      <c r="AMG52" s="19"/>
      <c r="AMP52" s="19"/>
      <c r="AMQ52" s="19"/>
      <c r="AMR52" s="19"/>
      <c r="AMS52" s="19"/>
      <c r="AMT52" s="21"/>
      <c r="AMU52" s="19"/>
      <c r="AND52" s="19"/>
      <c r="ANE52" s="19"/>
      <c r="ANF52" s="19"/>
      <c r="ANG52" s="19"/>
      <c r="ANH52" s="21"/>
      <c r="ANI52" s="19"/>
      <c r="ANR52" s="19"/>
      <c r="ANS52" s="19"/>
      <c r="ANT52" s="19"/>
      <c r="ANU52" s="19"/>
      <c r="ANV52" s="21"/>
      <c r="ANW52" s="19"/>
      <c r="AOF52" s="19"/>
      <c r="AOG52" s="19"/>
      <c r="AOH52" s="19"/>
      <c r="AOI52" s="19"/>
      <c r="AOJ52" s="21"/>
      <c r="AOK52" s="19"/>
      <c r="AOT52" s="19"/>
      <c r="AOU52" s="19"/>
      <c r="AOV52" s="19"/>
      <c r="AOW52" s="19"/>
      <c r="AOX52" s="21"/>
      <c r="AOY52" s="19"/>
      <c r="APH52" s="19"/>
      <c r="API52" s="19"/>
      <c r="APJ52" s="19"/>
      <c r="APK52" s="19"/>
      <c r="APL52" s="21"/>
      <c r="APM52" s="19"/>
      <c r="APV52" s="19"/>
      <c r="APW52" s="19"/>
      <c r="APX52" s="19"/>
      <c r="APY52" s="19"/>
      <c r="APZ52" s="21"/>
      <c r="AQA52" s="19"/>
      <c r="AQJ52" s="19"/>
      <c r="AQK52" s="19"/>
      <c r="AQL52" s="19"/>
      <c r="AQM52" s="19"/>
      <c r="AQN52" s="21"/>
      <c r="AQO52" s="19"/>
      <c r="AQX52" s="19"/>
      <c r="AQY52" s="19"/>
      <c r="AQZ52" s="19"/>
      <c r="ARA52" s="19"/>
      <c r="ARB52" s="21"/>
      <c r="ARC52" s="19"/>
      <c r="ARL52" s="19"/>
      <c r="ARM52" s="19"/>
      <c r="ARN52" s="19"/>
      <c r="ARO52" s="19"/>
      <c r="ARP52" s="21"/>
      <c r="ARQ52" s="19"/>
      <c r="ARZ52" s="19"/>
      <c r="ASA52" s="19"/>
      <c r="ASB52" s="19"/>
      <c r="ASC52" s="19"/>
      <c r="ASD52" s="21"/>
      <c r="ASE52" s="19"/>
      <c r="ASN52" s="19"/>
      <c r="ASO52" s="19"/>
      <c r="ASP52" s="19"/>
      <c r="ASQ52" s="19"/>
      <c r="ASR52" s="21"/>
      <c r="ASS52" s="19"/>
      <c r="ATB52" s="19"/>
      <c r="ATC52" s="19"/>
      <c r="ATD52" s="19"/>
      <c r="ATE52" s="19"/>
      <c r="ATF52" s="21"/>
      <c r="ATG52" s="19"/>
      <c r="ATP52" s="19"/>
      <c r="ATQ52" s="19"/>
      <c r="ATR52" s="19"/>
      <c r="ATS52" s="19"/>
      <c r="ATT52" s="21"/>
      <c r="ATU52" s="19"/>
      <c r="AUD52" s="19"/>
      <c r="AUE52" s="19"/>
      <c r="AUF52" s="19"/>
      <c r="AUG52" s="19"/>
      <c r="AUH52" s="21"/>
      <c r="AUI52" s="19"/>
      <c r="AUR52" s="19"/>
      <c r="AUS52" s="19"/>
      <c r="AUT52" s="19"/>
      <c r="AUU52" s="19"/>
      <c r="AUV52" s="21"/>
      <c r="AUW52" s="19"/>
      <c r="AVF52" s="19"/>
      <c r="AVG52" s="19"/>
      <c r="AVH52" s="19"/>
      <c r="AVI52" s="19"/>
      <c r="AVJ52" s="21"/>
      <c r="AVK52" s="19"/>
      <c r="AVT52" s="19"/>
      <c r="AVU52" s="19"/>
      <c r="AVV52" s="19"/>
      <c r="AVW52" s="19"/>
      <c r="AVX52" s="21"/>
      <c r="AVY52" s="19"/>
      <c r="AWH52" s="19"/>
      <c r="AWI52" s="19"/>
      <c r="AWJ52" s="19"/>
      <c r="AWK52" s="19"/>
      <c r="AWL52" s="21"/>
      <c r="AWM52" s="19"/>
      <c r="AWV52" s="19"/>
      <c r="AWW52" s="19"/>
      <c r="AWX52" s="19"/>
      <c r="AWY52" s="19"/>
      <c r="AWZ52" s="21"/>
      <c r="AXA52" s="19"/>
      <c r="AXJ52" s="19"/>
      <c r="AXK52" s="19"/>
      <c r="AXL52" s="19"/>
      <c r="AXM52" s="19"/>
      <c r="AXN52" s="21"/>
      <c r="AXO52" s="19"/>
      <c r="AXX52" s="19"/>
      <c r="AXY52" s="19"/>
      <c r="AXZ52" s="19"/>
      <c r="AYA52" s="19"/>
      <c r="AYB52" s="21"/>
      <c r="AYC52" s="19"/>
      <c r="AYL52" s="19"/>
      <c r="AYM52" s="19"/>
      <c r="AYN52" s="19"/>
      <c r="AYO52" s="19"/>
      <c r="AYP52" s="21"/>
      <c r="AYQ52" s="19"/>
      <c r="AYZ52" s="19"/>
      <c r="AZA52" s="19"/>
      <c r="AZB52" s="19"/>
      <c r="AZC52" s="19"/>
      <c r="AZD52" s="21"/>
      <c r="AZE52" s="19"/>
      <c r="AZN52" s="19"/>
      <c r="AZO52" s="19"/>
      <c r="AZP52" s="19"/>
      <c r="AZQ52" s="19"/>
      <c r="AZR52" s="21"/>
      <c r="AZS52" s="19"/>
      <c r="BAB52" s="19"/>
      <c r="BAC52" s="19"/>
      <c r="BAD52" s="19"/>
      <c r="BAE52" s="19"/>
      <c r="BAF52" s="21"/>
      <c r="BAG52" s="19"/>
      <c r="BAP52" s="19"/>
      <c r="BAQ52" s="19"/>
      <c r="BAR52" s="19"/>
      <c r="BAS52" s="19"/>
      <c r="BAT52" s="21"/>
      <c r="BAU52" s="19"/>
      <c r="BBD52" s="19"/>
      <c r="BBE52" s="19"/>
      <c r="BBF52" s="19"/>
      <c r="BBG52" s="19"/>
      <c r="BBH52" s="21"/>
      <c r="BBI52" s="19"/>
      <c r="BBR52" s="19"/>
      <c r="BBS52" s="19"/>
      <c r="BBT52" s="19"/>
      <c r="BBU52" s="19"/>
      <c r="BBV52" s="21"/>
      <c r="BBW52" s="19"/>
      <c r="BCF52" s="19"/>
      <c r="BCG52" s="19"/>
      <c r="BCH52" s="19"/>
      <c r="BCI52" s="19"/>
      <c r="BCJ52" s="21"/>
      <c r="BCK52" s="19"/>
      <c r="BCT52" s="19"/>
      <c r="BCU52" s="19"/>
      <c r="BCV52" s="19"/>
      <c r="BCW52" s="19"/>
      <c r="BCX52" s="21"/>
      <c r="BCY52" s="19"/>
      <c r="BDH52" s="19"/>
      <c r="BDI52" s="19"/>
      <c r="BDJ52" s="19"/>
      <c r="BDK52" s="19"/>
      <c r="BDL52" s="21"/>
      <c r="BDM52" s="19"/>
      <c r="BDV52" s="19"/>
      <c r="BDW52" s="19"/>
      <c r="BDX52" s="19"/>
      <c r="BDY52" s="19"/>
      <c r="BDZ52" s="21"/>
      <c r="BEA52" s="19"/>
      <c r="BEJ52" s="19"/>
      <c r="BEK52" s="19"/>
      <c r="BEL52" s="19"/>
      <c r="BEM52" s="19"/>
      <c r="BEN52" s="21"/>
      <c r="BEO52" s="19"/>
      <c r="BEX52" s="19"/>
      <c r="BEY52" s="19"/>
      <c r="BEZ52" s="19"/>
      <c r="BFA52" s="19"/>
      <c r="BFB52" s="21"/>
      <c r="BFC52" s="19"/>
      <c r="BFL52" s="19"/>
      <c r="BFM52" s="19"/>
      <c r="BFN52" s="19"/>
      <c r="BFO52" s="19"/>
      <c r="BFP52" s="21"/>
      <c r="BFQ52" s="19"/>
      <c r="BFZ52" s="19"/>
      <c r="BGA52" s="19"/>
      <c r="BGB52" s="19"/>
      <c r="BGC52" s="19"/>
      <c r="BGD52" s="21"/>
      <c r="BGE52" s="19"/>
      <c r="BGN52" s="19"/>
      <c r="BGO52" s="19"/>
      <c r="BGP52" s="19"/>
      <c r="BGQ52" s="19"/>
      <c r="BGR52" s="21"/>
      <c r="BGS52" s="19"/>
      <c r="BHB52" s="19"/>
      <c r="BHC52" s="19"/>
      <c r="BHD52" s="19"/>
      <c r="BHE52" s="19"/>
      <c r="BHF52" s="21"/>
      <c r="BHG52" s="19"/>
      <c r="BHP52" s="19"/>
      <c r="BHQ52" s="19"/>
      <c r="BHR52" s="19"/>
      <c r="BHS52" s="19"/>
      <c r="BHT52" s="21"/>
      <c r="BHU52" s="19"/>
      <c r="BID52" s="19"/>
      <c r="BIE52" s="19"/>
      <c r="BIF52" s="19"/>
      <c r="BIG52" s="19"/>
      <c r="BIH52" s="21"/>
      <c r="BII52" s="19"/>
      <c r="BIR52" s="19"/>
      <c r="BIS52" s="19"/>
      <c r="BIT52" s="19"/>
      <c r="BIU52" s="19"/>
      <c r="BIV52" s="21"/>
      <c r="BIW52" s="19"/>
      <c r="BJF52" s="19"/>
      <c r="BJG52" s="19"/>
      <c r="BJH52" s="19"/>
      <c r="BJI52" s="19"/>
      <c r="BJJ52" s="21"/>
      <c r="BJK52" s="19"/>
      <c r="BJT52" s="19"/>
      <c r="BJU52" s="19"/>
      <c r="BJV52" s="19"/>
      <c r="BJW52" s="19"/>
      <c r="BJX52" s="21"/>
      <c r="BJY52" s="19"/>
      <c r="BKH52" s="19"/>
      <c r="BKI52" s="19"/>
      <c r="BKJ52" s="19"/>
      <c r="BKK52" s="19"/>
      <c r="BKL52" s="21"/>
      <c r="BKM52" s="19"/>
      <c r="BKV52" s="19"/>
      <c r="BKW52" s="19"/>
      <c r="BKX52" s="19"/>
      <c r="BKY52" s="19"/>
      <c r="BKZ52" s="21"/>
      <c r="BLA52" s="19"/>
      <c r="BLJ52" s="19"/>
      <c r="BLK52" s="19"/>
      <c r="BLL52" s="19"/>
      <c r="BLM52" s="19"/>
      <c r="BLN52" s="21"/>
      <c r="BLO52" s="19"/>
      <c r="BLX52" s="19"/>
      <c r="BLY52" s="19"/>
      <c r="BLZ52" s="19"/>
      <c r="BMA52" s="19"/>
      <c r="BMB52" s="21"/>
      <c r="BMC52" s="19"/>
      <c r="BML52" s="19"/>
      <c r="BMM52" s="19"/>
      <c r="BMN52" s="19"/>
      <c r="BMO52" s="19"/>
      <c r="BMP52" s="21"/>
      <c r="BMQ52" s="19"/>
      <c r="BMZ52" s="19"/>
      <c r="BNA52" s="19"/>
      <c r="BNB52" s="19"/>
      <c r="BNC52" s="19"/>
      <c r="BND52" s="21"/>
      <c r="BNE52" s="19"/>
      <c r="BNN52" s="19"/>
      <c r="BNO52" s="19"/>
      <c r="BNP52" s="19"/>
      <c r="BNQ52" s="19"/>
      <c r="BNR52" s="21"/>
      <c r="BNS52" s="19"/>
      <c r="BOB52" s="19"/>
      <c r="BOC52" s="19"/>
      <c r="BOD52" s="19"/>
      <c r="BOE52" s="19"/>
      <c r="BOF52" s="21"/>
      <c r="BOG52" s="19"/>
      <c r="BOP52" s="19"/>
      <c r="BOQ52" s="19"/>
      <c r="BOR52" s="19"/>
      <c r="BOS52" s="19"/>
      <c r="BOT52" s="21"/>
      <c r="BOU52" s="19"/>
      <c r="BPD52" s="19"/>
      <c r="BPE52" s="19"/>
      <c r="BPF52" s="19"/>
      <c r="BPG52" s="19"/>
      <c r="BPH52" s="21"/>
      <c r="BPI52" s="19"/>
      <c r="BPR52" s="19"/>
      <c r="BPS52" s="19"/>
      <c r="BPT52" s="19"/>
      <c r="BPU52" s="19"/>
      <c r="BPV52" s="21"/>
      <c r="BPW52" s="19"/>
      <c r="BQF52" s="19"/>
      <c r="BQG52" s="19"/>
      <c r="BQH52" s="19"/>
      <c r="BQI52" s="19"/>
      <c r="BQJ52" s="21"/>
      <c r="BQK52" s="19"/>
      <c r="BQT52" s="19"/>
      <c r="BQU52" s="19"/>
      <c r="BQV52" s="19"/>
      <c r="BQW52" s="19"/>
      <c r="BQX52" s="21"/>
      <c r="BQY52" s="19"/>
      <c r="BRH52" s="19"/>
      <c r="BRI52" s="19"/>
      <c r="BRJ52" s="19"/>
      <c r="BRK52" s="19"/>
      <c r="BRL52" s="21"/>
      <c r="BRM52" s="19"/>
      <c r="BRV52" s="19"/>
      <c r="BRW52" s="19"/>
      <c r="BRX52" s="19"/>
      <c r="BRY52" s="19"/>
      <c r="BRZ52" s="21"/>
      <c r="BSA52" s="19"/>
      <c r="BSJ52" s="19"/>
      <c r="BSK52" s="19"/>
      <c r="BSL52" s="19"/>
      <c r="BSM52" s="19"/>
      <c r="BSN52" s="21"/>
      <c r="BSO52" s="19"/>
      <c r="BSX52" s="19"/>
      <c r="BSY52" s="19"/>
      <c r="BSZ52" s="19"/>
      <c r="BTA52" s="19"/>
      <c r="BTB52" s="21"/>
      <c r="BTC52" s="19"/>
      <c r="BTL52" s="19"/>
      <c r="BTM52" s="19"/>
      <c r="BTN52" s="19"/>
      <c r="BTO52" s="19"/>
      <c r="BTP52" s="21"/>
      <c r="BTQ52" s="19"/>
      <c r="BTZ52" s="19"/>
      <c r="BUA52" s="19"/>
      <c r="BUB52" s="19"/>
      <c r="BUC52" s="19"/>
      <c r="BUD52" s="21"/>
      <c r="BUE52" s="19"/>
      <c r="BUN52" s="19"/>
      <c r="BUO52" s="19"/>
      <c r="BUP52" s="19"/>
      <c r="BUQ52" s="19"/>
      <c r="BUR52" s="21"/>
      <c r="BUS52" s="19"/>
      <c r="BVB52" s="19"/>
      <c r="BVC52" s="19"/>
      <c r="BVD52" s="19"/>
      <c r="BVE52" s="19"/>
      <c r="BVF52" s="21"/>
      <c r="BVG52" s="19"/>
      <c r="BVP52" s="19"/>
      <c r="BVQ52" s="19"/>
      <c r="BVR52" s="19"/>
      <c r="BVS52" s="19"/>
      <c r="BVT52" s="21"/>
      <c r="BVU52" s="19"/>
      <c r="BWD52" s="19"/>
      <c r="BWE52" s="19"/>
      <c r="BWF52" s="19"/>
      <c r="BWG52" s="19"/>
      <c r="BWH52" s="21"/>
      <c r="BWI52" s="19"/>
      <c r="BWR52" s="19"/>
      <c r="BWS52" s="19"/>
      <c r="BWT52" s="19"/>
      <c r="BWU52" s="19"/>
      <c r="BWV52" s="21"/>
      <c r="BWW52" s="19"/>
      <c r="BXF52" s="19"/>
      <c r="BXG52" s="19"/>
      <c r="BXH52" s="19"/>
      <c r="BXI52" s="19"/>
      <c r="BXJ52" s="21"/>
      <c r="BXK52" s="19"/>
      <c r="BXT52" s="19"/>
      <c r="BXU52" s="19"/>
      <c r="BXV52" s="19"/>
      <c r="BXW52" s="19"/>
      <c r="BXX52" s="21"/>
      <c r="BXY52" s="19"/>
      <c r="BYH52" s="19"/>
      <c r="BYI52" s="19"/>
      <c r="BYJ52" s="19"/>
      <c r="BYK52" s="19"/>
      <c r="BYL52" s="21"/>
      <c r="BYM52" s="19"/>
      <c r="BYV52" s="19"/>
      <c r="BYW52" s="19"/>
      <c r="BYX52" s="19"/>
      <c r="BYY52" s="19"/>
      <c r="BYZ52" s="21"/>
      <c r="BZA52" s="19"/>
      <c r="BZJ52" s="19"/>
      <c r="BZK52" s="19"/>
      <c r="BZL52" s="19"/>
      <c r="BZM52" s="19"/>
      <c r="BZN52" s="21"/>
      <c r="BZO52" s="19"/>
      <c r="BZX52" s="19"/>
      <c r="BZY52" s="19"/>
      <c r="BZZ52" s="19"/>
      <c r="CAA52" s="19"/>
      <c r="CAB52" s="21"/>
      <c r="CAC52" s="19"/>
      <c r="CAL52" s="19"/>
      <c r="CAM52" s="19"/>
      <c r="CAN52" s="19"/>
      <c r="CAO52" s="19"/>
      <c r="CAP52" s="21"/>
      <c r="CAQ52" s="19"/>
      <c r="CAZ52" s="19"/>
      <c r="CBA52" s="19"/>
      <c r="CBB52" s="19"/>
      <c r="CBC52" s="19"/>
      <c r="CBD52" s="21"/>
      <c r="CBE52" s="19"/>
      <c r="CBN52" s="19"/>
      <c r="CBO52" s="19"/>
      <c r="CBP52" s="19"/>
      <c r="CBQ52" s="19"/>
      <c r="CBR52" s="21"/>
      <c r="CBS52" s="19"/>
      <c r="CCB52" s="19"/>
      <c r="CCC52" s="19"/>
      <c r="CCD52" s="19"/>
      <c r="CCE52" s="19"/>
      <c r="CCF52" s="21"/>
      <c r="CCG52" s="19"/>
      <c r="CCP52" s="19"/>
      <c r="CCQ52" s="19"/>
      <c r="CCR52" s="19"/>
      <c r="CCS52" s="19"/>
      <c r="CCT52" s="21"/>
      <c r="CCU52" s="19"/>
      <c r="CDD52" s="19"/>
      <c r="CDE52" s="19"/>
      <c r="CDF52" s="19"/>
      <c r="CDG52" s="19"/>
      <c r="CDH52" s="21"/>
      <c r="CDI52" s="19"/>
      <c r="CDR52" s="19"/>
      <c r="CDS52" s="19"/>
      <c r="CDT52" s="19"/>
      <c r="CDU52" s="19"/>
      <c r="CDV52" s="21"/>
      <c r="CDW52" s="19"/>
      <c r="CEF52" s="19"/>
      <c r="CEG52" s="19"/>
      <c r="CEH52" s="19"/>
      <c r="CEI52" s="19"/>
      <c r="CEJ52" s="21"/>
      <c r="CEK52" s="19"/>
      <c r="CET52" s="19"/>
      <c r="CEU52" s="19"/>
      <c r="CEV52" s="19"/>
      <c r="CEW52" s="19"/>
      <c r="CEX52" s="21"/>
      <c r="CEY52" s="19"/>
      <c r="CFH52" s="19"/>
      <c r="CFI52" s="19"/>
      <c r="CFJ52" s="19"/>
      <c r="CFK52" s="19"/>
      <c r="CFL52" s="21"/>
      <c r="CFM52" s="19"/>
      <c r="CFV52" s="19"/>
      <c r="CFW52" s="19"/>
      <c r="CFX52" s="19"/>
      <c r="CFY52" s="19"/>
      <c r="CFZ52" s="21"/>
      <c r="CGA52" s="19"/>
      <c r="CGJ52" s="19"/>
      <c r="CGK52" s="19"/>
      <c r="CGL52" s="19"/>
      <c r="CGM52" s="19"/>
      <c r="CGN52" s="21"/>
      <c r="CGO52" s="19"/>
      <c r="CGX52" s="19"/>
      <c r="CGY52" s="19"/>
      <c r="CGZ52" s="19"/>
      <c r="CHA52" s="19"/>
      <c r="CHB52" s="21"/>
      <c r="CHC52" s="19"/>
      <c r="CHL52" s="19"/>
      <c r="CHM52" s="19"/>
      <c r="CHN52" s="19"/>
      <c r="CHO52" s="19"/>
      <c r="CHP52" s="21"/>
      <c r="CHQ52" s="19"/>
      <c r="CHZ52" s="19"/>
      <c r="CIA52" s="19"/>
      <c r="CIB52" s="19"/>
      <c r="CIC52" s="19"/>
      <c r="CID52" s="21"/>
      <c r="CIE52" s="19"/>
      <c r="CIN52" s="19"/>
      <c r="CIO52" s="19"/>
      <c r="CIP52" s="19"/>
      <c r="CIQ52" s="19"/>
      <c r="CIR52" s="21"/>
      <c r="CIS52" s="19"/>
      <c r="CJB52" s="19"/>
      <c r="CJC52" s="19"/>
      <c r="CJD52" s="19"/>
      <c r="CJE52" s="19"/>
      <c r="CJF52" s="21"/>
      <c r="CJG52" s="19"/>
      <c r="CJP52" s="19"/>
      <c r="CJQ52" s="19"/>
      <c r="CJR52" s="19"/>
      <c r="CJS52" s="19"/>
      <c r="CJT52" s="21"/>
      <c r="CJU52" s="19"/>
      <c r="CKD52" s="19"/>
      <c r="CKE52" s="19"/>
      <c r="CKF52" s="19"/>
      <c r="CKG52" s="19"/>
      <c r="CKH52" s="21"/>
      <c r="CKI52" s="19"/>
      <c r="CKR52" s="19"/>
      <c r="CKS52" s="19"/>
      <c r="CKT52" s="19"/>
      <c r="CKU52" s="19"/>
      <c r="CKV52" s="21"/>
      <c r="CKW52" s="19"/>
      <c r="CLF52" s="19"/>
      <c r="CLG52" s="19"/>
      <c r="CLH52" s="19"/>
      <c r="CLI52" s="19"/>
      <c r="CLJ52" s="21"/>
      <c r="CLK52" s="19"/>
      <c r="CLT52" s="19"/>
      <c r="CLU52" s="19"/>
      <c r="CLV52" s="19"/>
      <c r="CLW52" s="19"/>
      <c r="CLX52" s="21"/>
      <c r="CLY52" s="19"/>
      <c r="CMH52" s="19"/>
      <c r="CMI52" s="19"/>
      <c r="CMJ52" s="19"/>
      <c r="CMK52" s="19"/>
      <c r="CML52" s="21"/>
      <c r="CMM52" s="19"/>
      <c r="CMV52" s="19"/>
      <c r="CMW52" s="19"/>
      <c r="CMX52" s="19"/>
      <c r="CMY52" s="19"/>
      <c r="CMZ52" s="21"/>
      <c r="CNA52" s="19"/>
      <c r="CNJ52" s="19"/>
      <c r="CNK52" s="19"/>
      <c r="CNL52" s="19"/>
      <c r="CNM52" s="19"/>
      <c r="CNN52" s="21"/>
      <c r="CNO52" s="19"/>
      <c r="CNX52" s="19"/>
      <c r="CNY52" s="19"/>
      <c r="CNZ52" s="19"/>
      <c r="COA52" s="19"/>
      <c r="COB52" s="21"/>
      <c r="COC52" s="19"/>
      <c r="COL52" s="19"/>
      <c r="COM52" s="19"/>
      <c r="CON52" s="19"/>
      <c r="COO52" s="19"/>
      <c r="COP52" s="21"/>
      <c r="COQ52" s="19"/>
      <c r="COZ52" s="19"/>
      <c r="CPA52" s="19"/>
      <c r="CPB52" s="19"/>
      <c r="CPC52" s="19"/>
      <c r="CPD52" s="21"/>
      <c r="CPE52" s="19"/>
      <c r="CPN52" s="19"/>
      <c r="CPO52" s="19"/>
      <c r="CPP52" s="19"/>
      <c r="CPQ52" s="19"/>
      <c r="CPR52" s="21"/>
      <c r="CPS52" s="19"/>
      <c r="CQB52" s="19"/>
      <c r="CQC52" s="19"/>
      <c r="CQD52" s="19"/>
      <c r="CQE52" s="19"/>
      <c r="CQF52" s="21"/>
      <c r="CQG52" s="19"/>
      <c r="CQP52" s="19"/>
      <c r="CQQ52" s="19"/>
      <c r="CQR52" s="19"/>
      <c r="CQS52" s="19"/>
      <c r="CQT52" s="21"/>
      <c r="CQU52" s="19"/>
      <c r="CRD52" s="19"/>
      <c r="CRE52" s="19"/>
      <c r="CRF52" s="19"/>
      <c r="CRG52" s="19"/>
      <c r="CRH52" s="21"/>
      <c r="CRI52" s="19"/>
      <c r="CRR52" s="19"/>
      <c r="CRS52" s="19"/>
      <c r="CRT52" s="19"/>
      <c r="CRU52" s="19"/>
      <c r="CRV52" s="21"/>
      <c r="CRW52" s="19"/>
      <c r="CSF52" s="19"/>
      <c r="CSG52" s="19"/>
      <c r="CSH52" s="19"/>
      <c r="CSI52" s="19"/>
      <c r="CSJ52" s="21"/>
      <c r="CSK52" s="19"/>
      <c r="CST52" s="19"/>
      <c r="CSU52" s="19"/>
      <c r="CSV52" s="19"/>
      <c r="CSW52" s="19"/>
      <c r="CSX52" s="21"/>
      <c r="CSY52" s="19"/>
      <c r="CTH52" s="19"/>
      <c r="CTI52" s="19"/>
      <c r="CTJ52" s="19"/>
      <c r="CTK52" s="19"/>
      <c r="CTL52" s="21"/>
      <c r="CTM52" s="19"/>
      <c r="CTV52" s="19"/>
      <c r="CTW52" s="19"/>
      <c r="CTX52" s="19"/>
      <c r="CTY52" s="19"/>
      <c r="CTZ52" s="21"/>
      <c r="CUA52" s="19"/>
      <c r="CUJ52" s="19"/>
      <c r="CUK52" s="19"/>
      <c r="CUL52" s="19"/>
      <c r="CUM52" s="19"/>
      <c r="CUN52" s="21"/>
      <c r="CUO52" s="19"/>
      <c r="CUX52" s="19"/>
      <c r="CUY52" s="19"/>
      <c r="CUZ52" s="19"/>
      <c r="CVA52" s="19"/>
      <c r="CVB52" s="21"/>
      <c r="CVC52" s="19"/>
      <c r="CVL52" s="19"/>
      <c r="CVM52" s="19"/>
      <c r="CVN52" s="19"/>
      <c r="CVO52" s="19"/>
      <c r="CVP52" s="21"/>
      <c r="CVQ52" s="19"/>
      <c r="CVZ52" s="19"/>
      <c r="CWA52" s="19"/>
      <c r="CWB52" s="19"/>
      <c r="CWC52" s="19"/>
      <c r="CWD52" s="21"/>
      <c r="CWE52" s="19"/>
      <c r="CWN52" s="19"/>
      <c r="CWO52" s="19"/>
      <c r="CWP52" s="19"/>
      <c r="CWQ52" s="19"/>
      <c r="CWR52" s="21"/>
      <c r="CWS52" s="19"/>
      <c r="CXB52" s="19"/>
      <c r="CXC52" s="19"/>
      <c r="CXD52" s="19"/>
      <c r="CXE52" s="19"/>
      <c r="CXF52" s="21"/>
      <c r="CXG52" s="19"/>
      <c r="CXP52" s="19"/>
      <c r="CXQ52" s="19"/>
      <c r="CXR52" s="19"/>
      <c r="CXS52" s="19"/>
      <c r="CXT52" s="21"/>
      <c r="CXU52" s="19"/>
      <c r="CYD52" s="19"/>
      <c r="CYE52" s="19"/>
      <c r="CYF52" s="19"/>
      <c r="CYG52" s="19"/>
      <c r="CYH52" s="21"/>
      <c r="CYI52" s="19"/>
      <c r="CYR52" s="19"/>
      <c r="CYS52" s="19"/>
      <c r="CYT52" s="19"/>
      <c r="CYU52" s="19"/>
      <c r="CYV52" s="21"/>
      <c r="CYW52" s="19"/>
      <c r="CZF52" s="19"/>
      <c r="CZG52" s="19"/>
      <c r="CZH52" s="19"/>
      <c r="CZI52" s="19"/>
      <c r="CZJ52" s="21"/>
      <c r="CZK52" s="19"/>
      <c r="CZT52" s="19"/>
      <c r="CZU52" s="19"/>
      <c r="CZV52" s="19"/>
      <c r="CZW52" s="19"/>
      <c r="CZX52" s="21"/>
      <c r="CZY52" s="19"/>
      <c r="DAH52" s="19"/>
      <c r="DAI52" s="19"/>
      <c r="DAJ52" s="19"/>
      <c r="DAK52" s="19"/>
      <c r="DAL52" s="21"/>
      <c r="DAM52" s="19"/>
      <c r="DAV52" s="19"/>
      <c r="DAW52" s="19"/>
      <c r="DAX52" s="19"/>
      <c r="DAY52" s="19"/>
      <c r="DAZ52" s="21"/>
      <c r="DBA52" s="19"/>
      <c r="DBJ52" s="19"/>
      <c r="DBK52" s="19"/>
      <c r="DBL52" s="19"/>
      <c r="DBM52" s="19"/>
      <c r="DBN52" s="21"/>
      <c r="DBO52" s="19"/>
      <c r="DBX52" s="19"/>
      <c r="DBY52" s="19"/>
      <c r="DBZ52" s="19"/>
      <c r="DCA52" s="19"/>
      <c r="DCB52" s="21"/>
      <c r="DCC52" s="19"/>
      <c r="DCL52" s="19"/>
      <c r="DCM52" s="19"/>
      <c r="DCN52" s="19"/>
      <c r="DCO52" s="19"/>
      <c r="DCP52" s="21"/>
      <c r="DCQ52" s="19"/>
      <c r="DCZ52" s="19"/>
      <c r="DDA52" s="19"/>
      <c r="DDB52" s="19"/>
      <c r="DDC52" s="19"/>
      <c r="DDD52" s="21"/>
      <c r="DDE52" s="19"/>
      <c r="DDN52" s="19"/>
      <c r="DDO52" s="19"/>
      <c r="DDP52" s="19"/>
      <c r="DDQ52" s="19"/>
      <c r="DDR52" s="21"/>
      <c r="DDS52" s="19"/>
      <c r="DEB52" s="19"/>
      <c r="DEC52" s="19"/>
      <c r="DED52" s="19"/>
      <c r="DEE52" s="19"/>
      <c r="DEF52" s="21"/>
      <c r="DEG52" s="19"/>
      <c r="DEP52" s="19"/>
      <c r="DEQ52" s="19"/>
      <c r="DER52" s="19"/>
      <c r="DES52" s="19"/>
      <c r="DET52" s="21"/>
      <c r="DEU52" s="19"/>
      <c r="DFD52" s="19"/>
      <c r="DFE52" s="19"/>
      <c r="DFF52" s="19"/>
      <c r="DFG52" s="19"/>
      <c r="DFH52" s="21"/>
      <c r="DFI52" s="19"/>
      <c r="DFR52" s="19"/>
      <c r="DFS52" s="19"/>
      <c r="DFT52" s="19"/>
      <c r="DFU52" s="19"/>
      <c r="DFV52" s="21"/>
      <c r="DFW52" s="19"/>
      <c r="DGF52" s="19"/>
      <c r="DGG52" s="19"/>
      <c r="DGH52" s="19"/>
      <c r="DGI52" s="19"/>
      <c r="DGJ52" s="21"/>
      <c r="DGK52" s="19"/>
      <c r="DGT52" s="19"/>
      <c r="DGU52" s="19"/>
      <c r="DGV52" s="19"/>
      <c r="DGW52" s="19"/>
      <c r="DGX52" s="21"/>
      <c r="DGY52" s="19"/>
      <c r="DHH52" s="19"/>
      <c r="DHI52" s="19"/>
      <c r="DHJ52" s="19"/>
      <c r="DHK52" s="19"/>
      <c r="DHL52" s="21"/>
      <c r="DHM52" s="19"/>
      <c r="DHV52" s="19"/>
      <c r="DHW52" s="19"/>
      <c r="DHX52" s="19"/>
      <c r="DHY52" s="19"/>
      <c r="DHZ52" s="21"/>
      <c r="DIA52" s="19"/>
      <c r="DIJ52" s="19"/>
      <c r="DIK52" s="19"/>
      <c r="DIL52" s="19"/>
      <c r="DIM52" s="19"/>
      <c r="DIN52" s="21"/>
      <c r="DIO52" s="19"/>
      <c r="DIX52" s="19"/>
      <c r="DIY52" s="19"/>
      <c r="DIZ52" s="19"/>
      <c r="DJA52" s="19"/>
      <c r="DJB52" s="21"/>
      <c r="DJC52" s="19"/>
      <c r="DJL52" s="19"/>
      <c r="DJM52" s="19"/>
      <c r="DJN52" s="19"/>
      <c r="DJO52" s="19"/>
      <c r="DJP52" s="21"/>
      <c r="DJQ52" s="19"/>
      <c r="DJZ52" s="19"/>
      <c r="DKA52" s="19"/>
      <c r="DKB52" s="19"/>
      <c r="DKC52" s="19"/>
      <c r="DKD52" s="21"/>
      <c r="DKE52" s="19"/>
      <c r="DKN52" s="19"/>
      <c r="DKO52" s="19"/>
      <c r="DKP52" s="19"/>
      <c r="DKQ52" s="19"/>
      <c r="DKR52" s="21"/>
      <c r="DKS52" s="19"/>
      <c r="DLB52" s="19"/>
      <c r="DLC52" s="19"/>
      <c r="DLD52" s="19"/>
      <c r="DLE52" s="19"/>
      <c r="DLF52" s="21"/>
      <c r="DLG52" s="19"/>
      <c r="DLP52" s="19"/>
      <c r="DLQ52" s="19"/>
      <c r="DLR52" s="19"/>
      <c r="DLS52" s="19"/>
      <c r="DLT52" s="21"/>
      <c r="DLU52" s="19"/>
      <c r="DMD52" s="19"/>
      <c r="DME52" s="19"/>
      <c r="DMF52" s="19"/>
      <c r="DMG52" s="19"/>
      <c r="DMH52" s="21"/>
      <c r="DMI52" s="19"/>
      <c r="DMR52" s="19"/>
      <c r="DMS52" s="19"/>
      <c r="DMT52" s="19"/>
      <c r="DMU52" s="19"/>
      <c r="DMV52" s="21"/>
      <c r="DMW52" s="19"/>
      <c r="DNF52" s="19"/>
      <c r="DNG52" s="19"/>
      <c r="DNH52" s="19"/>
      <c r="DNI52" s="19"/>
      <c r="DNJ52" s="21"/>
      <c r="DNK52" s="19"/>
      <c r="DNT52" s="19"/>
      <c r="DNU52" s="19"/>
      <c r="DNV52" s="19"/>
      <c r="DNW52" s="19"/>
      <c r="DNX52" s="21"/>
      <c r="DNY52" s="19"/>
      <c r="DOH52" s="19"/>
      <c r="DOI52" s="19"/>
      <c r="DOJ52" s="19"/>
      <c r="DOK52" s="19"/>
      <c r="DOL52" s="21"/>
      <c r="DOM52" s="19"/>
      <c r="DOV52" s="19"/>
      <c r="DOW52" s="19"/>
      <c r="DOX52" s="19"/>
      <c r="DOY52" s="19"/>
      <c r="DOZ52" s="21"/>
      <c r="DPA52" s="19"/>
      <c r="DPJ52" s="19"/>
      <c r="DPK52" s="19"/>
      <c r="DPL52" s="19"/>
      <c r="DPM52" s="19"/>
      <c r="DPN52" s="21"/>
      <c r="DPO52" s="19"/>
      <c r="DPX52" s="19"/>
      <c r="DPY52" s="19"/>
      <c r="DPZ52" s="19"/>
      <c r="DQA52" s="19"/>
      <c r="DQB52" s="21"/>
      <c r="DQC52" s="19"/>
      <c r="DQL52" s="19"/>
      <c r="DQM52" s="19"/>
      <c r="DQN52" s="19"/>
      <c r="DQO52" s="19"/>
      <c r="DQP52" s="21"/>
      <c r="DQQ52" s="19"/>
      <c r="DQZ52" s="19"/>
      <c r="DRA52" s="19"/>
      <c r="DRB52" s="19"/>
      <c r="DRC52" s="19"/>
      <c r="DRD52" s="21"/>
      <c r="DRE52" s="19"/>
      <c r="DRN52" s="19"/>
      <c r="DRO52" s="19"/>
      <c r="DRP52" s="19"/>
      <c r="DRQ52" s="19"/>
      <c r="DRR52" s="21"/>
      <c r="DRS52" s="19"/>
      <c r="DSB52" s="19"/>
      <c r="DSC52" s="19"/>
      <c r="DSD52" s="19"/>
      <c r="DSE52" s="19"/>
      <c r="DSF52" s="21"/>
      <c r="DSG52" s="19"/>
      <c r="DSP52" s="19"/>
      <c r="DSQ52" s="19"/>
      <c r="DSR52" s="19"/>
      <c r="DSS52" s="19"/>
      <c r="DST52" s="21"/>
      <c r="DSU52" s="19"/>
      <c r="DTD52" s="19"/>
      <c r="DTE52" s="19"/>
      <c r="DTF52" s="19"/>
      <c r="DTG52" s="19"/>
      <c r="DTH52" s="21"/>
      <c r="DTI52" s="19"/>
      <c r="DTR52" s="19"/>
      <c r="DTS52" s="19"/>
      <c r="DTT52" s="19"/>
      <c r="DTU52" s="19"/>
      <c r="DTV52" s="21"/>
      <c r="DTW52" s="19"/>
      <c r="DUF52" s="19"/>
      <c r="DUG52" s="19"/>
      <c r="DUH52" s="19"/>
      <c r="DUI52" s="19"/>
      <c r="DUJ52" s="21"/>
      <c r="DUK52" s="19"/>
      <c r="DUT52" s="19"/>
      <c r="DUU52" s="19"/>
      <c r="DUV52" s="19"/>
      <c r="DUW52" s="19"/>
      <c r="DUX52" s="21"/>
      <c r="DUY52" s="19"/>
      <c r="DVH52" s="19"/>
      <c r="DVI52" s="19"/>
      <c r="DVJ52" s="19"/>
      <c r="DVK52" s="19"/>
      <c r="DVL52" s="21"/>
      <c r="DVM52" s="19"/>
      <c r="DVV52" s="19"/>
      <c r="DVW52" s="19"/>
      <c r="DVX52" s="19"/>
      <c r="DVY52" s="19"/>
      <c r="DVZ52" s="21"/>
      <c r="DWA52" s="19"/>
      <c r="DWJ52" s="19"/>
      <c r="DWK52" s="19"/>
      <c r="DWL52" s="19"/>
      <c r="DWM52" s="19"/>
      <c r="DWN52" s="21"/>
      <c r="DWO52" s="19"/>
      <c r="DWX52" s="19"/>
      <c r="DWY52" s="19"/>
      <c r="DWZ52" s="19"/>
      <c r="DXA52" s="19"/>
      <c r="DXB52" s="21"/>
      <c r="DXC52" s="19"/>
      <c r="DXL52" s="19"/>
      <c r="DXM52" s="19"/>
      <c r="DXN52" s="19"/>
      <c r="DXO52" s="19"/>
      <c r="DXP52" s="21"/>
      <c r="DXQ52" s="19"/>
      <c r="DXZ52" s="19"/>
      <c r="DYA52" s="19"/>
      <c r="DYB52" s="19"/>
      <c r="DYC52" s="19"/>
      <c r="DYD52" s="21"/>
      <c r="DYE52" s="19"/>
      <c r="DYN52" s="19"/>
      <c r="DYO52" s="19"/>
      <c r="DYP52" s="19"/>
      <c r="DYQ52" s="19"/>
      <c r="DYR52" s="21"/>
      <c r="DYS52" s="19"/>
      <c r="DZB52" s="19"/>
      <c r="DZC52" s="19"/>
      <c r="DZD52" s="19"/>
      <c r="DZE52" s="19"/>
      <c r="DZF52" s="21"/>
      <c r="DZG52" s="19"/>
      <c r="DZP52" s="19"/>
      <c r="DZQ52" s="19"/>
      <c r="DZR52" s="19"/>
      <c r="DZS52" s="19"/>
      <c r="DZT52" s="21"/>
      <c r="DZU52" s="19"/>
      <c r="EAD52" s="19"/>
      <c r="EAE52" s="19"/>
      <c r="EAF52" s="19"/>
      <c r="EAG52" s="19"/>
      <c r="EAH52" s="21"/>
      <c r="EAI52" s="19"/>
      <c r="EAR52" s="19"/>
      <c r="EAS52" s="19"/>
      <c r="EAT52" s="19"/>
      <c r="EAU52" s="19"/>
      <c r="EAV52" s="21"/>
      <c r="EAW52" s="19"/>
      <c r="EBF52" s="19"/>
      <c r="EBG52" s="19"/>
      <c r="EBH52" s="19"/>
      <c r="EBI52" s="19"/>
      <c r="EBJ52" s="21"/>
      <c r="EBK52" s="19"/>
      <c r="EBT52" s="19"/>
      <c r="EBU52" s="19"/>
      <c r="EBV52" s="19"/>
      <c r="EBW52" s="19"/>
      <c r="EBX52" s="21"/>
      <c r="EBY52" s="19"/>
      <c r="ECH52" s="19"/>
      <c r="ECI52" s="19"/>
      <c r="ECJ52" s="19"/>
      <c r="ECK52" s="19"/>
      <c r="ECL52" s="21"/>
      <c r="ECM52" s="19"/>
      <c r="ECV52" s="19"/>
      <c r="ECW52" s="19"/>
      <c r="ECX52" s="19"/>
      <c r="ECY52" s="19"/>
      <c r="ECZ52" s="21"/>
      <c r="EDA52" s="19"/>
      <c r="EDJ52" s="19"/>
      <c r="EDK52" s="19"/>
      <c r="EDL52" s="19"/>
      <c r="EDM52" s="19"/>
      <c r="EDN52" s="21"/>
      <c r="EDO52" s="19"/>
      <c r="EDX52" s="19"/>
      <c r="EDY52" s="19"/>
      <c r="EDZ52" s="19"/>
      <c r="EEA52" s="19"/>
      <c r="EEB52" s="21"/>
      <c r="EEC52" s="19"/>
      <c r="EEL52" s="19"/>
      <c r="EEM52" s="19"/>
      <c r="EEN52" s="19"/>
      <c r="EEO52" s="19"/>
      <c r="EEP52" s="21"/>
      <c r="EEQ52" s="19"/>
      <c r="EEZ52" s="19"/>
      <c r="EFA52" s="19"/>
      <c r="EFB52" s="19"/>
      <c r="EFC52" s="19"/>
      <c r="EFD52" s="21"/>
      <c r="EFE52" s="19"/>
      <c r="EFN52" s="19"/>
      <c r="EFO52" s="19"/>
      <c r="EFP52" s="19"/>
      <c r="EFQ52" s="19"/>
      <c r="EFR52" s="21"/>
      <c r="EFS52" s="19"/>
      <c r="EGB52" s="19"/>
      <c r="EGC52" s="19"/>
      <c r="EGD52" s="19"/>
      <c r="EGE52" s="19"/>
      <c r="EGF52" s="21"/>
      <c r="EGG52" s="19"/>
      <c r="EGP52" s="19"/>
      <c r="EGQ52" s="19"/>
      <c r="EGR52" s="19"/>
      <c r="EGS52" s="19"/>
      <c r="EGT52" s="21"/>
      <c r="EGU52" s="19"/>
      <c r="EHD52" s="19"/>
      <c r="EHE52" s="19"/>
      <c r="EHF52" s="19"/>
      <c r="EHG52" s="19"/>
      <c r="EHH52" s="21"/>
      <c r="EHI52" s="19"/>
      <c r="EHR52" s="19"/>
      <c r="EHS52" s="19"/>
      <c r="EHT52" s="19"/>
      <c r="EHU52" s="19"/>
      <c r="EHV52" s="21"/>
      <c r="EHW52" s="19"/>
      <c r="EIF52" s="19"/>
      <c r="EIG52" s="19"/>
      <c r="EIH52" s="19"/>
      <c r="EII52" s="19"/>
      <c r="EIJ52" s="21"/>
      <c r="EIK52" s="19"/>
      <c r="EIT52" s="19"/>
      <c r="EIU52" s="19"/>
      <c r="EIV52" s="19"/>
      <c r="EIW52" s="19"/>
      <c r="EIX52" s="21"/>
      <c r="EIY52" s="19"/>
      <c r="EJH52" s="19"/>
      <c r="EJI52" s="19"/>
      <c r="EJJ52" s="19"/>
      <c r="EJK52" s="19"/>
      <c r="EJL52" s="21"/>
      <c r="EJM52" s="19"/>
      <c r="EJV52" s="19"/>
      <c r="EJW52" s="19"/>
      <c r="EJX52" s="19"/>
      <c r="EJY52" s="19"/>
      <c r="EJZ52" s="21"/>
      <c r="EKA52" s="19"/>
      <c r="EKJ52" s="19"/>
      <c r="EKK52" s="19"/>
      <c r="EKL52" s="19"/>
      <c r="EKM52" s="19"/>
      <c r="EKN52" s="21"/>
      <c r="EKO52" s="19"/>
      <c r="EKX52" s="19"/>
      <c r="EKY52" s="19"/>
      <c r="EKZ52" s="19"/>
      <c r="ELA52" s="19"/>
      <c r="ELB52" s="21"/>
      <c r="ELC52" s="19"/>
      <c r="ELL52" s="19"/>
      <c r="ELM52" s="19"/>
      <c r="ELN52" s="19"/>
      <c r="ELO52" s="19"/>
      <c r="ELP52" s="21"/>
      <c r="ELQ52" s="19"/>
      <c r="ELZ52" s="19"/>
      <c r="EMA52" s="19"/>
      <c r="EMB52" s="19"/>
      <c r="EMC52" s="19"/>
      <c r="EMD52" s="21"/>
      <c r="EME52" s="19"/>
      <c r="EMN52" s="19"/>
      <c r="EMO52" s="19"/>
      <c r="EMP52" s="19"/>
      <c r="EMQ52" s="19"/>
      <c r="EMR52" s="21"/>
      <c r="EMS52" s="19"/>
      <c r="ENB52" s="19"/>
      <c r="ENC52" s="19"/>
      <c r="END52" s="19"/>
      <c r="ENE52" s="19"/>
      <c r="ENF52" s="21"/>
      <c r="ENG52" s="19"/>
      <c r="ENP52" s="19"/>
      <c r="ENQ52" s="19"/>
      <c r="ENR52" s="19"/>
      <c r="ENS52" s="19"/>
      <c r="ENT52" s="21"/>
      <c r="ENU52" s="19"/>
      <c r="EOD52" s="19"/>
      <c r="EOE52" s="19"/>
      <c r="EOF52" s="19"/>
      <c r="EOG52" s="19"/>
      <c r="EOH52" s="21"/>
      <c r="EOI52" s="19"/>
      <c r="EOR52" s="19"/>
      <c r="EOS52" s="19"/>
      <c r="EOT52" s="19"/>
      <c r="EOU52" s="19"/>
      <c r="EOV52" s="21"/>
      <c r="EOW52" s="19"/>
      <c r="EPF52" s="19"/>
      <c r="EPG52" s="19"/>
      <c r="EPH52" s="19"/>
      <c r="EPI52" s="19"/>
      <c r="EPJ52" s="21"/>
      <c r="EPK52" s="19"/>
      <c r="EPT52" s="19"/>
      <c r="EPU52" s="19"/>
      <c r="EPV52" s="19"/>
      <c r="EPW52" s="19"/>
      <c r="EPX52" s="21"/>
      <c r="EPY52" s="19"/>
      <c r="EQH52" s="19"/>
      <c r="EQI52" s="19"/>
      <c r="EQJ52" s="19"/>
      <c r="EQK52" s="19"/>
      <c r="EQL52" s="21"/>
      <c r="EQM52" s="19"/>
      <c r="EQV52" s="19"/>
      <c r="EQW52" s="19"/>
      <c r="EQX52" s="19"/>
      <c r="EQY52" s="19"/>
      <c r="EQZ52" s="21"/>
      <c r="ERA52" s="19"/>
      <c r="ERJ52" s="19"/>
      <c r="ERK52" s="19"/>
      <c r="ERL52" s="19"/>
      <c r="ERM52" s="19"/>
      <c r="ERN52" s="21"/>
      <c r="ERO52" s="19"/>
      <c r="ERX52" s="19"/>
      <c r="ERY52" s="19"/>
      <c r="ERZ52" s="19"/>
      <c r="ESA52" s="19"/>
      <c r="ESB52" s="21"/>
      <c r="ESC52" s="19"/>
      <c r="ESL52" s="19"/>
      <c r="ESM52" s="19"/>
      <c r="ESN52" s="19"/>
      <c r="ESO52" s="19"/>
      <c r="ESP52" s="21"/>
      <c r="ESQ52" s="19"/>
      <c r="ESZ52" s="19"/>
      <c r="ETA52" s="19"/>
      <c r="ETB52" s="19"/>
      <c r="ETC52" s="19"/>
      <c r="ETD52" s="21"/>
      <c r="ETE52" s="19"/>
      <c r="ETN52" s="19"/>
      <c r="ETO52" s="19"/>
      <c r="ETP52" s="19"/>
      <c r="ETQ52" s="19"/>
      <c r="ETR52" s="21"/>
      <c r="ETS52" s="19"/>
      <c r="EUB52" s="19"/>
      <c r="EUC52" s="19"/>
      <c r="EUD52" s="19"/>
      <c r="EUE52" s="19"/>
      <c r="EUF52" s="21"/>
      <c r="EUG52" s="19"/>
      <c r="EUP52" s="19"/>
      <c r="EUQ52" s="19"/>
      <c r="EUR52" s="19"/>
      <c r="EUS52" s="19"/>
      <c r="EUT52" s="21"/>
      <c r="EUU52" s="19"/>
      <c r="EVD52" s="19"/>
      <c r="EVE52" s="19"/>
      <c r="EVF52" s="19"/>
      <c r="EVG52" s="19"/>
      <c r="EVH52" s="21"/>
      <c r="EVI52" s="19"/>
      <c r="EVR52" s="19"/>
      <c r="EVS52" s="19"/>
      <c r="EVT52" s="19"/>
      <c r="EVU52" s="19"/>
      <c r="EVV52" s="21"/>
      <c r="EVW52" s="19"/>
      <c r="EWF52" s="19"/>
      <c r="EWG52" s="19"/>
      <c r="EWH52" s="19"/>
      <c r="EWI52" s="19"/>
      <c r="EWJ52" s="21"/>
      <c r="EWK52" s="19"/>
      <c r="EWT52" s="19"/>
      <c r="EWU52" s="19"/>
      <c r="EWV52" s="19"/>
      <c r="EWW52" s="19"/>
      <c r="EWX52" s="21"/>
      <c r="EWY52" s="19"/>
      <c r="EXH52" s="19"/>
      <c r="EXI52" s="19"/>
      <c r="EXJ52" s="19"/>
      <c r="EXK52" s="19"/>
      <c r="EXL52" s="21"/>
      <c r="EXM52" s="19"/>
      <c r="EXV52" s="19"/>
      <c r="EXW52" s="19"/>
      <c r="EXX52" s="19"/>
      <c r="EXY52" s="19"/>
      <c r="EXZ52" s="21"/>
      <c r="EYA52" s="19"/>
      <c r="EYJ52" s="19"/>
      <c r="EYK52" s="19"/>
      <c r="EYL52" s="19"/>
      <c r="EYM52" s="19"/>
      <c r="EYN52" s="21"/>
      <c r="EYO52" s="19"/>
      <c r="EYX52" s="19"/>
      <c r="EYY52" s="19"/>
      <c r="EYZ52" s="19"/>
      <c r="EZA52" s="19"/>
      <c r="EZB52" s="21"/>
      <c r="EZC52" s="19"/>
      <c r="EZL52" s="19"/>
      <c r="EZM52" s="19"/>
      <c r="EZN52" s="19"/>
      <c r="EZO52" s="19"/>
      <c r="EZP52" s="21"/>
      <c r="EZQ52" s="19"/>
      <c r="EZZ52" s="19"/>
      <c r="FAA52" s="19"/>
      <c r="FAB52" s="19"/>
      <c r="FAC52" s="19"/>
      <c r="FAD52" s="21"/>
      <c r="FAE52" s="19"/>
      <c r="FAN52" s="19"/>
      <c r="FAO52" s="19"/>
      <c r="FAP52" s="19"/>
      <c r="FAQ52" s="19"/>
      <c r="FAR52" s="21"/>
      <c r="FAS52" s="19"/>
      <c r="FBB52" s="19"/>
      <c r="FBC52" s="19"/>
      <c r="FBD52" s="19"/>
      <c r="FBE52" s="19"/>
      <c r="FBF52" s="21"/>
      <c r="FBG52" s="19"/>
      <c r="FBP52" s="19"/>
      <c r="FBQ52" s="19"/>
      <c r="FBR52" s="19"/>
      <c r="FBS52" s="19"/>
      <c r="FBT52" s="21"/>
      <c r="FBU52" s="19"/>
      <c r="FCD52" s="19"/>
      <c r="FCE52" s="19"/>
      <c r="FCF52" s="19"/>
      <c r="FCG52" s="19"/>
      <c r="FCH52" s="21"/>
      <c r="FCI52" s="19"/>
      <c r="FCR52" s="19"/>
      <c r="FCS52" s="19"/>
      <c r="FCT52" s="19"/>
      <c r="FCU52" s="19"/>
      <c r="FCV52" s="21"/>
      <c r="FCW52" s="19"/>
      <c r="FDF52" s="19"/>
      <c r="FDG52" s="19"/>
      <c r="FDH52" s="19"/>
      <c r="FDI52" s="19"/>
      <c r="FDJ52" s="21"/>
      <c r="FDK52" s="19"/>
      <c r="FDT52" s="19"/>
      <c r="FDU52" s="19"/>
      <c r="FDV52" s="19"/>
      <c r="FDW52" s="19"/>
      <c r="FDX52" s="21"/>
      <c r="FDY52" s="19"/>
      <c r="FEH52" s="19"/>
      <c r="FEI52" s="19"/>
      <c r="FEJ52" s="19"/>
      <c r="FEK52" s="19"/>
      <c r="FEL52" s="21"/>
      <c r="FEM52" s="19"/>
      <c r="FEV52" s="19"/>
      <c r="FEW52" s="19"/>
      <c r="FEX52" s="19"/>
      <c r="FEY52" s="19"/>
      <c r="FEZ52" s="21"/>
      <c r="FFA52" s="19"/>
      <c r="FFJ52" s="19"/>
      <c r="FFK52" s="19"/>
      <c r="FFL52" s="19"/>
      <c r="FFM52" s="19"/>
      <c r="FFN52" s="21"/>
      <c r="FFO52" s="19"/>
      <c r="FFX52" s="19"/>
      <c r="FFY52" s="19"/>
      <c r="FFZ52" s="19"/>
      <c r="FGA52" s="19"/>
      <c r="FGB52" s="21"/>
      <c r="FGC52" s="19"/>
      <c r="FGL52" s="19"/>
      <c r="FGM52" s="19"/>
      <c r="FGN52" s="19"/>
      <c r="FGO52" s="19"/>
      <c r="FGP52" s="21"/>
      <c r="FGQ52" s="19"/>
      <c r="FGZ52" s="19"/>
      <c r="FHA52" s="19"/>
      <c r="FHB52" s="19"/>
      <c r="FHC52" s="19"/>
      <c r="FHD52" s="21"/>
      <c r="FHE52" s="19"/>
      <c r="FHN52" s="19"/>
      <c r="FHO52" s="19"/>
      <c r="FHP52" s="19"/>
      <c r="FHQ52" s="19"/>
      <c r="FHR52" s="21"/>
      <c r="FHS52" s="19"/>
      <c r="FIB52" s="19"/>
      <c r="FIC52" s="19"/>
      <c r="FID52" s="19"/>
      <c r="FIE52" s="19"/>
      <c r="FIF52" s="21"/>
      <c r="FIG52" s="19"/>
      <c r="FIP52" s="19"/>
      <c r="FIQ52" s="19"/>
      <c r="FIR52" s="19"/>
      <c r="FIS52" s="19"/>
      <c r="FIT52" s="21"/>
      <c r="FIU52" s="19"/>
      <c r="FJD52" s="19"/>
      <c r="FJE52" s="19"/>
      <c r="FJF52" s="19"/>
      <c r="FJG52" s="19"/>
      <c r="FJH52" s="21"/>
      <c r="FJI52" s="19"/>
      <c r="FJR52" s="19"/>
      <c r="FJS52" s="19"/>
      <c r="FJT52" s="19"/>
      <c r="FJU52" s="19"/>
      <c r="FJV52" s="21"/>
      <c r="FJW52" s="19"/>
      <c r="FKF52" s="19"/>
      <c r="FKG52" s="19"/>
      <c r="FKH52" s="19"/>
      <c r="FKI52" s="19"/>
      <c r="FKJ52" s="21"/>
      <c r="FKK52" s="19"/>
      <c r="FKT52" s="19"/>
      <c r="FKU52" s="19"/>
      <c r="FKV52" s="19"/>
      <c r="FKW52" s="19"/>
      <c r="FKX52" s="21"/>
      <c r="FKY52" s="19"/>
      <c r="FLH52" s="19"/>
      <c r="FLI52" s="19"/>
      <c r="FLJ52" s="19"/>
      <c r="FLK52" s="19"/>
      <c r="FLL52" s="21"/>
      <c r="FLM52" s="19"/>
      <c r="FLV52" s="19"/>
      <c r="FLW52" s="19"/>
      <c r="FLX52" s="19"/>
      <c r="FLY52" s="19"/>
      <c r="FLZ52" s="21"/>
      <c r="FMA52" s="19"/>
      <c r="FMJ52" s="19"/>
      <c r="FMK52" s="19"/>
      <c r="FML52" s="19"/>
      <c r="FMM52" s="19"/>
      <c r="FMN52" s="21"/>
      <c r="FMO52" s="19"/>
      <c r="FMX52" s="19"/>
      <c r="FMY52" s="19"/>
      <c r="FMZ52" s="19"/>
      <c r="FNA52" s="19"/>
      <c r="FNB52" s="21"/>
      <c r="FNC52" s="19"/>
      <c r="FNL52" s="19"/>
      <c r="FNM52" s="19"/>
      <c r="FNN52" s="19"/>
      <c r="FNO52" s="19"/>
      <c r="FNP52" s="21"/>
      <c r="FNQ52" s="19"/>
      <c r="FNZ52" s="19"/>
      <c r="FOA52" s="19"/>
      <c r="FOB52" s="19"/>
      <c r="FOC52" s="19"/>
      <c r="FOD52" s="21"/>
      <c r="FOE52" s="19"/>
      <c r="FON52" s="19"/>
      <c r="FOO52" s="19"/>
      <c r="FOP52" s="19"/>
      <c r="FOQ52" s="19"/>
      <c r="FOR52" s="21"/>
      <c r="FOS52" s="19"/>
      <c r="FPB52" s="19"/>
      <c r="FPC52" s="19"/>
      <c r="FPD52" s="19"/>
      <c r="FPE52" s="19"/>
      <c r="FPF52" s="21"/>
      <c r="FPG52" s="19"/>
      <c r="FPP52" s="19"/>
      <c r="FPQ52" s="19"/>
      <c r="FPR52" s="19"/>
      <c r="FPS52" s="19"/>
      <c r="FPT52" s="21"/>
      <c r="FPU52" s="19"/>
      <c r="FQD52" s="19"/>
      <c r="FQE52" s="19"/>
      <c r="FQF52" s="19"/>
      <c r="FQG52" s="19"/>
      <c r="FQH52" s="21"/>
      <c r="FQI52" s="19"/>
      <c r="FQR52" s="19"/>
      <c r="FQS52" s="19"/>
      <c r="FQT52" s="19"/>
      <c r="FQU52" s="19"/>
      <c r="FQV52" s="21"/>
      <c r="FQW52" s="19"/>
      <c r="FRF52" s="19"/>
      <c r="FRG52" s="19"/>
      <c r="FRH52" s="19"/>
      <c r="FRI52" s="19"/>
      <c r="FRJ52" s="21"/>
      <c r="FRK52" s="19"/>
      <c r="FRT52" s="19"/>
      <c r="FRU52" s="19"/>
      <c r="FRV52" s="19"/>
      <c r="FRW52" s="19"/>
      <c r="FRX52" s="21"/>
      <c r="FRY52" s="19"/>
      <c r="FSH52" s="19"/>
      <c r="FSI52" s="19"/>
      <c r="FSJ52" s="19"/>
      <c r="FSK52" s="19"/>
      <c r="FSL52" s="21"/>
      <c r="FSM52" s="19"/>
      <c r="FSV52" s="19"/>
      <c r="FSW52" s="19"/>
      <c r="FSX52" s="19"/>
      <c r="FSY52" s="19"/>
      <c r="FSZ52" s="21"/>
      <c r="FTA52" s="19"/>
      <c r="FTJ52" s="19"/>
      <c r="FTK52" s="19"/>
      <c r="FTL52" s="19"/>
      <c r="FTM52" s="19"/>
      <c r="FTN52" s="21"/>
      <c r="FTO52" s="19"/>
      <c r="FTX52" s="19"/>
      <c r="FTY52" s="19"/>
      <c r="FTZ52" s="19"/>
      <c r="FUA52" s="19"/>
      <c r="FUB52" s="21"/>
      <c r="FUC52" s="19"/>
      <c r="FUL52" s="19"/>
      <c r="FUM52" s="19"/>
      <c r="FUN52" s="19"/>
      <c r="FUO52" s="19"/>
      <c r="FUP52" s="21"/>
      <c r="FUQ52" s="19"/>
      <c r="FUZ52" s="19"/>
      <c r="FVA52" s="19"/>
      <c r="FVB52" s="19"/>
      <c r="FVC52" s="19"/>
      <c r="FVD52" s="21"/>
      <c r="FVE52" s="19"/>
      <c r="FVN52" s="19"/>
      <c r="FVO52" s="19"/>
      <c r="FVP52" s="19"/>
      <c r="FVQ52" s="19"/>
      <c r="FVR52" s="21"/>
      <c r="FVS52" s="19"/>
      <c r="FWB52" s="19"/>
      <c r="FWC52" s="19"/>
      <c r="FWD52" s="19"/>
      <c r="FWE52" s="19"/>
      <c r="FWF52" s="21"/>
      <c r="FWG52" s="19"/>
      <c r="FWP52" s="19"/>
      <c r="FWQ52" s="19"/>
      <c r="FWR52" s="19"/>
      <c r="FWS52" s="19"/>
      <c r="FWT52" s="21"/>
      <c r="FWU52" s="19"/>
      <c r="FXD52" s="19"/>
      <c r="FXE52" s="19"/>
      <c r="FXF52" s="19"/>
      <c r="FXG52" s="19"/>
      <c r="FXH52" s="21"/>
      <c r="FXI52" s="19"/>
      <c r="FXR52" s="19"/>
      <c r="FXS52" s="19"/>
      <c r="FXT52" s="19"/>
      <c r="FXU52" s="19"/>
      <c r="FXV52" s="21"/>
      <c r="FXW52" s="19"/>
      <c r="FYF52" s="19"/>
      <c r="FYG52" s="19"/>
      <c r="FYH52" s="19"/>
      <c r="FYI52" s="19"/>
      <c r="FYJ52" s="21"/>
      <c r="FYK52" s="19"/>
      <c r="FYT52" s="19"/>
      <c r="FYU52" s="19"/>
      <c r="FYV52" s="19"/>
      <c r="FYW52" s="19"/>
      <c r="FYX52" s="21"/>
      <c r="FYY52" s="19"/>
      <c r="FZH52" s="19"/>
      <c r="FZI52" s="19"/>
      <c r="FZJ52" s="19"/>
      <c r="FZK52" s="19"/>
      <c r="FZL52" s="21"/>
      <c r="FZM52" s="19"/>
      <c r="FZV52" s="19"/>
      <c r="FZW52" s="19"/>
      <c r="FZX52" s="19"/>
      <c r="FZY52" s="19"/>
      <c r="FZZ52" s="21"/>
      <c r="GAA52" s="19"/>
      <c r="GAJ52" s="19"/>
      <c r="GAK52" s="19"/>
      <c r="GAL52" s="19"/>
      <c r="GAM52" s="19"/>
      <c r="GAN52" s="21"/>
      <c r="GAO52" s="19"/>
      <c r="GAX52" s="19"/>
      <c r="GAY52" s="19"/>
      <c r="GAZ52" s="19"/>
      <c r="GBA52" s="19"/>
      <c r="GBB52" s="21"/>
      <c r="GBC52" s="19"/>
      <c r="GBL52" s="19"/>
      <c r="GBM52" s="19"/>
      <c r="GBN52" s="19"/>
      <c r="GBO52" s="19"/>
      <c r="GBP52" s="21"/>
      <c r="GBQ52" s="19"/>
      <c r="GBZ52" s="19"/>
      <c r="GCA52" s="19"/>
      <c r="GCB52" s="19"/>
      <c r="GCC52" s="19"/>
      <c r="GCD52" s="21"/>
      <c r="GCE52" s="19"/>
      <c r="GCN52" s="19"/>
      <c r="GCO52" s="19"/>
      <c r="GCP52" s="19"/>
      <c r="GCQ52" s="19"/>
      <c r="GCR52" s="21"/>
      <c r="GCS52" s="19"/>
      <c r="GDB52" s="19"/>
      <c r="GDC52" s="19"/>
      <c r="GDD52" s="19"/>
      <c r="GDE52" s="19"/>
      <c r="GDF52" s="21"/>
      <c r="GDG52" s="19"/>
      <c r="GDP52" s="19"/>
      <c r="GDQ52" s="19"/>
      <c r="GDR52" s="19"/>
      <c r="GDS52" s="19"/>
      <c r="GDT52" s="21"/>
      <c r="GDU52" s="19"/>
      <c r="GED52" s="19"/>
      <c r="GEE52" s="19"/>
      <c r="GEF52" s="19"/>
      <c r="GEG52" s="19"/>
      <c r="GEH52" s="21"/>
      <c r="GEI52" s="19"/>
      <c r="GER52" s="19"/>
      <c r="GES52" s="19"/>
      <c r="GET52" s="19"/>
      <c r="GEU52" s="19"/>
      <c r="GEV52" s="21"/>
      <c r="GEW52" s="19"/>
      <c r="GFF52" s="19"/>
      <c r="GFG52" s="19"/>
      <c r="GFH52" s="19"/>
      <c r="GFI52" s="19"/>
      <c r="GFJ52" s="21"/>
      <c r="GFK52" s="19"/>
      <c r="GFT52" s="19"/>
      <c r="GFU52" s="19"/>
      <c r="GFV52" s="19"/>
      <c r="GFW52" s="19"/>
      <c r="GFX52" s="21"/>
      <c r="GFY52" s="19"/>
      <c r="GGH52" s="19"/>
      <c r="GGI52" s="19"/>
      <c r="GGJ52" s="19"/>
      <c r="GGK52" s="19"/>
      <c r="GGL52" s="21"/>
      <c r="GGM52" s="19"/>
      <c r="GGV52" s="19"/>
      <c r="GGW52" s="19"/>
      <c r="GGX52" s="19"/>
      <c r="GGY52" s="19"/>
      <c r="GGZ52" s="21"/>
      <c r="GHA52" s="19"/>
      <c r="GHJ52" s="19"/>
      <c r="GHK52" s="19"/>
      <c r="GHL52" s="19"/>
      <c r="GHM52" s="19"/>
      <c r="GHN52" s="21"/>
      <c r="GHO52" s="19"/>
      <c r="GHX52" s="19"/>
      <c r="GHY52" s="19"/>
      <c r="GHZ52" s="19"/>
      <c r="GIA52" s="19"/>
      <c r="GIB52" s="21"/>
      <c r="GIC52" s="19"/>
      <c r="GIL52" s="19"/>
      <c r="GIM52" s="19"/>
      <c r="GIN52" s="19"/>
      <c r="GIO52" s="19"/>
      <c r="GIP52" s="21"/>
      <c r="GIQ52" s="19"/>
      <c r="GIZ52" s="19"/>
      <c r="GJA52" s="19"/>
      <c r="GJB52" s="19"/>
      <c r="GJC52" s="19"/>
      <c r="GJD52" s="21"/>
      <c r="GJE52" s="19"/>
      <c r="GJN52" s="19"/>
      <c r="GJO52" s="19"/>
      <c r="GJP52" s="19"/>
      <c r="GJQ52" s="19"/>
      <c r="GJR52" s="21"/>
      <c r="GJS52" s="19"/>
      <c r="GKB52" s="19"/>
      <c r="GKC52" s="19"/>
      <c r="GKD52" s="19"/>
      <c r="GKE52" s="19"/>
      <c r="GKF52" s="21"/>
      <c r="GKG52" s="19"/>
      <c r="GKP52" s="19"/>
      <c r="GKQ52" s="19"/>
      <c r="GKR52" s="19"/>
      <c r="GKS52" s="19"/>
      <c r="GKT52" s="21"/>
      <c r="GKU52" s="19"/>
      <c r="GLD52" s="19"/>
      <c r="GLE52" s="19"/>
      <c r="GLF52" s="19"/>
      <c r="GLG52" s="19"/>
      <c r="GLH52" s="21"/>
      <c r="GLI52" s="19"/>
      <c r="GLR52" s="19"/>
      <c r="GLS52" s="19"/>
      <c r="GLT52" s="19"/>
      <c r="GLU52" s="19"/>
      <c r="GLV52" s="21"/>
      <c r="GLW52" s="19"/>
      <c r="GMF52" s="19"/>
      <c r="GMG52" s="19"/>
      <c r="GMH52" s="19"/>
      <c r="GMI52" s="19"/>
      <c r="GMJ52" s="21"/>
      <c r="GMK52" s="19"/>
      <c r="GMT52" s="19"/>
      <c r="GMU52" s="19"/>
      <c r="GMV52" s="19"/>
      <c r="GMW52" s="19"/>
      <c r="GMX52" s="21"/>
      <c r="GMY52" s="19"/>
      <c r="GNH52" s="19"/>
      <c r="GNI52" s="19"/>
      <c r="GNJ52" s="19"/>
      <c r="GNK52" s="19"/>
      <c r="GNL52" s="21"/>
      <c r="GNM52" s="19"/>
      <c r="GNV52" s="19"/>
      <c r="GNW52" s="19"/>
      <c r="GNX52" s="19"/>
      <c r="GNY52" s="19"/>
      <c r="GNZ52" s="21"/>
      <c r="GOA52" s="19"/>
      <c r="GOJ52" s="19"/>
      <c r="GOK52" s="19"/>
      <c r="GOL52" s="19"/>
      <c r="GOM52" s="19"/>
      <c r="GON52" s="21"/>
      <c r="GOO52" s="19"/>
      <c r="GOX52" s="19"/>
      <c r="GOY52" s="19"/>
      <c r="GOZ52" s="19"/>
      <c r="GPA52" s="19"/>
      <c r="GPB52" s="21"/>
      <c r="GPC52" s="19"/>
      <c r="GPL52" s="19"/>
      <c r="GPM52" s="19"/>
      <c r="GPN52" s="19"/>
      <c r="GPO52" s="19"/>
      <c r="GPP52" s="21"/>
      <c r="GPQ52" s="19"/>
      <c r="GPZ52" s="19"/>
      <c r="GQA52" s="19"/>
      <c r="GQB52" s="19"/>
      <c r="GQC52" s="19"/>
      <c r="GQD52" s="21"/>
      <c r="GQE52" s="19"/>
      <c r="GQN52" s="19"/>
      <c r="GQO52" s="19"/>
      <c r="GQP52" s="19"/>
      <c r="GQQ52" s="19"/>
      <c r="GQR52" s="21"/>
      <c r="GQS52" s="19"/>
      <c r="GRB52" s="19"/>
      <c r="GRC52" s="19"/>
      <c r="GRD52" s="19"/>
      <c r="GRE52" s="19"/>
      <c r="GRF52" s="21"/>
      <c r="GRG52" s="19"/>
      <c r="GRP52" s="19"/>
      <c r="GRQ52" s="19"/>
      <c r="GRR52" s="19"/>
      <c r="GRS52" s="19"/>
      <c r="GRT52" s="21"/>
      <c r="GRU52" s="19"/>
      <c r="GSD52" s="19"/>
      <c r="GSE52" s="19"/>
      <c r="GSF52" s="19"/>
      <c r="GSG52" s="19"/>
      <c r="GSH52" s="21"/>
      <c r="GSI52" s="19"/>
      <c r="GSR52" s="19"/>
      <c r="GSS52" s="19"/>
      <c r="GST52" s="19"/>
      <c r="GSU52" s="19"/>
      <c r="GSV52" s="21"/>
      <c r="GSW52" s="19"/>
      <c r="GTF52" s="19"/>
      <c r="GTG52" s="19"/>
      <c r="GTH52" s="19"/>
      <c r="GTI52" s="19"/>
      <c r="GTJ52" s="21"/>
      <c r="GTK52" s="19"/>
      <c r="GTT52" s="19"/>
      <c r="GTU52" s="19"/>
      <c r="GTV52" s="19"/>
      <c r="GTW52" s="19"/>
      <c r="GTX52" s="21"/>
      <c r="GTY52" s="19"/>
      <c r="GUH52" s="19"/>
      <c r="GUI52" s="19"/>
      <c r="GUJ52" s="19"/>
      <c r="GUK52" s="19"/>
      <c r="GUL52" s="21"/>
      <c r="GUM52" s="19"/>
      <c r="GUV52" s="19"/>
      <c r="GUW52" s="19"/>
      <c r="GUX52" s="19"/>
      <c r="GUY52" s="19"/>
      <c r="GUZ52" s="21"/>
      <c r="GVA52" s="19"/>
      <c r="GVJ52" s="19"/>
      <c r="GVK52" s="19"/>
      <c r="GVL52" s="19"/>
      <c r="GVM52" s="19"/>
      <c r="GVN52" s="21"/>
      <c r="GVO52" s="19"/>
      <c r="GVX52" s="19"/>
      <c r="GVY52" s="19"/>
      <c r="GVZ52" s="19"/>
      <c r="GWA52" s="19"/>
      <c r="GWB52" s="21"/>
      <c r="GWC52" s="19"/>
      <c r="GWL52" s="19"/>
      <c r="GWM52" s="19"/>
      <c r="GWN52" s="19"/>
      <c r="GWO52" s="19"/>
      <c r="GWP52" s="21"/>
      <c r="GWQ52" s="19"/>
      <c r="GWZ52" s="19"/>
      <c r="GXA52" s="19"/>
      <c r="GXB52" s="19"/>
      <c r="GXC52" s="19"/>
      <c r="GXD52" s="21"/>
      <c r="GXE52" s="19"/>
      <c r="GXN52" s="19"/>
      <c r="GXO52" s="19"/>
      <c r="GXP52" s="19"/>
      <c r="GXQ52" s="19"/>
      <c r="GXR52" s="21"/>
      <c r="GXS52" s="19"/>
      <c r="GYB52" s="19"/>
      <c r="GYC52" s="19"/>
      <c r="GYD52" s="19"/>
      <c r="GYE52" s="19"/>
      <c r="GYF52" s="21"/>
      <c r="GYG52" s="19"/>
      <c r="GYP52" s="19"/>
      <c r="GYQ52" s="19"/>
      <c r="GYR52" s="19"/>
      <c r="GYS52" s="19"/>
      <c r="GYT52" s="21"/>
      <c r="GYU52" s="19"/>
      <c r="GZD52" s="19"/>
      <c r="GZE52" s="19"/>
      <c r="GZF52" s="19"/>
      <c r="GZG52" s="19"/>
      <c r="GZH52" s="21"/>
      <c r="GZI52" s="19"/>
      <c r="GZR52" s="19"/>
      <c r="GZS52" s="19"/>
      <c r="GZT52" s="19"/>
      <c r="GZU52" s="19"/>
      <c r="GZV52" s="21"/>
      <c r="GZW52" s="19"/>
      <c r="HAF52" s="19"/>
      <c r="HAG52" s="19"/>
      <c r="HAH52" s="19"/>
      <c r="HAI52" s="19"/>
      <c r="HAJ52" s="21"/>
      <c r="HAK52" s="19"/>
      <c r="HAT52" s="19"/>
      <c r="HAU52" s="19"/>
      <c r="HAV52" s="19"/>
      <c r="HAW52" s="19"/>
      <c r="HAX52" s="21"/>
      <c r="HAY52" s="19"/>
      <c r="HBH52" s="19"/>
      <c r="HBI52" s="19"/>
      <c r="HBJ52" s="19"/>
      <c r="HBK52" s="19"/>
      <c r="HBL52" s="21"/>
      <c r="HBM52" s="19"/>
      <c r="HBV52" s="19"/>
      <c r="HBW52" s="19"/>
      <c r="HBX52" s="19"/>
      <c r="HBY52" s="19"/>
      <c r="HBZ52" s="21"/>
      <c r="HCA52" s="19"/>
      <c r="HCJ52" s="19"/>
      <c r="HCK52" s="19"/>
      <c r="HCL52" s="19"/>
      <c r="HCM52" s="19"/>
      <c r="HCN52" s="21"/>
      <c r="HCO52" s="19"/>
      <c r="HCX52" s="19"/>
      <c r="HCY52" s="19"/>
      <c r="HCZ52" s="19"/>
      <c r="HDA52" s="19"/>
      <c r="HDB52" s="21"/>
      <c r="HDC52" s="19"/>
      <c r="HDL52" s="19"/>
      <c r="HDM52" s="19"/>
      <c r="HDN52" s="19"/>
      <c r="HDO52" s="19"/>
      <c r="HDP52" s="21"/>
      <c r="HDQ52" s="19"/>
      <c r="HDZ52" s="19"/>
      <c r="HEA52" s="19"/>
      <c r="HEB52" s="19"/>
      <c r="HEC52" s="19"/>
      <c r="HED52" s="21"/>
      <c r="HEE52" s="19"/>
      <c r="HEN52" s="19"/>
      <c r="HEO52" s="19"/>
      <c r="HEP52" s="19"/>
      <c r="HEQ52" s="19"/>
      <c r="HER52" s="21"/>
      <c r="HES52" s="19"/>
      <c r="HFB52" s="19"/>
      <c r="HFC52" s="19"/>
      <c r="HFD52" s="19"/>
      <c r="HFE52" s="19"/>
      <c r="HFF52" s="21"/>
      <c r="HFG52" s="19"/>
      <c r="HFP52" s="19"/>
      <c r="HFQ52" s="19"/>
      <c r="HFR52" s="19"/>
      <c r="HFS52" s="19"/>
      <c r="HFT52" s="21"/>
      <c r="HFU52" s="19"/>
      <c r="HGD52" s="19"/>
      <c r="HGE52" s="19"/>
      <c r="HGF52" s="19"/>
      <c r="HGG52" s="19"/>
      <c r="HGH52" s="21"/>
      <c r="HGI52" s="19"/>
      <c r="HGR52" s="19"/>
      <c r="HGS52" s="19"/>
      <c r="HGT52" s="19"/>
      <c r="HGU52" s="19"/>
      <c r="HGV52" s="21"/>
      <c r="HGW52" s="19"/>
      <c r="HHF52" s="19"/>
      <c r="HHG52" s="19"/>
      <c r="HHH52" s="19"/>
      <c r="HHI52" s="19"/>
      <c r="HHJ52" s="21"/>
      <c r="HHK52" s="19"/>
      <c r="HHT52" s="19"/>
      <c r="HHU52" s="19"/>
      <c r="HHV52" s="19"/>
      <c r="HHW52" s="19"/>
      <c r="HHX52" s="21"/>
      <c r="HHY52" s="19"/>
      <c r="HIH52" s="19"/>
      <c r="HII52" s="19"/>
      <c r="HIJ52" s="19"/>
      <c r="HIK52" s="19"/>
      <c r="HIL52" s="21"/>
      <c r="HIM52" s="19"/>
      <c r="HIV52" s="19"/>
      <c r="HIW52" s="19"/>
      <c r="HIX52" s="19"/>
      <c r="HIY52" s="19"/>
      <c r="HIZ52" s="21"/>
      <c r="HJA52" s="19"/>
      <c r="HJJ52" s="19"/>
      <c r="HJK52" s="19"/>
      <c r="HJL52" s="19"/>
      <c r="HJM52" s="19"/>
      <c r="HJN52" s="21"/>
      <c r="HJO52" s="19"/>
      <c r="HJX52" s="19"/>
      <c r="HJY52" s="19"/>
      <c r="HJZ52" s="19"/>
      <c r="HKA52" s="19"/>
      <c r="HKB52" s="21"/>
      <c r="HKC52" s="19"/>
      <c r="HKL52" s="19"/>
      <c r="HKM52" s="19"/>
      <c r="HKN52" s="19"/>
      <c r="HKO52" s="19"/>
      <c r="HKP52" s="21"/>
      <c r="HKQ52" s="19"/>
      <c r="HKZ52" s="19"/>
      <c r="HLA52" s="19"/>
      <c r="HLB52" s="19"/>
      <c r="HLC52" s="19"/>
      <c r="HLD52" s="21"/>
      <c r="HLE52" s="19"/>
      <c r="HLN52" s="19"/>
      <c r="HLO52" s="19"/>
      <c r="HLP52" s="19"/>
      <c r="HLQ52" s="19"/>
      <c r="HLR52" s="21"/>
      <c r="HLS52" s="19"/>
      <c r="HMB52" s="19"/>
      <c r="HMC52" s="19"/>
      <c r="HMD52" s="19"/>
      <c r="HME52" s="19"/>
      <c r="HMF52" s="21"/>
      <c r="HMG52" s="19"/>
      <c r="HMP52" s="19"/>
      <c r="HMQ52" s="19"/>
      <c r="HMR52" s="19"/>
      <c r="HMS52" s="19"/>
      <c r="HMT52" s="21"/>
      <c r="HMU52" s="19"/>
      <c r="HND52" s="19"/>
      <c r="HNE52" s="19"/>
      <c r="HNF52" s="19"/>
      <c r="HNG52" s="19"/>
      <c r="HNH52" s="21"/>
      <c r="HNI52" s="19"/>
      <c r="HNR52" s="19"/>
      <c r="HNS52" s="19"/>
      <c r="HNT52" s="19"/>
      <c r="HNU52" s="19"/>
      <c r="HNV52" s="21"/>
      <c r="HNW52" s="19"/>
      <c r="HOF52" s="19"/>
      <c r="HOG52" s="19"/>
      <c r="HOH52" s="19"/>
      <c r="HOI52" s="19"/>
      <c r="HOJ52" s="21"/>
      <c r="HOK52" s="19"/>
      <c r="HOT52" s="19"/>
      <c r="HOU52" s="19"/>
      <c r="HOV52" s="19"/>
      <c r="HOW52" s="19"/>
      <c r="HOX52" s="21"/>
      <c r="HOY52" s="19"/>
      <c r="HPH52" s="19"/>
      <c r="HPI52" s="19"/>
      <c r="HPJ52" s="19"/>
      <c r="HPK52" s="19"/>
      <c r="HPL52" s="21"/>
      <c r="HPM52" s="19"/>
      <c r="HPV52" s="19"/>
      <c r="HPW52" s="19"/>
      <c r="HPX52" s="19"/>
      <c r="HPY52" s="19"/>
      <c r="HPZ52" s="21"/>
      <c r="HQA52" s="19"/>
      <c r="HQJ52" s="19"/>
      <c r="HQK52" s="19"/>
      <c r="HQL52" s="19"/>
      <c r="HQM52" s="19"/>
      <c r="HQN52" s="21"/>
      <c r="HQO52" s="19"/>
      <c r="HQX52" s="19"/>
      <c r="HQY52" s="19"/>
      <c r="HQZ52" s="19"/>
      <c r="HRA52" s="19"/>
      <c r="HRB52" s="21"/>
      <c r="HRC52" s="19"/>
      <c r="HRL52" s="19"/>
      <c r="HRM52" s="19"/>
      <c r="HRN52" s="19"/>
      <c r="HRO52" s="19"/>
      <c r="HRP52" s="21"/>
      <c r="HRQ52" s="19"/>
      <c r="HRZ52" s="19"/>
      <c r="HSA52" s="19"/>
      <c r="HSB52" s="19"/>
      <c r="HSC52" s="19"/>
      <c r="HSD52" s="21"/>
      <c r="HSE52" s="19"/>
      <c r="HSN52" s="19"/>
      <c r="HSO52" s="19"/>
      <c r="HSP52" s="19"/>
      <c r="HSQ52" s="19"/>
      <c r="HSR52" s="21"/>
      <c r="HSS52" s="19"/>
      <c r="HTB52" s="19"/>
      <c r="HTC52" s="19"/>
      <c r="HTD52" s="19"/>
      <c r="HTE52" s="19"/>
      <c r="HTF52" s="21"/>
      <c r="HTG52" s="19"/>
      <c r="HTP52" s="19"/>
      <c r="HTQ52" s="19"/>
      <c r="HTR52" s="19"/>
      <c r="HTS52" s="19"/>
      <c r="HTT52" s="21"/>
      <c r="HTU52" s="19"/>
      <c r="HUD52" s="19"/>
      <c r="HUE52" s="19"/>
      <c r="HUF52" s="19"/>
      <c r="HUG52" s="19"/>
      <c r="HUH52" s="21"/>
      <c r="HUI52" s="19"/>
      <c r="HUR52" s="19"/>
      <c r="HUS52" s="19"/>
      <c r="HUT52" s="19"/>
      <c r="HUU52" s="19"/>
      <c r="HUV52" s="21"/>
      <c r="HUW52" s="19"/>
      <c r="HVF52" s="19"/>
      <c r="HVG52" s="19"/>
      <c r="HVH52" s="19"/>
      <c r="HVI52" s="19"/>
      <c r="HVJ52" s="21"/>
      <c r="HVK52" s="19"/>
      <c r="HVT52" s="19"/>
      <c r="HVU52" s="19"/>
      <c r="HVV52" s="19"/>
      <c r="HVW52" s="19"/>
      <c r="HVX52" s="21"/>
      <c r="HVY52" s="19"/>
      <c r="HWH52" s="19"/>
      <c r="HWI52" s="19"/>
      <c r="HWJ52" s="19"/>
      <c r="HWK52" s="19"/>
      <c r="HWL52" s="21"/>
      <c r="HWM52" s="19"/>
      <c r="HWV52" s="19"/>
      <c r="HWW52" s="19"/>
      <c r="HWX52" s="19"/>
      <c r="HWY52" s="19"/>
      <c r="HWZ52" s="21"/>
      <c r="HXA52" s="19"/>
      <c r="HXJ52" s="19"/>
      <c r="HXK52" s="19"/>
      <c r="HXL52" s="19"/>
      <c r="HXM52" s="19"/>
      <c r="HXN52" s="21"/>
      <c r="HXO52" s="19"/>
      <c r="HXX52" s="19"/>
      <c r="HXY52" s="19"/>
      <c r="HXZ52" s="19"/>
      <c r="HYA52" s="19"/>
      <c r="HYB52" s="21"/>
      <c r="HYC52" s="19"/>
      <c r="HYL52" s="19"/>
      <c r="HYM52" s="19"/>
      <c r="HYN52" s="19"/>
      <c r="HYO52" s="19"/>
      <c r="HYP52" s="21"/>
      <c r="HYQ52" s="19"/>
      <c r="HYZ52" s="19"/>
      <c r="HZA52" s="19"/>
      <c r="HZB52" s="19"/>
      <c r="HZC52" s="19"/>
      <c r="HZD52" s="21"/>
      <c r="HZE52" s="19"/>
      <c r="HZN52" s="19"/>
      <c r="HZO52" s="19"/>
      <c r="HZP52" s="19"/>
      <c r="HZQ52" s="19"/>
      <c r="HZR52" s="21"/>
      <c r="HZS52" s="19"/>
      <c r="IAB52" s="19"/>
      <c r="IAC52" s="19"/>
      <c r="IAD52" s="19"/>
      <c r="IAE52" s="19"/>
      <c r="IAF52" s="21"/>
      <c r="IAG52" s="19"/>
      <c r="IAP52" s="19"/>
      <c r="IAQ52" s="19"/>
      <c r="IAR52" s="19"/>
      <c r="IAS52" s="19"/>
      <c r="IAT52" s="21"/>
      <c r="IAU52" s="19"/>
      <c r="IBD52" s="19"/>
      <c r="IBE52" s="19"/>
      <c r="IBF52" s="19"/>
      <c r="IBG52" s="19"/>
      <c r="IBH52" s="21"/>
      <c r="IBI52" s="19"/>
      <c r="IBR52" s="19"/>
      <c r="IBS52" s="19"/>
      <c r="IBT52" s="19"/>
      <c r="IBU52" s="19"/>
      <c r="IBV52" s="21"/>
      <c r="IBW52" s="19"/>
      <c r="ICF52" s="19"/>
      <c r="ICG52" s="19"/>
      <c r="ICH52" s="19"/>
      <c r="ICI52" s="19"/>
      <c r="ICJ52" s="21"/>
      <c r="ICK52" s="19"/>
      <c r="ICT52" s="19"/>
      <c r="ICU52" s="19"/>
      <c r="ICV52" s="19"/>
      <c r="ICW52" s="19"/>
      <c r="ICX52" s="21"/>
      <c r="ICY52" s="19"/>
      <c r="IDH52" s="19"/>
      <c r="IDI52" s="19"/>
      <c r="IDJ52" s="19"/>
      <c r="IDK52" s="19"/>
      <c r="IDL52" s="21"/>
      <c r="IDM52" s="19"/>
      <c r="IDV52" s="19"/>
      <c r="IDW52" s="19"/>
      <c r="IDX52" s="19"/>
      <c r="IDY52" s="19"/>
      <c r="IDZ52" s="21"/>
      <c r="IEA52" s="19"/>
      <c r="IEJ52" s="19"/>
      <c r="IEK52" s="19"/>
      <c r="IEL52" s="19"/>
      <c r="IEM52" s="19"/>
      <c r="IEN52" s="21"/>
      <c r="IEO52" s="19"/>
      <c r="IEX52" s="19"/>
      <c r="IEY52" s="19"/>
      <c r="IEZ52" s="19"/>
      <c r="IFA52" s="19"/>
      <c r="IFB52" s="21"/>
      <c r="IFC52" s="19"/>
      <c r="IFL52" s="19"/>
      <c r="IFM52" s="19"/>
      <c r="IFN52" s="19"/>
      <c r="IFO52" s="19"/>
      <c r="IFP52" s="21"/>
      <c r="IFQ52" s="19"/>
      <c r="IFZ52" s="19"/>
      <c r="IGA52" s="19"/>
      <c r="IGB52" s="19"/>
      <c r="IGC52" s="19"/>
      <c r="IGD52" s="21"/>
      <c r="IGE52" s="19"/>
      <c r="IGN52" s="19"/>
      <c r="IGO52" s="19"/>
      <c r="IGP52" s="19"/>
      <c r="IGQ52" s="19"/>
      <c r="IGR52" s="21"/>
      <c r="IGS52" s="19"/>
      <c r="IHB52" s="19"/>
      <c r="IHC52" s="19"/>
      <c r="IHD52" s="19"/>
      <c r="IHE52" s="19"/>
      <c r="IHF52" s="21"/>
      <c r="IHG52" s="19"/>
      <c r="IHP52" s="19"/>
      <c r="IHQ52" s="19"/>
      <c r="IHR52" s="19"/>
      <c r="IHS52" s="19"/>
      <c r="IHT52" s="21"/>
      <c r="IHU52" s="19"/>
      <c r="IID52" s="19"/>
      <c r="IIE52" s="19"/>
      <c r="IIF52" s="19"/>
      <c r="IIG52" s="19"/>
      <c r="IIH52" s="21"/>
      <c r="III52" s="19"/>
      <c r="IIR52" s="19"/>
      <c r="IIS52" s="19"/>
      <c r="IIT52" s="19"/>
      <c r="IIU52" s="19"/>
      <c r="IIV52" s="21"/>
      <c r="IIW52" s="19"/>
      <c r="IJF52" s="19"/>
      <c r="IJG52" s="19"/>
      <c r="IJH52" s="19"/>
      <c r="IJI52" s="19"/>
      <c r="IJJ52" s="21"/>
      <c r="IJK52" s="19"/>
      <c r="IJT52" s="19"/>
      <c r="IJU52" s="19"/>
      <c r="IJV52" s="19"/>
      <c r="IJW52" s="19"/>
      <c r="IJX52" s="21"/>
      <c r="IJY52" s="19"/>
      <c r="IKH52" s="19"/>
      <c r="IKI52" s="19"/>
      <c r="IKJ52" s="19"/>
      <c r="IKK52" s="19"/>
      <c r="IKL52" s="21"/>
      <c r="IKM52" s="19"/>
      <c r="IKV52" s="19"/>
      <c r="IKW52" s="19"/>
      <c r="IKX52" s="19"/>
      <c r="IKY52" s="19"/>
      <c r="IKZ52" s="21"/>
      <c r="ILA52" s="19"/>
      <c r="ILJ52" s="19"/>
      <c r="ILK52" s="19"/>
      <c r="ILL52" s="19"/>
      <c r="ILM52" s="19"/>
      <c r="ILN52" s="21"/>
      <c r="ILO52" s="19"/>
      <c r="ILX52" s="19"/>
      <c r="ILY52" s="19"/>
      <c r="ILZ52" s="19"/>
      <c r="IMA52" s="19"/>
      <c r="IMB52" s="21"/>
      <c r="IMC52" s="19"/>
      <c r="IML52" s="19"/>
      <c r="IMM52" s="19"/>
      <c r="IMN52" s="19"/>
      <c r="IMO52" s="19"/>
      <c r="IMP52" s="21"/>
      <c r="IMQ52" s="19"/>
      <c r="IMZ52" s="19"/>
      <c r="INA52" s="19"/>
      <c r="INB52" s="19"/>
      <c r="INC52" s="19"/>
      <c r="IND52" s="21"/>
      <c r="INE52" s="19"/>
      <c r="INN52" s="19"/>
      <c r="INO52" s="19"/>
      <c r="INP52" s="19"/>
      <c r="INQ52" s="19"/>
      <c r="INR52" s="21"/>
      <c r="INS52" s="19"/>
      <c r="IOB52" s="19"/>
      <c r="IOC52" s="19"/>
      <c r="IOD52" s="19"/>
      <c r="IOE52" s="19"/>
      <c r="IOF52" s="21"/>
      <c r="IOG52" s="19"/>
      <c r="IOP52" s="19"/>
      <c r="IOQ52" s="19"/>
      <c r="IOR52" s="19"/>
      <c r="IOS52" s="19"/>
      <c r="IOT52" s="21"/>
      <c r="IOU52" s="19"/>
      <c r="IPD52" s="19"/>
      <c r="IPE52" s="19"/>
      <c r="IPF52" s="19"/>
      <c r="IPG52" s="19"/>
      <c r="IPH52" s="21"/>
      <c r="IPI52" s="19"/>
      <c r="IPR52" s="19"/>
      <c r="IPS52" s="19"/>
      <c r="IPT52" s="19"/>
      <c r="IPU52" s="19"/>
      <c r="IPV52" s="21"/>
      <c r="IPW52" s="19"/>
      <c r="IQF52" s="19"/>
      <c r="IQG52" s="19"/>
      <c r="IQH52" s="19"/>
      <c r="IQI52" s="19"/>
      <c r="IQJ52" s="21"/>
      <c r="IQK52" s="19"/>
      <c r="IQT52" s="19"/>
      <c r="IQU52" s="19"/>
      <c r="IQV52" s="19"/>
      <c r="IQW52" s="19"/>
      <c r="IQX52" s="21"/>
      <c r="IQY52" s="19"/>
      <c r="IRH52" s="19"/>
      <c r="IRI52" s="19"/>
      <c r="IRJ52" s="19"/>
      <c r="IRK52" s="19"/>
      <c r="IRL52" s="21"/>
      <c r="IRM52" s="19"/>
      <c r="IRV52" s="19"/>
      <c r="IRW52" s="19"/>
      <c r="IRX52" s="19"/>
      <c r="IRY52" s="19"/>
      <c r="IRZ52" s="21"/>
      <c r="ISA52" s="19"/>
      <c r="ISJ52" s="19"/>
      <c r="ISK52" s="19"/>
      <c r="ISL52" s="19"/>
      <c r="ISM52" s="19"/>
      <c r="ISN52" s="21"/>
      <c r="ISO52" s="19"/>
      <c r="ISX52" s="19"/>
      <c r="ISY52" s="19"/>
      <c r="ISZ52" s="19"/>
      <c r="ITA52" s="19"/>
      <c r="ITB52" s="21"/>
      <c r="ITC52" s="19"/>
      <c r="ITL52" s="19"/>
      <c r="ITM52" s="19"/>
      <c r="ITN52" s="19"/>
      <c r="ITO52" s="19"/>
      <c r="ITP52" s="21"/>
      <c r="ITQ52" s="19"/>
      <c r="ITZ52" s="19"/>
      <c r="IUA52" s="19"/>
      <c r="IUB52" s="19"/>
      <c r="IUC52" s="19"/>
      <c r="IUD52" s="21"/>
      <c r="IUE52" s="19"/>
      <c r="IUN52" s="19"/>
      <c r="IUO52" s="19"/>
      <c r="IUP52" s="19"/>
      <c r="IUQ52" s="19"/>
      <c r="IUR52" s="21"/>
      <c r="IUS52" s="19"/>
      <c r="IVB52" s="19"/>
      <c r="IVC52" s="19"/>
      <c r="IVD52" s="19"/>
      <c r="IVE52" s="19"/>
      <c r="IVF52" s="21"/>
      <c r="IVG52" s="19"/>
      <c r="IVP52" s="19"/>
      <c r="IVQ52" s="19"/>
      <c r="IVR52" s="19"/>
      <c r="IVS52" s="19"/>
      <c r="IVT52" s="21"/>
      <c r="IVU52" s="19"/>
      <c r="IWD52" s="19"/>
      <c r="IWE52" s="19"/>
      <c r="IWF52" s="19"/>
      <c r="IWG52" s="19"/>
      <c r="IWH52" s="21"/>
      <c r="IWI52" s="19"/>
      <c r="IWR52" s="19"/>
      <c r="IWS52" s="19"/>
      <c r="IWT52" s="19"/>
      <c r="IWU52" s="19"/>
      <c r="IWV52" s="21"/>
      <c r="IWW52" s="19"/>
      <c r="IXF52" s="19"/>
      <c r="IXG52" s="19"/>
      <c r="IXH52" s="19"/>
      <c r="IXI52" s="19"/>
      <c r="IXJ52" s="21"/>
      <c r="IXK52" s="19"/>
      <c r="IXT52" s="19"/>
      <c r="IXU52" s="19"/>
      <c r="IXV52" s="19"/>
      <c r="IXW52" s="19"/>
      <c r="IXX52" s="21"/>
      <c r="IXY52" s="19"/>
      <c r="IYH52" s="19"/>
      <c r="IYI52" s="19"/>
      <c r="IYJ52" s="19"/>
      <c r="IYK52" s="19"/>
      <c r="IYL52" s="21"/>
      <c r="IYM52" s="19"/>
      <c r="IYV52" s="19"/>
      <c r="IYW52" s="19"/>
      <c r="IYX52" s="19"/>
      <c r="IYY52" s="19"/>
      <c r="IYZ52" s="21"/>
      <c r="IZA52" s="19"/>
      <c r="IZJ52" s="19"/>
      <c r="IZK52" s="19"/>
      <c r="IZL52" s="19"/>
      <c r="IZM52" s="19"/>
      <c r="IZN52" s="21"/>
      <c r="IZO52" s="19"/>
      <c r="IZX52" s="19"/>
      <c r="IZY52" s="19"/>
      <c r="IZZ52" s="19"/>
      <c r="JAA52" s="19"/>
      <c r="JAB52" s="21"/>
      <c r="JAC52" s="19"/>
      <c r="JAL52" s="19"/>
      <c r="JAM52" s="19"/>
      <c r="JAN52" s="19"/>
      <c r="JAO52" s="19"/>
      <c r="JAP52" s="21"/>
      <c r="JAQ52" s="19"/>
      <c r="JAZ52" s="19"/>
      <c r="JBA52" s="19"/>
      <c r="JBB52" s="19"/>
      <c r="JBC52" s="19"/>
      <c r="JBD52" s="21"/>
      <c r="JBE52" s="19"/>
      <c r="JBN52" s="19"/>
      <c r="JBO52" s="19"/>
      <c r="JBP52" s="19"/>
      <c r="JBQ52" s="19"/>
      <c r="JBR52" s="21"/>
      <c r="JBS52" s="19"/>
      <c r="JCB52" s="19"/>
      <c r="JCC52" s="19"/>
      <c r="JCD52" s="19"/>
      <c r="JCE52" s="19"/>
      <c r="JCF52" s="21"/>
      <c r="JCG52" s="19"/>
      <c r="JCP52" s="19"/>
      <c r="JCQ52" s="19"/>
      <c r="JCR52" s="19"/>
      <c r="JCS52" s="19"/>
      <c r="JCT52" s="21"/>
      <c r="JCU52" s="19"/>
      <c r="JDD52" s="19"/>
      <c r="JDE52" s="19"/>
      <c r="JDF52" s="19"/>
      <c r="JDG52" s="19"/>
      <c r="JDH52" s="21"/>
      <c r="JDI52" s="19"/>
      <c r="JDR52" s="19"/>
      <c r="JDS52" s="19"/>
      <c r="JDT52" s="19"/>
      <c r="JDU52" s="19"/>
      <c r="JDV52" s="21"/>
      <c r="JDW52" s="19"/>
      <c r="JEF52" s="19"/>
      <c r="JEG52" s="19"/>
      <c r="JEH52" s="19"/>
      <c r="JEI52" s="19"/>
      <c r="JEJ52" s="21"/>
      <c r="JEK52" s="19"/>
      <c r="JET52" s="19"/>
      <c r="JEU52" s="19"/>
      <c r="JEV52" s="19"/>
      <c r="JEW52" s="19"/>
      <c r="JEX52" s="21"/>
      <c r="JEY52" s="19"/>
      <c r="JFH52" s="19"/>
      <c r="JFI52" s="19"/>
      <c r="JFJ52" s="19"/>
      <c r="JFK52" s="19"/>
      <c r="JFL52" s="21"/>
      <c r="JFM52" s="19"/>
      <c r="JFV52" s="19"/>
      <c r="JFW52" s="19"/>
      <c r="JFX52" s="19"/>
      <c r="JFY52" s="19"/>
      <c r="JFZ52" s="21"/>
      <c r="JGA52" s="19"/>
      <c r="JGJ52" s="19"/>
      <c r="JGK52" s="19"/>
      <c r="JGL52" s="19"/>
      <c r="JGM52" s="19"/>
      <c r="JGN52" s="21"/>
      <c r="JGO52" s="19"/>
      <c r="JGX52" s="19"/>
      <c r="JGY52" s="19"/>
      <c r="JGZ52" s="19"/>
      <c r="JHA52" s="19"/>
      <c r="JHB52" s="21"/>
      <c r="JHC52" s="19"/>
      <c r="JHL52" s="19"/>
      <c r="JHM52" s="19"/>
      <c r="JHN52" s="19"/>
      <c r="JHO52" s="19"/>
      <c r="JHP52" s="21"/>
      <c r="JHQ52" s="19"/>
      <c r="JHZ52" s="19"/>
      <c r="JIA52" s="19"/>
      <c r="JIB52" s="19"/>
      <c r="JIC52" s="19"/>
      <c r="JID52" s="21"/>
      <c r="JIE52" s="19"/>
      <c r="JIN52" s="19"/>
      <c r="JIO52" s="19"/>
      <c r="JIP52" s="19"/>
      <c r="JIQ52" s="19"/>
      <c r="JIR52" s="21"/>
      <c r="JIS52" s="19"/>
      <c r="JJB52" s="19"/>
      <c r="JJC52" s="19"/>
      <c r="JJD52" s="19"/>
      <c r="JJE52" s="19"/>
      <c r="JJF52" s="21"/>
      <c r="JJG52" s="19"/>
      <c r="JJP52" s="19"/>
      <c r="JJQ52" s="19"/>
      <c r="JJR52" s="19"/>
      <c r="JJS52" s="19"/>
      <c r="JJT52" s="21"/>
      <c r="JJU52" s="19"/>
      <c r="JKD52" s="19"/>
      <c r="JKE52" s="19"/>
      <c r="JKF52" s="19"/>
      <c r="JKG52" s="19"/>
      <c r="JKH52" s="21"/>
      <c r="JKI52" s="19"/>
      <c r="JKR52" s="19"/>
      <c r="JKS52" s="19"/>
      <c r="JKT52" s="19"/>
      <c r="JKU52" s="19"/>
      <c r="JKV52" s="21"/>
      <c r="JKW52" s="19"/>
      <c r="JLF52" s="19"/>
      <c r="JLG52" s="19"/>
      <c r="JLH52" s="19"/>
      <c r="JLI52" s="19"/>
      <c r="JLJ52" s="21"/>
      <c r="JLK52" s="19"/>
      <c r="JLT52" s="19"/>
      <c r="JLU52" s="19"/>
      <c r="JLV52" s="19"/>
      <c r="JLW52" s="19"/>
      <c r="JLX52" s="21"/>
      <c r="JLY52" s="19"/>
      <c r="JMH52" s="19"/>
      <c r="JMI52" s="19"/>
      <c r="JMJ52" s="19"/>
      <c r="JMK52" s="19"/>
      <c r="JML52" s="21"/>
      <c r="JMM52" s="19"/>
      <c r="JMV52" s="19"/>
      <c r="JMW52" s="19"/>
      <c r="JMX52" s="19"/>
      <c r="JMY52" s="19"/>
      <c r="JMZ52" s="21"/>
      <c r="JNA52" s="19"/>
      <c r="JNJ52" s="19"/>
      <c r="JNK52" s="19"/>
      <c r="JNL52" s="19"/>
      <c r="JNM52" s="19"/>
      <c r="JNN52" s="21"/>
      <c r="JNO52" s="19"/>
      <c r="JNX52" s="19"/>
      <c r="JNY52" s="19"/>
      <c r="JNZ52" s="19"/>
      <c r="JOA52" s="19"/>
      <c r="JOB52" s="21"/>
      <c r="JOC52" s="19"/>
      <c r="JOL52" s="19"/>
      <c r="JOM52" s="19"/>
      <c r="JON52" s="19"/>
      <c r="JOO52" s="19"/>
      <c r="JOP52" s="21"/>
      <c r="JOQ52" s="19"/>
      <c r="JOZ52" s="19"/>
      <c r="JPA52" s="19"/>
      <c r="JPB52" s="19"/>
      <c r="JPC52" s="19"/>
      <c r="JPD52" s="21"/>
      <c r="JPE52" s="19"/>
      <c r="JPN52" s="19"/>
      <c r="JPO52" s="19"/>
      <c r="JPP52" s="19"/>
      <c r="JPQ52" s="19"/>
      <c r="JPR52" s="21"/>
      <c r="JPS52" s="19"/>
      <c r="JQB52" s="19"/>
      <c r="JQC52" s="19"/>
      <c r="JQD52" s="19"/>
      <c r="JQE52" s="19"/>
      <c r="JQF52" s="21"/>
      <c r="JQG52" s="19"/>
      <c r="JQP52" s="19"/>
      <c r="JQQ52" s="19"/>
      <c r="JQR52" s="19"/>
      <c r="JQS52" s="19"/>
      <c r="JQT52" s="21"/>
      <c r="JQU52" s="19"/>
      <c r="JRD52" s="19"/>
      <c r="JRE52" s="19"/>
      <c r="JRF52" s="19"/>
      <c r="JRG52" s="19"/>
      <c r="JRH52" s="21"/>
      <c r="JRI52" s="19"/>
      <c r="JRR52" s="19"/>
      <c r="JRS52" s="19"/>
      <c r="JRT52" s="19"/>
      <c r="JRU52" s="19"/>
      <c r="JRV52" s="21"/>
      <c r="JRW52" s="19"/>
      <c r="JSF52" s="19"/>
      <c r="JSG52" s="19"/>
      <c r="JSH52" s="19"/>
      <c r="JSI52" s="19"/>
      <c r="JSJ52" s="21"/>
      <c r="JSK52" s="19"/>
      <c r="JST52" s="19"/>
      <c r="JSU52" s="19"/>
      <c r="JSV52" s="19"/>
      <c r="JSW52" s="19"/>
      <c r="JSX52" s="21"/>
      <c r="JSY52" s="19"/>
      <c r="JTH52" s="19"/>
      <c r="JTI52" s="19"/>
      <c r="JTJ52" s="19"/>
      <c r="JTK52" s="19"/>
      <c r="JTL52" s="21"/>
      <c r="JTM52" s="19"/>
      <c r="JTV52" s="19"/>
      <c r="JTW52" s="19"/>
      <c r="JTX52" s="19"/>
      <c r="JTY52" s="19"/>
      <c r="JTZ52" s="21"/>
      <c r="JUA52" s="19"/>
      <c r="JUJ52" s="19"/>
      <c r="JUK52" s="19"/>
      <c r="JUL52" s="19"/>
      <c r="JUM52" s="19"/>
      <c r="JUN52" s="21"/>
      <c r="JUO52" s="19"/>
      <c r="JUX52" s="19"/>
      <c r="JUY52" s="19"/>
      <c r="JUZ52" s="19"/>
      <c r="JVA52" s="19"/>
      <c r="JVB52" s="21"/>
      <c r="JVC52" s="19"/>
      <c r="JVL52" s="19"/>
      <c r="JVM52" s="19"/>
      <c r="JVN52" s="19"/>
      <c r="JVO52" s="19"/>
      <c r="JVP52" s="21"/>
      <c r="JVQ52" s="19"/>
      <c r="JVZ52" s="19"/>
      <c r="JWA52" s="19"/>
      <c r="JWB52" s="19"/>
      <c r="JWC52" s="19"/>
      <c r="JWD52" s="21"/>
      <c r="JWE52" s="19"/>
      <c r="JWN52" s="19"/>
      <c r="JWO52" s="19"/>
      <c r="JWP52" s="19"/>
      <c r="JWQ52" s="19"/>
      <c r="JWR52" s="21"/>
      <c r="JWS52" s="19"/>
      <c r="JXB52" s="19"/>
      <c r="JXC52" s="19"/>
      <c r="JXD52" s="19"/>
      <c r="JXE52" s="19"/>
      <c r="JXF52" s="21"/>
      <c r="JXG52" s="19"/>
      <c r="JXP52" s="19"/>
      <c r="JXQ52" s="19"/>
      <c r="JXR52" s="19"/>
      <c r="JXS52" s="19"/>
      <c r="JXT52" s="21"/>
      <c r="JXU52" s="19"/>
      <c r="JYD52" s="19"/>
      <c r="JYE52" s="19"/>
      <c r="JYF52" s="19"/>
      <c r="JYG52" s="19"/>
      <c r="JYH52" s="21"/>
      <c r="JYI52" s="19"/>
      <c r="JYR52" s="19"/>
      <c r="JYS52" s="19"/>
      <c r="JYT52" s="19"/>
      <c r="JYU52" s="19"/>
      <c r="JYV52" s="21"/>
      <c r="JYW52" s="19"/>
      <c r="JZF52" s="19"/>
      <c r="JZG52" s="19"/>
      <c r="JZH52" s="19"/>
      <c r="JZI52" s="19"/>
      <c r="JZJ52" s="21"/>
      <c r="JZK52" s="19"/>
      <c r="JZT52" s="19"/>
      <c r="JZU52" s="19"/>
      <c r="JZV52" s="19"/>
      <c r="JZW52" s="19"/>
      <c r="JZX52" s="21"/>
      <c r="JZY52" s="19"/>
      <c r="KAH52" s="19"/>
      <c r="KAI52" s="19"/>
      <c r="KAJ52" s="19"/>
      <c r="KAK52" s="19"/>
      <c r="KAL52" s="21"/>
      <c r="KAM52" s="19"/>
      <c r="KAV52" s="19"/>
      <c r="KAW52" s="19"/>
      <c r="KAX52" s="19"/>
      <c r="KAY52" s="19"/>
      <c r="KAZ52" s="21"/>
      <c r="KBA52" s="19"/>
      <c r="KBJ52" s="19"/>
      <c r="KBK52" s="19"/>
      <c r="KBL52" s="19"/>
      <c r="KBM52" s="19"/>
      <c r="KBN52" s="21"/>
      <c r="KBO52" s="19"/>
      <c r="KBX52" s="19"/>
      <c r="KBY52" s="19"/>
      <c r="KBZ52" s="19"/>
      <c r="KCA52" s="19"/>
      <c r="KCB52" s="21"/>
      <c r="KCC52" s="19"/>
      <c r="KCL52" s="19"/>
      <c r="KCM52" s="19"/>
      <c r="KCN52" s="19"/>
      <c r="KCO52" s="19"/>
      <c r="KCP52" s="21"/>
      <c r="KCQ52" s="19"/>
      <c r="KCZ52" s="19"/>
      <c r="KDA52" s="19"/>
      <c r="KDB52" s="19"/>
      <c r="KDC52" s="19"/>
      <c r="KDD52" s="21"/>
      <c r="KDE52" s="19"/>
      <c r="KDN52" s="19"/>
      <c r="KDO52" s="19"/>
      <c r="KDP52" s="19"/>
      <c r="KDQ52" s="19"/>
      <c r="KDR52" s="21"/>
      <c r="KDS52" s="19"/>
      <c r="KEB52" s="19"/>
      <c r="KEC52" s="19"/>
      <c r="KED52" s="19"/>
      <c r="KEE52" s="19"/>
      <c r="KEF52" s="21"/>
      <c r="KEG52" s="19"/>
      <c r="KEP52" s="19"/>
      <c r="KEQ52" s="19"/>
      <c r="KER52" s="19"/>
      <c r="KES52" s="19"/>
      <c r="KET52" s="21"/>
      <c r="KEU52" s="19"/>
      <c r="KFD52" s="19"/>
      <c r="KFE52" s="19"/>
      <c r="KFF52" s="19"/>
      <c r="KFG52" s="19"/>
      <c r="KFH52" s="21"/>
      <c r="KFI52" s="19"/>
      <c r="KFR52" s="19"/>
      <c r="KFS52" s="19"/>
      <c r="KFT52" s="19"/>
      <c r="KFU52" s="19"/>
      <c r="KFV52" s="21"/>
      <c r="KFW52" s="19"/>
      <c r="KGF52" s="19"/>
      <c r="KGG52" s="19"/>
      <c r="KGH52" s="19"/>
      <c r="KGI52" s="19"/>
      <c r="KGJ52" s="21"/>
      <c r="KGK52" s="19"/>
      <c r="KGT52" s="19"/>
      <c r="KGU52" s="19"/>
      <c r="KGV52" s="19"/>
      <c r="KGW52" s="19"/>
      <c r="KGX52" s="21"/>
      <c r="KGY52" s="19"/>
      <c r="KHH52" s="19"/>
      <c r="KHI52" s="19"/>
      <c r="KHJ52" s="19"/>
      <c r="KHK52" s="19"/>
      <c r="KHL52" s="21"/>
      <c r="KHM52" s="19"/>
      <c r="KHV52" s="19"/>
      <c r="KHW52" s="19"/>
      <c r="KHX52" s="19"/>
      <c r="KHY52" s="19"/>
      <c r="KHZ52" s="21"/>
      <c r="KIA52" s="19"/>
      <c r="KIJ52" s="19"/>
      <c r="KIK52" s="19"/>
      <c r="KIL52" s="19"/>
      <c r="KIM52" s="19"/>
      <c r="KIN52" s="21"/>
      <c r="KIO52" s="19"/>
      <c r="KIX52" s="19"/>
      <c r="KIY52" s="19"/>
      <c r="KIZ52" s="19"/>
      <c r="KJA52" s="19"/>
      <c r="KJB52" s="21"/>
      <c r="KJC52" s="19"/>
      <c r="KJL52" s="19"/>
      <c r="KJM52" s="19"/>
      <c r="KJN52" s="19"/>
      <c r="KJO52" s="19"/>
      <c r="KJP52" s="21"/>
      <c r="KJQ52" s="19"/>
      <c r="KJZ52" s="19"/>
      <c r="KKA52" s="19"/>
      <c r="KKB52" s="19"/>
      <c r="KKC52" s="19"/>
      <c r="KKD52" s="21"/>
      <c r="KKE52" s="19"/>
      <c r="KKN52" s="19"/>
      <c r="KKO52" s="19"/>
      <c r="KKP52" s="19"/>
      <c r="KKQ52" s="19"/>
      <c r="KKR52" s="21"/>
      <c r="KKS52" s="19"/>
      <c r="KLB52" s="19"/>
      <c r="KLC52" s="19"/>
      <c r="KLD52" s="19"/>
      <c r="KLE52" s="19"/>
      <c r="KLF52" s="21"/>
      <c r="KLG52" s="19"/>
      <c r="KLP52" s="19"/>
      <c r="KLQ52" s="19"/>
      <c r="KLR52" s="19"/>
      <c r="KLS52" s="19"/>
      <c r="KLT52" s="21"/>
      <c r="KLU52" s="19"/>
      <c r="KMD52" s="19"/>
      <c r="KME52" s="19"/>
      <c r="KMF52" s="19"/>
      <c r="KMG52" s="19"/>
      <c r="KMH52" s="21"/>
      <c r="KMI52" s="19"/>
      <c r="KMR52" s="19"/>
      <c r="KMS52" s="19"/>
      <c r="KMT52" s="19"/>
      <c r="KMU52" s="19"/>
      <c r="KMV52" s="21"/>
      <c r="KMW52" s="19"/>
      <c r="KNF52" s="19"/>
      <c r="KNG52" s="19"/>
      <c r="KNH52" s="19"/>
      <c r="KNI52" s="19"/>
      <c r="KNJ52" s="21"/>
      <c r="KNK52" s="19"/>
      <c r="KNT52" s="19"/>
      <c r="KNU52" s="19"/>
      <c r="KNV52" s="19"/>
      <c r="KNW52" s="19"/>
      <c r="KNX52" s="21"/>
      <c r="KNY52" s="19"/>
      <c r="KOH52" s="19"/>
      <c r="KOI52" s="19"/>
      <c r="KOJ52" s="19"/>
      <c r="KOK52" s="19"/>
      <c r="KOL52" s="21"/>
      <c r="KOM52" s="19"/>
      <c r="KOV52" s="19"/>
      <c r="KOW52" s="19"/>
      <c r="KOX52" s="19"/>
      <c r="KOY52" s="19"/>
      <c r="KOZ52" s="21"/>
      <c r="KPA52" s="19"/>
      <c r="KPJ52" s="19"/>
      <c r="KPK52" s="19"/>
      <c r="KPL52" s="19"/>
      <c r="KPM52" s="19"/>
      <c r="KPN52" s="21"/>
      <c r="KPO52" s="19"/>
      <c r="KPX52" s="19"/>
      <c r="KPY52" s="19"/>
      <c r="KPZ52" s="19"/>
      <c r="KQA52" s="19"/>
      <c r="KQB52" s="21"/>
      <c r="KQC52" s="19"/>
      <c r="KQL52" s="19"/>
      <c r="KQM52" s="19"/>
      <c r="KQN52" s="19"/>
      <c r="KQO52" s="19"/>
      <c r="KQP52" s="21"/>
      <c r="KQQ52" s="19"/>
      <c r="KQZ52" s="19"/>
      <c r="KRA52" s="19"/>
      <c r="KRB52" s="19"/>
      <c r="KRC52" s="19"/>
      <c r="KRD52" s="21"/>
      <c r="KRE52" s="19"/>
      <c r="KRN52" s="19"/>
      <c r="KRO52" s="19"/>
      <c r="KRP52" s="19"/>
      <c r="KRQ52" s="19"/>
      <c r="KRR52" s="21"/>
      <c r="KRS52" s="19"/>
      <c r="KSB52" s="19"/>
      <c r="KSC52" s="19"/>
      <c r="KSD52" s="19"/>
      <c r="KSE52" s="19"/>
      <c r="KSF52" s="21"/>
      <c r="KSG52" s="19"/>
      <c r="KSP52" s="19"/>
      <c r="KSQ52" s="19"/>
      <c r="KSR52" s="19"/>
      <c r="KSS52" s="19"/>
      <c r="KST52" s="21"/>
      <c r="KSU52" s="19"/>
      <c r="KTD52" s="19"/>
      <c r="KTE52" s="19"/>
      <c r="KTF52" s="19"/>
      <c r="KTG52" s="19"/>
      <c r="KTH52" s="21"/>
      <c r="KTI52" s="19"/>
      <c r="KTR52" s="19"/>
      <c r="KTS52" s="19"/>
      <c r="KTT52" s="19"/>
      <c r="KTU52" s="19"/>
      <c r="KTV52" s="21"/>
      <c r="KTW52" s="19"/>
      <c r="KUF52" s="19"/>
      <c r="KUG52" s="19"/>
      <c r="KUH52" s="19"/>
      <c r="KUI52" s="19"/>
      <c r="KUJ52" s="21"/>
      <c r="KUK52" s="19"/>
      <c r="KUT52" s="19"/>
      <c r="KUU52" s="19"/>
      <c r="KUV52" s="19"/>
      <c r="KUW52" s="19"/>
      <c r="KUX52" s="21"/>
      <c r="KUY52" s="19"/>
      <c r="KVH52" s="19"/>
      <c r="KVI52" s="19"/>
      <c r="KVJ52" s="19"/>
      <c r="KVK52" s="19"/>
      <c r="KVL52" s="21"/>
      <c r="KVM52" s="19"/>
      <c r="KVV52" s="19"/>
      <c r="KVW52" s="19"/>
      <c r="KVX52" s="19"/>
      <c r="KVY52" s="19"/>
      <c r="KVZ52" s="21"/>
      <c r="KWA52" s="19"/>
      <c r="KWJ52" s="19"/>
      <c r="KWK52" s="19"/>
      <c r="KWL52" s="19"/>
      <c r="KWM52" s="19"/>
      <c r="KWN52" s="21"/>
      <c r="KWO52" s="19"/>
      <c r="KWX52" s="19"/>
      <c r="KWY52" s="19"/>
      <c r="KWZ52" s="19"/>
      <c r="KXA52" s="19"/>
      <c r="KXB52" s="21"/>
      <c r="KXC52" s="19"/>
      <c r="KXL52" s="19"/>
      <c r="KXM52" s="19"/>
      <c r="KXN52" s="19"/>
      <c r="KXO52" s="19"/>
      <c r="KXP52" s="21"/>
      <c r="KXQ52" s="19"/>
      <c r="KXZ52" s="19"/>
      <c r="KYA52" s="19"/>
      <c r="KYB52" s="19"/>
      <c r="KYC52" s="19"/>
      <c r="KYD52" s="21"/>
      <c r="KYE52" s="19"/>
      <c r="KYN52" s="19"/>
      <c r="KYO52" s="19"/>
      <c r="KYP52" s="19"/>
      <c r="KYQ52" s="19"/>
      <c r="KYR52" s="21"/>
      <c r="KYS52" s="19"/>
      <c r="KZB52" s="19"/>
      <c r="KZC52" s="19"/>
      <c r="KZD52" s="19"/>
      <c r="KZE52" s="19"/>
      <c r="KZF52" s="21"/>
      <c r="KZG52" s="19"/>
      <c r="KZP52" s="19"/>
      <c r="KZQ52" s="19"/>
      <c r="KZR52" s="19"/>
      <c r="KZS52" s="19"/>
      <c r="KZT52" s="21"/>
      <c r="KZU52" s="19"/>
      <c r="LAD52" s="19"/>
      <c r="LAE52" s="19"/>
      <c r="LAF52" s="19"/>
      <c r="LAG52" s="19"/>
      <c r="LAH52" s="21"/>
      <c r="LAI52" s="19"/>
      <c r="LAR52" s="19"/>
      <c r="LAS52" s="19"/>
      <c r="LAT52" s="19"/>
      <c r="LAU52" s="19"/>
      <c r="LAV52" s="21"/>
      <c r="LAW52" s="19"/>
      <c r="LBF52" s="19"/>
      <c r="LBG52" s="19"/>
      <c r="LBH52" s="19"/>
      <c r="LBI52" s="19"/>
      <c r="LBJ52" s="21"/>
      <c r="LBK52" s="19"/>
      <c r="LBT52" s="19"/>
      <c r="LBU52" s="19"/>
      <c r="LBV52" s="19"/>
      <c r="LBW52" s="19"/>
      <c r="LBX52" s="21"/>
      <c r="LBY52" s="19"/>
      <c r="LCH52" s="19"/>
      <c r="LCI52" s="19"/>
      <c r="LCJ52" s="19"/>
      <c r="LCK52" s="19"/>
      <c r="LCL52" s="21"/>
      <c r="LCM52" s="19"/>
      <c r="LCV52" s="19"/>
      <c r="LCW52" s="19"/>
      <c r="LCX52" s="19"/>
      <c r="LCY52" s="19"/>
      <c r="LCZ52" s="21"/>
      <c r="LDA52" s="19"/>
      <c r="LDJ52" s="19"/>
      <c r="LDK52" s="19"/>
      <c r="LDL52" s="19"/>
      <c r="LDM52" s="19"/>
      <c r="LDN52" s="21"/>
      <c r="LDO52" s="19"/>
      <c r="LDX52" s="19"/>
      <c r="LDY52" s="19"/>
      <c r="LDZ52" s="19"/>
      <c r="LEA52" s="19"/>
      <c r="LEB52" s="21"/>
      <c r="LEC52" s="19"/>
      <c r="LEL52" s="19"/>
      <c r="LEM52" s="19"/>
      <c r="LEN52" s="19"/>
      <c r="LEO52" s="19"/>
      <c r="LEP52" s="21"/>
      <c r="LEQ52" s="19"/>
      <c r="LEZ52" s="19"/>
      <c r="LFA52" s="19"/>
      <c r="LFB52" s="19"/>
      <c r="LFC52" s="19"/>
      <c r="LFD52" s="21"/>
      <c r="LFE52" s="19"/>
      <c r="LFN52" s="19"/>
      <c r="LFO52" s="19"/>
      <c r="LFP52" s="19"/>
      <c r="LFQ52" s="19"/>
      <c r="LFR52" s="21"/>
      <c r="LFS52" s="19"/>
      <c r="LGB52" s="19"/>
      <c r="LGC52" s="19"/>
      <c r="LGD52" s="19"/>
      <c r="LGE52" s="19"/>
      <c r="LGF52" s="21"/>
      <c r="LGG52" s="19"/>
      <c r="LGP52" s="19"/>
      <c r="LGQ52" s="19"/>
      <c r="LGR52" s="19"/>
      <c r="LGS52" s="19"/>
      <c r="LGT52" s="21"/>
      <c r="LGU52" s="19"/>
      <c r="LHD52" s="19"/>
      <c r="LHE52" s="19"/>
      <c r="LHF52" s="19"/>
      <c r="LHG52" s="19"/>
      <c r="LHH52" s="21"/>
      <c r="LHI52" s="19"/>
      <c r="LHR52" s="19"/>
      <c r="LHS52" s="19"/>
      <c r="LHT52" s="19"/>
      <c r="LHU52" s="19"/>
      <c r="LHV52" s="21"/>
      <c r="LHW52" s="19"/>
      <c r="LIF52" s="19"/>
      <c r="LIG52" s="19"/>
      <c r="LIH52" s="19"/>
      <c r="LII52" s="19"/>
      <c r="LIJ52" s="21"/>
      <c r="LIK52" s="19"/>
      <c r="LIT52" s="19"/>
      <c r="LIU52" s="19"/>
      <c r="LIV52" s="19"/>
      <c r="LIW52" s="19"/>
      <c r="LIX52" s="21"/>
      <c r="LIY52" s="19"/>
      <c r="LJH52" s="19"/>
      <c r="LJI52" s="19"/>
      <c r="LJJ52" s="19"/>
      <c r="LJK52" s="19"/>
      <c r="LJL52" s="21"/>
      <c r="LJM52" s="19"/>
      <c r="LJV52" s="19"/>
      <c r="LJW52" s="19"/>
      <c r="LJX52" s="19"/>
      <c r="LJY52" s="19"/>
      <c r="LJZ52" s="21"/>
      <c r="LKA52" s="19"/>
      <c r="LKJ52" s="19"/>
      <c r="LKK52" s="19"/>
      <c r="LKL52" s="19"/>
      <c r="LKM52" s="19"/>
      <c r="LKN52" s="21"/>
      <c r="LKO52" s="19"/>
      <c r="LKX52" s="19"/>
      <c r="LKY52" s="19"/>
      <c r="LKZ52" s="19"/>
      <c r="LLA52" s="19"/>
      <c r="LLB52" s="21"/>
      <c r="LLC52" s="19"/>
      <c r="LLL52" s="19"/>
      <c r="LLM52" s="19"/>
      <c r="LLN52" s="19"/>
      <c r="LLO52" s="19"/>
      <c r="LLP52" s="21"/>
      <c r="LLQ52" s="19"/>
      <c r="LLZ52" s="19"/>
      <c r="LMA52" s="19"/>
      <c r="LMB52" s="19"/>
      <c r="LMC52" s="19"/>
      <c r="LMD52" s="21"/>
      <c r="LME52" s="19"/>
      <c r="LMN52" s="19"/>
      <c r="LMO52" s="19"/>
      <c r="LMP52" s="19"/>
      <c r="LMQ52" s="19"/>
      <c r="LMR52" s="21"/>
      <c r="LMS52" s="19"/>
      <c r="LNB52" s="19"/>
      <c r="LNC52" s="19"/>
      <c r="LND52" s="19"/>
      <c r="LNE52" s="19"/>
      <c r="LNF52" s="21"/>
      <c r="LNG52" s="19"/>
      <c r="LNP52" s="19"/>
      <c r="LNQ52" s="19"/>
      <c r="LNR52" s="19"/>
      <c r="LNS52" s="19"/>
      <c r="LNT52" s="21"/>
      <c r="LNU52" s="19"/>
      <c r="LOD52" s="19"/>
      <c r="LOE52" s="19"/>
      <c r="LOF52" s="19"/>
      <c r="LOG52" s="19"/>
      <c r="LOH52" s="21"/>
      <c r="LOI52" s="19"/>
      <c r="LOR52" s="19"/>
      <c r="LOS52" s="19"/>
      <c r="LOT52" s="19"/>
      <c r="LOU52" s="19"/>
      <c r="LOV52" s="21"/>
      <c r="LOW52" s="19"/>
      <c r="LPF52" s="19"/>
      <c r="LPG52" s="19"/>
      <c r="LPH52" s="19"/>
      <c r="LPI52" s="19"/>
      <c r="LPJ52" s="21"/>
      <c r="LPK52" s="19"/>
      <c r="LPT52" s="19"/>
      <c r="LPU52" s="19"/>
      <c r="LPV52" s="19"/>
      <c r="LPW52" s="19"/>
      <c r="LPX52" s="21"/>
      <c r="LPY52" s="19"/>
      <c r="LQH52" s="19"/>
      <c r="LQI52" s="19"/>
      <c r="LQJ52" s="19"/>
      <c r="LQK52" s="19"/>
      <c r="LQL52" s="21"/>
      <c r="LQM52" s="19"/>
      <c r="LQV52" s="19"/>
      <c r="LQW52" s="19"/>
      <c r="LQX52" s="19"/>
      <c r="LQY52" s="19"/>
      <c r="LQZ52" s="21"/>
      <c r="LRA52" s="19"/>
      <c r="LRJ52" s="19"/>
      <c r="LRK52" s="19"/>
      <c r="LRL52" s="19"/>
      <c r="LRM52" s="19"/>
      <c r="LRN52" s="21"/>
      <c r="LRO52" s="19"/>
      <c r="LRX52" s="19"/>
      <c r="LRY52" s="19"/>
      <c r="LRZ52" s="19"/>
      <c r="LSA52" s="19"/>
      <c r="LSB52" s="21"/>
      <c r="LSC52" s="19"/>
      <c r="LSL52" s="19"/>
      <c r="LSM52" s="19"/>
      <c r="LSN52" s="19"/>
      <c r="LSO52" s="19"/>
      <c r="LSP52" s="21"/>
      <c r="LSQ52" s="19"/>
      <c r="LSZ52" s="19"/>
      <c r="LTA52" s="19"/>
      <c r="LTB52" s="19"/>
      <c r="LTC52" s="19"/>
      <c r="LTD52" s="21"/>
      <c r="LTE52" s="19"/>
      <c r="LTN52" s="19"/>
      <c r="LTO52" s="19"/>
      <c r="LTP52" s="19"/>
      <c r="LTQ52" s="19"/>
      <c r="LTR52" s="21"/>
      <c r="LTS52" s="19"/>
      <c r="LUB52" s="19"/>
      <c r="LUC52" s="19"/>
      <c r="LUD52" s="19"/>
      <c r="LUE52" s="19"/>
      <c r="LUF52" s="21"/>
      <c r="LUG52" s="19"/>
      <c r="LUP52" s="19"/>
      <c r="LUQ52" s="19"/>
      <c r="LUR52" s="19"/>
      <c r="LUS52" s="19"/>
      <c r="LUT52" s="21"/>
      <c r="LUU52" s="19"/>
      <c r="LVD52" s="19"/>
      <c r="LVE52" s="19"/>
      <c r="LVF52" s="19"/>
      <c r="LVG52" s="19"/>
      <c r="LVH52" s="21"/>
      <c r="LVI52" s="19"/>
      <c r="LVR52" s="19"/>
      <c r="LVS52" s="19"/>
      <c r="LVT52" s="19"/>
      <c r="LVU52" s="19"/>
      <c r="LVV52" s="21"/>
      <c r="LVW52" s="19"/>
      <c r="LWF52" s="19"/>
      <c r="LWG52" s="19"/>
      <c r="LWH52" s="19"/>
      <c r="LWI52" s="19"/>
      <c r="LWJ52" s="21"/>
      <c r="LWK52" s="19"/>
      <c r="LWT52" s="19"/>
      <c r="LWU52" s="19"/>
      <c r="LWV52" s="19"/>
      <c r="LWW52" s="19"/>
      <c r="LWX52" s="21"/>
      <c r="LWY52" s="19"/>
      <c r="LXH52" s="19"/>
      <c r="LXI52" s="19"/>
      <c r="LXJ52" s="19"/>
      <c r="LXK52" s="19"/>
      <c r="LXL52" s="21"/>
      <c r="LXM52" s="19"/>
      <c r="LXV52" s="19"/>
      <c r="LXW52" s="19"/>
      <c r="LXX52" s="19"/>
      <c r="LXY52" s="19"/>
      <c r="LXZ52" s="21"/>
      <c r="LYA52" s="19"/>
      <c r="LYJ52" s="19"/>
      <c r="LYK52" s="19"/>
      <c r="LYL52" s="19"/>
      <c r="LYM52" s="19"/>
      <c r="LYN52" s="21"/>
      <c r="LYO52" s="19"/>
      <c r="LYX52" s="19"/>
      <c r="LYY52" s="19"/>
      <c r="LYZ52" s="19"/>
      <c r="LZA52" s="19"/>
      <c r="LZB52" s="21"/>
      <c r="LZC52" s="19"/>
      <c r="LZL52" s="19"/>
      <c r="LZM52" s="19"/>
      <c r="LZN52" s="19"/>
      <c r="LZO52" s="19"/>
      <c r="LZP52" s="21"/>
      <c r="LZQ52" s="19"/>
      <c r="LZZ52" s="19"/>
      <c r="MAA52" s="19"/>
      <c r="MAB52" s="19"/>
      <c r="MAC52" s="19"/>
      <c r="MAD52" s="21"/>
      <c r="MAE52" s="19"/>
      <c r="MAN52" s="19"/>
      <c r="MAO52" s="19"/>
      <c r="MAP52" s="19"/>
      <c r="MAQ52" s="19"/>
      <c r="MAR52" s="21"/>
      <c r="MAS52" s="19"/>
      <c r="MBB52" s="19"/>
      <c r="MBC52" s="19"/>
      <c r="MBD52" s="19"/>
      <c r="MBE52" s="19"/>
      <c r="MBF52" s="21"/>
      <c r="MBG52" s="19"/>
      <c r="MBP52" s="19"/>
      <c r="MBQ52" s="19"/>
      <c r="MBR52" s="19"/>
      <c r="MBS52" s="19"/>
      <c r="MBT52" s="21"/>
      <c r="MBU52" s="19"/>
      <c r="MCD52" s="19"/>
      <c r="MCE52" s="19"/>
      <c r="MCF52" s="19"/>
      <c r="MCG52" s="19"/>
      <c r="MCH52" s="21"/>
      <c r="MCI52" s="19"/>
      <c r="MCR52" s="19"/>
      <c r="MCS52" s="19"/>
      <c r="MCT52" s="19"/>
      <c r="MCU52" s="19"/>
      <c r="MCV52" s="21"/>
      <c r="MCW52" s="19"/>
      <c r="MDF52" s="19"/>
      <c r="MDG52" s="19"/>
      <c r="MDH52" s="19"/>
      <c r="MDI52" s="19"/>
      <c r="MDJ52" s="21"/>
      <c r="MDK52" s="19"/>
      <c r="MDT52" s="19"/>
      <c r="MDU52" s="19"/>
      <c r="MDV52" s="19"/>
      <c r="MDW52" s="19"/>
      <c r="MDX52" s="21"/>
      <c r="MDY52" s="19"/>
      <c r="MEH52" s="19"/>
      <c r="MEI52" s="19"/>
      <c r="MEJ52" s="19"/>
      <c r="MEK52" s="19"/>
      <c r="MEL52" s="21"/>
      <c r="MEM52" s="19"/>
      <c r="MEV52" s="19"/>
      <c r="MEW52" s="19"/>
      <c r="MEX52" s="19"/>
      <c r="MEY52" s="19"/>
      <c r="MEZ52" s="21"/>
      <c r="MFA52" s="19"/>
      <c r="MFJ52" s="19"/>
      <c r="MFK52" s="19"/>
      <c r="MFL52" s="19"/>
      <c r="MFM52" s="19"/>
      <c r="MFN52" s="21"/>
      <c r="MFO52" s="19"/>
      <c r="MFX52" s="19"/>
      <c r="MFY52" s="19"/>
      <c r="MFZ52" s="19"/>
      <c r="MGA52" s="19"/>
      <c r="MGB52" s="21"/>
      <c r="MGC52" s="19"/>
      <c r="MGL52" s="19"/>
      <c r="MGM52" s="19"/>
      <c r="MGN52" s="19"/>
      <c r="MGO52" s="19"/>
      <c r="MGP52" s="21"/>
      <c r="MGQ52" s="19"/>
      <c r="MGZ52" s="19"/>
      <c r="MHA52" s="19"/>
      <c r="MHB52" s="19"/>
      <c r="MHC52" s="19"/>
      <c r="MHD52" s="21"/>
      <c r="MHE52" s="19"/>
      <c r="MHN52" s="19"/>
      <c r="MHO52" s="19"/>
      <c r="MHP52" s="19"/>
      <c r="MHQ52" s="19"/>
      <c r="MHR52" s="21"/>
      <c r="MHS52" s="19"/>
      <c r="MIB52" s="19"/>
      <c r="MIC52" s="19"/>
      <c r="MID52" s="19"/>
      <c r="MIE52" s="19"/>
      <c r="MIF52" s="21"/>
      <c r="MIG52" s="19"/>
      <c r="MIP52" s="19"/>
      <c r="MIQ52" s="19"/>
      <c r="MIR52" s="19"/>
      <c r="MIS52" s="19"/>
      <c r="MIT52" s="21"/>
      <c r="MIU52" s="19"/>
      <c r="MJD52" s="19"/>
      <c r="MJE52" s="19"/>
      <c r="MJF52" s="19"/>
      <c r="MJG52" s="19"/>
      <c r="MJH52" s="21"/>
      <c r="MJI52" s="19"/>
      <c r="MJR52" s="19"/>
      <c r="MJS52" s="19"/>
      <c r="MJT52" s="19"/>
      <c r="MJU52" s="19"/>
      <c r="MJV52" s="21"/>
      <c r="MJW52" s="19"/>
      <c r="MKF52" s="19"/>
      <c r="MKG52" s="19"/>
      <c r="MKH52" s="19"/>
      <c r="MKI52" s="19"/>
      <c r="MKJ52" s="21"/>
      <c r="MKK52" s="19"/>
      <c r="MKT52" s="19"/>
      <c r="MKU52" s="19"/>
      <c r="MKV52" s="19"/>
      <c r="MKW52" s="19"/>
      <c r="MKX52" s="21"/>
      <c r="MKY52" s="19"/>
      <c r="MLH52" s="19"/>
      <c r="MLI52" s="19"/>
      <c r="MLJ52" s="19"/>
      <c r="MLK52" s="19"/>
      <c r="MLL52" s="21"/>
      <c r="MLM52" s="19"/>
      <c r="MLV52" s="19"/>
      <c r="MLW52" s="19"/>
      <c r="MLX52" s="19"/>
      <c r="MLY52" s="19"/>
      <c r="MLZ52" s="21"/>
      <c r="MMA52" s="19"/>
      <c r="MMJ52" s="19"/>
      <c r="MMK52" s="19"/>
      <c r="MML52" s="19"/>
      <c r="MMM52" s="19"/>
      <c r="MMN52" s="21"/>
      <c r="MMO52" s="19"/>
      <c r="MMX52" s="19"/>
      <c r="MMY52" s="19"/>
      <c r="MMZ52" s="19"/>
      <c r="MNA52" s="19"/>
      <c r="MNB52" s="21"/>
      <c r="MNC52" s="19"/>
      <c r="MNL52" s="19"/>
      <c r="MNM52" s="19"/>
      <c r="MNN52" s="19"/>
      <c r="MNO52" s="19"/>
      <c r="MNP52" s="21"/>
      <c r="MNQ52" s="19"/>
      <c r="MNZ52" s="19"/>
      <c r="MOA52" s="19"/>
      <c r="MOB52" s="19"/>
      <c r="MOC52" s="19"/>
      <c r="MOD52" s="21"/>
      <c r="MOE52" s="19"/>
      <c r="MON52" s="19"/>
      <c r="MOO52" s="19"/>
      <c r="MOP52" s="19"/>
      <c r="MOQ52" s="19"/>
      <c r="MOR52" s="21"/>
      <c r="MOS52" s="19"/>
      <c r="MPB52" s="19"/>
      <c r="MPC52" s="19"/>
      <c r="MPD52" s="19"/>
      <c r="MPE52" s="19"/>
      <c r="MPF52" s="21"/>
      <c r="MPG52" s="19"/>
      <c r="MPP52" s="19"/>
      <c r="MPQ52" s="19"/>
      <c r="MPR52" s="19"/>
      <c r="MPS52" s="19"/>
      <c r="MPT52" s="21"/>
      <c r="MPU52" s="19"/>
      <c r="MQD52" s="19"/>
      <c r="MQE52" s="19"/>
      <c r="MQF52" s="19"/>
      <c r="MQG52" s="19"/>
      <c r="MQH52" s="21"/>
      <c r="MQI52" s="19"/>
      <c r="MQR52" s="19"/>
      <c r="MQS52" s="19"/>
      <c r="MQT52" s="19"/>
      <c r="MQU52" s="19"/>
      <c r="MQV52" s="21"/>
      <c r="MQW52" s="19"/>
      <c r="MRF52" s="19"/>
      <c r="MRG52" s="19"/>
      <c r="MRH52" s="19"/>
      <c r="MRI52" s="19"/>
      <c r="MRJ52" s="21"/>
      <c r="MRK52" s="19"/>
      <c r="MRT52" s="19"/>
      <c r="MRU52" s="19"/>
      <c r="MRV52" s="19"/>
      <c r="MRW52" s="19"/>
      <c r="MRX52" s="21"/>
      <c r="MRY52" s="19"/>
      <c r="MSH52" s="19"/>
      <c r="MSI52" s="19"/>
      <c r="MSJ52" s="19"/>
      <c r="MSK52" s="19"/>
      <c r="MSL52" s="21"/>
      <c r="MSM52" s="19"/>
      <c r="MSV52" s="19"/>
      <c r="MSW52" s="19"/>
      <c r="MSX52" s="19"/>
      <c r="MSY52" s="19"/>
      <c r="MSZ52" s="21"/>
      <c r="MTA52" s="19"/>
      <c r="MTJ52" s="19"/>
      <c r="MTK52" s="19"/>
      <c r="MTL52" s="19"/>
      <c r="MTM52" s="19"/>
      <c r="MTN52" s="21"/>
      <c r="MTO52" s="19"/>
      <c r="MTX52" s="19"/>
      <c r="MTY52" s="19"/>
      <c r="MTZ52" s="19"/>
      <c r="MUA52" s="19"/>
      <c r="MUB52" s="21"/>
      <c r="MUC52" s="19"/>
      <c r="MUL52" s="19"/>
      <c r="MUM52" s="19"/>
      <c r="MUN52" s="19"/>
      <c r="MUO52" s="19"/>
      <c r="MUP52" s="21"/>
      <c r="MUQ52" s="19"/>
      <c r="MUZ52" s="19"/>
      <c r="MVA52" s="19"/>
      <c r="MVB52" s="19"/>
      <c r="MVC52" s="19"/>
      <c r="MVD52" s="21"/>
      <c r="MVE52" s="19"/>
      <c r="MVN52" s="19"/>
      <c r="MVO52" s="19"/>
      <c r="MVP52" s="19"/>
      <c r="MVQ52" s="19"/>
      <c r="MVR52" s="21"/>
      <c r="MVS52" s="19"/>
      <c r="MWB52" s="19"/>
      <c r="MWC52" s="19"/>
      <c r="MWD52" s="19"/>
      <c r="MWE52" s="19"/>
      <c r="MWF52" s="21"/>
      <c r="MWG52" s="19"/>
      <c r="MWP52" s="19"/>
      <c r="MWQ52" s="19"/>
      <c r="MWR52" s="19"/>
      <c r="MWS52" s="19"/>
      <c r="MWT52" s="21"/>
      <c r="MWU52" s="19"/>
      <c r="MXD52" s="19"/>
      <c r="MXE52" s="19"/>
      <c r="MXF52" s="19"/>
      <c r="MXG52" s="19"/>
      <c r="MXH52" s="21"/>
      <c r="MXI52" s="19"/>
      <c r="MXR52" s="19"/>
      <c r="MXS52" s="19"/>
      <c r="MXT52" s="19"/>
      <c r="MXU52" s="19"/>
      <c r="MXV52" s="21"/>
      <c r="MXW52" s="19"/>
      <c r="MYF52" s="19"/>
      <c r="MYG52" s="19"/>
      <c r="MYH52" s="19"/>
      <c r="MYI52" s="19"/>
      <c r="MYJ52" s="21"/>
      <c r="MYK52" s="19"/>
      <c r="MYT52" s="19"/>
      <c r="MYU52" s="19"/>
      <c r="MYV52" s="19"/>
      <c r="MYW52" s="19"/>
      <c r="MYX52" s="21"/>
      <c r="MYY52" s="19"/>
      <c r="MZH52" s="19"/>
      <c r="MZI52" s="19"/>
      <c r="MZJ52" s="19"/>
      <c r="MZK52" s="19"/>
      <c r="MZL52" s="21"/>
      <c r="MZM52" s="19"/>
      <c r="MZV52" s="19"/>
      <c r="MZW52" s="19"/>
      <c r="MZX52" s="19"/>
      <c r="MZY52" s="19"/>
      <c r="MZZ52" s="21"/>
      <c r="NAA52" s="19"/>
      <c r="NAJ52" s="19"/>
      <c r="NAK52" s="19"/>
      <c r="NAL52" s="19"/>
      <c r="NAM52" s="19"/>
      <c r="NAN52" s="21"/>
      <c r="NAO52" s="19"/>
      <c r="NAX52" s="19"/>
      <c r="NAY52" s="19"/>
      <c r="NAZ52" s="19"/>
      <c r="NBA52" s="19"/>
      <c r="NBB52" s="21"/>
      <c r="NBC52" s="19"/>
      <c r="NBL52" s="19"/>
      <c r="NBM52" s="19"/>
      <c r="NBN52" s="19"/>
      <c r="NBO52" s="19"/>
      <c r="NBP52" s="21"/>
      <c r="NBQ52" s="19"/>
      <c r="NBZ52" s="19"/>
      <c r="NCA52" s="19"/>
      <c r="NCB52" s="19"/>
      <c r="NCC52" s="19"/>
      <c r="NCD52" s="21"/>
      <c r="NCE52" s="19"/>
      <c r="NCN52" s="19"/>
      <c r="NCO52" s="19"/>
      <c r="NCP52" s="19"/>
      <c r="NCQ52" s="19"/>
      <c r="NCR52" s="21"/>
      <c r="NCS52" s="19"/>
      <c r="NDB52" s="19"/>
      <c r="NDC52" s="19"/>
      <c r="NDD52" s="19"/>
      <c r="NDE52" s="19"/>
      <c r="NDF52" s="21"/>
      <c r="NDG52" s="19"/>
      <c r="NDP52" s="19"/>
      <c r="NDQ52" s="19"/>
      <c r="NDR52" s="19"/>
      <c r="NDS52" s="19"/>
      <c r="NDT52" s="21"/>
      <c r="NDU52" s="19"/>
      <c r="NED52" s="19"/>
      <c r="NEE52" s="19"/>
      <c r="NEF52" s="19"/>
      <c r="NEG52" s="19"/>
      <c r="NEH52" s="21"/>
      <c r="NEI52" s="19"/>
      <c r="NER52" s="19"/>
      <c r="NES52" s="19"/>
      <c r="NET52" s="19"/>
      <c r="NEU52" s="19"/>
      <c r="NEV52" s="21"/>
      <c r="NEW52" s="19"/>
      <c r="NFF52" s="19"/>
      <c r="NFG52" s="19"/>
      <c r="NFH52" s="19"/>
      <c r="NFI52" s="19"/>
      <c r="NFJ52" s="21"/>
      <c r="NFK52" s="19"/>
      <c r="NFT52" s="19"/>
      <c r="NFU52" s="19"/>
      <c r="NFV52" s="19"/>
      <c r="NFW52" s="19"/>
      <c r="NFX52" s="21"/>
      <c r="NFY52" s="19"/>
      <c r="NGH52" s="19"/>
      <c r="NGI52" s="19"/>
      <c r="NGJ52" s="19"/>
      <c r="NGK52" s="19"/>
      <c r="NGL52" s="21"/>
      <c r="NGM52" s="19"/>
      <c r="NGV52" s="19"/>
      <c r="NGW52" s="19"/>
      <c r="NGX52" s="19"/>
      <c r="NGY52" s="19"/>
      <c r="NGZ52" s="21"/>
      <c r="NHA52" s="19"/>
      <c r="NHJ52" s="19"/>
      <c r="NHK52" s="19"/>
      <c r="NHL52" s="19"/>
      <c r="NHM52" s="19"/>
      <c r="NHN52" s="21"/>
      <c r="NHO52" s="19"/>
      <c r="NHX52" s="19"/>
      <c r="NHY52" s="19"/>
      <c r="NHZ52" s="19"/>
      <c r="NIA52" s="19"/>
      <c r="NIB52" s="21"/>
      <c r="NIC52" s="19"/>
      <c r="NIL52" s="19"/>
      <c r="NIM52" s="19"/>
      <c r="NIN52" s="19"/>
      <c r="NIO52" s="19"/>
      <c r="NIP52" s="21"/>
      <c r="NIQ52" s="19"/>
      <c r="NIZ52" s="19"/>
      <c r="NJA52" s="19"/>
      <c r="NJB52" s="19"/>
      <c r="NJC52" s="19"/>
      <c r="NJD52" s="21"/>
      <c r="NJE52" s="19"/>
      <c r="NJN52" s="19"/>
      <c r="NJO52" s="19"/>
      <c r="NJP52" s="19"/>
      <c r="NJQ52" s="19"/>
      <c r="NJR52" s="21"/>
      <c r="NJS52" s="19"/>
      <c r="NKB52" s="19"/>
      <c r="NKC52" s="19"/>
      <c r="NKD52" s="19"/>
      <c r="NKE52" s="19"/>
      <c r="NKF52" s="21"/>
      <c r="NKG52" s="19"/>
      <c r="NKP52" s="19"/>
      <c r="NKQ52" s="19"/>
      <c r="NKR52" s="19"/>
      <c r="NKS52" s="19"/>
      <c r="NKT52" s="21"/>
      <c r="NKU52" s="19"/>
      <c r="NLD52" s="19"/>
      <c r="NLE52" s="19"/>
      <c r="NLF52" s="19"/>
      <c r="NLG52" s="19"/>
      <c r="NLH52" s="21"/>
      <c r="NLI52" s="19"/>
      <c r="NLR52" s="19"/>
      <c r="NLS52" s="19"/>
      <c r="NLT52" s="19"/>
      <c r="NLU52" s="19"/>
      <c r="NLV52" s="21"/>
      <c r="NLW52" s="19"/>
      <c r="NMF52" s="19"/>
      <c r="NMG52" s="19"/>
      <c r="NMH52" s="19"/>
      <c r="NMI52" s="19"/>
      <c r="NMJ52" s="21"/>
      <c r="NMK52" s="19"/>
      <c r="NMT52" s="19"/>
      <c r="NMU52" s="19"/>
      <c r="NMV52" s="19"/>
      <c r="NMW52" s="19"/>
      <c r="NMX52" s="21"/>
      <c r="NMY52" s="19"/>
      <c r="NNH52" s="19"/>
      <c r="NNI52" s="19"/>
      <c r="NNJ52" s="19"/>
      <c r="NNK52" s="19"/>
      <c r="NNL52" s="21"/>
      <c r="NNM52" s="19"/>
      <c r="NNV52" s="19"/>
      <c r="NNW52" s="19"/>
      <c r="NNX52" s="19"/>
      <c r="NNY52" s="19"/>
      <c r="NNZ52" s="21"/>
      <c r="NOA52" s="19"/>
      <c r="NOJ52" s="19"/>
      <c r="NOK52" s="19"/>
      <c r="NOL52" s="19"/>
      <c r="NOM52" s="19"/>
      <c r="NON52" s="21"/>
      <c r="NOO52" s="19"/>
      <c r="NOX52" s="19"/>
      <c r="NOY52" s="19"/>
      <c r="NOZ52" s="19"/>
      <c r="NPA52" s="19"/>
      <c r="NPB52" s="21"/>
      <c r="NPC52" s="19"/>
      <c r="NPL52" s="19"/>
      <c r="NPM52" s="19"/>
      <c r="NPN52" s="19"/>
      <c r="NPO52" s="19"/>
      <c r="NPP52" s="21"/>
      <c r="NPQ52" s="19"/>
      <c r="NPZ52" s="19"/>
      <c r="NQA52" s="19"/>
      <c r="NQB52" s="19"/>
      <c r="NQC52" s="19"/>
      <c r="NQD52" s="21"/>
      <c r="NQE52" s="19"/>
      <c r="NQN52" s="19"/>
      <c r="NQO52" s="19"/>
      <c r="NQP52" s="19"/>
      <c r="NQQ52" s="19"/>
      <c r="NQR52" s="21"/>
      <c r="NQS52" s="19"/>
      <c r="NRB52" s="19"/>
      <c r="NRC52" s="19"/>
      <c r="NRD52" s="19"/>
      <c r="NRE52" s="19"/>
      <c r="NRF52" s="21"/>
      <c r="NRG52" s="19"/>
      <c r="NRP52" s="19"/>
      <c r="NRQ52" s="19"/>
      <c r="NRR52" s="19"/>
      <c r="NRS52" s="19"/>
      <c r="NRT52" s="21"/>
      <c r="NRU52" s="19"/>
      <c r="NSD52" s="19"/>
      <c r="NSE52" s="19"/>
      <c r="NSF52" s="19"/>
      <c r="NSG52" s="19"/>
      <c r="NSH52" s="21"/>
      <c r="NSI52" s="19"/>
      <c r="NSR52" s="19"/>
      <c r="NSS52" s="19"/>
      <c r="NST52" s="19"/>
      <c r="NSU52" s="19"/>
      <c r="NSV52" s="21"/>
      <c r="NSW52" s="19"/>
      <c r="NTF52" s="19"/>
      <c r="NTG52" s="19"/>
      <c r="NTH52" s="19"/>
      <c r="NTI52" s="19"/>
      <c r="NTJ52" s="21"/>
      <c r="NTK52" s="19"/>
      <c r="NTT52" s="19"/>
      <c r="NTU52" s="19"/>
      <c r="NTV52" s="19"/>
      <c r="NTW52" s="19"/>
      <c r="NTX52" s="21"/>
      <c r="NTY52" s="19"/>
      <c r="NUH52" s="19"/>
      <c r="NUI52" s="19"/>
      <c r="NUJ52" s="19"/>
      <c r="NUK52" s="19"/>
      <c r="NUL52" s="21"/>
      <c r="NUM52" s="19"/>
      <c r="NUV52" s="19"/>
      <c r="NUW52" s="19"/>
      <c r="NUX52" s="19"/>
      <c r="NUY52" s="19"/>
      <c r="NUZ52" s="21"/>
      <c r="NVA52" s="19"/>
      <c r="NVJ52" s="19"/>
      <c r="NVK52" s="19"/>
      <c r="NVL52" s="19"/>
      <c r="NVM52" s="19"/>
      <c r="NVN52" s="21"/>
      <c r="NVO52" s="19"/>
      <c r="NVX52" s="19"/>
      <c r="NVY52" s="19"/>
      <c r="NVZ52" s="19"/>
      <c r="NWA52" s="19"/>
      <c r="NWB52" s="21"/>
      <c r="NWC52" s="19"/>
      <c r="NWL52" s="19"/>
      <c r="NWM52" s="19"/>
      <c r="NWN52" s="19"/>
      <c r="NWO52" s="19"/>
      <c r="NWP52" s="21"/>
      <c r="NWQ52" s="19"/>
      <c r="NWZ52" s="19"/>
      <c r="NXA52" s="19"/>
      <c r="NXB52" s="19"/>
      <c r="NXC52" s="19"/>
      <c r="NXD52" s="21"/>
      <c r="NXE52" s="19"/>
      <c r="NXN52" s="19"/>
      <c r="NXO52" s="19"/>
      <c r="NXP52" s="19"/>
      <c r="NXQ52" s="19"/>
      <c r="NXR52" s="21"/>
      <c r="NXS52" s="19"/>
      <c r="NYB52" s="19"/>
      <c r="NYC52" s="19"/>
      <c r="NYD52" s="19"/>
      <c r="NYE52" s="19"/>
      <c r="NYF52" s="21"/>
      <c r="NYG52" s="19"/>
      <c r="NYP52" s="19"/>
      <c r="NYQ52" s="19"/>
      <c r="NYR52" s="19"/>
      <c r="NYS52" s="19"/>
      <c r="NYT52" s="21"/>
      <c r="NYU52" s="19"/>
      <c r="NZD52" s="19"/>
      <c r="NZE52" s="19"/>
      <c r="NZF52" s="19"/>
      <c r="NZG52" s="19"/>
      <c r="NZH52" s="21"/>
      <c r="NZI52" s="19"/>
      <c r="NZR52" s="19"/>
      <c r="NZS52" s="19"/>
      <c r="NZT52" s="19"/>
      <c r="NZU52" s="19"/>
      <c r="NZV52" s="21"/>
      <c r="NZW52" s="19"/>
      <c r="OAF52" s="19"/>
      <c r="OAG52" s="19"/>
      <c r="OAH52" s="19"/>
      <c r="OAI52" s="19"/>
      <c r="OAJ52" s="21"/>
      <c r="OAK52" s="19"/>
      <c r="OAT52" s="19"/>
      <c r="OAU52" s="19"/>
      <c r="OAV52" s="19"/>
      <c r="OAW52" s="19"/>
      <c r="OAX52" s="21"/>
      <c r="OAY52" s="19"/>
      <c r="OBH52" s="19"/>
      <c r="OBI52" s="19"/>
      <c r="OBJ52" s="19"/>
      <c r="OBK52" s="19"/>
      <c r="OBL52" s="21"/>
      <c r="OBM52" s="19"/>
      <c r="OBV52" s="19"/>
      <c r="OBW52" s="19"/>
      <c r="OBX52" s="19"/>
      <c r="OBY52" s="19"/>
      <c r="OBZ52" s="21"/>
      <c r="OCA52" s="19"/>
      <c r="OCJ52" s="19"/>
      <c r="OCK52" s="19"/>
      <c r="OCL52" s="19"/>
      <c r="OCM52" s="19"/>
      <c r="OCN52" s="21"/>
      <c r="OCO52" s="19"/>
      <c r="OCX52" s="19"/>
      <c r="OCY52" s="19"/>
      <c r="OCZ52" s="19"/>
      <c r="ODA52" s="19"/>
      <c r="ODB52" s="21"/>
      <c r="ODC52" s="19"/>
      <c r="ODL52" s="19"/>
      <c r="ODM52" s="19"/>
      <c r="ODN52" s="19"/>
      <c r="ODO52" s="19"/>
      <c r="ODP52" s="21"/>
      <c r="ODQ52" s="19"/>
      <c r="ODZ52" s="19"/>
      <c r="OEA52" s="19"/>
      <c r="OEB52" s="19"/>
      <c r="OEC52" s="19"/>
      <c r="OED52" s="21"/>
      <c r="OEE52" s="19"/>
      <c r="OEN52" s="19"/>
      <c r="OEO52" s="19"/>
      <c r="OEP52" s="19"/>
      <c r="OEQ52" s="19"/>
      <c r="OER52" s="21"/>
      <c r="OES52" s="19"/>
      <c r="OFB52" s="19"/>
      <c r="OFC52" s="19"/>
      <c r="OFD52" s="19"/>
      <c r="OFE52" s="19"/>
      <c r="OFF52" s="21"/>
      <c r="OFG52" s="19"/>
      <c r="OFP52" s="19"/>
      <c r="OFQ52" s="19"/>
      <c r="OFR52" s="19"/>
      <c r="OFS52" s="19"/>
      <c r="OFT52" s="21"/>
      <c r="OFU52" s="19"/>
      <c r="OGD52" s="19"/>
      <c r="OGE52" s="19"/>
      <c r="OGF52" s="19"/>
      <c r="OGG52" s="19"/>
      <c r="OGH52" s="21"/>
      <c r="OGI52" s="19"/>
      <c r="OGR52" s="19"/>
      <c r="OGS52" s="19"/>
      <c r="OGT52" s="19"/>
      <c r="OGU52" s="19"/>
      <c r="OGV52" s="21"/>
      <c r="OGW52" s="19"/>
      <c r="OHF52" s="19"/>
      <c r="OHG52" s="19"/>
      <c r="OHH52" s="19"/>
      <c r="OHI52" s="19"/>
      <c r="OHJ52" s="21"/>
      <c r="OHK52" s="19"/>
      <c r="OHT52" s="19"/>
      <c r="OHU52" s="19"/>
      <c r="OHV52" s="19"/>
      <c r="OHW52" s="19"/>
      <c r="OHX52" s="21"/>
      <c r="OHY52" s="19"/>
      <c r="OIH52" s="19"/>
      <c r="OII52" s="19"/>
      <c r="OIJ52" s="19"/>
      <c r="OIK52" s="19"/>
      <c r="OIL52" s="21"/>
      <c r="OIM52" s="19"/>
      <c r="OIV52" s="19"/>
      <c r="OIW52" s="19"/>
      <c r="OIX52" s="19"/>
      <c r="OIY52" s="19"/>
      <c r="OIZ52" s="21"/>
      <c r="OJA52" s="19"/>
      <c r="OJJ52" s="19"/>
      <c r="OJK52" s="19"/>
      <c r="OJL52" s="19"/>
      <c r="OJM52" s="19"/>
      <c r="OJN52" s="21"/>
      <c r="OJO52" s="19"/>
      <c r="OJX52" s="19"/>
      <c r="OJY52" s="19"/>
      <c r="OJZ52" s="19"/>
      <c r="OKA52" s="19"/>
      <c r="OKB52" s="21"/>
      <c r="OKC52" s="19"/>
      <c r="OKL52" s="19"/>
      <c r="OKM52" s="19"/>
      <c r="OKN52" s="19"/>
      <c r="OKO52" s="19"/>
      <c r="OKP52" s="21"/>
      <c r="OKQ52" s="19"/>
      <c r="OKZ52" s="19"/>
      <c r="OLA52" s="19"/>
      <c r="OLB52" s="19"/>
      <c r="OLC52" s="19"/>
      <c r="OLD52" s="21"/>
      <c r="OLE52" s="19"/>
      <c r="OLN52" s="19"/>
      <c r="OLO52" s="19"/>
      <c r="OLP52" s="19"/>
      <c r="OLQ52" s="19"/>
      <c r="OLR52" s="21"/>
      <c r="OLS52" s="19"/>
      <c r="OMB52" s="19"/>
      <c r="OMC52" s="19"/>
      <c r="OMD52" s="19"/>
      <c r="OME52" s="19"/>
      <c r="OMF52" s="21"/>
      <c r="OMG52" s="19"/>
      <c r="OMP52" s="19"/>
      <c r="OMQ52" s="19"/>
      <c r="OMR52" s="19"/>
      <c r="OMS52" s="19"/>
      <c r="OMT52" s="21"/>
      <c r="OMU52" s="19"/>
      <c r="OND52" s="19"/>
      <c r="ONE52" s="19"/>
      <c r="ONF52" s="19"/>
      <c r="ONG52" s="19"/>
      <c r="ONH52" s="21"/>
      <c r="ONI52" s="19"/>
      <c r="ONR52" s="19"/>
      <c r="ONS52" s="19"/>
      <c r="ONT52" s="19"/>
      <c r="ONU52" s="19"/>
      <c r="ONV52" s="21"/>
      <c r="ONW52" s="19"/>
      <c r="OOF52" s="19"/>
      <c r="OOG52" s="19"/>
      <c r="OOH52" s="19"/>
      <c r="OOI52" s="19"/>
      <c r="OOJ52" s="21"/>
      <c r="OOK52" s="19"/>
      <c r="OOT52" s="19"/>
      <c r="OOU52" s="19"/>
      <c r="OOV52" s="19"/>
      <c r="OOW52" s="19"/>
      <c r="OOX52" s="21"/>
      <c r="OOY52" s="19"/>
      <c r="OPH52" s="19"/>
      <c r="OPI52" s="19"/>
      <c r="OPJ52" s="19"/>
      <c r="OPK52" s="19"/>
      <c r="OPL52" s="21"/>
      <c r="OPM52" s="19"/>
      <c r="OPV52" s="19"/>
      <c r="OPW52" s="19"/>
      <c r="OPX52" s="19"/>
      <c r="OPY52" s="19"/>
      <c r="OPZ52" s="21"/>
      <c r="OQA52" s="19"/>
      <c r="OQJ52" s="19"/>
      <c r="OQK52" s="19"/>
      <c r="OQL52" s="19"/>
      <c r="OQM52" s="19"/>
      <c r="OQN52" s="21"/>
      <c r="OQO52" s="19"/>
      <c r="OQX52" s="19"/>
      <c r="OQY52" s="19"/>
      <c r="OQZ52" s="19"/>
      <c r="ORA52" s="19"/>
      <c r="ORB52" s="21"/>
      <c r="ORC52" s="19"/>
      <c r="ORL52" s="19"/>
      <c r="ORM52" s="19"/>
      <c r="ORN52" s="19"/>
      <c r="ORO52" s="19"/>
      <c r="ORP52" s="21"/>
      <c r="ORQ52" s="19"/>
      <c r="ORZ52" s="19"/>
      <c r="OSA52" s="19"/>
      <c r="OSB52" s="19"/>
      <c r="OSC52" s="19"/>
      <c r="OSD52" s="21"/>
      <c r="OSE52" s="19"/>
      <c r="OSN52" s="19"/>
      <c r="OSO52" s="19"/>
      <c r="OSP52" s="19"/>
      <c r="OSQ52" s="19"/>
      <c r="OSR52" s="21"/>
      <c r="OSS52" s="19"/>
      <c r="OTB52" s="19"/>
      <c r="OTC52" s="19"/>
      <c r="OTD52" s="19"/>
      <c r="OTE52" s="19"/>
      <c r="OTF52" s="21"/>
      <c r="OTG52" s="19"/>
      <c r="OTP52" s="19"/>
      <c r="OTQ52" s="19"/>
      <c r="OTR52" s="19"/>
      <c r="OTS52" s="19"/>
      <c r="OTT52" s="21"/>
      <c r="OTU52" s="19"/>
      <c r="OUD52" s="19"/>
      <c r="OUE52" s="19"/>
      <c r="OUF52" s="19"/>
      <c r="OUG52" s="19"/>
      <c r="OUH52" s="21"/>
      <c r="OUI52" s="19"/>
      <c r="OUR52" s="19"/>
      <c r="OUS52" s="19"/>
      <c r="OUT52" s="19"/>
      <c r="OUU52" s="19"/>
      <c r="OUV52" s="21"/>
      <c r="OUW52" s="19"/>
      <c r="OVF52" s="19"/>
      <c r="OVG52" s="19"/>
      <c r="OVH52" s="19"/>
      <c r="OVI52" s="19"/>
      <c r="OVJ52" s="21"/>
      <c r="OVK52" s="19"/>
      <c r="OVT52" s="19"/>
      <c r="OVU52" s="19"/>
      <c r="OVV52" s="19"/>
      <c r="OVW52" s="19"/>
      <c r="OVX52" s="21"/>
      <c r="OVY52" s="19"/>
      <c r="OWH52" s="19"/>
      <c r="OWI52" s="19"/>
      <c r="OWJ52" s="19"/>
      <c r="OWK52" s="19"/>
      <c r="OWL52" s="21"/>
      <c r="OWM52" s="19"/>
      <c r="OWV52" s="19"/>
      <c r="OWW52" s="19"/>
      <c r="OWX52" s="19"/>
      <c r="OWY52" s="19"/>
      <c r="OWZ52" s="21"/>
      <c r="OXA52" s="19"/>
      <c r="OXJ52" s="19"/>
      <c r="OXK52" s="19"/>
      <c r="OXL52" s="19"/>
      <c r="OXM52" s="19"/>
      <c r="OXN52" s="21"/>
      <c r="OXO52" s="19"/>
      <c r="OXX52" s="19"/>
      <c r="OXY52" s="19"/>
      <c r="OXZ52" s="19"/>
      <c r="OYA52" s="19"/>
      <c r="OYB52" s="21"/>
      <c r="OYC52" s="19"/>
      <c r="OYL52" s="19"/>
      <c r="OYM52" s="19"/>
      <c r="OYN52" s="19"/>
      <c r="OYO52" s="19"/>
      <c r="OYP52" s="21"/>
      <c r="OYQ52" s="19"/>
      <c r="OYZ52" s="19"/>
      <c r="OZA52" s="19"/>
      <c r="OZB52" s="19"/>
      <c r="OZC52" s="19"/>
      <c r="OZD52" s="21"/>
      <c r="OZE52" s="19"/>
      <c r="OZN52" s="19"/>
      <c r="OZO52" s="19"/>
      <c r="OZP52" s="19"/>
      <c r="OZQ52" s="19"/>
      <c r="OZR52" s="21"/>
      <c r="OZS52" s="19"/>
      <c r="PAB52" s="19"/>
      <c r="PAC52" s="19"/>
      <c r="PAD52" s="19"/>
      <c r="PAE52" s="19"/>
      <c r="PAF52" s="21"/>
      <c r="PAG52" s="19"/>
      <c r="PAP52" s="19"/>
      <c r="PAQ52" s="19"/>
      <c r="PAR52" s="19"/>
      <c r="PAS52" s="19"/>
      <c r="PAT52" s="21"/>
      <c r="PAU52" s="19"/>
      <c r="PBD52" s="19"/>
      <c r="PBE52" s="19"/>
      <c r="PBF52" s="19"/>
      <c r="PBG52" s="19"/>
      <c r="PBH52" s="21"/>
      <c r="PBI52" s="19"/>
      <c r="PBR52" s="19"/>
      <c r="PBS52" s="19"/>
      <c r="PBT52" s="19"/>
      <c r="PBU52" s="19"/>
      <c r="PBV52" s="21"/>
      <c r="PBW52" s="19"/>
      <c r="PCF52" s="19"/>
      <c r="PCG52" s="19"/>
      <c r="PCH52" s="19"/>
      <c r="PCI52" s="19"/>
      <c r="PCJ52" s="21"/>
      <c r="PCK52" s="19"/>
      <c r="PCT52" s="19"/>
      <c r="PCU52" s="19"/>
      <c r="PCV52" s="19"/>
      <c r="PCW52" s="19"/>
      <c r="PCX52" s="21"/>
      <c r="PCY52" s="19"/>
      <c r="PDH52" s="19"/>
      <c r="PDI52" s="19"/>
      <c r="PDJ52" s="19"/>
      <c r="PDK52" s="19"/>
      <c r="PDL52" s="21"/>
      <c r="PDM52" s="19"/>
      <c r="PDV52" s="19"/>
      <c r="PDW52" s="19"/>
      <c r="PDX52" s="19"/>
      <c r="PDY52" s="19"/>
      <c r="PDZ52" s="21"/>
      <c r="PEA52" s="19"/>
      <c r="PEJ52" s="19"/>
      <c r="PEK52" s="19"/>
      <c r="PEL52" s="19"/>
      <c r="PEM52" s="19"/>
      <c r="PEN52" s="21"/>
      <c r="PEO52" s="19"/>
      <c r="PEX52" s="19"/>
      <c r="PEY52" s="19"/>
      <c r="PEZ52" s="19"/>
      <c r="PFA52" s="19"/>
      <c r="PFB52" s="21"/>
      <c r="PFC52" s="19"/>
      <c r="PFL52" s="19"/>
      <c r="PFM52" s="19"/>
      <c r="PFN52" s="19"/>
      <c r="PFO52" s="19"/>
      <c r="PFP52" s="21"/>
      <c r="PFQ52" s="19"/>
      <c r="PFZ52" s="19"/>
      <c r="PGA52" s="19"/>
      <c r="PGB52" s="19"/>
      <c r="PGC52" s="19"/>
      <c r="PGD52" s="21"/>
      <c r="PGE52" s="19"/>
      <c r="PGN52" s="19"/>
      <c r="PGO52" s="19"/>
      <c r="PGP52" s="19"/>
      <c r="PGQ52" s="19"/>
      <c r="PGR52" s="21"/>
      <c r="PGS52" s="19"/>
      <c r="PHB52" s="19"/>
      <c r="PHC52" s="19"/>
      <c r="PHD52" s="19"/>
      <c r="PHE52" s="19"/>
      <c r="PHF52" s="21"/>
      <c r="PHG52" s="19"/>
      <c r="PHP52" s="19"/>
      <c r="PHQ52" s="19"/>
      <c r="PHR52" s="19"/>
      <c r="PHS52" s="19"/>
      <c r="PHT52" s="21"/>
      <c r="PHU52" s="19"/>
      <c r="PID52" s="19"/>
      <c r="PIE52" s="19"/>
      <c r="PIF52" s="19"/>
      <c r="PIG52" s="19"/>
      <c r="PIH52" s="21"/>
      <c r="PII52" s="19"/>
      <c r="PIR52" s="19"/>
      <c r="PIS52" s="19"/>
      <c r="PIT52" s="19"/>
      <c r="PIU52" s="19"/>
      <c r="PIV52" s="21"/>
      <c r="PIW52" s="19"/>
      <c r="PJF52" s="19"/>
      <c r="PJG52" s="19"/>
      <c r="PJH52" s="19"/>
      <c r="PJI52" s="19"/>
      <c r="PJJ52" s="21"/>
      <c r="PJK52" s="19"/>
      <c r="PJT52" s="19"/>
      <c r="PJU52" s="19"/>
      <c r="PJV52" s="19"/>
      <c r="PJW52" s="19"/>
      <c r="PJX52" s="21"/>
      <c r="PJY52" s="19"/>
      <c r="PKH52" s="19"/>
      <c r="PKI52" s="19"/>
      <c r="PKJ52" s="19"/>
      <c r="PKK52" s="19"/>
      <c r="PKL52" s="21"/>
      <c r="PKM52" s="19"/>
      <c r="PKV52" s="19"/>
      <c r="PKW52" s="19"/>
      <c r="PKX52" s="19"/>
      <c r="PKY52" s="19"/>
      <c r="PKZ52" s="21"/>
      <c r="PLA52" s="19"/>
      <c r="PLJ52" s="19"/>
      <c r="PLK52" s="19"/>
      <c r="PLL52" s="19"/>
      <c r="PLM52" s="19"/>
      <c r="PLN52" s="21"/>
      <c r="PLO52" s="19"/>
      <c r="PLX52" s="19"/>
      <c r="PLY52" s="19"/>
      <c r="PLZ52" s="19"/>
      <c r="PMA52" s="19"/>
      <c r="PMB52" s="21"/>
      <c r="PMC52" s="19"/>
      <c r="PML52" s="19"/>
      <c r="PMM52" s="19"/>
      <c r="PMN52" s="19"/>
      <c r="PMO52" s="19"/>
      <c r="PMP52" s="21"/>
      <c r="PMQ52" s="19"/>
      <c r="PMZ52" s="19"/>
      <c r="PNA52" s="19"/>
      <c r="PNB52" s="19"/>
      <c r="PNC52" s="19"/>
      <c r="PND52" s="21"/>
      <c r="PNE52" s="19"/>
      <c r="PNN52" s="19"/>
      <c r="PNO52" s="19"/>
      <c r="PNP52" s="19"/>
      <c r="PNQ52" s="19"/>
      <c r="PNR52" s="21"/>
      <c r="PNS52" s="19"/>
      <c r="POB52" s="19"/>
      <c r="POC52" s="19"/>
      <c r="POD52" s="19"/>
      <c r="POE52" s="19"/>
      <c r="POF52" s="21"/>
      <c r="POG52" s="19"/>
      <c r="POP52" s="19"/>
      <c r="POQ52" s="19"/>
      <c r="POR52" s="19"/>
      <c r="POS52" s="19"/>
      <c r="POT52" s="21"/>
      <c r="POU52" s="19"/>
      <c r="PPD52" s="19"/>
      <c r="PPE52" s="19"/>
      <c r="PPF52" s="19"/>
      <c r="PPG52" s="19"/>
      <c r="PPH52" s="21"/>
      <c r="PPI52" s="19"/>
      <c r="PPR52" s="19"/>
      <c r="PPS52" s="19"/>
      <c r="PPT52" s="19"/>
      <c r="PPU52" s="19"/>
      <c r="PPV52" s="21"/>
      <c r="PPW52" s="19"/>
      <c r="PQF52" s="19"/>
      <c r="PQG52" s="19"/>
      <c r="PQH52" s="19"/>
      <c r="PQI52" s="19"/>
      <c r="PQJ52" s="21"/>
      <c r="PQK52" s="19"/>
      <c r="PQT52" s="19"/>
      <c r="PQU52" s="19"/>
      <c r="PQV52" s="19"/>
      <c r="PQW52" s="19"/>
      <c r="PQX52" s="21"/>
      <c r="PQY52" s="19"/>
      <c r="PRH52" s="19"/>
      <c r="PRI52" s="19"/>
      <c r="PRJ52" s="19"/>
      <c r="PRK52" s="19"/>
      <c r="PRL52" s="21"/>
      <c r="PRM52" s="19"/>
      <c r="PRV52" s="19"/>
      <c r="PRW52" s="19"/>
      <c r="PRX52" s="19"/>
      <c r="PRY52" s="19"/>
      <c r="PRZ52" s="21"/>
      <c r="PSA52" s="19"/>
      <c r="PSJ52" s="19"/>
      <c r="PSK52" s="19"/>
      <c r="PSL52" s="19"/>
      <c r="PSM52" s="19"/>
      <c r="PSN52" s="21"/>
      <c r="PSO52" s="19"/>
      <c r="PSX52" s="19"/>
      <c r="PSY52" s="19"/>
      <c r="PSZ52" s="19"/>
      <c r="PTA52" s="19"/>
      <c r="PTB52" s="21"/>
      <c r="PTC52" s="19"/>
      <c r="PTL52" s="19"/>
      <c r="PTM52" s="19"/>
      <c r="PTN52" s="19"/>
      <c r="PTO52" s="19"/>
      <c r="PTP52" s="21"/>
      <c r="PTQ52" s="19"/>
      <c r="PTZ52" s="19"/>
      <c r="PUA52" s="19"/>
      <c r="PUB52" s="19"/>
      <c r="PUC52" s="19"/>
      <c r="PUD52" s="21"/>
      <c r="PUE52" s="19"/>
      <c r="PUN52" s="19"/>
      <c r="PUO52" s="19"/>
      <c r="PUP52" s="19"/>
      <c r="PUQ52" s="19"/>
      <c r="PUR52" s="21"/>
      <c r="PUS52" s="19"/>
      <c r="PVB52" s="19"/>
      <c r="PVC52" s="19"/>
      <c r="PVD52" s="19"/>
      <c r="PVE52" s="19"/>
      <c r="PVF52" s="21"/>
      <c r="PVG52" s="19"/>
      <c r="PVP52" s="19"/>
      <c r="PVQ52" s="19"/>
      <c r="PVR52" s="19"/>
      <c r="PVS52" s="19"/>
      <c r="PVT52" s="21"/>
      <c r="PVU52" s="19"/>
      <c r="PWD52" s="19"/>
      <c r="PWE52" s="19"/>
      <c r="PWF52" s="19"/>
      <c r="PWG52" s="19"/>
      <c r="PWH52" s="21"/>
      <c r="PWI52" s="19"/>
      <c r="PWR52" s="19"/>
      <c r="PWS52" s="19"/>
      <c r="PWT52" s="19"/>
      <c r="PWU52" s="19"/>
      <c r="PWV52" s="21"/>
      <c r="PWW52" s="19"/>
      <c r="PXF52" s="19"/>
      <c r="PXG52" s="19"/>
      <c r="PXH52" s="19"/>
      <c r="PXI52" s="19"/>
      <c r="PXJ52" s="21"/>
      <c r="PXK52" s="19"/>
      <c r="PXT52" s="19"/>
      <c r="PXU52" s="19"/>
      <c r="PXV52" s="19"/>
      <c r="PXW52" s="19"/>
      <c r="PXX52" s="21"/>
      <c r="PXY52" s="19"/>
      <c r="PYH52" s="19"/>
      <c r="PYI52" s="19"/>
      <c r="PYJ52" s="19"/>
      <c r="PYK52" s="19"/>
      <c r="PYL52" s="21"/>
      <c r="PYM52" s="19"/>
      <c r="PYV52" s="19"/>
      <c r="PYW52" s="19"/>
      <c r="PYX52" s="19"/>
      <c r="PYY52" s="19"/>
      <c r="PYZ52" s="21"/>
      <c r="PZA52" s="19"/>
      <c r="PZJ52" s="19"/>
      <c r="PZK52" s="19"/>
      <c r="PZL52" s="19"/>
      <c r="PZM52" s="19"/>
      <c r="PZN52" s="21"/>
      <c r="PZO52" s="19"/>
      <c r="PZX52" s="19"/>
      <c r="PZY52" s="19"/>
      <c r="PZZ52" s="19"/>
      <c r="QAA52" s="19"/>
      <c r="QAB52" s="21"/>
      <c r="QAC52" s="19"/>
      <c r="QAL52" s="19"/>
      <c r="QAM52" s="19"/>
      <c r="QAN52" s="19"/>
      <c r="QAO52" s="19"/>
      <c r="QAP52" s="21"/>
      <c r="QAQ52" s="19"/>
      <c r="QAZ52" s="19"/>
      <c r="QBA52" s="19"/>
      <c r="QBB52" s="19"/>
      <c r="QBC52" s="19"/>
      <c r="QBD52" s="21"/>
      <c r="QBE52" s="19"/>
      <c r="QBN52" s="19"/>
      <c r="QBO52" s="19"/>
      <c r="QBP52" s="19"/>
      <c r="QBQ52" s="19"/>
      <c r="QBR52" s="21"/>
      <c r="QBS52" s="19"/>
      <c r="QCB52" s="19"/>
      <c r="QCC52" s="19"/>
      <c r="QCD52" s="19"/>
      <c r="QCE52" s="19"/>
      <c r="QCF52" s="21"/>
      <c r="QCG52" s="19"/>
      <c r="QCP52" s="19"/>
      <c r="QCQ52" s="19"/>
      <c r="QCR52" s="19"/>
      <c r="QCS52" s="19"/>
      <c r="QCT52" s="21"/>
      <c r="QCU52" s="19"/>
      <c r="QDD52" s="19"/>
      <c r="QDE52" s="19"/>
      <c r="QDF52" s="19"/>
      <c r="QDG52" s="19"/>
      <c r="QDH52" s="21"/>
      <c r="QDI52" s="19"/>
      <c r="QDR52" s="19"/>
      <c r="QDS52" s="19"/>
      <c r="QDT52" s="19"/>
      <c r="QDU52" s="19"/>
      <c r="QDV52" s="21"/>
      <c r="QDW52" s="19"/>
      <c r="QEF52" s="19"/>
      <c r="QEG52" s="19"/>
      <c r="QEH52" s="19"/>
      <c r="QEI52" s="19"/>
      <c r="QEJ52" s="21"/>
      <c r="QEK52" s="19"/>
      <c r="QET52" s="19"/>
      <c r="QEU52" s="19"/>
      <c r="QEV52" s="19"/>
      <c r="QEW52" s="19"/>
      <c r="QEX52" s="21"/>
      <c r="QEY52" s="19"/>
      <c r="QFH52" s="19"/>
      <c r="QFI52" s="19"/>
      <c r="QFJ52" s="19"/>
      <c r="QFK52" s="19"/>
      <c r="QFL52" s="21"/>
      <c r="QFM52" s="19"/>
      <c r="QFV52" s="19"/>
      <c r="QFW52" s="19"/>
      <c r="QFX52" s="19"/>
      <c r="QFY52" s="19"/>
      <c r="QFZ52" s="21"/>
      <c r="QGA52" s="19"/>
      <c r="QGJ52" s="19"/>
      <c r="QGK52" s="19"/>
      <c r="QGL52" s="19"/>
      <c r="QGM52" s="19"/>
      <c r="QGN52" s="21"/>
      <c r="QGO52" s="19"/>
      <c r="QGX52" s="19"/>
      <c r="QGY52" s="19"/>
      <c r="QGZ52" s="19"/>
      <c r="QHA52" s="19"/>
      <c r="QHB52" s="21"/>
      <c r="QHC52" s="19"/>
      <c r="QHL52" s="19"/>
      <c r="QHM52" s="19"/>
      <c r="QHN52" s="19"/>
      <c r="QHO52" s="19"/>
      <c r="QHP52" s="21"/>
      <c r="QHQ52" s="19"/>
      <c r="QHZ52" s="19"/>
      <c r="QIA52" s="19"/>
      <c r="QIB52" s="19"/>
      <c r="QIC52" s="19"/>
      <c r="QID52" s="21"/>
      <c r="QIE52" s="19"/>
      <c r="QIN52" s="19"/>
      <c r="QIO52" s="19"/>
      <c r="QIP52" s="19"/>
      <c r="QIQ52" s="19"/>
      <c r="QIR52" s="21"/>
      <c r="QIS52" s="19"/>
      <c r="QJB52" s="19"/>
      <c r="QJC52" s="19"/>
      <c r="QJD52" s="19"/>
      <c r="QJE52" s="19"/>
      <c r="QJF52" s="21"/>
      <c r="QJG52" s="19"/>
      <c r="QJP52" s="19"/>
      <c r="QJQ52" s="19"/>
      <c r="QJR52" s="19"/>
      <c r="QJS52" s="19"/>
      <c r="QJT52" s="21"/>
      <c r="QJU52" s="19"/>
      <c r="QKD52" s="19"/>
      <c r="QKE52" s="19"/>
      <c r="QKF52" s="19"/>
      <c r="QKG52" s="19"/>
      <c r="QKH52" s="21"/>
      <c r="QKI52" s="19"/>
      <c r="QKR52" s="19"/>
      <c r="QKS52" s="19"/>
      <c r="QKT52" s="19"/>
      <c r="QKU52" s="19"/>
      <c r="QKV52" s="21"/>
      <c r="QKW52" s="19"/>
      <c r="QLF52" s="19"/>
      <c r="QLG52" s="19"/>
      <c r="QLH52" s="19"/>
      <c r="QLI52" s="19"/>
      <c r="QLJ52" s="21"/>
      <c r="QLK52" s="19"/>
      <c r="QLT52" s="19"/>
      <c r="QLU52" s="19"/>
      <c r="QLV52" s="19"/>
      <c r="QLW52" s="19"/>
      <c r="QLX52" s="21"/>
      <c r="QLY52" s="19"/>
      <c r="QMH52" s="19"/>
      <c r="QMI52" s="19"/>
      <c r="QMJ52" s="19"/>
      <c r="QMK52" s="19"/>
      <c r="QML52" s="21"/>
      <c r="QMM52" s="19"/>
      <c r="QMV52" s="19"/>
      <c r="QMW52" s="19"/>
      <c r="QMX52" s="19"/>
      <c r="QMY52" s="19"/>
      <c r="QMZ52" s="21"/>
      <c r="QNA52" s="19"/>
      <c r="QNJ52" s="19"/>
      <c r="QNK52" s="19"/>
      <c r="QNL52" s="19"/>
      <c r="QNM52" s="19"/>
      <c r="QNN52" s="21"/>
      <c r="QNO52" s="19"/>
      <c r="QNX52" s="19"/>
      <c r="QNY52" s="19"/>
      <c r="QNZ52" s="19"/>
      <c r="QOA52" s="19"/>
      <c r="QOB52" s="21"/>
      <c r="QOC52" s="19"/>
      <c r="QOL52" s="19"/>
      <c r="QOM52" s="19"/>
      <c r="QON52" s="19"/>
      <c r="QOO52" s="19"/>
      <c r="QOP52" s="21"/>
      <c r="QOQ52" s="19"/>
      <c r="QOZ52" s="19"/>
      <c r="QPA52" s="19"/>
      <c r="QPB52" s="19"/>
      <c r="QPC52" s="19"/>
      <c r="QPD52" s="21"/>
      <c r="QPE52" s="19"/>
      <c r="QPN52" s="19"/>
      <c r="QPO52" s="19"/>
      <c r="QPP52" s="19"/>
      <c r="QPQ52" s="19"/>
      <c r="QPR52" s="21"/>
      <c r="QPS52" s="19"/>
      <c r="QQB52" s="19"/>
      <c r="QQC52" s="19"/>
      <c r="QQD52" s="19"/>
      <c r="QQE52" s="19"/>
      <c r="QQF52" s="21"/>
      <c r="QQG52" s="19"/>
      <c r="QQP52" s="19"/>
      <c r="QQQ52" s="19"/>
      <c r="QQR52" s="19"/>
      <c r="QQS52" s="19"/>
      <c r="QQT52" s="21"/>
      <c r="QQU52" s="19"/>
      <c r="QRD52" s="19"/>
      <c r="QRE52" s="19"/>
      <c r="QRF52" s="19"/>
      <c r="QRG52" s="19"/>
      <c r="QRH52" s="21"/>
      <c r="QRI52" s="19"/>
      <c r="QRR52" s="19"/>
      <c r="QRS52" s="19"/>
      <c r="QRT52" s="19"/>
      <c r="QRU52" s="19"/>
      <c r="QRV52" s="21"/>
      <c r="QRW52" s="19"/>
      <c r="QSF52" s="19"/>
      <c r="QSG52" s="19"/>
      <c r="QSH52" s="19"/>
      <c r="QSI52" s="19"/>
      <c r="QSJ52" s="21"/>
      <c r="QSK52" s="19"/>
      <c r="QST52" s="19"/>
      <c r="QSU52" s="19"/>
      <c r="QSV52" s="19"/>
      <c r="QSW52" s="19"/>
      <c r="QSX52" s="21"/>
      <c r="QSY52" s="19"/>
      <c r="QTH52" s="19"/>
      <c r="QTI52" s="19"/>
      <c r="QTJ52" s="19"/>
      <c r="QTK52" s="19"/>
      <c r="QTL52" s="21"/>
      <c r="QTM52" s="19"/>
      <c r="QTV52" s="19"/>
      <c r="QTW52" s="19"/>
      <c r="QTX52" s="19"/>
      <c r="QTY52" s="19"/>
      <c r="QTZ52" s="21"/>
      <c r="QUA52" s="19"/>
      <c r="QUJ52" s="19"/>
      <c r="QUK52" s="19"/>
      <c r="QUL52" s="19"/>
      <c r="QUM52" s="19"/>
      <c r="QUN52" s="21"/>
      <c r="QUO52" s="19"/>
      <c r="QUX52" s="19"/>
      <c r="QUY52" s="19"/>
      <c r="QUZ52" s="19"/>
      <c r="QVA52" s="19"/>
      <c r="QVB52" s="21"/>
      <c r="QVC52" s="19"/>
      <c r="QVL52" s="19"/>
      <c r="QVM52" s="19"/>
      <c r="QVN52" s="19"/>
      <c r="QVO52" s="19"/>
      <c r="QVP52" s="21"/>
      <c r="QVQ52" s="19"/>
      <c r="QVZ52" s="19"/>
      <c r="QWA52" s="19"/>
      <c r="QWB52" s="19"/>
      <c r="QWC52" s="19"/>
      <c r="QWD52" s="21"/>
      <c r="QWE52" s="19"/>
      <c r="QWN52" s="19"/>
      <c r="QWO52" s="19"/>
      <c r="QWP52" s="19"/>
      <c r="QWQ52" s="19"/>
      <c r="QWR52" s="21"/>
      <c r="QWS52" s="19"/>
      <c r="QXB52" s="19"/>
      <c r="QXC52" s="19"/>
      <c r="QXD52" s="19"/>
      <c r="QXE52" s="19"/>
      <c r="QXF52" s="21"/>
      <c r="QXG52" s="19"/>
      <c r="QXP52" s="19"/>
      <c r="QXQ52" s="19"/>
      <c r="QXR52" s="19"/>
      <c r="QXS52" s="19"/>
      <c r="QXT52" s="21"/>
      <c r="QXU52" s="19"/>
      <c r="QYD52" s="19"/>
      <c r="QYE52" s="19"/>
      <c r="QYF52" s="19"/>
      <c r="QYG52" s="19"/>
      <c r="QYH52" s="21"/>
      <c r="QYI52" s="19"/>
      <c r="QYR52" s="19"/>
      <c r="QYS52" s="19"/>
      <c r="QYT52" s="19"/>
      <c r="QYU52" s="19"/>
      <c r="QYV52" s="21"/>
      <c r="QYW52" s="19"/>
      <c r="QZF52" s="19"/>
      <c r="QZG52" s="19"/>
      <c r="QZH52" s="19"/>
      <c r="QZI52" s="19"/>
      <c r="QZJ52" s="21"/>
      <c r="QZK52" s="19"/>
      <c r="QZT52" s="19"/>
      <c r="QZU52" s="19"/>
      <c r="QZV52" s="19"/>
      <c r="QZW52" s="19"/>
      <c r="QZX52" s="21"/>
      <c r="QZY52" s="19"/>
      <c r="RAH52" s="19"/>
      <c r="RAI52" s="19"/>
      <c r="RAJ52" s="19"/>
      <c r="RAK52" s="19"/>
      <c r="RAL52" s="21"/>
      <c r="RAM52" s="19"/>
      <c r="RAV52" s="19"/>
      <c r="RAW52" s="19"/>
      <c r="RAX52" s="19"/>
      <c r="RAY52" s="19"/>
      <c r="RAZ52" s="21"/>
      <c r="RBA52" s="19"/>
      <c r="RBJ52" s="19"/>
      <c r="RBK52" s="19"/>
      <c r="RBL52" s="19"/>
      <c r="RBM52" s="19"/>
      <c r="RBN52" s="21"/>
      <c r="RBO52" s="19"/>
      <c r="RBX52" s="19"/>
      <c r="RBY52" s="19"/>
      <c r="RBZ52" s="19"/>
      <c r="RCA52" s="19"/>
      <c r="RCB52" s="21"/>
      <c r="RCC52" s="19"/>
      <c r="RCL52" s="19"/>
      <c r="RCM52" s="19"/>
      <c r="RCN52" s="19"/>
      <c r="RCO52" s="19"/>
      <c r="RCP52" s="21"/>
      <c r="RCQ52" s="19"/>
      <c r="RCZ52" s="19"/>
      <c r="RDA52" s="19"/>
      <c r="RDB52" s="19"/>
      <c r="RDC52" s="19"/>
      <c r="RDD52" s="21"/>
      <c r="RDE52" s="19"/>
      <c r="RDN52" s="19"/>
      <c r="RDO52" s="19"/>
      <c r="RDP52" s="19"/>
      <c r="RDQ52" s="19"/>
      <c r="RDR52" s="21"/>
      <c r="RDS52" s="19"/>
      <c r="REB52" s="19"/>
      <c r="REC52" s="19"/>
      <c r="RED52" s="19"/>
      <c r="REE52" s="19"/>
      <c r="REF52" s="21"/>
      <c r="REG52" s="19"/>
      <c r="REP52" s="19"/>
      <c r="REQ52" s="19"/>
      <c r="RER52" s="19"/>
      <c r="RES52" s="19"/>
      <c r="RET52" s="21"/>
      <c r="REU52" s="19"/>
      <c r="RFD52" s="19"/>
      <c r="RFE52" s="19"/>
      <c r="RFF52" s="19"/>
      <c r="RFG52" s="19"/>
      <c r="RFH52" s="21"/>
      <c r="RFI52" s="19"/>
      <c r="RFR52" s="19"/>
      <c r="RFS52" s="19"/>
      <c r="RFT52" s="19"/>
      <c r="RFU52" s="19"/>
      <c r="RFV52" s="21"/>
      <c r="RFW52" s="19"/>
      <c r="RGF52" s="19"/>
      <c r="RGG52" s="19"/>
      <c r="RGH52" s="19"/>
      <c r="RGI52" s="19"/>
      <c r="RGJ52" s="21"/>
      <c r="RGK52" s="19"/>
      <c r="RGT52" s="19"/>
      <c r="RGU52" s="19"/>
      <c r="RGV52" s="19"/>
      <c r="RGW52" s="19"/>
      <c r="RGX52" s="21"/>
      <c r="RGY52" s="19"/>
      <c r="RHH52" s="19"/>
      <c r="RHI52" s="19"/>
      <c r="RHJ52" s="19"/>
      <c r="RHK52" s="19"/>
      <c r="RHL52" s="21"/>
      <c r="RHM52" s="19"/>
      <c r="RHV52" s="19"/>
      <c r="RHW52" s="19"/>
      <c r="RHX52" s="19"/>
      <c r="RHY52" s="19"/>
      <c r="RHZ52" s="21"/>
      <c r="RIA52" s="19"/>
      <c r="RIJ52" s="19"/>
      <c r="RIK52" s="19"/>
      <c r="RIL52" s="19"/>
      <c r="RIM52" s="19"/>
      <c r="RIN52" s="21"/>
      <c r="RIO52" s="19"/>
      <c r="RIX52" s="19"/>
      <c r="RIY52" s="19"/>
      <c r="RIZ52" s="19"/>
      <c r="RJA52" s="19"/>
      <c r="RJB52" s="21"/>
      <c r="RJC52" s="19"/>
      <c r="RJL52" s="19"/>
      <c r="RJM52" s="19"/>
      <c r="RJN52" s="19"/>
      <c r="RJO52" s="19"/>
      <c r="RJP52" s="21"/>
      <c r="RJQ52" s="19"/>
      <c r="RJZ52" s="19"/>
      <c r="RKA52" s="19"/>
      <c r="RKB52" s="19"/>
      <c r="RKC52" s="19"/>
      <c r="RKD52" s="21"/>
      <c r="RKE52" s="19"/>
      <c r="RKN52" s="19"/>
      <c r="RKO52" s="19"/>
      <c r="RKP52" s="19"/>
      <c r="RKQ52" s="19"/>
      <c r="RKR52" s="21"/>
      <c r="RKS52" s="19"/>
      <c r="RLB52" s="19"/>
      <c r="RLC52" s="19"/>
      <c r="RLD52" s="19"/>
      <c r="RLE52" s="19"/>
      <c r="RLF52" s="21"/>
      <c r="RLG52" s="19"/>
      <c r="RLP52" s="19"/>
      <c r="RLQ52" s="19"/>
      <c r="RLR52" s="19"/>
      <c r="RLS52" s="19"/>
      <c r="RLT52" s="21"/>
      <c r="RLU52" s="19"/>
      <c r="RMD52" s="19"/>
      <c r="RME52" s="19"/>
      <c r="RMF52" s="19"/>
      <c r="RMG52" s="19"/>
      <c r="RMH52" s="21"/>
      <c r="RMI52" s="19"/>
      <c r="RMR52" s="19"/>
      <c r="RMS52" s="19"/>
      <c r="RMT52" s="19"/>
      <c r="RMU52" s="19"/>
      <c r="RMV52" s="21"/>
      <c r="RMW52" s="19"/>
      <c r="RNF52" s="19"/>
      <c r="RNG52" s="19"/>
      <c r="RNH52" s="19"/>
      <c r="RNI52" s="19"/>
      <c r="RNJ52" s="21"/>
      <c r="RNK52" s="19"/>
      <c r="RNT52" s="19"/>
      <c r="RNU52" s="19"/>
      <c r="RNV52" s="19"/>
      <c r="RNW52" s="19"/>
      <c r="RNX52" s="21"/>
      <c r="RNY52" s="19"/>
      <c r="ROH52" s="19"/>
      <c r="ROI52" s="19"/>
      <c r="ROJ52" s="19"/>
      <c r="ROK52" s="19"/>
      <c r="ROL52" s="21"/>
      <c r="ROM52" s="19"/>
      <c r="ROV52" s="19"/>
      <c r="ROW52" s="19"/>
      <c r="ROX52" s="19"/>
      <c r="ROY52" s="19"/>
      <c r="ROZ52" s="21"/>
      <c r="RPA52" s="19"/>
      <c r="RPJ52" s="19"/>
      <c r="RPK52" s="19"/>
      <c r="RPL52" s="19"/>
      <c r="RPM52" s="19"/>
      <c r="RPN52" s="21"/>
      <c r="RPO52" s="19"/>
      <c r="RPX52" s="19"/>
      <c r="RPY52" s="19"/>
      <c r="RPZ52" s="19"/>
      <c r="RQA52" s="19"/>
      <c r="RQB52" s="21"/>
      <c r="RQC52" s="19"/>
      <c r="RQL52" s="19"/>
      <c r="RQM52" s="19"/>
      <c r="RQN52" s="19"/>
      <c r="RQO52" s="19"/>
      <c r="RQP52" s="21"/>
      <c r="RQQ52" s="19"/>
      <c r="RQZ52" s="19"/>
      <c r="RRA52" s="19"/>
      <c r="RRB52" s="19"/>
      <c r="RRC52" s="19"/>
      <c r="RRD52" s="21"/>
      <c r="RRE52" s="19"/>
      <c r="RRN52" s="19"/>
      <c r="RRO52" s="19"/>
      <c r="RRP52" s="19"/>
      <c r="RRQ52" s="19"/>
      <c r="RRR52" s="21"/>
      <c r="RRS52" s="19"/>
      <c r="RSB52" s="19"/>
      <c r="RSC52" s="19"/>
      <c r="RSD52" s="19"/>
      <c r="RSE52" s="19"/>
      <c r="RSF52" s="21"/>
      <c r="RSG52" s="19"/>
      <c r="RSP52" s="19"/>
      <c r="RSQ52" s="19"/>
      <c r="RSR52" s="19"/>
      <c r="RSS52" s="19"/>
      <c r="RST52" s="21"/>
      <c r="RSU52" s="19"/>
      <c r="RTD52" s="19"/>
      <c r="RTE52" s="19"/>
      <c r="RTF52" s="19"/>
      <c r="RTG52" s="19"/>
      <c r="RTH52" s="21"/>
      <c r="RTI52" s="19"/>
      <c r="RTR52" s="19"/>
      <c r="RTS52" s="19"/>
      <c r="RTT52" s="19"/>
      <c r="RTU52" s="19"/>
      <c r="RTV52" s="21"/>
      <c r="RTW52" s="19"/>
      <c r="RUF52" s="19"/>
      <c r="RUG52" s="19"/>
      <c r="RUH52" s="19"/>
      <c r="RUI52" s="19"/>
      <c r="RUJ52" s="21"/>
      <c r="RUK52" s="19"/>
      <c r="RUT52" s="19"/>
      <c r="RUU52" s="19"/>
      <c r="RUV52" s="19"/>
      <c r="RUW52" s="19"/>
      <c r="RUX52" s="21"/>
      <c r="RUY52" s="19"/>
      <c r="RVH52" s="19"/>
      <c r="RVI52" s="19"/>
      <c r="RVJ52" s="19"/>
      <c r="RVK52" s="19"/>
      <c r="RVL52" s="21"/>
      <c r="RVM52" s="19"/>
      <c r="RVV52" s="19"/>
      <c r="RVW52" s="19"/>
      <c r="RVX52" s="19"/>
      <c r="RVY52" s="19"/>
      <c r="RVZ52" s="21"/>
      <c r="RWA52" s="19"/>
      <c r="RWJ52" s="19"/>
      <c r="RWK52" s="19"/>
      <c r="RWL52" s="19"/>
      <c r="RWM52" s="19"/>
      <c r="RWN52" s="21"/>
      <c r="RWO52" s="19"/>
      <c r="RWX52" s="19"/>
      <c r="RWY52" s="19"/>
      <c r="RWZ52" s="19"/>
      <c r="RXA52" s="19"/>
      <c r="RXB52" s="21"/>
      <c r="RXC52" s="19"/>
      <c r="RXL52" s="19"/>
      <c r="RXM52" s="19"/>
      <c r="RXN52" s="19"/>
      <c r="RXO52" s="19"/>
      <c r="RXP52" s="21"/>
      <c r="RXQ52" s="19"/>
      <c r="RXZ52" s="19"/>
      <c r="RYA52" s="19"/>
      <c r="RYB52" s="19"/>
      <c r="RYC52" s="19"/>
      <c r="RYD52" s="21"/>
      <c r="RYE52" s="19"/>
      <c r="RYN52" s="19"/>
      <c r="RYO52" s="19"/>
      <c r="RYP52" s="19"/>
      <c r="RYQ52" s="19"/>
      <c r="RYR52" s="21"/>
      <c r="RYS52" s="19"/>
      <c r="RZB52" s="19"/>
      <c r="RZC52" s="19"/>
      <c r="RZD52" s="19"/>
      <c r="RZE52" s="19"/>
      <c r="RZF52" s="21"/>
      <c r="RZG52" s="19"/>
      <c r="RZP52" s="19"/>
      <c r="RZQ52" s="19"/>
      <c r="RZR52" s="19"/>
      <c r="RZS52" s="19"/>
      <c r="RZT52" s="21"/>
      <c r="RZU52" s="19"/>
      <c r="SAD52" s="19"/>
      <c r="SAE52" s="19"/>
      <c r="SAF52" s="19"/>
      <c r="SAG52" s="19"/>
      <c r="SAH52" s="21"/>
      <c r="SAI52" s="19"/>
      <c r="SAR52" s="19"/>
      <c r="SAS52" s="19"/>
      <c r="SAT52" s="19"/>
      <c r="SAU52" s="19"/>
      <c r="SAV52" s="21"/>
      <c r="SAW52" s="19"/>
      <c r="SBF52" s="19"/>
      <c r="SBG52" s="19"/>
      <c r="SBH52" s="19"/>
      <c r="SBI52" s="19"/>
      <c r="SBJ52" s="21"/>
      <c r="SBK52" s="19"/>
      <c r="SBT52" s="19"/>
      <c r="SBU52" s="19"/>
      <c r="SBV52" s="19"/>
      <c r="SBW52" s="19"/>
      <c r="SBX52" s="21"/>
      <c r="SBY52" s="19"/>
      <c r="SCH52" s="19"/>
      <c r="SCI52" s="19"/>
      <c r="SCJ52" s="19"/>
      <c r="SCK52" s="19"/>
      <c r="SCL52" s="21"/>
      <c r="SCM52" s="19"/>
      <c r="SCV52" s="19"/>
      <c r="SCW52" s="19"/>
      <c r="SCX52" s="19"/>
      <c r="SCY52" s="19"/>
      <c r="SCZ52" s="21"/>
      <c r="SDA52" s="19"/>
      <c r="SDJ52" s="19"/>
      <c r="SDK52" s="19"/>
      <c r="SDL52" s="19"/>
      <c r="SDM52" s="19"/>
      <c r="SDN52" s="21"/>
      <c r="SDO52" s="19"/>
      <c r="SDX52" s="19"/>
      <c r="SDY52" s="19"/>
      <c r="SDZ52" s="19"/>
      <c r="SEA52" s="19"/>
      <c r="SEB52" s="21"/>
      <c r="SEC52" s="19"/>
      <c r="SEL52" s="19"/>
      <c r="SEM52" s="19"/>
      <c r="SEN52" s="19"/>
      <c r="SEO52" s="19"/>
      <c r="SEP52" s="21"/>
      <c r="SEQ52" s="19"/>
      <c r="SEZ52" s="19"/>
      <c r="SFA52" s="19"/>
      <c r="SFB52" s="19"/>
      <c r="SFC52" s="19"/>
      <c r="SFD52" s="21"/>
      <c r="SFE52" s="19"/>
      <c r="SFN52" s="19"/>
      <c r="SFO52" s="19"/>
      <c r="SFP52" s="19"/>
      <c r="SFQ52" s="19"/>
      <c r="SFR52" s="21"/>
      <c r="SFS52" s="19"/>
      <c r="SGB52" s="19"/>
      <c r="SGC52" s="19"/>
      <c r="SGD52" s="19"/>
      <c r="SGE52" s="19"/>
      <c r="SGF52" s="21"/>
      <c r="SGG52" s="19"/>
      <c r="SGP52" s="19"/>
      <c r="SGQ52" s="19"/>
      <c r="SGR52" s="19"/>
      <c r="SGS52" s="19"/>
      <c r="SGT52" s="21"/>
      <c r="SGU52" s="19"/>
      <c r="SHD52" s="19"/>
      <c r="SHE52" s="19"/>
      <c r="SHF52" s="19"/>
      <c r="SHG52" s="19"/>
      <c r="SHH52" s="21"/>
      <c r="SHI52" s="19"/>
      <c r="SHR52" s="19"/>
      <c r="SHS52" s="19"/>
      <c r="SHT52" s="19"/>
      <c r="SHU52" s="19"/>
      <c r="SHV52" s="21"/>
      <c r="SHW52" s="19"/>
      <c r="SIF52" s="19"/>
      <c r="SIG52" s="19"/>
      <c r="SIH52" s="19"/>
      <c r="SII52" s="19"/>
      <c r="SIJ52" s="21"/>
      <c r="SIK52" s="19"/>
      <c r="SIT52" s="19"/>
      <c r="SIU52" s="19"/>
      <c r="SIV52" s="19"/>
      <c r="SIW52" s="19"/>
      <c r="SIX52" s="21"/>
      <c r="SIY52" s="19"/>
      <c r="SJH52" s="19"/>
      <c r="SJI52" s="19"/>
      <c r="SJJ52" s="19"/>
      <c r="SJK52" s="19"/>
      <c r="SJL52" s="21"/>
      <c r="SJM52" s="19"/>
      <c r="SJV52" s="19"/>
      <c r="SJW52" s="19"/>
      <c r="SJX52" s="19"/>
      <c r="SJY52" s="19"/>
      <c r="SJZ52" s="21"/>
      <c r="SKA52" s="19"/>
      <c r="SKJ52" s="19"/>
      <c r="SKK52" s="19"/>
      <c r="SKL52" s="19"/>
      <c r="SKM52" s="19"/>
      <c r="SKN52" s="21"/>
      <c r="SKO52" s="19"/>
      <c r="SKX52" s="19"/>
      <c r="SKY52" s="19"/>
      <c r="SKZ52" s="19"/>
      <c r="SLA52" s="19"/>
      <c r="SLB52" s="21"/>
      <c r="SLC52" s="19"/>
      <c r="SLL52" s="19"/>
      <c r="SLM52" s="19"/>
      <c r="SLN52" s="19"/>
      <c r="SLO52" s="19"/>
      <c r="SLP52" s="21"/>
      <c r="SLQ52" s="19"/>
      <c r="SLZ52" s="19"/>
      <c r="SMA52" s="19"/>
      <c r="SMB52" s="19"/>
      <c r="SMC52" s="19"/>
      <c r="SMD52" s="21"/>
      <c r="SME52" s="19"/>
      <c r="SMN52" s="19"/>
      <c r="SMO52" s="19"/>
      <c r="SMP52" s="19"/>
      <c r="SMQ52" s="19"/>
      <c r="SMR52" s="21"/>
      <c r="SMS52" s="19"/>
      <c r="SNB52" s="19"/>
      <c r="SNC52" s="19"/>
      <c r="SND52" s="19"/>
      <c r="SNE52" s="19"/>
      <c r="SNF52" s="21"/>
      <c r="SNG52" s="19"/>
      <c r="SNP52" s="19"/>
      <c r="SNQ52" s="19"/>
      <c r="SNR52" s="19"/>
      <c r="SNS52" s="19"/>
      <c r="SNT52" s="21"/>
      <c r="SNU52" s="19"/>
      <c r="SOD52" s="19"/>
      <c r="SOE52" s="19"/>
      <c r="SOF52" s="19"/>
      <c r="SOG52" s="19"/>
      <c r="SOH52" s="21"/>
      <c r="SOI52" s="19"/>
      <c r="SOR52" s="19"/>
      <c r="SOS52" s="19"/>
      <c r="SOT52" s="19"/>
      <c r="SOU52" s="19"/>
      <c r="SOV52" s="21"/>
      <c r="SOW52" s="19"/>
      <c r="SPF52" s="19"/>
      <c r="SPG52" s="19"/>
      <c r="SPH52" s="19"/>
      <c r="SPI52" s="19"/>
      <c r="SPJ52" s="21"/>
      <c r="SPK52" s="19"/>
      <c r="SPT52" s="19"/>
      <c r="SPU52" s="19"/>
      <c r="SPV52" s="19"/>
      <c r="SPW52" s="19"/>
      <c r="SPX52" s="21"/>
      <c r="SPY52" s="19"/>
      <c r="SQH52" s="19"/>
      <c r="SQI52" s="19"/>
      <c r="SQJ52" s="19"/>
      <c r="SQK52" s="19"/>
      <c r="SQL52" s="21"/>
      <c r="SQM52" s="19"/>
      <c r="SQV52" s="19"/>
      <c r="SQW52" s="19"/>
      <c r="SQX52" s="19"/>
      <c r="SQY52" s="19"/>
      <c r="SQZ52" s="21"/>
      <c r="SRA52" s="19"/>
      <c r="SRJ52" s="19"/>
      <c r="SRK52" s="19"/>
      <c r="SRL52" s="19"/>
      <c r="SRM52" s="19"/>
      <c r="SRN52" s="21"/>
      <c r="SRO52" s="19"/>
      <c r="SRX52" s="19"/>
      <c r="SRY52" s="19"/>
      <c r="SRZ52" s="19"/>
      <c r="SSA52" s="19"/>
      <c r="SSB52" s="21"/>
      <c r="SSC52" s="19"/>
      <c r="SSL52" s="19"/>
      <c r="SSM52" s="19"/>
      <c r="SSN52" s="19"/>
      <c r="SSO52" s="19"/>
      <c r="SSP52" s="21"/>
      <c r="SSQ52" s="19"/>
      <c r="SSZ52" s="19"/>
      <c r="STA52" s="19"/>
      <c r="STB52" s="19"/>
      <c r="STC52" s="19"/>
      <c r="STD52" s="21"/>
      <c r="STE52" s="19"/>
      <c r="STN52" s="19"/>
      <c r="STO52" s="19"/>
      <c r="STP52" s="19"/>
      <c r="STQ52" s="19"/>
      <c r="STR52" s="21"/>
      <c r="STS52" s="19"/>
      <c r="SUB52" s="19"/>
      <c r="SUC52" s="19"/>
      <c r="SUD52" s="19"/>
      <c r="SUE52" s="19"/>
      <c r="SUF52" s="21"/>
      <c r="SUG52" s="19"/>
      <c r="SUP52" s="19"/>
      <c r="SUQ52" s="19"/>
      <c r="SUR52" s="19"/>
      <c r="SUS52" s="19"/>
      <c r="SUT52" s="21"/>
      <c r="SUU52" s="19"/>
      <c r="SVD52" s="19"/>
      <c r="SVE52" s="19"/>
      <c r="SVF52" s="19"/>
      <c r="SVG52" s="19"/>
      <c r="SVH52" s="21"/>
      <c r="SVI52" s="19"/>
      <c r="SVR52" s="19"/>
      <c r="SVS52" s="19"/>
      <c r="SVT52" s="19"/>
      <c r="SVU52" s="19"/>
      <c r="SVV52" s="21"/>
      <c r="SVW52" s="19"/>
      <c r="SWF52" s="19"/>
      <c r="SWG52" s="19"/>
      <c r="SWH52" s="19"/>
      <c r="SWI52" s="19"/>
      <c r="SWJ52" s="21"/>
      <c r="SWK52" s="19"/>
      <c r="SWT52" s="19"/>
      <c r="SWU52" s="19"/>
      <c r="SWV52" s="19"/>
      <c r="SWW52" s="19"/>
      <c r="SWX52" s="21"/>
      <c r="SWY52" s="19"/>
      <c r="SXH52" s="19"/>
      <c r="SXI52" s="19"/>
      <c r="SXJ52" s="19"/>
      <c r="SXK52" s="19"/>
      <c r="SXL52" s="21"/>
      <c r="SXM52" s="19"/>
      <c r="SXV52" s="19"/>
      <c r="SXW52" s="19"/>
      <c r="SXX52" s="19"/>
      <c r="SXY52" s="19"/>
      <c r="SXZ52" s="21"/>
      <c r="SYA52" s="19"/>
      <c r="SYJ52" s="19"/>
      <c r="SYK52" s="19"/>
      <c r="SYL52" s="19"/>
      <c r="SYM52" s="19"/>
      <c r="SYN52" s="21"/>
      <c r="SYO52" s="19"/>
      <c r="SYX52" s="19"/>
      <c r="SYY52" s="19"/>
      <c r="SYZ52" s="19"/>
      <c r="SZA52" s="19"/>
      <c r="SZB52" s="21"/>
      <c r="SZC52" s="19"/>
      <c r="SZL52" s="19"/>
      <c r="SZM52" s="19"/>
      <c r="SZN52" s="19"/>
      <c r="SZO52" s="19"/>
      <c r="SZP52" s="21"/>
      <c r="SZQ52" s="19"/>
      <c r="SZZ52" s="19"/>
      <c r="TAA52" s="19"/>
      <c r="TAB52" s="19"/>
      <c r="TAC52" s="19"/>
      <c r="TAD52" s="21"/>
      <c r="TAE52" s="19"/>
      <c r="TAN52" s="19"/>
      <c r="TAO52" s="19"/>
      <c r="TAP52" s="19"/>
      <c r="TAQ52" s="19"/>
      <c r="TAR52" s="21"/>
      <c r="TAS52" s="19"/>
      <c r="TBB52" s="19"/>
      <c r="TBC52" s="19"/>
      <c r="TBD52" s="19"/>
      <c r="TBE52" s="19"/>
      <c r="TBF52" s="21"/>
      <c r="TBG52" s="19"/>
      <c r="TBP52" s="19"/>
      <c r="TBQ52" s="19"/>
      <c r="TBR52" s="19"/>
      <c r="TBS52" s="19"/>
      <c r="TBT52" s="21"/>
      <c r="TBU52" s="19"/>
      <c r="TCD52" s="19"/>
      <c r="TCE52" s="19"/>
      <c r="TCF52" s="19"/>
      <c r="TCG52" s="19"/>
      <c r="TCH52" s="21"/>
      <c r="TCI52" s="19"/>
      <c r="TCR52" s="19"/>
      <c r="TCS52" s="19"/>
      <c r="TCT52" s="19"/>
      <c r="TCU52" s="19"/>
      <c r="TCV52" s="21"/>
      <c r="TCW52" s="19"/>
      <c r="TDF52" s="19"/>
      <c r="TDG52" s="19"/>
      <c r="TDH52" s="19"/>
      <c r="TDI52" s="19"/>
      <c r="TDJ52" s="21"/>
      <c r="TDK52" s="19"/>
      <c r="TDT52" s="19"/>
      <c r="TDU52" s="19"/>
      <c r="TDV52" s="19"/>
      <c r="TDW52" s="19"/>
      <c r="TDX52" s="21"/>
      <c r="TDY52" s="19"/>
      <c r="TEH52" s="19"/>
      <c r="TEI52" s="19"/>
      <c r="TEJ52" s="19"/>
      <c r="TEK52" s="19"/>
      <c r="TEL52" s="21"/>
      <c r="TEM52" s="19"/>
      <c r="TEV52" s="19"/>
      <c r="TEW52" s="19"/>
      <c r="TEX52" s="19"/>
      <c r="TEY52" s="19"/>
      <c r="TEZ52" s="21"/>
      <c r="TFA52" s="19"/>
      <c r="TFJ52" s="19"/>
      <c r="TFK52" s="19"/>
      <c r="TFL52" s="19"/>
      <c r="TFM52" s="19"/>
      <c r="TFN52" s="21"/>
      <c r="TFO52" s="19"/>
      <c r="TFX52" s="19"/>
      <c r="TFY52" s="19"/>
      <c r="TFZ52" s="19"/>
      <c r="TGA52" s="19"/>
      <c r="TGB52" s="21"/>
      <c r="TGC52" s="19"/>
      <c r="TGL52" s="19"/>
      <c r="TGM52" s="19"/>
      <c r="TGN52" s="19"/>
      <c r="TGO52" s="19"/>
      <c r="TGP52" s="21"/>
      <c r="TGQ52" s="19"/>
      <c r="TGZ52" s="19"/>
      <c r="THA52" s="19"/>
      <c r="THB52" s="19"/>
      <c r="THC52" s="19"/>
      <c r="THD52" s="21"/>
      <c r="THE52" s="19"/>
      <c r="THN52" s="19"/>
      <c r="THO52" s="19"/>
      <c r="THP52" s="19"/>
      <c r="THQ52" s="19"/>
      <c r="THR52" s="21"/>
      <c r="THS52" s="19"/>
      <c r="TIB52" s="19"/>
      <c r="TIC52" s="19"/>
      <c r="TID52" s="19"/>
      <c r="TIE52" s="19"/>
      <c r="TIF52" s="21"/>
      <c r="TIG52" s="19"/>
      <c r="TIP52" s="19"/>
      <c r="TIQ52" s="19"/>
      <c r="TIR52" s="19"/>
      <c r="TIS52" s="19"/>
      <c r="TIT52" s="21"/>
      <c r="TIU52" s="19"/>
      <c r="TJD52" s="19"/>
      <c r="TJE52" s="19"/>
      <c r="TJF52" s="19"/>
      <c r="TJG52" s="19"/>
      <c r="TJH52" s="21"/>
      <c r="TJI52" s="19"/>
      <c r="TJR52" s="19"/>
      <c r="TJS52" s="19"/>
      <c r="TJT52" s="19"/>
      <c r="TJU52" s="19"/>
      <c r="TJV52" s="21"/>
      <c r="TJW52" s="19"/>
      <c r="TKF52" s="19"/>
      <c r="TKG52" s="19"/>
      <c r="TKH52" s="19"/>
      <c r="TKI52" s="19"/>
      <c r="TKJ52" s="21"/>
      <c r="TKK52" s="19"/>
      <c r="TKT52" s="19"/>
      <c r="TKU52" s="19"/>
      <c r="TKV52" s="19"/>
      <c r="TKW52" s="19"/>
      <c r="TKX52" s="21"/>
      <c r="TKY52" s="19"/>
      <c r="TLH52" s="19"/>
      <c r="TLI52" s="19"/>
      <c r="TLJ52" s="19"/>
      <c r="TLK52" s="19"/>
      <c r="TLL52" s="21"/>
      <c r="TLM52" s="19"/>
      <c r="TLV52" s="19"/>
      <c r="TLW52" s="19"/>
      <c r="TLX52" s="19"/>
      <c r="TLY52" s="19"/>
      <c r="TLZ52" s="21"/>
      <c r="TMA52" s="19"/>
      <c r="TMJ52" s="19"/>
      <c r="TMK52" s="19"/>
      <c r="TML52" s="19"/>
      <c r="TMM52" s="19"/>
      <c r="TMN52" s="21"/>
      <c r="TMO52" s="19"/>
      <c r="TMX52" s="19"/>
      <c r="TMY52" s="19"/>
      <c r="TMZ52" s="19"/>
      <c r="TNA52" s="19"/>
      <c r="TNB52" s="21"/>
      <c r="TNC52" s="19"/>
      <c r="TNL52" s="19"/>
      <c r="TNM52" s="19"/>
      <c r="TNN52" s="19"/>
      <c r="TNO52" s="19"/>
      <c r="TNP52" s="21"/>
      <c r="TNQ52" s="19"/>
      <c r="TNZ52" s="19"/>
      <c r="TOA52" s="19"/>
      <c r="TOB52" s="19"/>
      <c r="TOC52" s="19"/>
      <c r="TOD52" s="21"/>
      <c r="TOE52" s="19"/>
      <c r="TON52" s="19"/>
      <c r="TOO52" s="19"/>
      <c r="TOP52" s="19"/>
      <c r="TOQ52" s="19"/>
      <c r="TOR52" s="21"/>
      <c r="TOS52" s="19"/>
      <c r="TPB52" s="19"/>
      <c r="TPC52" s="19"/>
      <c r="TPD52" s="19"/>
      <c r="TPE52" s="19"/>
      <c r="TPF52" s="21"/>
      <c r="TPG52" s="19"/>
      <c r="TPP52" s="19"/>
      <c r="TPQ52" s="19"/>
      <c r="TPR52" s="19"/>
      <c r="TPS52" s="19"/>
      <c r="TPT52" s="21"/>
      <c r="TPU52" s="19"/>
      <c r="TQD52" s="19"/>
      <c r="TQE52" s="19"/>
      <c r="TQF52" s="19"/>
      <c r="TQG52" s="19"/>
      <c r="TQH52" s="21"/>
      <c r="TQI52" s="19"/>
      <c r="TQR52" s="19"/>
      <c r="TQS52" s="19"/>
      <c r="TQT52" s="19"/>
      <c r="TQU52" s="19"/>
      <c r="TQV52" s="21"/>
      <c r="TQW52" s="19"/>
      <c r="TRF52" s="19"/>
      <c r="TRG52" s="19"/>
      <c r="TRH52" s="19"/>
      <c r="TRI52" s="19"/>
      <c r="TRJ52" s="21"/>
      <c r="TRK52" s="19"/>
      <c r="TRT52" s="19"/>
      <c r="TRU52" s="19"/>
      <c r="TRV52" s="19"/>
      <c r="TRW52" s="19"/>
      <c r="TRX52" s="21"/>
      <c r="TRY52" s="19"/>
      <c r="TSH52" s="19"/>
      <c r="TSI52" s="19"/>
      <c r="TSJ52" s="19"/>
      <c r="TSK52" s="19"/>
      <c r="TSL52" s="21"/>
      <c r="TSM52" s="19"/>
      <c r="TSV52" s="19"/>
      <c r="TSW52" s="19"/>
      <c r="TSX52" s="19"/>
      <c r="TSY52" s="19"/>
      <c r="TSZ52" s="21"/>
      <c r="TTA52" s="19"/>
      <c r="TTJ52" s="19"/>
      <c r="TTK52" s="19"/>
      <c r="TTL52" s="19"/>
      <c r="TTM52" s="19"/>
      <c r="TTN52" s="21"/>
      <c r="TTO52" s="19"/>
      <c r="TTX52" s="19"/>
      <c r="TTY52" s="19"/>
      <c r="TTZ52" s="19"/>
      <c r="TUA52" s="19"/>
      <c r="TUB52" s="21"/>
      <c r="TUC52" s="19"/>
      <c r="TUL52" s="19"/>
      <c r="TUM52" s="19"/>
      <c r="TUN52" s="19"/>
      <c r="TUO52" s="19"/>
      <c r="TUP52" s="21"/>
      <c r="TUQ52" s="19"/>
      <c r="TUZ52" s="19"/>
      <c r="TVA52" s="19"/>
      <c r="TVB52" s="19"/>
      <c r="TVC52" s="19"/>
      <c r="TVD52" s="21"/>
      <c r="TVE52" s="19"/>
      <c r="TVN52" s="19"/>
      <c r="TVO52" s="19"/>
      <c r="TVP52" s="19"/>
      <c r="TVQ52" s="19"/>
      <c r="TVR52" s="21"/>
      <c r="TVS52" s="19"/>
      <c r="TWB52" s="19"/>
      <c r="TWC52" s="19"/>
      <c r="TWD52" s="19"/>
      <c r="TWE52" s="19"/>
      <c r="TWF52" s="21"/>
      <c r="TWG52" s="19"/>
      <c r="TWP52" s="19"/>
      <c r="TWQ52" s="19"/>
      <c r="TWR52" s="19"/>
      <c r="TWS52" s="19"/>
      <c r="TWT52" s="21"/>
      <c r="TWU52" s="19"/>
      <c r="TXD52" s="19"/>
      <c r="TXE52" s="19"/>
      <c r="TXF52" s="19"/>
      <c r="TXG52" s="19"/>
      <c r="TXH52" s="21"/>
      <c r="TXI52" s="19"/>
      <c r="TXR52" s="19"/>
      <c r="TXS52" s="19"/>
      <c r="TXT52" s="19"/>
      <c r="TXU52" s="19"/>
      <c r="TXV52" s="21"/>
      <c r="TXW52" s="19"/>
      <c r="TYF52" s="19"/>
      <c r="TYG52" s="19"/>
      <c r="TYH52" s="19"/>
      <c r="TYI52" s="19"/>
      <c r="TYJ52" s="21"/>
      <c r="TYK52" s="19"/>
      <c r="TYT52" s="19"/>
      <c r="TYU52" s="19"/>
      <c r="TYV52" s="19"/>
      <c r="TYW52" s="19"/>
      <c r="TYX52" s="21"/>
      <c r="TYY52" s="19"/>
      <c r="TZH52" s="19"/>
      <c r="TZI52" s="19"/>
      <c r="TZJ52" s="19"/>
      <c r="TZK52" s="19"/>
      <c r="TZL52" s="21"/>
      <c r="TZM52" s="19"/>
      <c r="TZV52" s="19"/>
      <c r="TZW52" s="19"/>
      <c r="TZX52" s="19"/>
      <c r="TZY52" s="19"/>
      <c r="TZZ52" s="21"/>
      <c r="UAA52" s="19"/>
      <c r="UAJ52" s="19"/>
      <c r="UAK52" s="19"/>
      <c r="UAL52" s="19"/>
      <c r="UAM52" s="19"/>
      <c r="UAN52" s="21"/>
      <c r="UAO52" s="19"/>
      <c r="UAX52" s="19"/>
      <c r="UAY52" s="19"/>
      <c r="UAZ52" s="19"/>
      <c r="UBA52" s="19"/>
      <c r="UBB52" s="21"/>
      <c r="UBC52" s="19"/>
      <c r="UBL52" s="19"/>
      <c r="UBM52" s="19"/>
      <c r="UBN52" s="19"/>
      <c r="UBO52" s="19"/>
      <c r="UBP52" s="21"/>
      <c r="UBQ52" s="19"/>
      <c r="UBZ52" s="19"/>
      <c r="UCA52" s="19"/>
      <c r="UCB52" s="19"/>
      <c r="UCC52" s="19"/>
      <c r="UCD52" s="21"/>
      <c r="UCE52" s="19"/>
      <c r="UCN52" s="19"/>
      <c r="UCO52" s="19"/>
      <c r="UCP52" s="19"/>
      <c r="UCQ52" s="19"/>
      <c r="UCR52" s="21"/>
      <c r="UCS52" s="19"/>
      <c r="UDB52" s="19"/>
      <c r="UDC52" s="19"/>
      <c r="UDD52" s="19"/>
      <c r="UDE52" s="19"/>
      <c r="UDF52" s="21"/>
      <c r="UDG52" s="19"/>
      <c r="UDP52" s="19"/>
      <c r="UDQ52" s="19"/>
      <c r="UDR52" s="19"/>
      <c r="UDS52" s="19"/>
      <c r="UDT52" s="21"/>
      <c r="UDU52" s="19"/>
      <c r="UED52" s="19"/>
      <c r="UEE52" s="19"/>
      <c r="UEF52" s="19"/>
      <c r="UEG52" s="19"/>
      <c r="UEH52" s="21"/>
      <c r="UEI52" s="19"/>
      <c r="UER52" s="19"/>
      <c r="UES52" s="19"/>
      <c r="UET52" s="19"/>
      <c r="UEU52" s="19"/>
      <c r="UEV52" s="21"/>
      <c r="UEW52" s="19"/>
      <c r="UFF52" s="19"/>
      <c r="UFG52" s="19"/>
      <c r="UFH52" s="19"/>
      <c r="UFI52" s="19"/>
      <c r="UFJ52" s="21"/>
      <c r="UFK52" s="19"/>
      <c r="UFT52" s="19"/>
      <c r="UFU52" s="19"/>
      <c r="UFV52" s="19"/>
      <c r="UFW52" s="19"/>
      <c r="UFX52" s="21"/>
      <c r="UFY52" s="19"/>
      <c r="UGH52" s="19"/>
      <c r="UGI52" s="19"/>
      <c r="UGJ52" s="19"/>
      <c r="UGK52" s="19"/>
      <c r="UGL52" s="21"/>
      <c r="UGM52" s="19"/>
      <c r="UGV52" s="19"/>
      <c r="UGW52" s="19"/>
      <c r="UGX52" s="19"/>
      <c r="UGY52" s="19"/>
      <c r="UGZ52" s="21"/>
      <c r="UHA52" s="19"/>
      <c r="UHJ52" s="19"/>
      <c r="UHK52" s="19"/>
      <c r="UHL52" s="19"/>
      <c r="UHM52" s="19"/>
      <c r="UHN52" s="21"/>
      <c r="UHO52" s="19"/>
      <c r="UHX52" s="19"/>
      <c r="UHY52" s="19"/>
      <c r="UHZ52" s="19"/>
      <c r="UIA52" s="19"/>
      <c r="UIB52" s="21"/>
      <c r="UIC52" s="19"/>
      <c r="UIL52" s="19"/>
      <c r="UIM52" s="19"/>
      <c r="UIN52" s="19"/>
      <c r="UIO52" s="19"/>
      <c r="UIP52" s="21"/>
      <c r="UIQ52" s="19"/>
      <c r="UIZ52" s="19"/>
      <c r="UJA52" s="19"/>
      <c r="UJB52" s="19"/>
      <c r="UJC52" s="19"/>
      <c r="UJD52" s="21"/>
      <c r="UJE52" s="19"/>
      <c r="UJN52" s="19"/>
      <c r="UJO52" s="19"/>
      <c r="UJP52" s="19"/>
      <c r="UJQ52" s="19"/>
      <c r="UJR52" s="21"/>
      <c r="UJS52" s="19"/>
      <c r="UKB52" s="19"/>
      <c r="UKC52" s="19"/>
      <c r="UKD52" s="19"/>
      <c r="UKE52" s="19"/>
      <c r="UKF52" s="21"/>
      <c r="UKG52" s="19"/>
      <c r="UKP52" s="19"/>
      <c r="UKQ52" s="19"/>
      <c r="UKR52" s="19"/>
      <c r="UKS52" s="19"/>
      <c r="UKT52" s="21"/>
      <c r="UKU52" s="19"/>
      <c r="ULD52" s="19"/>
      <c r="ULE52" s="19"/>
      <c r="ULF52" s="19"/>
      <c r="ULG52" s="19"/>
      <c r="ULH52" s="21"/>
      <c r="ULI52" s="19"/>
      <c r="ULR52" s="19"/>
      <c r="ULS52" s="19"/>
      <c r="ULT52" s="19"/>
      <c r="ULU52" s="19"/>
      <c r="ULV52" s="21"/>
      <c r="ULW52" s="19"/>
      <c r="UMF52" s="19"/>
      <c r="UMG52" s="19"/>
      <c r="UMH52" s="19"/>
      <c r="UMI52" s="19"/>
      <c r="UMJ52" s="21"/>
      <c r="UMK52" s="19"/>
      <c r="UMT52" s="19"/>
      <c r="UMU52" s="19"/>
      <c r="UMV52" s="19"/>
      <c r="UMW52" s="19"/>
      <c r="UMX52" s="21"/>
      <c r="UMY52" s="19"/>
      <c r="UNH52" s="19"/>
      <c r="UNI52" s="19"/>
      <c r="UNJ52" s="19"/>
      <c r="UNK52" s="19"/>
      <c r="UNL52" s="21"/>
      <c r="UNM52" s="19"/>
      <c r="UNV52" s="19"/>
      <c r="UNW52" s="19"/>
      <c r="UNX52" s="19"/>
      <c r="UNY52" s="19"/>
      <c r="UNZ52" s="21"/>
      <c r="UOA52" s="19"/>
      <c r="UOJ52" s="19"/>
      <c r="UOK52" s="19"/>
      <c r="UOL52" s="19"/>
      <c r="UOM52" s="19"/>
      <c r="UON52" s="21"/>
      <c r="UOO52" s="19"/>
      <c r="UOX52" s="19"/>
      <c r="UOY52" s="19"/>
      <c r="UOZ52" s="19"/>
      <c r="UPA52" s="19"/>
      <c r="UPB52" s="21"/>
      <c r="UPC52" s="19"/>
      <c r="UPL52" s="19"/>
      <c r="UPM52" s="19"/>
      <c r="UPN52" s="19"/>
      <c r="UPO52" s="19"/>
      <c r="UPP52" s="21"/>
      <c r="UPQ52" s="19"/>
      <c r="UPZ52" s="19"/>
      <c r="UQA52" s="19"/>
      <c r="UQB52" s="19"/>
      <c r="UQC52" s="19"/>
      <c r="UQD52" s="21"/>
      <c r="UQE52" s="19"/>
      <c r="UQN52" s="19"/>
      <c r="UQO52" s="19"/>
      <c r="UQP52" s="19"/>
      <c r="UQQ52" s="19"/>
      <c r="UQR52" s="21"/>
      <c r="UQS52" s="19"/>
      <c r="URB52" s="19"/>
      <c r="URC52" s="19"/>
      <c r="URD52" s="19"/>
      <c r="URE52" s="19"/>
      <c r="URF52" s="21"/>
      <c r="URG52" s="19"/>
      <c r="URP52" s="19"/>
      <c r="URQ52" s="19"/>
      <c r="URR52" s="19"/>
      <c r="URS52" s="19"/>
      <c r="URT52" s="21"/>
      <c r="URU52" s="19"/>
      <c r="USD52" s="19"/>
      <c r="USE52" s="19"/>
      <c r="USF52" s="19"/>
      <c r="USG52" s="19"/>
      <c r="USH52" s="21"/>
      <c r="USI52" s="19"/>
      <c r="USR52" s="19"/>
      <c r="USS52" s="19"/>
      <c r="UST52" s="19"/>
      <c r="USU52" s="19"/>
      <c r="USV52" s="21"/>
      <c r="USW52" s="19"/>
      <c r="UTF52" s="19"/>
      <c r="UTG52" s="19"/>
      <c r="UTH52" s="19"/>
      <c r="UTI52" s="19"/>
      <c r="UTJ52" s="21"/>
      <c r="UTK52" s="19"/>
      <c r="UTT52" s="19"/>
      <c r="UTU52" s="19"/>
      <c r="UTV52" s="19"/>
      <c r="UTW52" s="19"/>
      <c r="UTX52" s="21"/>
      <c r="UTY52" s="19"/>
      <c r="UUH52" s="19"/>
      <c r="UUI52" s="19"/>
      <c r="UUJ52" s="19"/>
      <c r="UUK52" s="19"/>
      <c r="UUL52" s="21"/>
      <c r="UUM52" s="19"/>
      <c r="UUV52" s="19"/>
      <c r="UUW52" s="19"/>
      <c r="UUX52" s="19"/>
      <c r="UUY52" s="19"/>
      <c r="UUZ52" s="21"/>
      <c r="UVA52" s="19"/>
      <c r="UVJ52" s="19"/>
      <c r="UVK52" s="19"/>
      <c r="UVL52" s="19"/>
      <c r="UVM52" s="19"/>
      <c r="UVN52" s="21"/>
      <c r="UVO52" s="19"/>
      <c r="UVX52" s="19"/>
      <c r="UVY52" s="19"/>
      <c r="UVZ52" s="19"/>
      <c r="UWA52" s="19"/>
      <c r="UWB52" s="21"/>
      <c r="UWC52" s="19"/>
      <c r="UWL52" s="19"/>
      <c r="UWM52" s="19"/>
      <c r="UWN52" s="19"/>
      <c r="UWO52" s="19"/>
      <c r="UWP52" s="21"/>
      <c r="UWQ52" s="19"/>
      <c r="UWZ52" s="19"/>
      <c r="UXA52" s="19"/>
      <c r="UXB52" s="19"/>
      <c r="UXC52" s="19"/>
      <c r="UXD52" s="21"/>
      <c r="UXE52" s="19"/>
      <c r="UXN52" s="19"/>
      <c r="UXO52" s="19"/>
      <c r="UXP52" s="19"/>
      <c r="UXQ52" s="19"/>
      <c r="UXR52" s="21"/>
      <c r="UXS52" s="19"/>
      <c r="UYB52" s="19"/>
      <c r="UYC52" s="19"/>
      <c r="UYD52" s="19"/>
      <c r="UYE52" s="19"/>
      <c r="UYF52" s="21"/>
      <c r="UYG52" s="19"/>
      <c r="UYP52" s="19"/>
      <c r="UYQ52" s="19"/>
      <c r="UYR52" s="19"/>
      <c r="UYS52" s="19"/>
      <c r="UYT52" s="21"/>
      <c r="UYU52" s="19"/>
      <c r="UZD52" s="19"/>
      <c r="UZE52" s="19"/>
      <c r="UZF52" s="19"/>
      <c r="UZG52" s="19"/>
      <c r="UZH52" s="21"/>
      <c r="UZI52" s="19"/>
      <c r="UZR52" s="19"/>
      <c r="UZS52" s="19"/>
      <c r="UZT52" s="19"/>
      <c r="UZU52" s="19"/>
      <c r="UZV52" s="21"/>
      <c r="UZW52" s="19"/>
      <c r="VAF52" s="19"/>
      <c r="VAG52" s="19"/>
      <c r="VAH52" s="19"/>
      <c r="VAI52" s="19"/>
      <c r="VAJ52" s="21"/>
      <c r="VAK52" s="19"/>
      <c r="VAT52" s="19"/>
      <c r="VAU52" s="19"/>
      <c r="VAV52" s="19"/>
      <c r="VAW52" s="19"/>
      <c r="VAX52" s="21"/>
      <c r="VAY52" s="19"/>
      <c r="VBH52" s="19"/>
      <c r="VBI52" s="19"/>
      <c r="VBJ52" s="19"/>
      <c r="VBK52" s="19"/>
      <c r="VBL52" s="21"/>
      <c r="VBM52" s="19"/>
      <c r="VBV52" s="19"/>
      <c r="VBW52" s="19"/>
      <c r="VBX52" s="19"/>
      <c r="VBY52" s="19"/>
      <c r="VBZ52" s="21"/>
      <c r="VCA52" s="19"/>
      <c r="VCJ52" s="19"/>
      <c r="VCK52" s="19"/>
      <c r="VCL52" s="19"/>
      <c r="VCM52" s="19"/>
      <c r="VCN52" s="21"/>
      <c r="VCO52" s="19"/>
      <c r="VCX52" s="19"/>
      <c r="VCY52" s="19"/>
      <c r="VCZ52" s="19"/>
      <c r="VDA52" s="19"/>
      <c r="VDB52" s="21"/>
      <c r="VDC52" s="19"/>
      <c r="VDL52" s="19"/>
      <c r="VDM52" s="19"/>
      <c r="VDN52" s="19"/>
      <c r="VDO52" s="19"/>
      <c r="VDP52" s="21"/>
      <c r="VDQ52" s="19"/>
      <c r="VDZ52" s="19"/>
      <c r="VEA52" s="19"/>
      <c r="VEB52" s="19"/>
      <c r="VEC52" s="19"/>
      <c r="VED52" s="21"/>
      <c r="VEE52" s="19"/>
      <c r="VEN52" s="19"/>
      <c r="VEO52" s="19"/>
      <c r="VEP52" s="19"/>
      <c r="VEQ52" s="19"/>
      <c r="VER52" s="21"/>
      <c r="VES52" s="19"/>
      <c r="VFB52" s="19"/>
      <c r="VFC52" s="19"/>
      <c r="VFD52" s="19"/>
      <c r="VFE52" s="19"/>
      <c r="VFF52" s="21"/>
      <c r="VFG52" s="19"/>
      <c r="VFP52" s="19"/>
      <c r="VFQ52" s="19"/>
      <c r="VFR52" s="19"/>
      <c r="VFS52" s="19"/>
      <c r="VFT52" s="21"/>
      <c r="VFU52" s="19"/>
      <c r="VGD52" s="19"/>
      <c r="VGE52" s="19"/>
      <c r="VGF52" s="19"/>
      <c r="VGG52" s="19"/>
      <c r="VGH52" s="21"/>
      <c r="VGI52" s="19"/>
      <c r="VGR52" s="19"/>
      <c r="VGS52" s="19"/>
      <c r="VGT52" s="19"/>
      <c r="VGU52" s="19"/>
      <c r="VGV52" s="21"/>
      <c r="VGW52" s="19"/>
      <c r="VHF52" s="19"/>
      <c r="VHG52" s="19"/>
      <c r="VHH52" s="19"/>
      <c r="VHI52" s="19"/>
      <c r="VHJ52" s="21"/>
      <c r="VHK52" s="19"/>
      <c r="VHT52" s="19"/>
      <c r="VHU52" s="19"/>
      <c r="VHV52" s="19"/>
      <c r="VHW52" s="19"/>
      <c r="VHX52" s="21"/>
      <c r="VHY52" s="19"/>
      <c r="VIH52" s="19"/>
      <c r="VII52" s="19"/>
      <c r="VIJ52" s="19"/>
      <c r="VIK52" s="19"/>
      <c r="VIL52" s="21"/>
      <c r="VIM52" s="19"/>
      <c r="VIV52" s="19"/>
      <c r="VIW52" s="19"/>
      <c r="VIX52" s="19"/>
      <c r="VIY52" s="19"/>
      <c r="VIZ52" s="21"/>
      <c r="VJA52" s="19"/>
      <c r="VJJ52" s="19"/>
      <c r="VJK52" s="19"/>
      <c r="VJL52" s="19"/>
      <c r="VJM52" s="19"/>
      <c r="VJN52" s="21"/>
      <c r="VJO52" s="19"/>
      <c r="VJX52" s="19"/>
      <c r="VJY52" s="19"/>
      <c r="VJZ52" s="19"/>
      <c r="VKA52" s="19"/>
      <c r="VKB52" s="21"/>
      <c r="VKC52" s="19"/>
      <c r="VKL52" s="19"/>
      <c r="VKM52" s="19"/>
      <c r="VKN52" s="19"/>
      <c r="VKO52" s="19"/>
      <c r="VKP52" s="21"/>
      <c r="VKQ52" s="19"/>
      <c r="VKZ52" s="19"/>
      <c r="VLA52" s="19"/>
      <c r="VLB52" s="19"/>
      <c r="VLC52" s="19"/>
      <c r="VLD52" s="21"/>
      <c r="VLE52" s="19"/>
      <c r="VLN52" s="19"/>
      <c r="VLO52" s="19"/>
      <c r="VLP52" s="19"/>
      <c r="VLQ52" s="19"/>
      <c r="VLR52" s="21"/>
      <c r="VLS52" s="19"/>
      <c r="VMB52" s="19"/>
      <c r="VMC52" s="19"/>
      <c r="VMD52" s="19"/>
      <c r="VME52" s="19"/>
      <c r="VMF52" s="21"/>
      <c r="VMG52" s="19"/>
      <c r="VMP52" s="19"/>
      <c r="VMQ52" s="19"/>
      <c r="VMR52" s="19"/>
      <c r="VMS52" s="19"/>
      <c r="VMT52" s="21"/>
      <c r="VMU52" s="19"/>
      <c r="VND52" s="19"/>
      <c r="VNE52" s="19"/>
      <c r="VNF52" s="19"/>
      <c r="VNG52" s="19"/>
      <c r="VNH52" s="21"/>
      <c r="VNI52" s="19"/>
      <c r="VNR52" s="19"/>
      <c r="VNS52" s="19"/>
      <c r="VNT52" s="19"/>
      <c r="VNU52" s="19"/>
      <c r="VNV52" s="21"/>
      <c r="VNW52" s="19"/>
      <c r="VOF52" s="19"/>
      <c r="VOG52" s="19"/>
      <c r="VOH52" s="19"/>
      <c r="VOI52" s="19"/>
      <c r="VOJ52" s="21"/>
      <c r="VOK52" s="19"/>
      <c r="VOT52" s="19"/>
      <c r="VOU52" s="19"/>
      <c r="VOV52" s="19"/>
      <c r="VOW52" s="19"/>
      <c r="VOX52" s="21"/>
      <c r="VOY52" s="19"/>
      <c r="VPH52" s="19"/>
      <c r="VPI52" s="19"/>
      <c r="VPJ52" s="19"/>
      <c r="VPK52" s="19"/>
      <c r="VPL52" s="21"/>
      <c r="VPM52" s="19"/>
      <c r="VPV52" s="19"/>
      <c r="VPW52" s="19"/>
      <c r="VPX52" s="19"/>
      <c r="VPY52" s="19"/>
      <c r="VPZ52" s="21"/>
      <c r="VQA52" s="19"/>
      <c r="VQJ52" s="19"/>
      <c r="VQK52" s="19"/>
      <c r="VQL52" s="19"/>
      <c r="VQM52" s="19"/>
      <c r="VQN52" s="21"/>
      <c r="VQO52" s="19"/>
      <c r="VQX52" s="19"/>
      <c r="VQY52" s="19"/>
      <c r="VQZ52" s="19"/>
      <c r="VRA52" s="19"/>
      <c r="VRB52" s="21"/>
      <c r="VRC52" s="19"/>
      <c r="VRL52" s="19"/>
      <c r="VRM52" s="19"/>
      <c r="VRN52" s="19"/>
      <c r="VRO52" s="19"/>
      <c r="VRP52" s="21"/>
      <c r="VRQ52" s="19"/>
      <c r="VRZ52" s="19"/>
      <c r="VSA52" s="19"/>
      <c r="VSB52" s="19"/>
      <c r="VSC52" s="19"/>
      <c r="VSD52" s="21"/>
      <c r="VSE52" s="19"/>
      <c r="VSN52" s="19"/>
      <c r="VSO52" s="19"/>
      <c r="VSP52" s="19"/>
      <c r="VSQ52" s="19"/>
      <c r="VSR52" s="21"/>
      <c r="VSS52" s="19"/>
      <c r="VTB52" s="19"/>
      <c r="VTC52" s="19"/>
      <c r="VTD52" s="19"/>
      <c r="VTE52" s="19"/>
      <c r="VTF52" s="21"/>
      <c r="VTG52" s="19"/>
      <c r="VTP52" s="19"/>
      <c r="VTQ52" s="19"/>
      <c r="VTR52" s="19"/>
      <c r="VTS52" s="19"/>
      <c r="VTT52" s="21"/>
      <c r="VTU52" s="19"/>
      <c r="VUD52" s="19"/>
      <c r="VUE52" s="19"/>
      <c r="VUF52" s="19"/>
      <c r="VUG52" s="19"/>
      <c r="VUH52" s="21"/>
      <c r="VUI52" s="19"/>
      <c r="VUR52" s="19"/>
      <c r="VUS52" s="19"/>
      <c r="VUT52" s="19"/>
      <c r="VUU52" s="19"/>
      <c r="VUV52" s="21"/>
      <c r="VUW52" s="19"/>
      <c r="VVF52" s="19"/>
      <c r="VVG52" s="19"/>
      <c r="VVH52" s="19"/>
      <c r="VVI52" s="19"/>
      <c r="VVJ52" s="21"/>
      <c r="VVK52" s="19"/>
      <c r="VVT52" s="19"/>
      <c r="VVU52" s="19"/>
      <c r="VVV52" s="19"/>
      <c r="VVW52" s="19"/>
      <c r="VVX52" s="21"/>
      <c r="VVY52" s="19"/>
      <c r="VWH52" s="19"/>
      <c r="VWI52" s="19"/>
      <c r="VWJ52" s="19"/>
      <c r="VWK52" s="19"/>
      <c r="VWL52" s="21"/>
      <c r="VWM52" s="19"/>
      <c r="VWV52" s="19"/>
      <c r="VWW52" s="19"/>
      <c r="VWX52" s="19"/>
      <c r="VWY52" s="19"/>
      <c r="VWZ52" s="21"/>
      <c r="VXA52" s="19"/>
      <c r="VXJ52" s="19"/>
      <c r="VXK52" s="19"/>
      <c r="VXL52" s="19"/>
      <c r="VXM52" s="19"/>
      <c r="VXN52" s="21"/>
      <c r="VXO52" s="19"/>
      <c r="VXX52" s="19"/>
      <c r="VXY52" s="19"/>
      <c r="VXZ52" s="19"/>
      <c r="VYA52" s="19"/>
      <c r="VYB52" s="21"/>
      <c r="VYC52" s="19"/>
      <c r="VYL52" s="19"/>
      <c r="VYM52" s="19"/>
      <c r="VYN52" s="19"/>
      <c r="VYO52" s="19"/>
      <c r="VYP52" s="21"/>
      <c r="VYQ52" s="19"/>
      <c r="VYZ52" s="19"/>
      <c r="VZA52" s="19"/>
      <c r="VZB52" s="19"/>
      <c r="VZC52" s="19"/>
      <c r="VZD52" s="21"/>
      <c r="VZE52" s="19"/>
      <c r="VZN52" s="19"/>
      <c r="VZO52" s="19"/>
      <c r="VZP52" s="19"/>
      <c r="VZQ52" s="19"/>
      <c r="VZR52" s="21"/>
      <c r="VZS52" s="19"/>
      <c r="WAB52" s="19"/>
      <c r="WAC52" s="19"/>
      <c r="WAD52" s="19"/>
      <c r="WAE52" s="19"/>
      <c r="WAF52" s="21"/>
      <c r="WAG52" s="19"/>
      <c r="WAP52" s="19"/>
      <c r="WAQ52" s="19"/>
      <c r="WAR52" s="19"/>
      <c r="WAS52" s="19"/>
      <c r="WAT52" s="21"/>
      <c r="WAU52" s="19"/>
      <c r="WBD52" s="19"/>
      <c r="WBE52" s="19"/>
      <c r="WBF52" s="19"/>
      <c r="WBG52" s="19"/>
      <c r="WBH52" s="21"/>
      <c r="WBI52" s="19"/>
      <c r="WBR52" s="19"/>
      <c r="WBS52" s="19"/>
      <c r="WBT52" s="19"/>
      <c r="WBU52" s="19"/>
      <c r="WBV52" s="21"/>
      <c r="WBW52" s="19"/>
      <c r="WCF52" s="19"/>
      <c r="WCG52" s="19"/>
      <c r="WCH52" s="19"/>
      <c r="WCI52" s="19"/>
      <c r="WCJ52" s="21"/>
      <c r="WCK52" s="19"/>
      <c r="WCT52" s="19"/>
      <c r="WCU52" s="19"/>
      <c r="WCV52" s="19"/>
      <c r="WCW52" s="19"/>
      <c r="WCX52" s="21"/>
      <c r="WCY52" s="19"/>
      <c r="WDH52" s="19"/>
      <c r="WDI52" s="19"/>
      <c r="WDJ52" s="19"/>
      <c r="WDK52" s="19"/>
      <c r="WDL52" s="21"/>
      <c r="WDM52" s="19"/>
      <c r="WDV52" s="19"/>
      <c r="WDW52" s="19"/>
      <c r="WDX52" s="19"/>
      <c r="WDY52" s="19"/>
      <c r="WDZ52" s="21"/>
      <c r="WEA52" s="19"/>
      <c r="WEJ52" s="19"/>
      <c r="WEK52" s="19"/>
      <c r="WEL52" s="19"/>
      <c r="WEM52" s="19"/>
      <c r="WEN52" s="21"/>
      <c r="WEO52" s="19"/>
      <c r="WEX52" s="19"/>
      <c r="WEY52" s="19"/>
      <c r="WEZ52" s="19"/>
      <c r="WFA52" s="19"/>
      <c r="WFB52" s="21"/>
      <c r="WFC52" s="19"/>
      <c r="WFL52" s="19"/>
      <c r="WFM52" s="19"/>
      <c r="WFN52" s="19"/>
      <c r="WFO52" s="19"/>
      <c r="WFP52" s="21"/>
      <c r="WFQ52" s="19"/>
      <c r="WFZ52" s="19"/>
      <c r="WGA52" s="19"/>
      <c r="WGB52" s="19"/>
      <c r="WGC52" s="19"/>
      <c r="WGD52" s="21"/>
      <c r="WGE52" s="19"/>
      <c r="WGN52" s="19"/>
      <c r="WGO52" s="19"/>
      <c r="WGP52" s="19"/>
      <c r="WGQ52" s="19"/>
      <c r="WGR52" s="21"/>
      <c r="WGS52" s="19"/>
      <c r="WHB52" s="19"/>
      <c r="WHC52" s="19"/>
      <c r="WHD52" s="19"/>
      <c r="WHE52" s="19"/>
      <c r="WHF52" s="21"/>
      <c r="WHG52" s="19"/>
      <c r="WHP52" s="19"/>
      <c r="WHQ52" s="19"/>
      <c r="WHR52" s="19"/>
      <c r="WHS52" s="19"/>
      <c r="WHT52" s="21"/>
      <c r="WHU52" s="19"/>
      <c r="WID52" s="19"/>
      <c r="WIE52" s="19"/>
      <c r="WIF52" s="19"/>
      <c r="WIG52" s="19"/>
      <c r="WIH52" s="21"/>
      <c r="WII52" s="19"/>
      <c r="WIR52" s="19"/>
      <c r="WIS52" s="19"/>
      <c r="WIT52" s="19"/>
      <c r="WIU52" s="19"/>
      <c r="WIV52" s="21"/>
      <c r="WIW52" s="19"/>
      <c r="WJF52" s="19"/>
      <c r="WJG52" s="19"/>
      <c r="WJH52" s="19"/>
      <c r="WJI52" s="19"/>
      <c r="WJJ52" s="21"/>
      <c r="WJK52" s="19"/>
      <c r="WJT52" s="19"/>
      <c r="WJU52" s="19"/>
      <c r="WJV52" s="19"/>
      <c r="WJW52" s="19"/>
      <c r="WJX52" s="21"/>
      <c r="WJY52" s="19"/>
      <c r="WKH52" s="19"/>
      <c r="WKI52" s="19"/>
      <c r="WKJ52" s="19"/>
      <c r="WKK52" s="19"/>
      <c r="WKL52" s="21"/>
      <c r="WKM52" s="19"/>
      <c r="WKV52" s="19"/>
      <c r="WKW52" s="19"/>
      <c r="WKX52" s="19"/>
      <c r="WKY52" s="19"/>
      <c r="WKZ52" s="21"/>
      <c r="WLA52" s="19"/>
      <c r="WLJ52" s="19"/>
      <c r="WLK52" s="19"/>
      <c r="WLL52" s="19"/>
      <c r="WLM52" s="19"/>
      <c r="WLN52" s="21"/>
      <c r="WLO52" s="19"/>
      <c r="WLX52" s="19"/>
      <c r="WLY52" s="19"/>
      <c r="WLZ52" s="19"/>
      <c r="WMA52" s="19"/>
      <c r="WMB52" s="21"/>
      <c r="WMC52" s="19"/>
      <c r="WML52" s="19"/>
      <c r="WMM52" s="19"/>
      <c r="WMN52" s="19"/>
      <c r="WMO52" s="19"/>
      <c r="WMP52" s="21"/>
      <c r="WMQ52" s="19"/>
      <c r="WMZ52" s="19"/>
      <c r="WNA52" s="19"/>
      <c r="WNB52" s="19"/>
      <c r="WNC52" s="19"/>
      <c r="WND52" s="21"/>
      <c r="WNE52" s="19"/>
      <c r="WNN52" s="19"/>
      <c r="WNO52" s="19"/>
      <c r="WNP52" s="19"/>
      <c r="WNQ52" s="19"/>
      <c r="WNR52" s="21"/>
      <c r="WNS52" s="19"/>
      <c r="WOB52" s="19"/>
      <c r="WOC52" s="19"/>
      <c r="WOD52" s="19"/>
      <c r="WOE52" s="19"/>
      <c r="WOF52" s="21"/>
      <c r="WOG52" s="19"/>
      <c r="WOP52" s="19"/>
      <c r="WOQ52" s="19"/>
      <c r="WOR52" s="19"/>
      <c r="WOS52" s="19"/>
      <c r="WOT52" s="21"/>
      <c r="WOU52" s="19"/>
      <c r="WPD52" s="19"/>
      <c r="WPE52" s="19"/>
      <c r="WPF52" s="19"/>
      <c r="WPG52" s="19"/>
      <c r="WPH52" s="21"/>
      <c r="WPI52" s="19"/>
      <c r="WPR52" s="19"/>
      <c r="WPS52" s="19"/>
      <c r="WPT52" s="19"/>
      <c r="WPU52" s="19"/>
      <c r="WPV52" s="21"/>
      <c r="WPW52" s="19"/>
      <c r="WQF52" s="19"/>
      <c r="WQG52" s="19"/>
      <c r="WQH52" s="19"/>
      <c r="WQI52" s="19"/>
      <c r="WQJ52" s="21"/>
      <c r="WQK52" s="19"/>
      <c r="WQT52" s="19"/>
      <c r="WQU52" s="19"/>
      <c r="WQV52" s="19"/>
      <c r="WQW52" s="19"/>
      <c r="WQX52" s="21"/>
      <c r="WQY52" s="19"/>
      <c r="WRH52" s="19"/>
      <c r="WRI52" s="19"/>
      <c r="WRJ52" s="19"/>
      <c r="WRK52" s="19"/>
      <c r="WRL52" s="21"/>
      <c r="WRM52" s="19"/>
      <c r="WRV52" s="19"/>
      <c r="WRW52" s="19"/>
      <c r="WRX52" s="19"/>
      <c r="WRY52" s="19"/>
      <c r="WRZ52" s="21"/>
      <c r="WSA52" s="19"/>
      <c r="WSJ52" s="19"/>
      <c r="WSK52" s="19"/>
      <c r="WSL52" s="19"/>
      <c r="WSM52" s="19"/>
      <c r="WSN52" s="21"/>
      <c r="WSO52" s="19"/>
      <c r="WSX52" s="19"/>
      <c r="WSY52" s="19"/>
      <c r="WSZ52" s="19"/>
      <c r="WTA52" s="19"/>
      <c r="WTB52" s="21"/>
      <c r="WTC52" s="19"/>
      <c r="WTL52" s="19"/>
      <c r="WTM52" s="19"/>
      <c r="WTN52" s="19"/>
      <c r="WTO52" s="19"/>
      <c r="WTP52" s="21"/>
      <c r="WTQ52" s="19"/>
      <c r="WTZ52" s="19"/>
      <c r="WUA52" s="19"/>
      <c r="WUB52" s="19"/>
      <c r="WUC52" s="19"/>
      <c r="WUD52" s="21"/>
      <c r="WUE52" s="19"/>
      <c r="WUN52" s="19"/>
      <c r="WUO52" s="19"/>
      <c r="WUP52" s="19"/>
      <c r="WUQ52" s="19"/>
      <c r="WUR52" s="21"/>
      <c r="WUS52" s="19"/>
      <c r="WVB52" s="19"/>
      <c r="WVC52" s="19"/>
      <c r="WVD52" s="19"/>
      <c r="WVE52" s="19"/>
      <c r="WVF52" s="21"/>
      <c r="WVG52" s="19"/>
      <c r="WVP52" s="19"/>
      <c r="WVQ52" s="19"/>
      <c r="WVR52" s="19"/>
      <c r="WVS52" s="19"/>
      <c r="WVT52" s="21"/>
      <c r="WVU52" s="19"/>
      <c r="WWD52" s="19"/>
      <c r="WWE52" s="19"/>
      <c r="WWF52" s="19"/>
      <c r="WWG52" s="19"/>
      <c r="WWH52" s="21"/>
      <c r="WWI52" s="19"/>
      <c r="WWR52" s="19"/>
      <c r="WWS52" s="19"/>
      <c r="WWT52" s="19"/>
      <c r="WWU52" s="19"/>
      <c r="WWV52" s="21"/>
      <c r="WWW52" s="19"/>
      <c r="WXF52" s="19"/>
      <c r="WXG52" s="19"/>
      <c r="WXH52" s="19"/>
      <c r="WXI52" s="19"/>
      <c r="WXJ52" s="21"/>
      <c r="WXK52" s="19"/>
      <c r="WXT52" s="19"/>
      <c r="WXU52" s="19"/>
      <c r="WXV52" s="19"/>
      <c r="WXW52" s="19"/>
      <c r="WXX52" s="21"/>
      <c r="WXY52" s="19"/>
      <c r="WYH52" s="19"/>
      <c r="WYI52" s="19"/>
      <c r="WYJ52" s="19"/>
      <c r="WYK52" s="19"/>
      <c r="WYL52" s="21"/>
      <c r="WYM52" s="19"/>
      <c r="WYV52" s="19"/>
      <c r="WYW52" s="19"/>
      <c r="WYX52" s="19"/>
      <c r="WYY52" s="19"/>
      <c r="WYZ52" s="21"/>
      <c r="WZA52" s="19"/>
      <c r="WZJ52" s="19"/>
      <c r="WZK52" s="19"/>
      <c r="WZL52" s="19"/>
      <c r="WZM52" s="19"/>
      <c r="WZN52" s="21"/>
      <c r="WZO52" s="19"/>
      <c r="WZX52" s="19"/>
      <c r="WZY52" s="19"/>
      <c r="WZZ52" s="19"/>
      <c r="XAA52" s="19"/>
      <c r="XAB52" s="21"/>
      <c r="XAC52" s="19"/>
      <c r="XAL52" s="19"/>
      <c r="XAM52" s="19"/>
      <c r="XAN52" s="19"/>
      <c r="XAO52" s="19"/>
      <c r="XAP52" s="21"/>
      <c r="XAQ52" s="19"/>
      <c r="XAZ52" s="19"/>
      <c r="XBA52" s="19"/>
      <c r="XBB52" s="19"/>
      <c r="XBC52" s="19"/>
      <c r="XBD52" s="21"/>
      <c r="XBE52" s="19"/>
      <c r="XBN52" s="19"/>
      <c r="XBO52" s="19"/>
      <c r="XBP52" s="19"/>
      <c r="XBQ52" s="19"/>
      <c r="XBR52" s="21"/>
      <c r="XBS52" s="19"/>
      <c r="XCB52" s="19"/>
      <c r="XCC52" s="19"/>
      <c r="XCD52" s="19"/>
      <c r="XCE52" s="19"/>
      <c r="XCF52" s="21"/>
      <c r="XCG52" s="19"/>
      <c r="XCP52" s="19"/>
      <c r="XCQ52" s="19"/>
      <c r="XCR52" s="19"/>
      <c r="XCS52" s="19"/>
      <c r="XCT52" s="21"/>
      <c r="XCU52" s="19"/>
      <c r="XDD52" s="19"/>
      <c r="XDE52" s="19"/>
      <c r="XDF52" s="19"/>
      <c r="XDG52" s="19"/>
      <c r="XDH52" s="21"/>
      <c r="XDI52" s="19"/>
      <c r="XDR52" s="19"/>
      <c r="XDS52" s="19"/>
      <c r="XDT52" s="19"/>
      <c r="XDU52" s="19"/>
      <c r="XDV52" s="21"/>
      <c r="XDW52" s="19"/>
      <c r="XEF52" s="19"/>
      <c r="XEG52" s="19"/>
      <c r="XEH52" s="19"/>
      <c r="XEI52" s="19"/>
      <c r="XEJ52" s="21"/>
      <c r="XEK52" s="19"/>
    </row>
    <row r="53" spans="1:1021 1030:2043 2052:3065 3074:7167 7176:8189 8198:9211 9220:10233 10242:14335 14344:15357 15366:16365" s="20" customFormat="1">
      <c r="A53" s="19">
        <v>4</v>
      </c>
      <c r="B53" s="19">
        <v>4</v>
      </c>
      <c r="C53" s="19" t="s">
        <v>134</v>
      </c>
      <c r="D53" s="19">
        <v>9</v>
      </c>
      <c r="E53" s="19">
        <v>4</v>
      </c>
      <c r="F53" s="19">
        <v>3</v>
      </c>
      <c r="G53" s="19">
        <v>0</v>
      </c>
      <c r="H53" s="19">
        <v>1</v>
      </c>
      <c r="I53" s="19">
        <v>5</v>
      </c>
      <c r="J53" s="19">
        <v>5</v>
      </c>
      <c r="K53" s="19">
        <v>0</v>
      </c>
      <c r="L53" s="27"/>
      <c r="M53" s="19"/>
      <c r="V53" s="19"/>
      <c r="W53" s="19"/>
      <c r="X53" s="19"/>
      <c r="Y53" s="19"/>
      <c r="Z53" s="21"/>
      <c r="AA53" s="19"/>
      <c r="AJ53" s="19"/>
      <c r="AK53" s="19"/>
      <c r="AL53" s="19"/>
      <c r="AM53" s="19"/>
      <c r="AN53" s="21"/>
      <c r="AO53" s="19"/>
      <c r="AX53" s="19"/>
      <c r="AY53" s="19"/>
      <c r="AZ53" s="19"/>
      <c r="BA53" s="19"/>
      <c r="BB53" s="21"/>
      <c r="BC53" s="19"/>
      <c r="BL53" s="19"/>
      <c r="BM53" s="19"/>
      <c r="BN53" s="19"/>
      <c r="BO53" s="19"/>
      <c r="BP53" s="21"/>
      <c r="BQ53" s="19"/>
      <c r="BZ53" s="19"/>
      <c r="CA53" s="19"/>
      <c r="CB53" s="19"/>
      <c r="CC53" s="19"/>
      <c r="CD53" s="21"/>
      <c r="CE53" s="19"/>
      <c r="CN53" s="19"/>
      <c r="CO53" s="19"/>
      <c r="CP53" s="19"/>
      <c r="CQ53" s="19"/>
      <c r="CR53" s="21"/>
      <c r="CS53" s="19"/>
      <c r="DB53" s="19"/>
      <c r="DC53" s="19"/>
      <c r="DD53" s="19"/>
      <c r="DE53" s="19"/>
      <c r="DF53" s="21"/>
      <c r="DG53" s="19"/>
      <c r="DP53" s="19"/>
      <c r="DQ53" s="19"/>
      <c r="DR53" s="19"/>
      <c r="DS53" s="19"/>
      <c r="DT53" s="21"/>
      <c r="DU53" s="19"/>
      <c r="ED53" s="19"/>
      <c r="EE53" s="19"/>
      <c r="EF53" s="19"/>
      <c r="EG53" s="19"/>
      <c r="EH53" s="21"/>
      <c r="EI53" s="19"/>
      <c r="ER53" s="19"/>
      <c r="ES53" s="19"/>
      <c r="ET53" s="19"/>
      <c r="EU53" s="19"/>
      <c r="EV53" s="21"/>
      <c r="EW53" s="19"/>
      <c r="FF53" s="19"/>
      <c r="FG53" s="19"/>
      <c r="FH53" s="19"/>
      <c r="FI53" s="19"/>
      <c r="FJ53" s="21"/>
      <c r="FK53" s="19"/>
      <c r="FT53" s="19"/>
      <c r="FU53" s="19"/>
      <c r="FV53" s="19"/>
      <c r="FW53" s="19"/>
      <c r="FX53" s="21"/>
      <c r="FY53" s="19"/>
      <c r="GH53" s="19"/>
      <c r="GI53" s="19"/>
      <c r="GJ53" s="19"/>
      <c r="GK53" s="19"/>
      <c r="GL53" s="21"/>
      <c r="GM53" s="19"/>
      <c r="GV53" s="19"/>
      <c r="GW53" s="19"/>
      <c r="GX53" s="19"/>
      <c r="GY53" s="19"/>
      <c r="GZ53" s="21"/>
      <c r="HA53" s="19"/>
      <c r="HJ53" s="19"/>
      <c r="HK53" s="19"/>
      <c r="HL53" s="19"/>
      <c r="HM53" s="19"/>
      <c r="HN53" s="21"/>
      <c r="HO53" s="19"/>
      <c r="HX53" s="19"/>
      <c r="HY53" s="19"/>
      <c r="HZ53" s="19"/>
      <c r="IA53" s="19"/>
      <c r="IB53" s="21"/>
      <c r="IC53" s="19"/>
      <c r="IL53" s="19"/>
      <c r="IM53" s="19"/>
      <c r="IN53" s="19"/>
      <c r="IO53" s="19"/>
      <c r="IP53" s="21"/>
      <c r="IQ53" s="19"/>
      <c r="IZ53" s="19"/>
      <c r="JA53" s="19"/>
      <c r="JB53" s="19"/>
      <c r="JC53" s="19"/>
      <c r="JD53" s="21"/>
      <c r="JE53" s="19"/>
      <c r="JN53" s="19"/>
      <c r="JO53" s="19"/>
      <c r="JP53" s="19"/>
      <c r="JQ53" s="19"/>
      <c r="JR53" s="21"/>
      <c r="JS53" s="19"/>
      <c r="KB53" s="19"/>
      <c r="KC53" s="19"/>
      <c r="KD53" s="19"/>
      <c r="KE53" s="19"/>
      <c r="KF53" s="21"/>
      <c r="KG53" s="19"/>
      <c r="KP53" s="19"/>
      <c r="KQ53" s="19"/>
      <c r="KR53" s="19"/>
      <c r="KS53" s="19"/>
      <c r="KT53" s="21"/>
      <c r="KU53" s="19"/>
      <c r="LD53" s="19"/>
      <c r="LE53" s="19"/>
      <c r="LF53" s="19"/>
      <c r="LG53" s="19"/>
      <c r="LH53" s="21"/>
      <c r="LI53" s="19"/>
      <c r="LR53" s="19"/>
      <c r="LS53" s="19"/>
      <c r="LT53" s="19"/>
      <c r="LU53" s="19"/>
      <c r="LV53" s="21"/>
      <c r="LW53" s="19"/>
      <c r="MF53" s="19"/>
      <c r="MG53" s="19"/>
      <c r="MH53" s="19"/>
      <c r="MI53" s="19"/>
      <c r="MJ53" s="21"/>
      <c r="MK53" s="19"/>
      <c r="MT53" s="19"/>
      <c r="MU53" s="19"/>
      <c r="MV53" s="19"/>
      <c r="MW53" s="19"/>
      <c r="MX53" s="21"/>
      <c r="MY53" s="19"/>
      <c r="NH53" s="19"/>
      <c r="NI53" s="19"/>
      <c r="NJ53" s="19"/>
      <c r="NK53" s="19"/>
      <c r="NL53" s="21"/>
      <c r="NM53" s="19"/>
      <c r="NV53" s="19"/>
      <c r="NW53" s="19"/>
      <c r="NX53" s="19"/>
      <c r="NY53" s="19"/>
      <c r="NZ53" s="21"/>
      <c r="OA53" s="19"/>
      <c r="OJ53" s="19"/>
      <c r="OK53" s="19"/>
      <c r="OL53" s="19"/>
      <c r="OM53" s="19"/>
      <c r="ON53" s="21"/>
      <c r="OO53" s="19"/>
      <c r="OX53" s="19"/>
      <c r="OY53" s="19"/>
      <c r="OZ53" s="19"/>
      <c r="PA53" s="19"/>
      <c r="PB53" s="21"/>
      <c r="PC53" s="19"/>
      <c r="PL53" s="19"/>
      <c r="PM53" s="19"/>
      <c r="PN53" s="19"/>
      <c r="PO53" s="19"/>
      <c r="PP53" s="21"/>
      <c r="PQ53" s="19"/>
      <c r="PZ53" s="19"/>
      <c r="QA53" s="19"/>
      <c r="QB53" s="19"/>
      <c r="QC53" s="19"/>
      <c r="QD53" s="21"/>
      <c r="QE53" s="19"/>
      <c r="QN53" s="19"/>
      <c r="QO53" s="19"/>
      <c r="QP53" s="19"/>
      <c r="QQ53" s="19"/>
      <c r="QR53" s="21"/>
      <c r="QS53" s="19"/>
      <c r="RB53" s="19"/>
      <c r="RC53" s="19"/>
      <c r="RD53" s="19"/>
      <c r="RE53" s="19"/>
      <c r="RF53" s="21"/>
      <c r="RG53" s="19"/>
      <c r="RP53" s="19"/>
      <c r="RQ53" s="19"/>
      <c r="RR53" s="19"/>
      <c r="RS53" s="19"/>
      <c r="RT53" s="21"/>
      <c r="RU53" s="19"/>
      <c r="SD53" s="19"/>
      <c r="SE53" s="19"/>
      <c r="SF53" s="19"/>
      <c r="SG53" s="19"/>
      <c r="SH53" s="21"/>
      <c r="SI53" s="19"/>
      <c r="SR53" s="19"/>
      <c r="SS53" s="19"/>
      <c r="ST53" s="19"/>
      <c r="SU53" s="19"/>
      <c r="SV53" s="21"/>
      <c r="SW53" s="19"/>
      <c r="TF53" s="19"/>
      <c r="TG53" s="19"/>
      <c r="TH53" s="19"/>
      <c r="TI53" s="19"/>
      <c r="TJ53" s="21"/>
      <c r="TK53" s="19"/>
      <c r="TT53" s="19"/>
      <c r="TU53" s="19"/>
      <c r="TV53" s="19"/>
      <c r="TW53" s="19"/>
      <c r="TX53" s="21"/>
      <c r="TY53" s="19"/>
      <c r="UH53" s="19"/>
      <c r="UI53" s="19"/>
      <c r="UJ53" s="19"/>
      <c r="UK53" s="19"/>
      <c r="UL53" s="21"/>
      <c r="UM53" s="19"/>
      <c r="UV53" s="19"/>
      <c r="UW53" s="19"/>
      <c r="UX53" s="19"/>
      <c r="UY53" s="19"/>
      <c r="UZ53" s="21"/>
      <c r="VA53" s="19"/>
      <c r="VJ53" s="19"/>
      <c r="VK53" s="19"/>
      <c r="VL53" s="19"/>
      <c r="VM53" s="19"/>
      <c r="VN53" s="21"/>
      <c r="VO53" s="19"/>
      <c r="VX53" s="19"/>
      <c r="VY53" s="19"/>
      <c r="VZ53" s="19"/>
      <c r="WA53" s="19"/>
      <c r="WB53" s="21"/>
      <c r="WC53" s="19"/>
      <c r="WL53" s="19"/>
      <c r="WM53" s="19"/>
      <c r="WN53" s="19"/>
      <c r="WO53" s="19"/>
      <c r="WP53" s="21"/>
      <c r="WQ53" s="19"/>
      <c r="WZ53" s="19"/>
      <c r="XA53" s="19"/>
      <c r="XB53" s="19"/>
      <c r="XC53" s="19"/>
      <c r="XD53" s="21"/>
      <c r="XE53" s="19"/>
      <c r="XN53" s="19"/>
      <c r="XO53" s="19"/>
      <c r="XP53" s="19"/>
      <c r="XQ53" s="19"/>
      <c r="XR53" s="21"/>
      <c r="XS53" s="19"/>
      <c r="YB53" s="19"/>
      <c r="YC53" s="19"/>
      <c r="YD53" s="19"/>
      <c r="YE53" s="19"/>
      <c r="YF53" s="21"/>
      <c r="YG53" s="19"/>
      <c r="YP53" s="19"/>
      <c r="YQ53" s="19"/>
      <c r="YR53" s="19"/>
      <c r="YS53" s="19"/>
      <c r="YT53" s="21"/>
      <c r="YU53" s="19"/>
      <c r="ZD53" s="19"/>
      <c r="ZE53" s="19"/>
      <c r="ZF53" s="19"/>
      <c r="ZG53" s="19"/>
      <c r="ZH53" s="21"/>
      <c r="ZI53" s="19"/>
      <c r="ZR53" s="19"/>
      <c r="ZS53" s="19"/>
      <c r="ZT53" s="19"/>
      <c r="ZU53" s="19"/>
      <c r="ZV53" s="21"/>
      <c r="ZW53" s="19"/>
      <c r="AAF53" s="19"/>
      <c r="AAG53" s="19"/>
      <c r="AAH53" s="19"/>
      <c r="AAI53" s="19"/>
      <c r="AAJ53" s="21"/>
      <c r="AAK53" s="19"/>
      <c r="AAT53" s="19"/>
      <c r="AAU53" s="19"/>
      <c r="AAV53" s="19"/>
      <c r="AAW53" s="19"/>
      <c r="AAX53" s="21"/>
      <c r="AAY53" s="19"/>
      <c r="ABH53" s="19"/>
      <c r="ABI53" s="19"/>
      <c r="ABJ53" s="19"/>
      <c r="ABK53" s="19"/>
      <c r="ABL53" s="21"/>
      <c r="ABM53" s="19"/>
      <c r="ABV53" s="19"/>
      <c r="ABW53" s="19"/>
      <c r="ABX53" s="19"/>
      <c r="ABY53" s="19"/>
      <c r="ABZ53" s="21"/>
      <c r="ACA53" s="19"/>
      <c r="ACJ53" s="19"/>
      <c r="ACK53" s="19"/>
      <c r="ACL53" s="19"/>
      <c r="ACM53" s="19"/>
      <c r="ACN53" s="21"/>
      <c r="ACO53" s="19"/>
      <c r="ACX53" s="19"/>
      <c r="ACY53" s="19"/>
      <c r="ACZ53" s="19"/>
      <c r="ADA53" s="19"/>
      <c r="ADB53" s="21"/>
      <c r="ADC53" s="19"/>
      <c r="ADL53" s="19"/>
      <c r="ADM53" s="19"/>
      <c r="ADN53" s="19"/>
      <c r="ADO53" s="19"/>
      <c r="ADP53" s="21"/>
      <c r="ADQ53" s="19"/>
      <c r="ADZ53" s="19"/>
      <c r="AEA53" s="19"/>
      <c r="AEB53" s="19"/>
      <c r="AEC53" s="19"/>
      <c r="AED53" s="21"/>
      <c r="AEE53" s="19"/>
      <c r="AEN53" s="19"/>
      <c r="AEO53" s="19"/>
      <c r="AEP53" s="19"/>
      <c r="AEQ53" s="19"/>
      <c r="AER53" s="21"/>
      <c r="AES53" s="19"/>
      <c r="AFB53" s="19"/>
      <c r="AFC53" s="19"/>
      <c r="AFD53" s="19"/>
      <c r="AFE53" s="19"/>
      <c r="AFF53" s="21"/>
      <c r="AFG53" s="19"/>
      <c r="AFP53" s="19"/>
      <c r="AFQ53" s="19"/>
      <c r="AFR53" s="19"/>
      <c r="AFS53" s="19"/>
      <c r="AFT53" s="21"/>
      <c r="AFU53" s="19"/>
      <c r="AGD53" s="19"/>
      <c r="AGE53" s="19"/>
      <c r="AGF53" s="19"/>
      <c r="AGG53" s="19"/>
      <c r="AGH53" s="21"/>
      <c r="AGI53" s="19"/>
      <c r="AGR53" s="19"/>
      <c r="AGS53" s="19"/>
      <c r="AGT53" s="19"/>
      <c r="AGU53" s="19"/>
      <c r="AGV53" s="21"/>
      <c r="AGW53" s="19"/>
      <c r="AHF53" s="19"/>
      <c r="AHG53" s="19"/>
      <c r="AHH53" s="19"/>
      <c r="AHI53" s="19"/>
      <c r="AHJ53" s="21"/>
      <c r="AHK53" s="19"/>
      <c r="AHT53" s="19"/>
      <c r="AHU53" s="19"/>
      <c r="AHV53" s="19"/>
      <c r="AHW53" s="19"/>
      <c r="AHX53" s="21"/>
      <c r="AHY53" s="19"/>
      <c r="AIH53" s="19"/>
      <c r="AII53" s="19"/>
      <c r="AIJ53" s="19"/>
      <c r="AIK53" s="19"/>
      <c r="AIL53" s="21"/>
      <c r="AIM53" s="19"/>
      <c r="AIV53" s="19"/>
      <c r="AIW53" s="19"/>
      <c r="AIX53" s="19"/>
      <c r="AIY53" s="19"/>
      <c r="AIZ53" s="21"/>
      <c r="AJA53" s="19"/>
      <c r="AJJ53" s="19"/>
      <c r="AJK53" s="19"/>
      <c r="AJL53" s="19"/>
      <c r="AJM53" s="19"/>
      <c r="AJN53" s="21"/>
      <c r="AJO53" s="19"/>
      <c r="AJX53" s="19"/>
      <c r="AJY53" s="19"/>
      <c r="AJZ53" s="19"/>
      <c r="AKA53" s="19"/>
      <c r="AKB53" s="21"/>
      <c r="AKC53" s="19"/>
      <c r="AKL53" s="19"/>
      <c r="AKM53" s="19"/>
      <c r="AKN53" s="19"/>
      <c r="AKO53" s="19"/>
      <c r="AKP53" s="21"/>
      <c r="AKQ53" s="19"/>
      <c r="AKZ53" s="19"/>
      <c r="ALA53" s="19"/>
      <c r="ALB53" s="19"/>
      <c r="ALC53" s="19"/>
      <c r="ALD53" s="21"/>
      <c r="ALE53" s="19"/>
      <c r="ALN53" s="19"/>
      <c r="ALO53" s="19"/>
      <c r="ALP53" s="19"/>
      <c r="ALQ53" s="19"/>
      <c r="ALR53" s="21"/>
      <c r="ALS53" s="19"/>
      <c r="AMB53" s="19"/>
      <c r="AMC53" s="19"/>
      <c r="AMD53" s="19"/>
      <c r="AME53" s="19"/>
      <c r="AMF53" s="21"/>
      <c r="AMG53" s="19"/>
      <c r="AMP53" s="19"/>
      <c r="AMQ53" s="19"/>
      <c r="AMR53" s="19"/>
      <c r="AMS53" s="19"/>
      <c r="AMT53" s="21"/>
      <c r="AMU53" s="19"/>
      <c r="AND53" s="19"/>
      <c r="ANE53" s="19"/>
      <c r="ANF53" s="19"/>
      <c r="ANG53" s="19"/>
      <c r="ANH53" s="21"/>
      <c r="ANI53" s="19"/>
      <c r="ANR53" s="19"/>
      <c r="ANS53" s="19"/>
      <c r="ANT53" s="19"/>
      <c r="ANU53" s="19"/>
      <c r="ANV53" s="21"/>
      <c r="ANW53" s="19"/>
      <c r="AOF53" s="19"/>
      <c r="AOG53" s="19"/>
      <c r="AOH53" s="19"/>
      <c r="AOI53" s="19"/>
      <c r="AOJ53" s="21"/>
      <c r="AOK53" s="19"/>
      <c r="AOT53" s="19"/>
      <c r="AOU53" s="19"/>
      <c r="AOV53" s="19"/>
      <c r="AOW53" s="19"/>
      <c r="AOX53" s="21"/>
      <c r="AOY53" s="19"/>
      <c r="APH53" s="19"/>
      <c r="API53" s="19"/>
      <c r="APJ53" s="19"/>
      <c r="APK53" s="19"/>
      <c r="APL53" s="21"/>
      <c r="APM53" s="19"/>
      <c r="APV53" s="19"/>
      <c r="APW53" s="19"/>
      <c r="APX53" s="19"/>
      <c r="APY53" s="19"/>
      <c r="APZ53" s="21"/>
      <c r="AQA53" s="19"/>
      <c r="AQJ53" s="19"/>
      <c r="AQK53" s="19"/>
      <c r="AQL53" s="19"/>
      <c r="AQM53" s="19"/>
      <c r="AQN53" s="21"/>
      <c r="AQO53" s="19"/>
      <c r="AQX53" s="19"/>
      <c r="AQY53" s="19"/>
      <c r="AQZ53" s="19"/>
      <c r="ARA53" s="19"/>
      <c r="ARB53" s="21"/>
      <c r="ARC53" s="19"/>
      <c r="ARL53" s="19"/>
      <c r="ARM53" s="19"/>
      <c r="ARN53" s="19"/>
      <c r="ARO53" s="19"/>
      <c r="ARP53" s="21"/>
      <c r="ARQ53" s="19"/>
      <c r="ARZ53" s="19"/>
      <c r="ASA53" s="19"/>
      <c r="ASB53" s="19"/>
      <c r="ASC53" s="19"/>
      <c r="ASD53" s="21"/>
      <c r="ASE53" s="19"/>
      <c r="ASN53" s="19"/>
      <c r="ASO53" s="19"/>
      <c r="ASP53" s="19"/>
      <c r="ASQ53" s="19"/>
      <c r="ASR53" s="21"/>
      <c r="ASS53" s="19"/>
      <c r="ATB53" s="19"/>
      <c r="ATC53" s="19"/>
      <c r="ATD53" s="19"/>
      <c r="ATE53" s="19"/>
      <c r="ATF53" s="21"/>
      <c r="ATG53" s="19"/>
      <c r="ATP53" s="19"/>
      <c r="ATQ53" s="19"/>
      <c r="ATR53" s="19"/>
      <c r="ATS53" s="19"/>
      <c r="ATT53" s="21"/>
      <c r="ATU53" s="19"/>
      <c r="AUD53" s="19"/>
      <c r="AUE53" s="19"/>
      <c r="AUF53" s="19"/>
      <c r="AUG53" s="19"/>
      <c r="AUH53" s="21"/>
      <c r="AUI53" s="19"/>
      <c r="AUR53" s="19"/>
      <c r="AUS53" s="19"/>
      <c r="AUT53" s="19"/>
      <c r="AUU53" s="19"/>
      <c r="AUV53" s="21"/>
      <c r="AUW53" s="19"/>
      <c r="AVF53" s="19"/>
      <c r="AVG53" s="19"/>
      <c r="AVH53" s="19"/>
      <c r="AVI53" s="19"/>
      <c r="AVJ53" s="21"/>
      <c r="AVK53" s="19"/>
      <c r="AVT53" s="19"/>
      <c r="AVU53" s="19"/>
      <c r="AVV53" s="19"/>
      <c r="AVW53" s="19"/>
      <c r="AVX53" s="21"/>
      <c r="AVY53" s="19"/>
      <c r="AWH53" s="19"/>
      <c r="AWI53" s="19"/>
      <c r="AWJ53" s="19"/>
      <c r="AWK53" s="19"/>
      <c r="AWL53" s="21"/>
      <c r="AWM53" s="19"/>
      <c r="AWV53" s="19"/>
      <c r="AWW53" s="19"/>
      <c r="AWX53" s="19"/>
      <c r="AWY53" s="19"/>
      <c r="AWZ53" s="21"/>
      <c r="AXA53" s="19"/>
      <c r="AXJ53" s="19"/>
      <c r="AXK53" s="19"/>
      <c r="AXL53" s="19"/>
      <c r="AXM53" s="19"/>
      <c r="AXN53" s="21"/>
      <c r="AXO53" s="19"/>
      <c r="AXX53" s="19"/>
      <c r="AXY53" s="19"/>
      <c r="AXZ53" s="19"/>
      <c r="AYA53" s="19"/>
      <c r="AYB53" s="21"/>
      <c r="AYC53" s="19"/>
      <c r="AYL53" s="19"/>
      <c r="AYM53" s="19"/>
      <c r="AYN53" s="19"/>
      <c r="AYO53" s="19"/>
      <c r="AYP53" s="21"/>
      <c r="AYQ53" s="19"/>
      <c r="AYZ53" s="19"/>
      <c r="AZA53" s="19"/>
      <c r="AZB53" s="19"/>
      <c r="AZC53" s="19"/>
      <c r="AZD53" s="21"/>
      <c r="AZE53" s="19"/>
      <c r="AZN53" s="19"/>
      <c r="AZO53" s="19"/>
      <c r="AZP53" s="19"/>
      <c r="AZQ53" s="19"/>
      <c r="AZR53" s="21"/>
      <c r="AZS53" s="19"/>
      <c r="BAB53" s="19"/>
      <c r="BAC53" s="19"/>
      <c r="BAD53" s="19"/>
      <c r="BAE53" s="19"/>
      <c r="BAF53" s="21"/>
      <c r="BAG53" s="19"/>
      <c r="BAP53" s="19"/>
      <c r="BAQ53" s="19"/>
      <c r="BAR53" s="19"/>
      <c r="BAS53" s="19"/>
      <c r="BAT53" s="21"/>
      <c r="BAU53" s="19"/>
      <c r="BBD53" s="19"/>
      <c r="BBE53" s="19"/>
      <c r="BBF53" s="19"/>
      <c r="BBG53" s="19"/>
      <c r="BBH53" s="21"/>
      <c r="BBI53" s="19"/>
      <c r="BBR53" s="19"/>
      <c r="BBS53" s="19"/>
      <c r="BBT53" s="19"/>
      <c r="BBU53" s="19"/>
      <c r="BBV53" s="21"/>
      <c r="BBW53" s="19"/>
      <c r="BCF53" s="19"/>
      <c r="BCG53" s="19"/>
      <c r="BCH53" s="19"/>
      <c r="BCI53" s="19"/>
      <c r="BCJ53" s="21"/>
      <c r="BCK53" s="19"/>
      <c r="BCT53" s="19"/>
      <c r="BCU53" s="19"/>
      <c r="BCV53" s="19"/>
      <c r="BCW53" s="19"/>
      <c r="BCX53" s="21"/>
      <c r="BCY53" s="19"/>
      <c r="BDH53" s="19"/>
      <c r="BDI53" s="19"/>
      <c r="BDJ53" s="19"/>
      <c r="BDK53" s="19"/>
      <c r="BDL53" s="21"/>
      <c r="BDM53" s="19"/>
      <c r="BDV53" s="19"/>
      <c r="BDW53" s="19"/>
      <c r="BDX53" s="19"/>
      <c r="BDY53" s="19"/>
      <c r="BDZ53" s="21"/>
      <c r="BEA53" s="19"/>
      <c r="BEJ53" s="19"/>
      <c r="BEK53" s="19"/>
      <c r="BEL53" s="19"/>
      <c r="BEM53" s="19"/>
      <c r="BEN53" s="21"/>
      <c r="BEO53" s="19"/>
      <c r="BEX53" s="19"/>
      <c r="BEY53" s="19"/>
      <c r="BEZ53" s="19"/>
      <c r="BFA53" s="19"/>
      <c r="BFB53" s="21"/>
      <c r="BFC53" s="19"/>
      <c r="BFL53" s="19"/>
      <c r="BFM53" s="19"/>
      <c r="BFN53" s="19"/>
      <c r="BFO53" s="19"/>
      <c r="BFP53" s="21"/>
      <c r="BFQ53" s="19"/>
      <c r="BFZ53" s="19"/>
      <c r="BGA53" s="19"/>
      <c r="BGB53" s="19"/>
      <c r="BGC53" s="19"/>
      <c r="BGD53" s="21"/>
      <c r="BGE53" s="19"/>
      <c r="BGN53" s="19"/>
      <c r="BGO53" s="19"/>
      <c r="BGP53" s="19"/>
      <c r="BGQ53" s="19"/>
      <c r="BGR53" s="21"/>
      <c r="BGS53" s="19"/>
      <c r="BHB53" s="19"/>
      <c r="BHC53" s="19"/>
      <c r="BHD53" s="19"/>
      <c r="BHE53" s="19"/>
      <c r="BHF53" s="21"/>
      <c r="BHG53" s="19"/>
      <c r="BHP53" s="19"/>
      <c r="BHQ53" s="19"/>
      <c r="BHR53" s="19"/>
      <c r="BHS53" s="19"/>
      <c r="BHT53" s="21"/>
      <c r="BHU53" s="19"/>
      <c r="BID53" s="19"/>
      <c r="BIE53" s="19"/>
      <c r="BIF53" s="19"/>
      <c r="BIG53" s="19"/>
      <c r="BIH53" s="21"/>
      <c r="BII53" s="19"/>
      <c r="BIR53" s="19"/>
      <c r="BIS53" s="19"/>
      <c r="BIT53" s="19"/>
      <c r="BIU53" s="19"/>
      <c r="BIV53" s="21"/>
      <c r="BIW53" s="19"/>
      <c r="BJF53" s="19"/>
      <c r="BJG53" s="19"/>
      <c r="BJH53" s="19"/>
      <c r="BJI53" s="19"/>
      <c r="BJJ53" s="21"/>
      <c r="BJK53" s="19"/>
      <c r="BJT53" s="19"/>
      <c r="BJU53" s="19"/>
      <c r="BJV53" s="19"/>
      <c r="BJW53" s="19"/>
      <c r="BJX53" s="21"/>
      <c r="BJY53" s="19"/>
      <c r="BKH53" s="19"/>
      <c r="BKI53" s="19"/>
      <c r="BKJ53" s="19"/>
      <c r="BKK53" s="19"/>
      <c r="BKL53" s="21"/>
      <c r="BKM53" s="19"/>
      <c r="BKV53" s="19"/>
      <c r="BKW53" s="19"/>
      <c r="BKX53" s="19"/>
      <c r="BKY53" s="19"/>
      <c r="BKZ53" s="21"/>
      <c r="BLA53" s="19"/>
      <c r="BLJ53" s="19"/>
      <c r="BLK53" s="19"/>
      <c r="BLL53" s="19"/>
      <c r="BLM53" s="19"/>
      <c r="BLN53" s="21"/>
      <c r="BLO53" s="19"/>
      <c r="BLX53" s="19"/>
      <c r="BLY53" s="19"/>
      <c r="BLZ53" s="19"/>
      <c r="BMA53" s="19"/>
      <c r="BMB53" s="21"/>
      <c r="BMC53" s="19"/>
      <c r="BML53" s="19"/>
      <c r="BMM53" s="19"/>
      <c r="BMN53" s="19"/>
      <c r="BMO53" s="19"/>
      <c r="BMP53" s="21"/>
      <c r="BMQ53" s="19"/>
      <c r="BMZ53" s="19"/>
      <c r="BNA53" s="19"/>
      <c r="BNB53" s="19"/>
      <c r="BNC53" s="19"/>
      <c r="BND53" s="21"/>
      <c r="BNE53" s="19"/>
      <c r="BNN53" s="19"/>
      <c r="BNO53" s="19"/>
      <c r="BNP53" s="19"/>
      <c r="BNQ53" s="19"/>
      <c r="BNR53" s="21"/>
      <c r="BNS53" s="19"/>
      <c r="BOB53" s="19"/>
      <c r="BOC53" s="19"/>
      <c r="BOD53" s="19"/>
      <c r="BOE53" s="19"/>
      <c r="BOF53" s="21"/>
      <c r="BOG53" s="19"/>
      <c r="BOP53" s="19"/>
      <c r="BOQ53" s="19"/>
      <c r="BOR53" s="19"/>
      <c r="BOS53" s="19"/>
      <c r="BOT53" s="21"/>
      <c r="BOU53" s="19"/>
      <c r="BPD53" s="19"/>
      <c r="BPE53" s="19"/>
      <c r="BPF53" s="19"/>
      <c r="BPG53" s="19"/>
      <c r="BPH53" s="21"/>
      <c r="BPI53" s="19"/>
      <c r="BPR53" s="19"/>
      <c r="BPS53" s="19"/>
      <c r="BPT53" s="19"/>
      <c r="BPU53" s="19"/>
      <c r="BPV53" s="21"/>
      <c r="BPW53" s="19"/>
      <c r="BQF53" s="19"/>
      <c r="BQG53" s="19"/>
      <c r="BQH53" s="19"/>
      <c r="BQI53" s="19"/>
      <c r="BQJ53" s="21"/>
      <c r="BQK53" s="19"/>
      <c r="BQT53" s="19"/>
      <c r="BQU53" s="19"/>
      <c r="BQV53" s="19"/>
      <c r="BQW53" s="19"/>
      <c r="BQX53" s="21"/>
      <c r="BQY53" s="19"/>
      <c r="BRH53" s="19"/>
      <c r="BRI53" s="19"/>
      <c r="BRJ53" s="19"/>
      <c r="BRK53" s="19"/>
      <c r="BRL53" s="21"/>
      <c r="BRM53" s="19"/>
      <c r="BRV53" s="19"/>
      <c r="BRW53" s="19"/>
      <c r="BRX53" s="19"/>
      <c r="BRY53" s="19"/>
      <c r="BRZ53" s="21"/>
      <c r="BSA53" s="19"/>
      <c r="BSJ53" s="19"/>
      <c r="BSK53" s="19"/>
      <c r="BSL53" s="19"/>
      <c r="BSM53" s="19"/>
      <c r="BSN53" s="21"/>
      <c r="BSO53" s="19"/>
      <c r="BSX53" s="19"/>
      <c r="BSY53" s="19"/>
      <c r="BSZ53" s="19"/>
      <c r="BTA53" s="19"/>
      <c r="BTB53" s="21"/>
      <c r="BTC53" s="19"/>
      <c r="BTL53" s="19"/>
      <c r="BTM53" s="19"/>
      <c r="BTN53" s="19"/>
      <c r="BTO53" s="19"/>
      <c r="BTP53" s="21"/>
      <c r="BTQ53" s="19"/>
      <c r="BTZ53" s="19"/>
      <c r="BUA53" s="19"/>
      <c r="BUB53" s="19"/>
      <c r="BUC53" s="19"/>
      <c r="BUD53" s="21"/>
      <c r="BUE53" s="19"/>
      <c r="BUN53" s="19"/>
      <c r="BUO53" s="19"/>
      <c r="BUP53" s="19"/>
      <c r="BUQ53" s="19"/>
      <c r="BUR53" s="21"/>
      <c r="BUS53" s="19"/>
      <c r="BVB53" s="19"/>
      <c r="BVC53" s="19"/>
      <c r="BVD53" s="19"/>
      <c r="BVE53" s="19"/>
      <c r="BVF53" s="21"/>
      <c r="BVG53" s="19"/>
      <c r="BVP53" s="19"/>
      <c r="BVQ53" s="19"/>
      <c r="BVR53" s="19"/>
      <c r="BVS53" s="19"/>
      <c r="BVT53" s="21"/>
      <c r="BVU53" s="19"/>
      <c r="BWD53" s="19"/>
      <c r="BWE53" s="19"/>
      <c r="BWF53" s="19"/>
      <c r="BWG53" s="19"/>
      <c r="BWH53" s="21"/>
      <c r="BWI53" s="19"/>
      <c r="BWR53" s="19"/>
      <c r="BWS53" s="19"/>
      <c r="BWT53" s="19"/>
      <c r="BWU53" s="19"/>
      <c r="BWV53" s="21"/>
      <c r="BWW53" s="19"/>
      <c r="BXF53" s="19"/>
      <c r="BXG53" s="19"/>
      <c r="BXH53" s="19"/>
      <c r="BXI53" s="19"/>
      <c r="BXJ53" s="21"/>
      <c r="BXK53" s="19"/>
      <c r="BXT53" s="19"/>
      <c r="BXU53" s="19"/>
      <c r="BXV53" s="19"/>
      <c r="BXW53" s="19"/>
      <c r="BXX53" s="21"/>
      <c r="BXY53" s="19"/>
      <c r="BYH53" s="19"/>
      <c r="BYI53" s="19"/>
      <c r="BYJ53" s="19"/>
      <c r="BYK53" s="19"/>
      <c r="BYL53" s="21"/>
      <c r="BYM53" s="19"/>
      <c r="BYV53" s="19"/>
      <c r="BYW53" s="19"/>
      <c r="BYX53" s="19"/>
      <c r="BYY53" s="19"/>
      <c r="BYZ53" s="21"/>
      <c r="BZA53" s="19"/>
      <c r="BZJ53" s="19"/>
      <c r="BZK53" s="19"/>
      <c r="BZL53" s="19"/>
      <c r="BZM53" s="19"/>
      <c r="BZN53" s="21"/>
      <c r="BZO53" s="19"/>
      <c r="BZX53" s="19"/>
      <c r="BZY53" s="19"/>
      <c r="BZZ53" s="19"/>
      <c r="CAA53" s="19"/>
      <c r="CAB53" s="21"/>
      <c r="CAC53" s="19"/>
      <c r="CAL53" s="19"/>
      <c r="CAM53" s="19"/>
      <c r="CAN53" s="19"/>
      <c r="CAO53" s="19"/>
      <c r="CAP53" s="21"/>
      <c r="CAQ53" s="19"/>
      <c r="CAZ53" s="19"/>
      <c r="CBA53" s="19"/>
      <c r="CBB53" s="19"/>
      <c r="CBC53" s="19"/>
      <c r="CBD53" s="21"/>
      <c r="CBE53" s="19"/>
      <c r="CBN53" s="19"/>
      <c r="CBO53" s="19"/>
      <c r="CBP53" s="19"/>
      <c r="CBQ53" s="19"/>
      <c r="CBR53" s="21"/>
      <c r="CBS53" s="19"/>
      <c r="CCB53" s="19"/>
      <c r="CCC53" s="19"/>
      <c r="CCD53" s="19"/>
      <c r="CCE53" s="19"/>
      <c r="CCF53" s="21"/>
      <c r="CCG53" s="19"/>
      <c r="CCP53" s="19"/>
      <c r="CCQ53" s="19"/>
      <c r="CCR53" s="19"/>
      <c r="CCS53" s="19"/>
      <c r="CCT53" s="21"/>
      <c r="CCU53" s="19"/>
      <c r="CDD53" s="19"/>
      <c r="CDE53" s="19"/>
      <c r="CDF53" s="19"/>
      <c r="CDG53" s="19"/>
      <c r="CDH53" s="21"/>
      <c r="CDI53" s="19"/>
      <c r="CDR53" s="19"/>
      <c r="CDS53" s="19"/>
      <c r="CDT53" s="19"/>
      <c r="CDU53" s="19"/>
      <c r="CDV53" s="21"/>
      <c r="CDW53" s="19"/>
      <c r="CEF53" s="19"/>
      <c r="CEG53" s="19"/>
      <c r="CEH53" s="19"/>
      <c r="CEI53" s="19"/>
      <c r="CEJ53" s="21"/>
      <c r="CEK53" s="19"/>
      <c r="CET53" s="19"/>
      <c r="CEU53" s="19"/>
      <c r="CEV53" s="19"/>
      <c r="CEW53" s="19"/>
      <c r="CEX53" s="21"/>
      <c r="CEY53" s="19"/>
      <c r="CFH53" s="19"/>
      <c r="CFI53" s="19"/>
      <c r="CFJ53" s="19"/>
      <c r="CFK53" s="19"/>
      <c r="CFL53" s="21"/>
      <c r="CFM53" s="19"/>
      <c r="CFV53" s="19"/>
      <c r="CFW53" s="19"/>
      <c r="CFX53" s="19"/>
      <c r="CFY53" s="19"/>
      <c r="CFZ53" s="21"/>
      <c r="CGA53" s="19"/>
      <c r="CGJ53" s="19"/>
      <c r="CGK53" s="19"/>
      <c r="CGL53" s="19"/>
      <c r="CGM53" s="19"/>
      <c r="CGN53" s="21"/>
      <c r="CGO53" s="19"/>
      <c r="CGX53" s="19"/>
      <c r="CGY53" s="19"/>
      <c r="CGZ53" s="19"/>
      <c r="CHA53" s="19"/>
      <c r="CHB53" s="21"/>
      <c r="CHC53" s="19"/>
      <c r="CHL53" s="19"/>
      <c r="CHM53" s="19"/>
      <c r="CHN53" s="19"/>
      <c r="CHO53" s="19"/>
      <c r="CHP53" s="21"/>
      <c r="CHQ53" s="19"/>
      <c r="CHZ53" s="19"/>
      <c r="CIA53" s="19"/>
      <c r="CIB53" s="19"/>
      <c r="CIC53" s="19"/>
      <c r="CID53" s="21"/>
      <c r="CIE53" s="19"/>
      <c r="CIN53" s="19"/>
      <c r="CIO53" s="19"/>
      <c r="CIP53" s="19"/>
      <c r="CIQ53" s="19"/>
      <c r="CIR53" s="21"/>
      <c r="CIS53" s="19"/>
      <c r="CJB53" s="19"/>
      <c r="CJC53" s="19"/>
      <c r="CJD53" s="19"/>
      <c r="CJE53" s="19"/>
      <c r="CJF53" s="21"/>
      <c r="CJG53" s="19"/>
      <c r="CJP53" s="19"/>
      <c r="CJQ53" s="19"/>
      <c r="CJR53" s="19"/>
      <c r="CJS53" s="19"/>
      <c r="CJT53" s="21"/>
      <c r="CJU53" s="19"/>
      <c r="CKD53" s="19"/>
      <c r="CKE53" s="19"/>
      <c r="CKF53" s="19"/>
      <c r="CKG53" s="19"/>
      <c r="CKH53" s="21"/>
      <c r="CKI53" s="19"/>
      <c r="CKR53" s="19"/>
      <c r="CKS53" s="19"/>
      <c r="CKT53" s="19"/>
      <c r="CKU53" s="19"/>
      <c r="CKV53" s="21"/>
      <c r="CKW53" s="19"/>
      <c r="CLF53" s="19"/>
      <c r="CLG53" s="19"/>
      <c r="CLH53" s="19"/>
      <c r="CLI53" s="19"/>
      <c r="CLJ53" s="21"/>
      <c r="CLK53" s="19"/>
      <c r="CLT53" s="19"/>
      <c r="CLU53" s="19"/>
      <c r="CLV53" s="19"/>
      <c r="CLW53" s="19"/>
      <c r="CLX53" s="21"/>
      <c r="CLY53" s="19"/>
      <c r="CMH53" s="19"/>
      <c r="CMI53" s="19"/>
      <c r="CMJ53" s="19"/>
      <c r="CMK53" s="19"/>
      <c r="CML53" s="21"/>
      <c r="CMM53" s="19"/>
      <c r="CMV53" s="19"/>
      <c r="CMW53" s="19"/>
      <c r="CMX53" s="19"/>
      <c r="CMY53" s="19"/>
      <c r="CMZ53" s="21"/>
      <c r="CNA53" s="19"/>
      <c r="CNJ53" s="19"/>
      <c r="CNK53" s="19"/>
      <c r="CNL53" s="19"/>
      <c r="CNM53" s="19"/>
      <c r="CNN53" s="21"/>
      <c r="CNO53" s="19"/>
      <c r="CNX53" s="19"/>
      <c r="CNY53" s="19"/>
      <c r="CNZ53" s="19"/>
      <c r="COA53" s="19"/>
      <c r="COB53" s="21"/>
      <c r="COC53" s="19"/>
      <c r="COL53" s="19"/>
      <c r="COM53" s="19"/>
      <c r="CON53" s="19"/>
      <c r="COO53" s="19"/>
      <c r="COP53" s="21"/>
      <c r="COQ53" s="19"/>
      <c r="COZ53" s="19"/>
      <c r="CPA53" s="19"/>
      <c r="CPB53" s="19"/>
      <c r="CPC53" s="19"/>
      <c r="CPD53" s="21"/>
      <c r="CPE53" s="19"/>
      <c r="CPN53" s="19"/>
      <c r="CPO53" s="19"/>
      <c r="CPP53" s="19"/>
      <c r="CPQ53" s="19"/>
      <c r="CPR53" s="21"/>
      <c r="CPS53" s="19"/>
      <c r="CQB53" s="19"/>
      <c r="CQC53" s="19"/>
      <c r="CQD53" s="19"/>
      <c r="CQE53" s="19"/>
      <c r="CQF53" s="21"/>
      <c r="CQG53" s="19"/>
      <c r="CQP53" s="19"/>
      <c r="CQQ53" s="19"/>
      <c r="CQR53" s="19"/>
      <c r="CQS53" s="19"/>
      <c r="CQT53" s="21"/>
      <c r="CQU53" s="19"/>
      <c r="CRD53" s="19"/>
      <c r="CRE53" s="19"/>
      <c r="CRF53" s="19"/>
      <c r="CRG53" s="19"/>
      <c r="CRH53" s="21"/>
      <c r="CRI53" s="19"/>
      <c r="CRR53" s="19"/>
      <c r="CRS53" s="19"/>
      <c r="CRT53" s="19"/>
      <c r="CRU53" s="19"/>
      <c r="CRV53" s="21"/>
      <c r="CRW53" s="19"/>
      <c r="CSF53" s="19"/>
      <c r="CSG53" s="19"/>
      <c r="CSH53" s="19"/>
      <c r="CSI53" s="19"/>
      <c r="CSJ53" s="21"/>
      <c r="CSK53" s="19"/>
      <c r="CST53" s="19"/>
      <c r="CSU53" s="19"/>
      <c r="CSV53" s="19"/>
      <c r="CSW53" s="19"/>
      <c r="CSX53" s="21"/>
      <c r="CSY53" s="19"/>
      <c r="CTH53" s="19"/>
      <c r="CTI53" s="19"/>
      <c r="CTJ53" s="19"/>
      <c r="CTK53" s="19"/>
      <c r="CTL53" s="21"/>
      <c r="CTM53" s="19"/>
      <c r="CTV53" s="19"/>
      <c r="CTW53" s="19"/>
      <c r="CTX53" s="19"/>
      <c r="CTY53" s="19"/>
      <c r="CTZ53" s="21"/>
      <c r="CUA53" s="19"/>
      <c r="CUJ53" s="19"/>
      <c r="CUK53" s="19"/>
      <c r="CUL53" s="19"/>
      <c r="CUM53" s="19"/>
      <c r="CUN53" s="21"/>
      <c r="CUO53" s="19"/>
      <c r="CUX53" s="19"/>
      <c r="CUY53" s="19"/>
      <c r="CUZ53" s="19"/>
      <c r="CVA53" s="19"/>
      <c r="CVB53" s="21"/>
      <c r="CVC53" s="19"/>
      <c r="CVL53" s="19"/>
      <c r="CVM53" s="19"/>
      <c r="CVN53" s="19"/>
      <c r="CVO53" s="19"/>
      <c r="CVP53" s="21"/>
      <c r="CVQ53" s="19"/>
      <c r="CVZ53" s="19"/>
      <c r="CWA53" s="19"/>
      <c r="CWB53" s="19"/>
      <c r="CWC53" s="19"/>
      <c r="CWD53" s="21"/>
      <c r="CWE53" s="19"/>
      <c r="CWN53" s="19"/>
      <c r="CWO53" s="19"/>
      <c r="CWP53" s="19"/>
      <c r="CWQ53" s="19"/>
      <c r="CWR53" s="21"/>
      <c r="CWS53" s="19"/>
      <c r="CXB53" s="19"/>
      <c r="CXC53" s="19"/>
      <c r="CXD53" s="19"/>
      <c r="CXE53" s="19"/>
      <c r="CXF53" s="21"/>
      <c r="CXG53" s="19"/>
      <c r="CXP53" s="19"/>
      <c r="CXQ53" s="19"/>
      <c r="CXR53" s="19"/>
      <c r="CXS53" s="19"/>
      <c r="CXT53" s="21"/>
      <c r="CXU53" s="19"/>
      <c r="CYD53" s="19"/>
      <c r="CYE53" s="19"/>
      <c r="CYF53" s="19"/>
      <c r="CYG53" s="19"/>
      <c r="CYH53" s="21"/>
      <c r="CYI53" s="19"/>
      <c r="CYR53" s="19"/>
      <c r="CYS53" s="19"/>
      <c r="CYT53" s="19"/>
      <c r="CYU53" s="19"/>
      <c r="CYV53" s="21"/>
      <c r="CYW53" s="19"/>
      <c r="CZF53" s="19"/>
      <c r="CZG53" s="19"/>
      <c r="CZH53" s="19"/>
      <c r="CZI53" s="19"/>
      <c r="CZJ53" s="21"/>
      <c r="CZK53" s="19"/>
      <c r="CZT53" s="19"/>
      <c r="CZU53" s="19"/>
      <c r="CZV53" s="19"/>
      <c r="CZW53" s="19"/>
      <c r="CZX53" s="21"/>
      <c r="CZY53" s="19"/>
      <c r="DAH53" s="19"/>
      <c r="DAI53" s="19"/>
      <c r="DAJ53" s="19"/>
      <c r="DAK53" s="19"/>
      <c r="DAL53" s="21"/>
      <c r="DAM53" s="19"/>
      <c r="DAV53" s="19"/>
      <c r="DAW53" s="19"/>
      <c r="DAX53" s="19"/>
      <c r="DAY53" s="19"/>
      <c r="DAZ53" s="21"/>
      <c r="DBA53" s="19"/>
      <c r="DBJ53" s="19"/>
      <c r="DBK53" s="19"/>
      <c r="DBL53" s="19"/>
      <c r="DBM53" s="19"/>
      <c r="DBN53" s="21"/>
      <c r="DBO53" s="19"/>
      <c r="DBX53" s="19"/>
      <c r="DBY53" s="19"/>
      <c r="DBZ53" s="19"/>
      <c r="DCA53" s="19"/>
      <c r="DCB53" s="21"/>
      <c r="DCC53" s="19"/>
      <c r="DCL53" s="19"/>
      <c r="DCM53" s="19"/>
      <c r="DCN53" s="19"/>
      <c r="DCO53" s="19"/>
      <c r="DCP53" s="21"/>
      <c r="DCQ53" s="19"/>
      <c r="DCZ53" s="19"/>
      <c r="DDA53" s="19"/>
      <c r="DDB53" s="19"/>
      <c r="DDC53" s="19"/>
      <c r="DDD53" s="21"/>
      <c r="DDE53" s="19"/>
      <c r="DDN53" s="19"/>
      <c r="DDO53" s="19"/>
      <c r="DDP53" s="19"/>
      <c r="DDQ53" s="19"/>
      <c r="DDR53" s="21"/>
      <c r="DDS53" s="19"/>
      <c r="DEB53" s="19"/>
      <c r="DEC53" s="19"/>
      <c r="DED53" s="19"/>
      <c r="DEE53" s="19"/>
      <c r="DEF53" s="21"/>
      <c r="DEG53" s="19"/>
      <c r="DEP53" s="19"/>
      <c r="DEQ53" s="19"/>
      <c r="DER53" s="19"/>
      <c r="DES53" s="19"/>
      <c r="DET53" s="21"/>
      <c r="DEU53" s="19"/>
      <c r="DFD53" s="19"/>
      <c r="DFE53" s="19"/>
      <c r="DFF53" s="19"/>
      <c r="DFG53" s="19"/>
      <c r="DFH53" s="21"/>
      <c r="DFI53" s="19"/>
      <c r="DFR53" s="19"/>
      <c r="DFS53" s="19"/>
      <c r="DFT53" s="19"/>
      <c r="DFU53" s="19"/>
      <c r="DFV53" s="21"/>
      <c r="DFW53" s="19"/>
      <c r="DGF53" s="19"/>
      <c r="DGG53" s="19"/>
      <c r="DGH53" s="19"/>
      <c r="DGI53" s="19"/>
      <c r="DGJ53" s="21"/>
      <c r="DGK53" s="19"/>
      <c r="DGT53" s="19"/>
      <c r="DGU53" s="19"/>
      <c r="DGV53" s="19"/>
      <c r="DGW53" s="19"/>
      <c r="DGX53" s="21"/>
      <c r="DGY53" s="19"/>
      <c r="DHH53" s="19"/>
      <c r="DHI53" s="19"/>
      <c r="DHJ53" s="19"/>
      <c r="DHK53" s="19"/>
      <c r="DHL53" s="21"/>
      <c r="DHM53" s="19"/>
      <c r="DHV53" s="19"/>
      <c r="DHW53" s="19"/>
      <c r="DHX53" s="19"/>
      <c r="DHY53" s="19"/>
      <c r="DHZ53" s="21"/>
      <c r="DIA53" s="19"/>
      <c r="DIJ53" s="19"/>
      <c r="DIK53" s="19"/>
      <c r="DIL53" s="19"/>
      <c r="DIM53" s="19"/>
      <c r="DIN53" s="21"/>
      <c r="DIO53" s="19"/>
      <c r="DIX53" s="19"/>
      <c r="DIY53" s="19"/>
      <c r="DIZ53" s="19"/>
      <c r="DJA53" s="19"/>
      <c r="DJB53" s="21"/>
      <c r="DJC53" s="19"/>
      <c r="DJL53" s="19"/>
      <c r="DJM53" s="19"/>
      <c r="DJN53" s="19"/>
      <c r="DJO53" s="19"/>
      <c r="DJP53" s="21"/>
      <c r="DJQ53" s="19"/>
      <c r="DJZ53" s="19"/>
      <c r="DKA53" s="19"/>
      <c r="DKB53" s="19"/>
      <c r="DKC53" s="19"/>
      <c r="DKD53" s="21"/>
      <c r="DKE53" s="19"/>
      <c r="DKN53" s="19"/>
      <c r="DKO53" s="19"/>
      <c r="DKP53" s="19"/>
      <c r="DKQ53" s="19"/>
      <c r="DKR53" s="21"/>
      <c r="DKS53" s="19"/>
      <c r="DLB53" s="19"/>
      <c r="DLC53" s="19"/>
      <c r="DLD53" s="19"/>
      <c r="DLE53" s="19"/>
      <c r="DLF53" s="21"/>
      <c r="DLG53" s="19"/>
      <c r="DLP53" s="19"/>
      <c r="DLQ53" s="19"/>
      <c r="DLR53" s="19"/>
      <c r="DLS53" s="19"/>
      <c r="DLT53" s="21"/>
      <c r="DLU53" s="19"/>
      <c r="DMD53" s="19"/>
      <c r="DME53" s="19"/>
      <c r="DMF53" s="19"/>
      <c r="DMG53" s="19"/>
      <c r="DMH53" s="21"/>
      <c r="DMI53" s="19"/>
      <c r="DMR53" s="19"/>
      <c r="DMS53" s="19"/>
      <c r="DMT53" s="19"/>
      <c r="DMU53" s="19"/>
      <c r="DMV53" s="21"/>
      <c r="DMW53" s="19"/>
      <c r="DNF53" s="19"/>
      <c r="DNG53" s="19"/>
      <c r="DNH53" s="19"/>
      <c r="DNI53" s="19"/>
      <c r="DNJ53" s="21"/>
      <c r="DNK53" s="19"/>
      <c r="DNT53" s="19"/>
      <c r="DNU53" s="19"/>
      <c r="DNV53" s="19"/>
      <c r="DNW53" s="19"/>
      <c r="DNX53" s="21"/>
      <c r="DNY53" s="19"/>
      <c r="DOH53" s="19"/>
      <c r="DOI53" s="19"/>
      <c r="DOJ53" s="19"/>
      <c r="DOK53" s="19"/>
      <c r="DOL53" s="21"/>
      <c r="DOM53" s="19"/>
      <c r="DOV53" s="19"/>
      <c r="DOW53" s="19"/>
      <c r="DOX53" s="19"/>
      <c r="DOY53" s="19"/>
      <c r="DOZ53" s="21"/>
      <c r="DPA53" s="19"/>
      <c r="DPJ53" s="19"/>
      <c r="DPK53" s="19"/>
      <c r="DPL53" s="19"/>
      <c r="DPM53" s="19"/>
      <c r="DPN53" s="21"/>
      <c r="DPO53" s="19"/>
      <c r="DPX53" s="19"/>
      <c r="DPY53" s="19"/>
      <c r="DPZ53" s="19"/>
      <c r="DQA53" s="19"/>
      <c r="DQB53" s="21"/>
      <c r="DQC53" s="19"/>
      <c r="DQL53" s="19"/>
      <c r="DQM53" s="19"/>
      <c r="DQN53" s="19"/>
      <c r="DQO53" s="19"/>
      <c r="DQP53" s="21"/>
      <c r="DQQ53" s="19"/>
      <c r="DQZ53" s="19"/>
      <c r="DRA53" s="19"/>
      <c r="DRB53" s="19"/>
      <c r="DRC53" s="19"/>
      <c r="DRD53" s="21"/>
      <c r="DRE53" s="19"/>
      <c r="DRN53" s="19"/>
      <c r="DRO53" s="19"/>
      <c r="DRP53" s="19"/>
      <c r="DRQ53" s="19"/>
      <c r="DRR53" s="21"/>
      <c r="DRS53" s="19"/>
      <c r="DSB53" s="19"/>
      <c r="DSC53" s="19"/>
      <c r="DSD53" s="19"/>
      <c r="DSE53" s="19"/>
      <c r="DSF53" s="21"/>
      <c r="DSG53" s="19"/>
      <c r="DSP53" s="19"/>
      <c r="DSQ53" s="19"/>
      <c r="DSR53" s="19"/>
      <c r="DSS53" s="19"/>
      <c r="DST53" s="21"/>
      <c r="DSU53" s="19"/>
      <c r="DTD53" s="19"/>
      <c r="DTE53" s="19"/>
      <c r="DTF53" s="19"/>
      <c r="DTG53" s="19"/>
      <c r="DTH53" s="21"/>
      <c r="DTI53" s="19"/>
      <c r="DTR53" s="19"/>
      <c r="DTS53" s="19"/>
      <c r="DTT53" s="19"/>
      <c r="DTU53" s="19"/>
      <c r="DTV53" s="21"/>
      <c r="DTW53" s="19"/>
      <c r="DUF53" s="19"/>
      <c r="DUG53" s="19"/>
      <c r="DUH53" s="19"/>
      <c r="DUI53" s="19"/>
      <c r="DUJ53" s="21"/>
      <c r="DUK53" s="19"/>
      <c r="DUT53" s="19"/>
      <c r="DUU53" s="19"/>
      <c r="DUV53" s="19"/>
      <c r="DUW53" s="19"/>
      <c r="DUX53" s="21"/>
      <c r="DUY53" s="19"/>
      <c r="DVH53" s="19"/>
      <c r="DVI53" s="19"/>
      <c r="DVJ53" s="19"/>
      <c r="DVK53" s="19"/>
      <c r="DVL53" s="21"/>
      <c r="DVM53" s="19"/>
      <c r="DVV53" s="19"/>
      <c r="DVW53" s="19"/>
      <c r="DVX53" s="19"/>
      <c r="DVY53" s="19"/>
      <c r="DVZ53" s="21"/>
      <c r="DWA53" s="19"/>
      <c r="DWJ53" s="19"/>
      <c r="DWK53" s="19"/>
      <c r="DWL53" s="19"/>
      <c r="DWM53" s="19"/>
      <c r="DWN53" s="21"/>
      <c r="DWO53" s="19"/>
      <c r="DWX53" s="19"/>
      <c r="DWY53" s="19"/>
      <c r="DWZ53" s="19"/>
      <c r="DXA53" s="19"/>
      <c r="DXB53" s="21"/>
      <c r="DXC53" s="19"/>
      <c r="DXL53" s="19"/>
      <c r="DXM53" s="19"/>
      <c r="DXN53" s="19"/>
      <c r="DXO53" s="19"/>
      <c r="DXP53" s="21"/>
      <c r="DXQ53" s="19"/>
      <c r="DXZ53" s="19"/>
      <c r="DYA53" s="19"/>
      <c r="DYB53" s="19"/>
      <c r="DYC53" s="19"/>
      <c r="DYD53" s="21"/>
      <c r="DYE53" s="19"/>
      <c r="DYN53" s="19"/>
      <c r="DYO53" s="19"/>
      <c r="DYP53" s="19"/>
      <c r="DYQ53" s="19"/>
      <c r="DYR53" s="21"/>
      <c r="DYS53" s="19"/>
      <c r="DZB53" s="19"/>
      <c r="DZC53" s="19"/>
      <c r="DZD53" s="19"/>
      <c r="DZE53" s="19"/>
      <c r="DZF53" s="21"/>
      <c r="DZG53" s="19"/>
      <c r="DZP53" s="19"/>
      <c r="DZQ53" s="19"/>
      <c r="DZR53" s="19"/>
      <c r="DZS53" s="19"/>
      <c r="DZT53" s="21"/>
      <c r="DZU53" s="19"/>
      <c r="EAD53" s="19"/>
      <c r="EAE53" s="19"/>
      <c r="EAF53" s="19"/>
      <c r="EAG53" s="19"/>
      <c r="EAH53" s="21"/>
      <c r="EAI53" s="19"/>
      <c r="EAR53" s="19"/>
      <c r="EAS53" s="19"/>
      <c r="EAT53" s="19"/>
      <c r="EAU53" s="19"/>
      <c r="EAV53" s="21"/>
      <c r="EAW53" s="19"/>
      <c r="EBF53" s="19"/>
      <c r="EBG53" s="19"/>
      <c r="EBH53" s="19"/>
      <c r="EBI53" s="19"/>
      <c r="EBJ53" s="21"/>
      <c r="EBK53" s="19"/>
      <c r="EBT53" s="19"/>
      <c r="EBU53" s="19"/>
      <c r="EBV53" s="19"/>
      <c r="EBW53" s="19"/>
      <c r="EBX53" s="21"/>
      <c r="EBY53" s="19"/>
      <c r="ECH53" s="19"/>
      <c r="ECI53" s="19"/>
      <c r="ECJ53" s="19"/>
      <c r="ECK53" s="19"/>
      <c r="ECL53" s="21"/>
      <c r="ECM53" s="19"/>
      <c r="ECV53" s="19"/>
      <c r="ECW53" s="19"/>
      <c r="ECX53" s="19"/>
      <c r="ECY53" s="19"/>
      <c r="ECZ53" s="21"/>
      <c r="EDA53" s="19"/>
      <c r="EDJ53" s="19"/>
      <c r="EDK53" s="19"/>
      <c r="EDL53" s="19"/>
      <c r="EDM53" s="19"/>
      <c r="EDN53" s="21"/>
      <c r="EDO53" s="19"/>
      <c r="EDX53" s="19"/>
      <c r="EDY53" s="19"/>
      <c r="EDZ53" s="19"/>
      <c r="EEA53" s="19"/>
      <c r="EEB53" s="21"/>
      <c r="EEC53" s="19"/>
      <c r="EEL53" s="19"/>
      <c r="EEM53" s="19"/>
      <c r="EEN53" s="19"/>
      <c r="EEO53" s="19"/>
      <c r="EEP53" s="21"/>
      <c r="EEQ53" s="19"/>
      <c r="EEZ53" s="19"/>
      <c r="EFA53" s="19"/>
      <c r="EFB53" s="19"/>
      <c r="EFC53" s="19"/>
      <c r="EFD53" s="21"/>
      <c r="EFE53" s="19"/>
      <c r="EFN53" s="19"/>
      <c r="EFO53" s="19"/>
      <c r="EFP53" s="19"/>
      <c r="EFQ53" s="19"/>
      <c r="EFR53" s="21"/>
      <c r="EFS53" s="19"/>
      <c r="EGB53" s="19"/>
      <c r="EGC53" s="19"/>
      <c r="EGD53" s="19"/>
      <c r="EGE53" s="19"/>
      <c r="EGF53" s="21"/>
      <c r="EGG53" s="19"/>
      <c r="EGP53" s="19"/>
      <c r="EGQ53" s="19"/>
      <c r="EGR53" s="19"/>
      <c r="EGS53" s="19"/>
      <c r="EGT53" s="21"/>
      <c r="EGU53" s="19"/>
      <c r="EHD53" s="19"/>
      <c r="EHE53" s="19"/>
      <c r="EHF53" s="19"/>
      <c r="EHG53" s="19"/>
      <c r="EHH53" s="21"/>
      <c r="EHI53" s="19"/>
      <c r="EHR53" s="19"/>
      <c r="EHS53" s="19"/>
      <c r="EHT53" s="19"/>
      <c r="EHU53" s="19"/>
      <c r="EHV53" s="21"/>
      <c r="EHW53" s="19"/>
      <c r="EIF53" s="19"/>
      <c r="EIG53" s="19"/>
      <c r="EIH53" s="19"/>
      <c r="EII53" s="19"/>
      <c r="EIJ53" s="21"/>
      <c r="EIK53" s="19"/>
      <c r="EIT53" s="19"/>
      <c r="EIU53" s="19"/>
      <c r="EIV53" s="19"/>
      <c r="EIW53" s="19"/>
      <c r="EIX53" s="21"/>
      <c r="EIY53" s="19"/>
      <c r="EJH53" s="19"/>
      <c r="EJI53" s="19"/>
      <c r="EJJ53" s="19"/>
      <c r="EJK53" s="19"/>
      <c r="EJL53" s="21"/>
      <c r="EJM53" s="19"/>
      <c r="EJV53" s="19"/>
      <c r="EJW53" s="19"/>
      <c r="EJX53" s="19"/>
      <c r="EJY53" s="19"/>
      <c r="EJZ53" s="21"/>
      <c r="EKA53" s="19"/>
      <c r="EKJ53" s="19"/>
      <c r="EKK53" s="19"/>
      <c r="EKL53" s="19"/>
      <c r="EKM53" s="19"/>
      <c r="EKN53" s="21"/>
      <c r="EKO53" s="19"/>
      <c r="EKX53" s="19"/>
      <c r="EKY53" s="19"/>
      <c r="EKZ53" s="19"/>
      <c r="ELA53" s="19"/>
      <c r="ELB53" s="21"/>
      <c r="ELC53" s="19"/>
      <c r="ELL53" s="19"/>
      <c r="ELM53" s="19"/>
      <c r="ELN53" s="19"/>
      <c r="ELO53" s="19"/>
      <c r="ELP53" s="21"/>
      <c r="ELQ53" s="19"/>
      <c r="ELZ53" s="19"/>
      <c r="EMA53" s="19"/>
      <c r="EMB53" s="19"/>
      <c r="EMC53" s="19"/>
      <c r="EMD53" s="21"/>
      <c r="EME53" s="19"/>
      <c r="EMN53" s="19"/>
      <c r="EMO53" s="19"/>
      <c r="EMP53" s="19"/>
      <c r="EMQ53" s="19"/>
      <c r="EMR53" s="21"/>
      <c r="EMS53" s="19"/>
      <c r="ENB53" s="19"/>
      <c r="ENC53" s="19"/>
      <c r="END53" s="19"/>
      <c r="ENE53" s="19"/>
      <c r="ENF53" s="21"/>
      <c r="ENG53" s="19"/>
      <c r="ENP53" s="19"/>
      <c r="ENQ53" s="19"/>
      <c r="ENR53" s="19"/>
      <c r="ENS53" s="19"/>
      <c r="ENT53" s="21"/>
      <c r="ENU53" s="19"/>
      <c r="EOD53" s="19"/>
      <c r="EOE53" s="19"/>
      <c r="EOF53" s="19"/>
      <c r="EOG53" s="19"/>
      <c r="EOH53" s="21"/>
      <c r="EOI53" s="19"/>
      <c r="EOR53" s="19"/>
      <c r="EOS53" s="19"/>
      <c r="EOT53" s="19"/>
      <c r="EOU53" s="19"/>
      <c r="EOV53" s="21"/>
      <c r="EOW53" s="19"/>
      <c r="EPF53" s="19"/>
      <c r="EPG53" s="19"/>
      <c r="EPH53" s="19"/>
      <c r="EPI53" s="19"/>
      <c r="EPJ53" s="21"/>
      <c r="EPK53" s="19"/>
      <c r="EPT53" s="19"/>
      <c r="EPU53" s="19"/>
      <c r="EPV53" s="19"/>
      <c r="EPW53" s="19"/>
      <c r="EPX53" s="21"/>
      <c r="EPY53" s="19"/>
      <c r="EQH53" s="19"/>
      <c r="EQI53" s="19"/>
      <c r="EQJ53" s="19"/>
      <c r="EQK53" s="19"/>
      <c r="EQL53" s="21"/>
      <c r="EQM53" s="19"/>
      <c r="EQV53" s="19"/>
      <c r="EQW53" s="19"/>
      <c r="EQX53" s="19"/>
      <c r="EQY53" s="19"/>
      <c r="EQZ53" s="21"/>
      <c r="ERA53" s="19"/>
      <c r="ERJ53" s="19"/>
      <c r="ERK53" s="19"/>
      <c r="ERL53" s="19"/>
      <c r="ERM53" s="19"/>
      <c r="ERN53" s="21"/>
      <c r="ERO53" s="19"/>
      <c r="ERX53" s="19"/>
      <c r="ERY53" s="19"/>
      <c r="ERZ53" s="19"/>
      <c r="ESA53" s="19"/>
      <c r="ESB53" s="21"/>
      <c r="ESC53" s="19"/>
      <c r="ESL53" s="19"/>
      <c r="ESM53" s="19"/>
      <c r="ESN53" s="19"/>
      <c r="ESO53" s="19"/>
      <c r="ESP53" s="21"/>
      <c r="ESQ53" s="19"/>
      <c r="ESZ53" s="19"/>
      <c r="ETA53" s="19"/>
      <c r="ETB53" s="19"/>
      <c r="ETC53" s="19"/>
      <c r="ETD53" s="21"/>
      <c r="ETE53" s="19"/>
      <c r="ETN53" s="19"/>
      <c r="ETO53" s="19"/>
      <c r="ETP53" s="19"/>
      <c r="ETQ53" s="19"/>
      <c r="ETR53" s="21"/>
      <c r="ETS53" s="19"/>
      <c r="EUB53" s="19"/>
      <c r="EUC53" s="19"/>
      <c r="EUD53" s="19"/>
      <c r="EUE53" s="19"/>
      <c r="EUF53" s="21"/>
      <c r="EUG53" s="19"/>
      <c r="EUP53" s="19"/>
      <c r="EUQ53" s="19"/>
      <c r="EUR53" s="19"/>
      <c r="EUS53" s="19"/>
      <c r="EUT53" s="21"/>
      <c r="EUU53" s="19"/>
      <c r="EVD53" s="19"/>
      <c r="EVE53" s="19"/>
      <c r="EVF53" s="19"/>
      <c r="EVG53" s="19"/>
      <c r="EVH53" s="21"/>
      <c r="EVI53" s="19"/>
      <c r="EVR53" s="19"/>
      <c r="EVS53" s="19"/>
      <c r="EVT53" s="19"/>
      <c r="EVU53" s="19"/>
      <c r="EVV53" s="21"/>
      <c r="EVW53" s="19"/>
      <c r="EWF53" s="19"/>
      <c r="EWG53" s="19"/>
      <c r="EWH53" s="19"/>
      <c r="EWI53" s="19"/>
      <c r="EWJ53" s="21"/>
      <c r="EWK53" s="19"/>
      <c r="EWT53" s="19"/>
      <c r="EWU53" s="19"/>
      <c r="EWV53" s="19"/>
      <c r="EWW53" s="19"/>
      <c r="EWX53" s="21"/>
      <c r="EWY53" s="19"/>
      <c r="EXH53" s="19"/>
      <c r="EXI53" s="19"/>
      <c r="EXJ53" s="19"/>
      <c r="EXK53" s="19"/>
      <c r="EXL53" s="21"/>
      <c r="EXM53" s="19"/>
      <c r="EXV53" s="19"/>
      <c r="EXW53" s="19"/>
      <c r="EXX53" s="19"/>
      <c r="EXY53" s="19"/>
      <c r="EXZ53" s="21"/>
      <c r="EYA53" s="19"/>
      <c r="EYJ53" s="19"/>
      <c r="EYK53" s="19"/>
      <c r="EYL53" s="19"/>
      <c r="EYM53" s="19"/>
      <c r="EYN53" s="21"/>
      <c r="EYO53" s="19"/>
      <c r="EYX53" s="19"/>
      <c r="EYY53" s="19"/>
      <c r="EYZ53" s="19"/>
      <c r="EZA53" s="19"/>
      <c r="EZB53" s="21"/>
      <c r="EZC53" s="19"/>
      <c r="EZL53" s="19"/>
      <c r="EZM53" s="19"/>
      <c r="EZN53" s="19"/>
      <c r="EZO53" s="19"/>
      <c r="EZP53" s="21"/>
      <c r="EZQ53" s="19"/>
      <c r="EZZ53" s="19"/>
      <c r="FAA53" s="19"/>
      <c r="FAB53" s="19"/>
      <c r="FAC53" s="19"/>
      <c r="FAD53" s="21"/>
      <c r="FAE53" s="19"/>
      <c r="FAN53" s="19"/>
      <c r="FAO53" s="19"/>
      <c r="FAP53" s="19"/>
      <c r="FAQ53" s="19"/>
      <c r="FAR53" s="21"/>
      <c r="FAS53" s="19"/>
      <c r="FBB53" s="19"/>
      <c r="FBC53" s="19"/>
      <c r="FBD53" s="19"/>
      <c r="FBE53" s="19"/>
      <c r="FBF53" s="21"/>
      <c r="FBG53" s="19"/>
      <c r="FBP53" s="19"/>
      <c r="FBQ53" s="19"/>
      <c r="FBR53" s="19"/>
      <c r="FBS53" s="19"/>
      <c r="FBT53" s="21"/>
      <c r="FBU53" s="19"/>
      <c r="FCD53" s="19"/>
      <c r="FCE53" s="19"/>
      <c r="FCF53" s="19"/>
      <c r="FCG53" s="19"/>
      <c r="FCH53" s="21"/>
      <c r="FCI53" s="19"/>
      <c r="FCR53" s="19"/>
      <c r="FCS53" s="19"/>
      <c r="FCT53" s="19"/>
      <c r="FCU53" s="19"/>
      <c r="FCV53" s="21"/>
      <c r="FCW53" s="19"/>
      <c r="FDF53" s="19"/>
      <c r="FDG53" s="19"/>
      <c r="FDH53" s="19"/>
      <c r="FDI53" s="19"/>
      <c r="FDJ53" s="21"/>
      <c r="FDK53" s="19"/>
      <c r="FDT53" s="19"/>
      <c r="FDU53" s="19"/>
      <c r="FDV53" s="19"/>
      <c r="FDW53" s="19"/>
      <c r="FDX53" s="21"/>
      <c r="FDY53" s="19"/>
      <c r="FEH53" s="19"/>
      <c r="FEI53" s="19"/>
      <c r="FEJ53" s="19"/>
      <c r="FEK53" s="19"/>
      <c r="FEL53" s="21"/>
      <c r="FEM53" s="19"/>
      <c r="FEV53" s="19"/>
      <c r="FEW53" s="19"/>
      <c r="FEX53" s="19"/>
      <c r="FEY53" s="19"/>
      <c r="FEZ53" s="21"/>
      <c r="FFA53" s="19"/>
      <c r="FFJ53" s="19"/>
      <c r="FFK53" s="19"/>
      <c r="FFL53" s="19"/>
      <c r="FFM53" s="19"/>
      <c r="FFN53" s="21"/>
      <c r="FFO53" s="19"/>
      <c r="FFX53" s="19"/>
      <c r="FFY53" s="19"/>
      <c r="FFZ53" s="19"/>
      <c r="FGA53" s="19"/>
      <c r="FGB53" s="21"/>
      <c r="FGC53" s="19"/>
      <c r="FGL53" s="19"/>
      <c r="FGM53" s="19"/>
      <c r="FGN53" s="19"/>
      <c r="FGO53" s="19"/>
      <c r="FGP53" s="21"/>
      <c r="FGQ53" s="19"/>
      <c r="FGZ53" s="19"/>
      <c r="FHA53" s="19"/>
      <c r="FHB53" s="19"/>
      <c r="FHC53" s="19"/>
      <c r="FHD53" s="21"/>
      <c r="FHE53" s="19"/>
      <c r="FHN53" s="19"/>
      <c r="FHO53" s="19"/>
      <c r="FHP53" s="19"/>
      <c r="FHQ53" s="19"/>
      <c r="FHR53" s="21"/>
      <c r="FHS53" s="19"/>
      <c r="FIB53" s="19"/>
      <c r="FIC53" s="19"/>
      <c r="FID53" s="19"/>
      <c r="FIE53" s="19"/>
      <c r="FIF53" s="21"/>
      <c r="FIG53" s="19"/>
      <c r="FIP53" s="19"/>
      <c r="FIQ53" s="19"/>
      <c r="FIR53" s="19"/>
      <c r="FIS53" s="19"/>
      <c r="FIT53" s="21"/>
      <c r="FIU53" s="19"/>
      <c r="FJD53" s="19"/>
      <c r="FJE53" s="19"/>
      <c r="FJF53" s="19"/>
      <c r="FJG53" s="19"/>
      <c r="FJH53" s="21"/>
      <c r="FJI53" s="19"/>
      <c r="FJR53" s="19"/>
      <c r="FJS53" s="19"/>
      <c r="FJT53" s="19"/>
      <c r="FJU53" s="19"/>
      <c r="FJV53" s="21"/>
      <c r="FJW53" s="19"/>
      <c r="FKF53" s="19"/>
      <c r="FKG53" s="19"/>
      <c r="FKH53" s="19"/>
      <c r="FKI53" s="19"/>
      <c r="FKJ53" s="21"/>
      <c r="FKK53" s="19"/>
      <c r="FKT53" s="19"/>
      <c r="FKU53" s="19"/>
      <c r="FKV53" s="19"/>
      <c r="FKW53" s="19"/>
      <c r="FKX53" s="21"/>
      <c r="FKY53" s="19"/>
      <c r="FLH53" s="19"/>
      <c r="FLI53" s="19"/>
      <c r="FLJ53" s="19"/>
      <c r="FLK53" s="19"/>
      <c r="FLL53" s="21"/>
      <c r="FLM53" s="19"/>
      <c r="FLV53" s="19"/>
      <c r="FLW53" s="19"/>
      <c r="FLX53" s="19"/>
      <c r="FLY53" s="19"/>
      <c r="FLZ53" s="21"/>
      <c r="FMA53" s="19"/>
      <c r="FMJ53" s="19"/>
      <c r="FMK53" s="19"/>
      <c r="FML53" s="19"/>
      <c r="FMM53" s="19"/>
      <c r="FMN53" s="21"/>
      <c r="FMO53" s="19"/>
      <c r="FMX53" s="19"/>
      <c r="FMY53" s="19"/>
      <c r="FMZ53" s="19"/>
      <c r="FNA53" s="19"/>
      <c r="FNB53" s="21"/>
      <c r="FNC53" s="19"/>
      <c r="FNL53" s="19"/>
      <c r="FNM53" s="19"/>
      <c r="FNN53" s="19"/>
      <c r="FNO53" s="19"/>
      <c r="FNP53" s="21"/>
      <c r="FNQ53" s="19"/>
      <c r="FNZ53" s="19"/>
      <c r="FOA53" s="19"/>
      <c r="FOB53" s="19"/>
      <c r="FOC53" s="19"/>
      <c r="FOD53" s="21"/>
      <c r="FOE53" s="19"/>
      <c r="FON53" s="19"/>
      <c r="FOO53" s="19"/>
      <c r="FOP53" s="19"/>
      <c r="FOQ53" s="19"/>
      <c r="FOR53" s="21"/>
      <c r="FOS53" s="19"/>
      <c r="FPB53" s="19"/>
      <c r="FPC53" s="19"/>
      <c r="FPD53" s="19"/>
      <c r="FPE53" s="19"/>
      <c r="FPF53" s="21"/>
      <c r="FPG53" s="19"/>
      <c r="FPP53" s="19"/>
      <c r="FPQ53" s="19"/>
      <c r="FPR53" s="19"/>
      <c r="FPS53" s="19"/>
      <c r="FPT53" s="21"/>
      <c r="FPU53" s="19"/>
      <c r="FQD53" s="19"/>
      <c r="FQE53" s="19"/>
      <c r="FQF53" s="19"/>
      <c r="FQG53" s="19"/>
      <c r="FQH53" s="21"/>
      <c r="FQI53" s="19"/>
      <c r="FQR53" s="19"/>
      <c r="FQS53" s="19"/>
      <c r="FQT53" s="19"/>
      <c r="FQU53" s="19"/>
      <c r="FQV53" s="21"/>
      <c r="FQW53" s="19"/>
      <c r="FRF53" s="19"/>
      <c r="FRG53" s="19"/>
      <c r="FRH53" s="19"/>
      <c r="FRI53" s="19"/>
      <c r="FRJ53" s="21"/>
      <c r="FRK53" s="19"/>
      <c r="FRT53" s="19"/>
      <c r="FRU53" s="19"/>
      <c r="FRV53" s="19"/>
      <c r="FRW53" s="19"/>
      <c r="FRX53" s="21"/>
      <c r="FRY53" s="19"/>
      <c r="FSH53" s="19"/>
      <c r="FSI53" s="19"/>
      <c r="FSJ53" s="19"/>
      <c r="FSK53" s="19"/>
      <c r="FSL53" s="21"/>
      <c r="FSM53" s="19"/>
      <c r="FSV53" s="19"/>
      <c r="FSW53" s="19"/>
      <c r="FSX53" s="19"/>
      <c r="FSY53" s="19"/>
      <c r="FSZ53" s="21"/>
      <c r="FTA53" s="19"/>
      <c r="FTJ53" s="19"/>
      <c r="FTK53" s="19"/>
      <c r="FTL53" s="19"/>
      <c r="FTM53" s="19"/>
      <c r="FTN53" s="21"/>
      <c r="FTO53" s="19"/>
      <c r="FTX53" s="19"/>
      <c r="FTY53" s="19"/>
      <c r="FTZ53" s="19"/>
      <c r="FUA53" s="19"/>
      <c r="FUB53" s="21"/>
      <c r="FUC53" s="19"/>
      <c r="FUL53" s="19"/>
      <c r="FUM53" s="19"/>
      <c r="FUN53" s="19"/>
      <c r="FUO53" s="19"/>
      <c r="FUP53" s="21"/>
      <c r="FUQ53" s="19"/>
      <c r="FUZ53" s="19"/>
      <c r="FVA53" s="19"/>
      <c r="FVB53" s="19"/>
      <c r="FVC53" s="19"/>
      <c r="FVD53" s="21"/>
      <c r="FVE53" s="19"/>
      <c r="FVN53" s="19"/>
      <c r="FVO53" s="19"/>
      <c r="FVP53" s="19"/>
      <c r="FVQ53" s="19"/>
      <c r="FVR53" s="21"/>
      <c r="FVS53" s="19"/>
      <c r="FWB53" s="19"/>
      <c r="FWC53" s="19"/>
      <c r="FWD53" s="19"/>
      <c r="FWE53" s="19"/>
      <c r="FWF53" s="21"/>
      <c r="FWG53" s="19"/>
      <c r="FWP53" s="19"/>
      <c r="FWQ53" s="19"/>
      <c r="FWR53" s="19"/>
      <c r="FWS53" s="19"/>
      <c r="FWT53" s="21"/>
      <c r="FWU53" s="19"/>
      <c r="FXD53" s="19"/>
      <c r="FXE53" s="19"/>
      <c r="FXF53" s="19"/>
      <c r="FXG53" s="19"/>
      <c r="FXH53" s="21"/>
      <c r="FXI53" s="19"/>
      <c r="FXR53" s="19"/>
      <c r="FXS53" s="19"/>
      <c r="FXT53" s="19"/>
      <c r="FXU53" s="19"/>
      <c r="FXV53" s="21"/>
      <c r="FXW53" s="19"/>
      <c r="FYF53" s="19"/>
      <c r="FYG53" s="19"/>
      <c r="FYH53" s="19"/>
      <c r="FYI53" s="19"/>
      <c r="FYJ53" s="21"/>
      <c r="FYK53" s="19"/>
      <c r="FYT53" s="19"/>
      <c r="FYU53" s="19"/>
      <c r="FYV53" s="19"/>
      <c r="FYW53" s="19"/>
      <c r="FYX53" s="21"/>
      <c r="FYY53" s="19"/>
      <c r="FZH53" s="19"/>
      <c r="FZI53" s="19"/>
      <c r="FZJ53" s="19"/>
      <c r="FZK53" s="19"/>
      <c r="FZL53" s="21"/>
      <c r="FZM53" s="19"/>
      <c r="FZV53" s="19"/>
      <c r="FZW53" s="19"/>
      <c r="FZX53" s="19"/>
      <c r="FZY53" s="19"/>
      <c r="FZZ53" s="21"/>
      <c r="GAA53" s="19"/>
      <c r="GAJ53" s="19"/>
      <c r="GAK53" s="19"/>
      <c r="GAL53" s="19"/>
      <c r="GAM53" s="19"/>
      <c r="GAN53" s="21"/>
      <c r="GAO53" s="19"/>
      <c r="GAX53" s="19"/>
      <c r="GAY53" s="19"/>
      <c r="GAZ53" s="19"/>
      <c r="GBA53" s="19"/>
      <c r="GBB53" s="21"/>
      <c r="GBC53" s="19"/>
      <c r="GBL53" s="19"/>
      <c r="GBM53" s="19"/>
      <c r="GBN53" s="19"/>
      <c r="GBO53" s="19"/>
      <c r="GBP53" s="21"/>
      <c r="GBQ53" s="19"/>
      <c r="GBZ53" s="19"/>
      <c r="GCA53" s="19"/>
      <c r="GCB53" s="19"/>
      <c r="GCC53" s="19"/>
      <c r="GCD53" s="21"/>
      <c r="GCE53" s="19"/>
      <c r="GCN53" s="19"/>
      <c r="GCO53" s="19"/>
      <c r="GCP53" s="19"/>
      <c r="GCQ53" s="19"/>
      <c r="GCR53" s="21"/>
      <c r="GCS53" s="19"/>
      <c r="GDB53" s="19"/>
      <c r="GDC53" s="19"/>
      <c r="GDD53" s="19"/>
      <c r="GDE53" s="19"/>
      <c r="GDF53" s="21"/>
      <c r="GDG53" s="19"/>
      <c r="GDP53" s="19"/>
      <c r="GDQ53" s="19"/>
      <c r="GDR53" s="19"/>
      <c r="GDS53" s="19"/>
      <c r="GDT53" s="21"/>
      <c r="GDU53" s="19"/>
      <c r="GED53" s="19"/>
      <c r="GEE53" s="19"/>
      <c r="GEF53" s="19"/>
      <c r="GEG53" s="19"/>
      <c r="GEH53" s="21"/>
      <c r="GEI53" s="19"/>
      <c r="GER53" s="19"/>
      <c r="GES53" s="19"/>
      <c r="GET53" s="19"/>
      <c r="GEU53" s="19"/>
      <c r="GEV53" s="21"/>
      <c r="GEW53" s="19"/>
      <c r="GFF53" s="19"/>
      <c r="GFG53" s="19"/>
      <c r="GFH53" s="19"/>
      <c r="GFI53" s="19"/>
      <c r="GFJ53" s="21"/>
      <c r="GFK53" s="19"/>
      <c r="GFT53" s="19"/>
      <c r="GFU53" s="19"/>
      <c r="GFV53" s="19"/>
      <c r="GFW53" s="19"/>
      <c r="GFX53" s="21"/>
      <c r="GFY53" s="19"/>
      <c r="GGH53" s="19"/>
      <c r="GGI53" s="19"/>
      <c r="GGJ53" s="19"/>
      <c r="GGK53" s="19"/>
      <c r="GGL53" s="21"/>
      <c r="GGM53" s="19"/>
      <c r="GGV53" s="19"/>
      <c r="GGW53" s="19"/>
      <c r="GGX53" s="19"/>
      <c r="GGY53" s="19"/>
      <c r="GGZ53" s="21"/>
      <c r="GHA53" s="19"/>
      <c r="GHJ53" s="19"/>
      <c r="GHK53" s="19"/>
      <c r="GHL53" s="19"/>
      <c r="GHM53" s="19"/>
      <c r="GHN53" s="21"/>
      <c r="GHO53" s="19"/>
      <c r="GHX53" s="19"/>
      <c r="GHY53" s="19"/>
      <c r="GHZ53" s="19"/>
      <c r="GIA53" s="19"/>
      <c r="GIB53" s="21"/>
      <c r="GIC53" s="19"/>
      <c r="GIL53" s="19"/>
      <c r="GIM53" s="19"/>
      <c r="GIN53" s="19"/>
      <c r="GIO53" s="19"/>
      <c r="GIP53" s="21"/>
      <c r="GIQ53" s="19"/>
      <c r="GIZ53" s="19"/>
      <c r="GJA53" s="19"/>
      <c r="GJB53" s="19"/>
      <c r="GJC53" s="19"/>
      <c r="GJD53" s="21"/>
      <c r="GJE53" s="19"/>
      <c r="GJN53" s="19"/>
      <c r="GJO53" s="19"/>
      <c r="GJP53" s="19"/>
      <c r="GJQ53" s="19"/>
      <c r="GJR53" s="21"/>
      <c r="GJS53" s="19"/>
      <c r="GKB53" s="19"/>
      <c r="GKC53" s="19"/>
      <c r="GKD53" s="19"/>
      <c r="GKE53" s="19"/>
      <c r="GKF53" s="21"/>
      <c r="GKG53" s="19"/>
      <c r="GKP53" s="19"/>
      <c r="GKQ53" s="19"/>
      <c r="GKR53" s="19"/>
      <c r="GKS53" s="19"/>
      <c r="GKT53" s="21"/>
      <c r="GKU53" s="19"/>
      <c r="GLD53" s="19"/>
      <c r="GLE53" s="19"/>
      <c r="GLF53" s="19"/>
      <c r="GLG53" s="19"/>
      <c r="GLH53" s="21"/>
      <c r="GLI53" s="19"/>
      <c r="GLR53" s="19"/>
      <c r="GLS53" s="19"/>
      <c r="GLT53" s="19"/>
      <c r="GLU53" s="19"/>
      <c r="GLV53" s="21"/>
      <c r="GLW53" s="19"/>
      <c r="GMF53" s="19"/>
      <c r="GMG53" s="19"/>
      <c r="GMH53" s="19"/>
      <c r="GMI53" s="19"/>
      <c r="GMJ53" s="21"/>
      <c r="GMK53" s="19"/>
      <c r="GMT53" s="19"/>
      <c r="GMU53" s="19"/>
      <c r="GMV53" s="19"/>
      <c r="GMW53" s="19"/>
      <c r="GMX53" s="21"/>
      <c r="GMY53" s="19"/>
      <c r="GNH53" s="19"/>
      <c r="GNI53" s="19"/>
      <c r="GNJ53" s="19"/>
      <c r="GNK53" s="19"/>
      <c r="GNL53" s="21"/>
      <c r="GNM53" s="19"/>
      <c r="GNV53" s="19"/>
      <c r="GNW53" s="19"/>
      <c r="GNX53" s="19"/>
      <c r="GNY53" s="19"/>
      <c r="GNZ53" s="21"/>
      <c r="GOA53" s="19"/>
      <c r="GOJ53" s="19"/>
      <c r="GOK53" s="19"/>
      <c r="GOL53" s="19"/>
      <c r="GOM53" s="19"/>
      <c r="GON53" s="21"/>
      <c r="GOO53" s="19"/>
      <c r="GOX53" s="19"/>
      <c r="GOY53" s="19"/>
      <c r="GOZ53" s="19"/>
      <c r="GPA53" s="19"/>
      <c r="GPB53" s="21"/>
      <c r="GPC53" s="19"/>
      <c r="GPL53" s="19"/>
      <c r="GPM53" s="19"/>
      <c r="GPN53" s="19"/>
      <c r="GPO53" s="19"/>
      <c r="GPP53" s="21"/>
      <c r="GPQ53" s="19"/>
      <c r="GPZ53" s="19"/>
      <c r="GQA53" s="19"/>
      <c r="GQB53" s="19"/>
      <c r="GQC53" s="19"/>
      <c r="GQD53" s="21"/>
      <c r="GQE53" s="19"/>
      <c r="GQN53" s="19"/>
      <c r="GQO53" s="19"/>
      <c r="GQP53" s="19"/>
      <c r="GQQ53" s="19"/>
      <c r="GQR53" s="21"/>
      <c r="GQS53" s="19"/>
      <c r="GRB53" s="19"/>
      <c r="GRC53" s="19"/>
      <c r="GRD53" s="19"/>
      <c r="GRE53" s="19"/>
      <c r="GRF53" s="21"/>
      <c r="GRG53" s="19"/>
      <c r="GRP53" s="19"/>
      <c r="GRQ53" s="19"/>
      <c r="GRR53" s="19"/>
      <c r="GRS53" s="19"/>
      <c r="GRT53" s="21"/>
      <c r="GRU53" s="19"/>
      <c r="GSD53" s="19"/>
      <c r="GSE53" s="19"/>
      <c r="GSF53" s="19"/>
      <c r="GSG53" s="19"/>
      <c r="GSH53" s="21"/>
      <c r="GSI53" s="19"/>
      <c r="GSR53" s="19"/>
      <c r="GSS53" s="19"/>
      <c r="GST53" s="19"/>
      <c r="GSU53" s="19"/>
      <c r="GSV53" s="21"/>
      <c r="GSW53" s="19"/>
      <c r="GTF53" s="19"/>
      <c r="GTG53" s="19"/>
      <c r="GTH53" s="19"/>
      <c r="GTI53" s="19"/>
      <c r="GTJ53" s="21"/>
      <c r="GTK53" s="19"/>
      <c r="GTT53" s="19"/>
      <c r="GTU53" s="19"/>
      <c r="GTV53" s="19"/>
      <c r="GTW53" s="19"/>
      <c r="GTX53" s="21"/>
      <c r="GTY53" s="19"/>
      <c r="GUH53" s="19"/>
      <c r="GUI53" s="19"/>
      <c r="GUJ53" s="19"/>
      <c r="GUK53" s="19"/>
      <c r="GUL53" s="21"/>
      <c r="GUM53" s="19"/>
      <c r="GUV53" s="19"/>
      <c r="GUW53" s="19"/>
      <c r="GUX53" s="19"/>
      <c r="GUY53" s="19"/>
      <c r="GUZ53" s="21"/>
      <c r="GVA53" s="19"/>
      <c r="GVJ53" s="19"/>
      <c r="GVK53" s="19"/>
      <c r="GVL53" s="19"/>
      <c r="GVM53" s="19"/>
      <c r="GVN53" s="21"/>
      <c r="GVO53" s="19"/>
      <c r="GVX53" s="19"/>
      <c r="GVY53" s="19"/>
      <c r="GVZ53" s="19"/>
      <c r="GWA53" s="19"/>
      <c r="GWB53" s="21"/>
      <c r="GWC53" s="19"/>
      <c r="GWL53" s="19"/>
      <c r="GWM53" s="19"/>
      <c r="GWN53" s="19"/>
      <c r="GWO53" s="19"/>
      <c r="GWP53" s="21"/>
      <c r="GWQ53" s="19"/>
      <c r="GWZ53" s="19"/>
      <c r="GXA53" s="19"/>
      <c r="GXB53" s="19"/>
      <c r="GXC53" s="19"/>
      <c r="GXD53" s="21"/>
      <c r="GXE53" s="19"/>
      <c r="GXN53" s="19"/>
      <c r="GXO53" s="19"/>
      <c r="GXP53" s="19"/>
      <c r="GXQ53" s="19"/>
      <c r="GXR53" s="21"/>
      <c r="GXS53" s="19"/>
      <c r="GYB53" s="19"/>
      <c r="GYC53" s="19"/>
      <c r="GYD53" s="19"/>
      <c r="GYE53" s="19"/>
      <c r="GYF53" s="21"/>
      <c r="GYG53" s="19"/>
      <c r="GYP53" s="19"/>
      <c r="GYQ53" s="19"/>
      <c r="GYR53" s="19"/>
      <c r="GYS53" s="19"/>
      <c r="GYT53" s="21"/>
      <c r="GYU53" s="19"/>
      <c r="GZD53" s="19"/>
      <c r="GZE53" s="19"/>
      <c r="GZF53" s="19"/>
      <c r="GZG53" s="19"/>
      <c r="GZH53" s="21"/>
      <c r="GZI53" s="19"/>
      <c r="GZR53" s="19"/>
      <c r="GZS53" s="19"/>
      <c r="GZT53" s="19"/>
      <c r="GZU53" s="19"/>
      <c r="GZV53" s="21"/>
      <c r="GZW53" s="19"/>
      <c r="HAF53" s="19"/>
      <c r="HAG53" s="19"/>
      <c r="HAH53" s="19"/>
      <c r="HAI53" s="19"/>
      <c r="HAJ53" s="21"/>
      <c r="HAK53" s="19"/>
      <c r="HAT53" s="19"/>
      <c r="HAU53" s="19"/>
      <c r="HAV53" s="19"/>
      <c r="HAW53" s="19"/>
      <c r="HAX53" s="21"/>
      <c r="HAY53" s="19"/>
      <c r="HBH53" s="19"/>
      <c r="HBI53" s="19"/>
      <c r="HBJ53" s="19"/>
      <c r="HBK53" s="19"/>
      <c r="HBL53" s="21"/>
      <c r="HBM53" s="19"/>
      <c r="HBV53" s="19"/>
      <c r="HBW53" s="19"/>
      <c r="HBX53" s="19"/>
      <c r="HBY53" s="19"/>
      <c r="HBZ53" s="21"/>
      <c r="HCA53" s="19"/>
      <c r="HCJ53" s="19"/>
      <c r="HCK53" s="19"/>
      <c r="HCL53" s="19"/>
      <c r="HCM53" s="19"/>
      <c r="HCN53" s="21"/>
      <c r="HCO53" s="19"/>
      <c r="HCX53" s="19"/>
      <c r="HCY53" s="19"/>
      <c r="HCZ53" s="19"/>
      <c r="HDA53" s="19"/>
      <c r="HDB53" s="21"/>
      <c r="HDC53" s="19"/>
      <c r="HDL53" s="19"/>
      <c r="HDM53" s="19"/>
      <c r="HDN53" s="19"/>
      <c r="HDO53" s="19"/>
      <c r="HDP53" s="21"/>
      <c r="HDQ53" s="19"/>
      <c r="HDZ53" s="19"/>
      <c r="HEA53" s="19"/>
      <c r="HEB53" s="19"/>
      <c r="HEC53" s="19"/>
      <c r="HED53" s="21"/>
      <c r="HEE53" s="19"/>
      <c r="HEN53" s="19"/>
      <c r="HEO53" s="19"/>
      <c r="HEP53" s="19"/>
      <c r="HEQ53" s="19"/>
      <c r="HER53" s="21"/>
      <c r="HES53" s="19"/>
      <c r="HFB53" s="19"/>
      <c r="HFC53" s="19"/>
      <c r="HFD53" s="19"/>
      <c r="HFE53" s="19"/>
      <c r="HFF53" s="21"/>
      <c r="HFG53" s="19"/>
      <c r="HFP53" s="19"/>
      <c r="HFQ53" s="19"/>
      <c r="HFR53" s="19"/>
      <c r="HFS53" s="19"/>
      <c r="HFT53" s="21"/>
      <c r="HFU53" s="19"/>
      <c r="HGD53" s="19"/>
      <c r="HGE53" s="19"/>
      <c r="HGF53" s="19"/>
      <c r="HGG53" s="19"/>
      <c r="HGH53" s="21"/>
      <c r="HGI53" s="19"/>
      <c r="HGR53" s="19"/>
      <c r="HGS53" s="19"/>
      <c r="HGT53" s="19"/>
      <c r="HGU53" s="19"/>
      <c r="HGV53" s="21"/>
      <c r="HGW53" s="19"/>
      <c r="HHF53" s="19"/>
      <c r="HHG53" s="19"/>
      <c r="HHH53" s="19"/>
      <c r="HHI53" s="19"/>
      <c r="HHJ53" s="21"/>
      <c r="HHK53" s="19"/>
      <c r="HHT53" s="19"/>
      <c r="HHU53" s="19"/>
      <c r="HHV53" s="19"/>
      <c r="HHW53" s="19"/>
      <c r="HHX53" s="21"/>
      <c r="HHY53" s="19"/>
      <c r="HIH53" s="19"/>
      <c r="HII53" s="19"/>
      <c r="HIJ53" s="19"/>
      <c r="HIK53" s="19"/>
      <c r="HIL53" s="21"/>
      <c r="HIM53" s="19"/>
      <c r="HIV53" s="19"/>
      <c r="HIW53" s="19"/>
      <c r="HIX53" s="19"/>
      <c r="HIY53" s="19"/>
      <c r="HIZ53" s="21"/>
      <c r="HJA53" s="19"/>
      <c r="HJJ53" s="19"/>
      <c r="HJK53" s="19"/>
      <c r="HJL53" s="19"/>
      <c r="HJM53" s="19"/>
      <c r="HJN53" s="21"/>
      <c r="HJO53" s="19"/>
      <c r="HJX53" s="19"/>
      <c r="HJY53" s="19"/>
      <c r="HJZ53" s="19"/>
      <c r="HKA53" s="19"/>
      <c r="HKB53" s="21"/>
      <c r="HKC53" s="19"/>
      <c r="HKL53" s="19"/>
      <c r="HKM53" s="19"/>
      <c r="HKN53" s="19"/>
      <c r="HKO53" s="19"/>
      <c r="HKP53" s="21"/>
      <c r="HKQ53" s="19"/>
      <c r="HKZ53" s="19"/>
      <c r="HLA53" s="19"/>
      <c r="HLB53" s="19"/>
      <c r="HLC53" s="19"/>
      <c r="HLD53" s="21"/>
      <c r="HLE53" s="19"/>
      <c r="HLN53" s="19"/>
      <c r="HLO53" s="19"/>
      <c r="HLP53" s="19"/>
      <c r="HLQ53" s="19"/>
      <c r="HLR53" s="21"/>
      <c r="HLS53" s="19"/>
      <c r="HMB53" s="19"/>
      <c r="HMC53" s="19"/>
      <c r="HMD53" s="19"/>
      <c r="HME53" s="19"/>
      <c r="HMF53" s="21"/>
      <c r="HMG53" s="19"/>
      <c r="HMP53" s="19"/>
      <c r="HMQ53" s="19"/>
      <c r="HMR53" s="19"/>
      <c r="HMS53" s="19"/>
      <c r="HMT53" s="21"/>
      <c r="HMU53" s="19"/>
      <c r="HND53" s="19"/>
      <c r="HNE53" s="19"/>
      <c r="HNF53" s="19"/>
      <c r="HNG53" s="19"/>
      <c r="HNH53" s="21"/>
      <c r="HNI53" s="19"/>
      <c r="HNR53" s="19"/>
      <c r="HNS53" s="19"/>
      <c r="HNT53" s="19"/>
      <c r="HNU53" s="19"/>
      <c r="HNV53" s="21"/>
      <c r="HNW53" s="19"/>
      <c r="HOF53" s="19"/>
      <c r="HOG53" s="19"/>
      <c r="HOH53" s="19"/>
      <c r="HOI53" s="19"/>
      <c r="HOJ53" s="21"/>
      <c r="HOK53" s="19"/>
      <c r="HOT53" s="19"/>
      <c r="HOU53" s="19"/>
      <c r="HOV53" s="19"/>
      <c r="HOW53" s="19"/>
      <c r="HOX53" s="21"/>
      <c r="HOY53" s="19"/>
      <c r="HPH53" s="19"/>
      <c r="HPI53" s="19"/>
      <c r="HPJ53" s="19"/>
      <c r="HPK53" s="19"/>
      <c r="HPL53" s="21"/>
      <c r="HPM53" s="19"/>
      <c r="HPV53" s="19"/>
      <c r="HPW53" s="19"/>
      <c r="HPX53" s="19"/>
      <c r="HPY53" s="19"/>
      <c r="HPZ53" s="21"/>
      <c r="HQA53" s="19"/>
      <c r="HQJ53" s="19"/>
      <c r="HQK53" s="19"/>
      <c r="HQL53" s="19"/>
      <c r="HQM53" s="19"/>
      <c r="HQN53" s="21"/>
      <c r="HQO53" s="19"/>
      <c r="HQX53" s="19"/>
      <c r="HQY53" s="19"/>
      <c r="HQZ53" s="19"/>
      <c r="HRA53" s="19"/>
      <c r="HRB53" s="21"/>
      <c r="HRC53" s="19"/>
      <c r="HRL53" s="19"/>
      <c r="HRM53" s="19"/>
      <c r="HRN53" s="19"/>
      <c r="HRO53" s="19"/>
      <c r="HRP53" s="21"/>
      <c r="HRQ53" s="19"/>
      <c r="HRZ53" s="19"/>
      <c r="HSA53" s="19"/>
      <c r="HSB53" s="19"/>
      <c r="HSC53" s="19"/>
      <c r="HSD53" s="21"/>
      <c r="HSE53" s="19"/>
      <c r="HSN53" s="19"/>
      <c r="HSO53" s="19"/>
      <c r="HSP53" s="19"/>
      <c r="HSQ53" s="19"/>
      <c r="HSR53" s="21"/>
      <c r="HSS53" s="19"/>
      <c r="HTB53" s="19"/>
      <c r="HTC53" s="19"/>
      <c r="HTD53" s="19"/>
      <c r="HTE53" s="19"/>
      <c r="HTF53" s="21"/>
      <c r="HTG53" s="19"/>
      <c r="HTP53" s="19"/>
      <c r="HTQ53" s="19"/>
      <c r="HTR53" s="19"/>
      <c r="HTS53" s="19"/>
      <c r="HTT53" s="21"/>
      <c r="HTU53" s="19"/>
      <c r="HUD53" s="19"/>
      <c r="HUE53" s="19"/>
      <c r="HUF53" s="19"/>
      <c r="HUG53" s="19"/>
      <c r="HUH53" s="21"/>
      <c r="HUI53" s="19"/>
      <c r="HUR53" s="19"/>
      <c r="HUS53" s="19"/>
      <c r="HUT53" s="19"/>
      <c r="HUU53" s="19"/>
      <c r="HUV53" s="21"/>
      <c r="HUW53" s="19"/>
      <c r="HVF53" s="19"/>
      <c r="HVG53" s="19"/>
      <c r="HVH53" s="19"/>
      <c r="HVI53" s="19"/>
      <c r="HVJ53" s="21"/>
      <c r="HVK53" s="19"/>
      <c r="HVT53" s="19"/>
      <c r="HVU53" s="19"/>
      <c r="HVV53" s="19"/>
      <c r="HVW53" s="19"/>
      <c r="HVX53" s="21"/>
      <c r="HVY53" s="19"/>
      <c r="HWH53" s="19"/>
      <c r="HWI53" s="19"/>
      <c r="HWJ53" s="19"/>
      <c r="HWK53" s="19"/>
      <c r="HWL53" s="21"/>
      <c r="HWM53" s="19"/>
      <c r="HWV53" s="19"/>
      <c r="HWW53" s="19"/>
      <c r="HWX53" s="19"/>
      <c r="HWY53" s="19"/>
      <c r="HWZ53" s="21"/>
      <c r="HXA53" s="19"/>
      <c r="HXJ53" s="19"/>
      <c r="HXK53" s="19"/>
      <c r="HXL53" s="19"/>
      <c r="HXM53" s="19"/>
      <c r="HXN53" s="21"/>
      <c r="HXO53" s="19"/>
      <c r="HXX53" s="19"/>
      <c r="HXY53" s="19"/>
      <c r="HXZ53" s="19"/>
      <c r="HYA53" s="19"/>
      <c r="HYB53" s="21"/>
      <c r="HYC53" s="19"/>
      <c r="HYL53" s="19"/>
      <c r="HYM53" s="19"/>
      <c r="HYN53" s="19"/>
      <c r="HYO53" s="19"/>
      <c r="HYP53" s="21"/>
      <c r="HYQ53" s="19"/>
      <c r="HYZ53" s="19"/>
      <c r="HZA53" s="19"/>
      <c r="HZB53" s="19"/>
      <c r="HZC53" s="19"/>
      <c r="HZD53" s="21"/>
      <c r="HZE53" s="19"/>
      <c r="HZN53" s="19"/>
      <c r="HZO53" s="19"/>
      <c r="HZP53" s="19"/>
      <c r="HZQ53" s="19"/>
      <c r="HZR53" s="21"/>
      <c r="HZS53" s="19"/>
      <c r="IAB53" s="19"/>
      <c r="IAC53" s="19"/>
      <c r="IAD53" s="19"/>
      <c r="IAE53" s="19"/>
      <c r="IAF53" s="21"/>
      <c r="IAG53" s="19"/>
      <c r="IAP53" s="19"/>
      <c r="IAQ53" s="19"/>
      <c r="IAR53" s="19"/>
      <c r="IAS53" s="19"/>
      <c r="IAT53" s="21"/>
      <c r="IAU53" s="19"/>
      <c r="IBD53" s="19"/>
      <c r="IBE53" s="19"/>
      <c r="IBF53" s="19"/>
      <c r="IBG53" s="19"/>
      <c r="IBH53" s="21"/>
      <c r="IBI53" s="19"/>
      <c r="IBR53" s="19"/>
      <c r="IBS53" s="19"/>
      <c r="IBT53" s="19"/>
      <c r="IBU53" s="19"/>
      <c r="IBV53" s="21"/>
      <c r="IBW53" s="19"/>
      <c r="ICF53" s="19"/>
      <c r="ICG53" s="19"/>
      <c r="ICH53" s="19"/>
      <c r="ICI53" s="19"/>
      <c r="ICJ53" s="21"/>
      <c r="ICK53" s="19"/>
      <c r="ICT53" s="19"/>
      <c r="ICU53" s="19"/>
      <c r="ICV53" s="19"/>
      <c r="ICW53" s="19"/>
      <c r="ICX53" s="21"/>
      <c r="ICY53" s="19"/>
      <c r="IDH53" s="19"/>
      <c r="IDI53" s="19"/>
      <c r="IDJ53" s="19"/>
      <c r="IDK53" s="19"/>
      <c r="IDL53" s="21"/>
      <c r="IDM53" s="19"/>
      <c r="IDV53" s="19"/>
      <c r="IDW53" s="19"/>
      <c r="IDX53" s="19"/>
      <c r="IDY53" s="19"/>
      <c r="IDZ53" s="21"/>
      <c r="IEA53" s="19"/>
      <c r="IEJ53" s="19"/>
      <c r="IEK53" s="19"/>
      <c r="IEL53" s="19"/>
      <c r="IEM53" s="19"/>
      <c r="IEN53" s="21"/>
      <c r="IEO53" s="19"/>
      <c r="IEX53" s="19"/>
      <c r="IEY53" s="19"/>
      <c r="IEZ53" s="19"/>
      <c r="IFA53" s="19"/>
      <c r="IFB53" s="21"/>
      <c r="IFC53" s="19"/>
      <c r="IFL53" s="19"/>
      <c r="IFM53" s="19"/>
      <c r="IFN53" s="19"/>
      <c r="IFO53" s="19"/>
      <c r="IFP53" s="21"/>
      <c r="IFQ53" s="19"/>
      <c r="IFZ53" s="19"/>
      <c r="IGA53" s="19"/>
      <c r="IGB53" s="19"/>
      <c r="IGC53" s="19"/>
      <c r="IGD53" s="21"/>
      <c r="IGE53" s="19"/>
      <c r="IGN53" s="19"/>
      <c r="IGO53" s="19"/>
      <c r="IGP53" s="19"/>
      <c r="IGQ53" s="19"/>
      <c r="IGR53" s="21"/>
      <c r="IGS53" s="19"/>
      <c r="IHB53" s="19"/>
      <c r="IHC53" s="19"/>
      <c r="IHD53" s="19"/>
      <c r="IHE53" s="19"/>
      <c r="IHF53" s="21"/>
      <c r="IHG53" s="19"/>
      <c r="IHP53" s="19"/>
      <c r="IHQ53" s="19"/>
      <c r="IHR53" s="19"/>
      <c r="IHS53" s="19"/>
      <c r="IHT53" s="21"/>
      <c r="IHU53" s="19"/>
      <c r="IID53" s="19"/>
      <c r="IIE53" s="19"/>
      <c r="IIF53" s="19"/>
      <c r="IIG53" s="19"/>
      <c r="IIH53" s="21"/>
      <c r="III53" s="19"/>
      <c r="IIR53" s="19"/>
      <c r="IIS53" s="19"/>
      <c r="IIT53" s="19"/>
      <c r="IIU53" s="19"/>
      <c r="IIV53" s="21"/>
      <c r="IIW53" s="19"/>
      <c r="IJF53" s="19"/>
      <c r="IJG53" s="19"/>
      <c r="IJH53" s="19"/>
      <c r="IJI53" s="19"/>
      <c r="IJJ53" s="21"/>
      <c r="IJK53" s="19"/>
      <c r="IJT53" s="19"/>
      <c r="IJU53" s="19"/>
      <c r="IJV53" s="19"/>
      <c r="IJW53" s="19"/>
      <c r="IJX53" s="21"/>
      <c r="IJY53" s="19"/>
      <c r="IKH53" s="19"/>
      <c r="IKI53" s="19"/>
      <c r="IKJ53" s="19"/>
      <c r="IKK53" s="19"/>
      <c r="IKL53" s="21"/>
      <c r="IKM53" s="19"/>
      <c r="IKV53" s="19"/>
      <c r="IKW53" s="19"/>
      <c r="IKX53" s="19"/>
      <c r="IKY53" s="19"/>
      <c r="IKZ53" s="21"/>
      <c r="ILA53" s="19"/>
      <c r="ILJ53" s="19"/>
      <c r="ILK53" s="19"/>
      <c r="ILL53" s="19"/>
      <c r="ILM53" s="19"/>
      <c r="ILN53" s="21"/>
      <c r="ILO53" s="19"/>
      <c r="ILX53" s="19"/>
      <c r="ILY53" s="19"/>
      <c r="ILZ53" s="19"/>
      <c r="IMA53" s="19"/>
      <c r="IMB53" s="21"/>
      <c r="IMC53" s="19"/>
      <c r="IML53" s="19"/>
      <c r="IMM53" s="19"/>
      <c r="IMN53" s="19"/>
      <c r="IMO53" s="19"/>
      <c r="IMP53" s="21"/>
      <c r="IMQ53" s="19"/>
      <c r="IMZ53" s="19"/>
      <c r="INA53" s="19"/>
      <c r="INB53" s="19"/>
      <c r="INC53" s="19"/>
      <c r="IND53" s="21"/>
      <c r="INE53" s="19"/>
      <c r="INN53" s="19"/>
      <c r="INO53" s="19"/>
      <c r="INP53" s="19"/>
      <c r="INQ53" s="19"/>
      <c r="INR53" s="21"/>
      <c r="INS53" s="19"/>
      <c r="IOB53" s="19"/>
      <c r="IOC53" s="19"/>
      <c r="IOD53" s="19"/>
      <c r="IOE53" s="19"/>
      <c r="IOF53" s="21"/>
      <c r="IOG53" s="19"/>
      <c r="IOP53" s="19"/>
      <c r="IOQ53" s="19"/>
      <c r="IOR53" s="19"/>
      <c r="IOS53" s="19"/>
      <c r="IOT53" s="21"/>
      <c r="IOU53" s="19"/>
      <c r="IPD53" s="19"/>
      <c r="IPE53" s="19"/>
      <c r="IPF53" s="19"/>
      <c r="IPG53" s="19"/>
      <c r="IPH53" s="21"/>
      <c r="IPI53" s="19"/>
      <c r="IPR53" s="19"/>
      <c r="IPS53" s="19"/>
      <c r="IPT53" s="19"/>
      <c r="IPU53" s="19"/>
      <c r="IPV53" s="21"/>
      <c r="IPW53" s="19"/>
      <c r="IQF53" s="19"/>
      <c r="IQG53" s="19"/>
      <c r="IQH53" s="19"/>
      <c r="IQI53" s="19"/>
      <c r="IQJ53" s="21"/>
      <c r="IQK53" s="19"/>
      <c r="IQT53" s="19"/>
      <c r="IQU53" s="19"/>
      <c r="IQV53" s="19"/>
      <c r="IQW53" s="19"/>
      <c r="IQX53" s="21"/>
      <c r="IQY53" s="19"/>
      <c r="IRH53" s="19"/>
      <c r="IRI53" s="19"/>
      <c r="IRJ53" s="19"/>
      <c r="IRK53" s="19"/>
      <c r="IRL53" s="21"/>
      <c r="IRM53" s="19"/>
      <c r="IRV53" s="19"/>
      <c r="IRW53" s="19"/>
      <c r="IRX53" s="19"/>
      <c r="IRY53" s="19"/>
      <c r="IRZ53" s="21"/>
      <c r="ISA53" s="19"/>
      <c r="ISJ53" s="19"/>
      <c r="ISK53" s="19"/>
      <c r="ISL53" s="19"/>
      <c r="ISM53" s="19"/>
      <c r="ISN53" s="21"/>
      <c r="ISO53" s="19"/>
      <c r="ISX53" s="19"/>
      <c r="ISY53" s="19"/>
      <c r="ISZ53" s="19"/>
      <c r="ITA53" s="19"/>
      <c r="ITB53" s="21"/>
      <c r="ITC53" s="19"/>
      <c r="ITL53" s="19"/>
      <c r="ITM53" s="19"/>
      <c r="ITN53" s="19"/>
      <c r="ITO53" s="19"/>
      <c r="ITP53" s="21"/>
      <c r="ITQ53" s="19"/>
      <c r="ITZ53" s="19"/>
      <c r="IUA53" s="19"/>
      <c r="IUB53" s="19"/>
      <c r="IUC53" s="19"/>
      <c r="IUD53" s="21"/>
      <c r="IUE53" s="19"/>
      <c r="IUN53" s="19"/>
      <c r="IUO53" s="19"/>
      <c r="IUP53" s="19"/>
      <c r="IUQ53" s="19"/>
      <c r="IUR53" s="21"/>
      <c r="IUS53" s="19"/>
      <c r="IVB53" s="19"/>
      <c r="IVC53" s="19"/>
      <c r="IVD53" s="19"/>
      <c r="IVE53" s="19"/>
      <c r="IVF53" s="21"/>
      <c r="IVG53" s="19"/>
      <c r="IVP53" s="19"/>
      <c r="IVQ53" s="19"/>
      <c r="IVR53" s="19"/>
      <c r="IVS53" s="19"/>
      <c r="IVT53" s="21"/>
      <c r="IVU53" s="19"/>
      <c r="IWD53" s="19"/>
      <c r="IWE53" s="19"/>
      <c r="IWF53" s="19"/>
      <c r="IWG53" s="19"/>
      <c r="IWH53" s="21"/>
      <c r="IWI53" s="19"/>
      <c r="IWR53" s="19"/>
      <c r="IWS53" s="19"/>
      <c r="IWT53" s="19"/>
      <c r="IWU53" s="19"/>
      <c r="IWV53" s="21"/>
      <c r="IWW53" s="19"/>
      <c r="IXF53" s="19"/>
      <c r="IXG53" s="19"/>
      <c r="IXH53" s="19"/>
      <c r="IXI53" s="19"/>
      <c r="IXJ53" s="21"/>
      <c r="IXK53" s="19"/>
      <c r="IXT53" s="19"/>
      <c r="IXU53" s="19"/>
      <c r="IXV53" s="19"/>
      <c r="IXW53" s="19"/>
      <c r="IXX53" s="21"/>
      <c r="IXY53" s="19"/>
      <c r="IYH53" s="19"/>
      <c r="IYI53" s="19"/>
      <c r="IYJ53" s="19"/>
      <c r="IYK53" s="19"/>
      <c r="IYL53" s="21"/>
      <c r="IYM53" s="19"/>
      <c r="IYV53" s="19"/>
      <c r="IYW53" s="19"/>
      <c r="IYX53" s="19"/>
      <c r="IYY53" s="19"/>
      <c r="IYZ53" s="21"/>
      <c r="IZA53" s="19"/>
      <c r="IZJ53" s="19"/>
      <c r="IZK53" s="19"/>
      <c r="IZL53" s="19"/>
      <c r="IZM53" s="19"/>
      <c r="IZN53" s="21"/>
      <c r="IZO53" s="19"/>
      <c r="IZX53" s="19"/>
      <c r="IZY53" s="19"/>
      <c r="IZZ53" s="19"/>
      <c r="JAA53" s="19"/>
      <c r="JAB53" s="21"/>
      <c r="JAC53" s="19"/>
      <c r="JAL53" s="19"/>
      <c r="JAM53" s="19"/>
      <c r="JAN53" s="19"/>
      <c r="JAO53" s="19"/>
      <c r="JAP53" s="21"/>
      <c r="JAQ53" s="19"/>
      <c r="JAZ53" s="19"/>
      <c r="JBA53" s="19"/>
      <c r="JBB53" s="19"/>
      <c r="JBC53" s="19"/>
      <c r="JBD53" s="21"/>
      <c r="JBE53" s="19"/>
      <c r="JBN53" s="19"/>
      <c r="JBO53" s="19"/>
      <c r="JBP53" s="19"/>
      <c r="JBQ53" s="19"/>
      <c r="JBR53" s="21"/>
      <c r="JBS53" s="19"/>
      <c r="JCB53" s="19"/>
      <c r="JCC53" s="19"/>
      <c r="JCD53" s="19"/>
      <c r="JCE53" s="19"/>
      <c r="JCF53" s="21"/>
      <c r="JCG53" s="19"/>
      <c r="JCP53" s="19"/>
      <c r="JCQ53" s="19"/>
      <c r="JCR53" s="19"/>
      <c r="JCS53" s="19"/>
      <c r="JCT53" s="21"/>
      <c r="JCU53" s="19"/>
      <c r="JDD53" s="19"/>
      <c r="JDE53" s="19"/>
      <c r="JDF53" s="19"/>
      <c r="JDG53" s="19"/>
      <c r="JDH53" s="21"/>
      <c r="JDI53" s="19"/>
      <c r="JDR53" s="19"/>
      <c r="JDS53" s="19"/>
      <c r="JDT53" s="19"/>
      <c r="JDU53" s="19"/>
      <c r="JDV53" s="21"/>
      <c r="JDW53" s="19"/>
      <c r="JEF53" s="19"/>
      <c r="JEG53" s="19"/>
      <c r="JEH53" s="19"/>
      <c r="JEI53" s="19"/>
      <c r="JEJ53" s="21"/>
      <c r="JEK53" s="19"/>
      <c r="JET53" s="19"/>
      <c r="JEU53" s="19"/>
      <c r="JEV53" s="19"/>
      <c r="JEW53" s="19"/>
      <c r="JEX53" s="21"/>
      <c r="JEY53" s="19"/>
      <c r="JFH53" s="19"/>
      <c r="JFI53" s="19"/>
      <c r="JFJ53" s="19"/>
      <c r="JFK53" s="19"/>
      <c r="JFL53" s="21"/>
      <c r="JFM53" s="19"/>
      <c r="JFV53" s="19"/>
      <c r="JFW53" s="19"/>
      <c r="JFX53" s="19"/>
      <c r="JFY53" s="19"/>
      <c r="JFZ53" s="21"/>
      <c r="JGA53" s="19"/>
      <c r="JGJ53" s="19"/>
      <c r="JGK53" s="19"/>
      <c r="JGL53" s="19"/>
      <c r="JGM53" s="19"/>
      <c r="JGN53" s="21"/>
      <c r="JGO53" s="19"/>
      <c r="JGX53" s="19"/>
      <c r="JGY53" s="19"/>
      <c r="JGZ53" s="19"/>
      <c r="JHA53" s="19"/>
      <c r="JHB53" s="21"/>
      <c r="JHC53" s="19"/>
      <c r="JHL53" s="19"/>
      <c r="JHM53" s="19"/>
      <c r="JHN53" s="19"/>
      <c r="JHO53" s="19"/>
      <c r="JHP53" s="21"/>
      <c r="JHQ53" s="19"/>
      <c r="JHZ53" s="19"/>
      <c r="JIA53" s="19"/>
      <c r="JIB53" s="19"/>
      <c r="JIC53" s="19"/>
      <c r="JID53" s="21"/>
      <c r="JIE53" s="19"/>
      <c r="JIN53" s="19"/>
      <c r="JIO53" s="19"/>
      <c r="JIP53" s="19"/>
      <c r="JIQ53" s="19"/>
      <c r="JIR53" s="21"/>
      <c r="JIS53" s="19"/>
      <c r="JJB53" s="19"/>
      <c r="JJC53" s="19"/>
      <c r="JJD53" s="19"/>
      <c r="JJE53" s="19"/>
      <c r="JJF53" s="21"/>
      <c r="JJG53" s="19"/>
      <c r="JJP53" s="19"/>
      <c r="JJQ53" s="19"/>
      <c r="JJR53" s="19"/>
      <c r="JJS53" s="19"/>
      <c r="JJT53" s="21"/>
      <c r="JJU53" s="19"/>
      <c r="JKD53" s="19"/>
      <c r="JKE53" s="19"/>
      <c r="JKF53" s="19"/>
      <c r="JKG53" s="19"/>
      <c r="JKH53" s="21"/>
      <c r="JKI53" s="19"/>
      <c r="JKR53" s="19"/>
      <c r="JKS53" s="19"/>
      <c r="JKT53" s="19"/>
      <c r="JKU53" s="19"/>
      <c r="JKV53" s="21"/>
      <c r="JKW53" s="19"/>
      <c r="JLF53" s="19"/>
      <c r="JLG53" s="19"/>
      <c r="JLH53" s="19"/>
      <c r="JLI53" s="19"/>
      <c r="JLJ53" s="21"/>
      <c r="JLK53" s="19"/>
      <c r="JLT53" s="19"/>
      <c r="JLU53" s="19"/>
      <c r="JLV53" s="19"/>
      <c r="JLW53" s="19"/>
      <c r="JLX53" s="21"/>
      <c r="JLY53" s="19"/>
      <c r="JMH53" s="19"/>
      <c r="JMI53" s="19"/>
      <c r="JMJ53" s="19"/>
      <c r="JMK53" s="19"/>
      <c r="JML53" s="21"/>
      <c r="JMM53" s="19"/>
      <c r="JMV53" s="19"/>
      <c r="JMW53" s="19"/>
      <c r="JMX53" s="19"/>
      <c r="JMY53" s="19"/>
      <c r="JMZ53" s="21"/>
      <c r="JNA53" s="19"/>
      <c r="JNJ53" s="19"/>
      <c r="JNK53" s="19"/>
      <c r="JNL53" s="19"/>
      <c r="JNM53" s="19"/>
      <c r="JNN53" s="21"/>
      <c r="JNO53" s="19"/>
      <c r="JNX53" s="19"/>
      <c r="JNY53" s="19"/>
      <c r="JNZ53" s="19"/>
      <c r="JOA53" s="19"/>
      <c r="JOB53" s="21"/>
      <c r="JOC53" s="19"/>
      <c r="JOL53" s="19"/>
      <c r="JOM53" s="19"/>
      <c r="JON53" s="19"/>
      <c r="JOO53" s="19"/>
      <c r="JOP53" s="21"/>
      <c r="JOQ53" s="19"/>
      <c r="JOZ53" s="19"/>
      <c r="JPA53" s="19"/>
      <c r="JPB53" s="19"/>
      <c r="JPC53" s="19"/>
      <c r="JPD53" s="21"/>
      <c r="JPE53" s="19"/>
      <c r="JPN53" s="19"/>
      <c r="JPO53" s="19"/>
      <c r="JPP53" s="19"/>
      <c r="JPQ53" s="19"/>
      <c r="JPR53" s="21"/>
      <c r="JPS53" s="19"/>
      <c r="JQB53" s="19"/>
      <c r="JQC53" s="19"/>
      <c r="JQD53" s="19"/>
      <c r="JQE53" s="19"/>
      <c r="JQF53" s="21"/>
      <c r="JQG53" s="19"/>
      <c r="JQP53" s="19"/>
      <c r="JQQ53" s="19"/>
      <c r="JQR53" s="19"/>
      <c r="JQS53" s="19"/>
      <c r="JQT53" s="21"/>
      <c r="JQU53" s="19"/>
      <c r="JRD53" s="19"/>
      <c r="JRE53" s="19"/>
      <c r="JRF53" s="19"/>
      <c r="JRG53" s="19"/>
      <c r="JRH53" s="21"/>
      <c r="JRI53" s="19"/>
      <c r="JRR53" s="19"/>
      <c r="JRS53" s="19"/>
      <c r="JRT53" s="19"/>
      <c r="JRU53" s="19"/>
      <c r="JRV53" s="21"/>
      <c r="JRW53" s="19"/>
      <c r="JSF53" s="19"/>
      <c r="JSG53" s="19"/>
      <c r="JSH53" s="19"/>
      <c r="JSI53" s="19"/>
      <c r="JSJ53" s="21"/>
      <c r="JSK53" s="19"/>
      <c r="JST53" s="19"/>
      <c r="JSU53" s="19"/>
      <c r="JSV53" s="19"/>
      <c r="JSW53" s="19"/>
      <c r="JSX53" s="21"/>
      <c r="JSY53" s="19"/>
      <c r="JTH53" s="19"/>
      <c r="JTI53" s="19"/>
      <c r="JTJ53" s="19"/>
      <c r="JTK53" s="19"/>
      <c r="JTL53" s="21"/>
      <c r="JTM53" s="19"/>
      <c r="JTV53" s="19"/>
      <c r="JTW53" s="19"/>
      <c r="JTX53" s="19"/>
      <c r="JTY53" s="19"/>
      <c r="JTZ53" s="21"/>
      <c r="JUA53" s="19"/>
      <c r="JUJ53" s="19"/>
      <c r="JUK53" s="19"/>
      <c r="JUL53" s="19"/>
      <c r="JUM53" s="19"/>
      <c r="JUN53" s="21"/>
      <c r="JUO53" s="19"/>
      <c r="JUX53" s="19"/>
      <c r="JUY53" s="19"/>
      <c r="JUZ53" s="19"/>
      <c r="JVA53" s="19"/>
      <c r="JVB53" s="21"/>
      <c r="JVC53" s="19"/>
      <c r="JVL53" s="19"/>
      <c r="JVM53" s="19"/>
      <c r="JVN53" s="19"/>
      <c r="JVO53" s="19"/>
      <c r="JVP53" s="21"/>
      <c r="JVQ53" s="19"/>
      <c r="JVZ53" s="19"/>
      <c r="JWA53" s="19"/>
      <c r="JWB53" s="19"/>
      <c r="JWC53" s="19"/>
      <c r="JWD53" s="21"/>
      <c r="JWE53" s="19"/>
      <c r="JWN53" s="19"/>
      <c r="JWO53" s="19"/>
      <c r="JWP53" s="19"/>
      <c r="JWQ53" s="19"/>
      <c r="JWR53" s="21"/>
      <c r="JWS53" s="19"/>
      <c r="JXB53" s="19"/>
      <c r="JXC53" s="19"/>
      <c r="JXD53" s="19"/>
      <c r="JXE53" s="19"/>
      <c r="JXF53" s="21"/>
      <c r="JXG53" s="19"/>
      <c r="JXP53" s="19"/>
      <c r="JXQ53" s="19"/>
      <c r="JXR53" s="19"/>
      <c r="JXS53" s="19"/>
      <c r="JXT53" s="21"/>
      <c r="JXU53" s="19"/>
      <c r="JYD53" s="19"/>
      <c r="JYE53" s="19"/>
      <c r="JYF53" s="19"/>
      <c r="JYG53" s="19"/>
      <c r="JYH53" s="21"/>
      <c r="JYI53" s="19"/>
      <c r="JYR53" s="19"/>
      <c r="JYS53" s="19"/>
      <c r="JYT53" s="19"/>
      <c r="JYU53" s="19"/>
      <c r="JYV53" s="21"/>
      <c r="JYW53" s="19"/>
      <c r="JZF53" s="19"/>
      <c r="JZG53" s="19"/>
      <c r="JZH53" s="19"/>
      <c r="JZI53" s="19"/>
      <c r="JZJ53" s="21"/>
      <c r="JZK53" s="19"/>
      <c r="JZT53" s="19"/>
      <c r="JZU53" s="19"/>
      <c r="JZV53" s="19"/>
      <c r="JZW53" s="19"/>
      <c r="JZX53" s="21"/>
      <c r="JZY53" s="19"/>
      <c r="KAH53" s="19"/>
      <c r="KAI53" s="19"/>
      <c r="KAJ53" s="19"/>
      <c r="KAK53" s="19"/>
      <c r="KAL53" s="21"/>
      <c r="KAM53" s="19"/>
      <c r="KAV53" s="19"/>
      <c r="KAW53" s="19"/>
      <c r="KAX53" s="19"/>
      <c r="KAY53" s="19"/>
      <c r="KAZ53" s="21"/>
      <c r="KBA53" s="19"/>
      <c r="KBJ53" s="19"/>
      <c r="KBK53" s="19"/>
      <c r="KBL53" s="19"/>
      <c r="KBM53" s="19"/>
      <c r="KBN53" s="21"/>
      <c r="KBO53" s="19"/>
      <c r="KBX53" s="19"/>
      <c r="KBY53" s="19"/>
      <c r="KBZ53" s="19"/>
      <c r="KCA53" s="19"/>
      <c r="KCB53" s="21"/>
      <c r="KCC53" s="19"/>
      <c r="KCL53" s="19"/>
      <c r="KCM53" s="19"/>
      <c r="KCN53" s="19"/>
      <c r="KCO53" s="19"/>
      <c r="KCP53" s="21"/>
      <c r="KCQ53" s="19"/>
      <c r="KCZ53" s="19"/>
      <c r="KDA53" s="19"/>
      <c r="KDB53" s="19"/>
      <c r="KDC53" s="19"/>
      <c r="KDD53" s="21"/>
      <c r="KDE53" s="19"/>
      <c r="KDN53" s="19"/>
      <c r="KDO53" s="19"/>
      <c r="KDP53" s="19"/>
      <c r="KDQ53" s="19"/>
      <c r="KDR53" s="21"/>
      <c r="KDS53" s="19"/>
      <c r="KEB53" s="19"/>
      <c r="KEC53" s="19"/>
      <c r="KED53" s="19"/>
      <c r="KEE53" s="19"/>
      <c r="KEF53" s="21"/>
      <c r="KEG53" s="19"/>
      <c r="KEP53" s="19"/>
      <c r="KEQ53" s="19"/>
      <c r="KER53" s="19"/>
      <c r="KES53" s="19"/>
      <c r="KET53" s="21"/>
      <c r="KEU53" s="19"/>
      <c r="KFD53" s="19"/>
      <c r="KFE53" s="19"/>
      <c r="KFF53" s="19"/>
      <c r="KFG53" s="19"/>
      <c r="KFH53" s="21"/>
      <c r="KFI53" s="19"/>
      <c r="KFR53" s="19"/>
      <c r="KFS53" s="19"/>
      <c r="KFT53" s="19"/>
      <c r="KFU53" s="19"/>
      <c r="KFV53" s="21"/>
      <c r="KFW53" s="19"/>
      <c r="KGF53" s="19"/>
      <c r="KGG53" s="19"/>
      <c r="KGH53" s="19"/>
      <c r="KGI53" s="19"/>
      <c r="KGJ53" s="21"/>
      <c r="KGK53" s="19"/>
      <c r="KGT53" s="19"/>
      <c r="KGU53" s="19"/>
      <c r="KGV53" s="19"/>
      <c r="KGW53" s="19"/>
      <c r="KGX53" s="21"/>
      <c r="KGY53" s="19"/>
      <c r="KHH53" s="19"/>
      <c r="KHI53" s="19"/>
      <c r="KHJ53" s="19"/>
      <c r="KHK53" s="19"/>
      <c r="KHL53" s="21"/>
      <c r="KHM53" s="19"/>
      <c r="KHV53" s="19"/>
      <c r="KHW53" s="19"/>
      <c r="KHX53" s="19"/>
      <c r="KHY53" s="19"/>
      <c r="KHZ53" s="21"/>
      <c r="KIA53" s="19"/>
      <c r="KIJ53" s="19"/>
      <c r="KIK53" s="19"/>
      <c r="KIL53" s="19"/>
      <c r="KIM53" s="19"/>
      <c r="KIN53" s="21"/>
      <c r="KIO53" s="19"/>
      <c r="KIX53" s="19"/>
      <c r="KIY53" s="19"/>
      <c r="KIZ53" s="19"/>
      <c r="KJA53" s="19"/>
      <c r="KJB53" s="21"/>
      <c r="KJC53" s="19"/>
      <c r="KJL53" s="19"/>
      <c r="KJM53" s="19"/>
      <c r="KJN53" s="19"/>
      <c r="KJO53" s="19"/>
      <c r="KJP53" s="21"/>
      <c r="KJQ53" s="19"/>
      <c r="KJZ53" s="19"/>
      <c r="KKA53" s="19"/>
      <c r="KKB53" s="19"/>
      <c r="KKC53" s="19"/>
      <c r="KKD53" s="21"/>
      <c r="KKE53" s="19"/>
      <c r="KKN53" s="19"/>
      <c r="KKO53" s="19"/>
      <c r="KKP53" s="19"/>
      <c r="KKQ53" s="19"/>
      <c r="KKR53" s="21"/>
      <c r="KKS53" s="19"/>
      <c r="KLB53" s="19"/>
      <c r="KLC53" s="19"/>
      <c r="KLD53" s="19"/>
      <c r="KLE53" s="19"/>
      <c r="KLF53" s="21"/>
      <c r="KLG53" s="19"/>
      <c r="KLP53" s="19"/>
      <c r="KLQ53" s="19"/>
      <c r="KLR53" s="19"/>
      <c r="KLS53" s="19"/>
      <c r="KLT53" s="21"/>
      <c r="KLU53" s="19"/>
      <c r="KMD53" s="19"/>
      <c r="KME53" s="19"/>
      <c r="KMF53" s="19"/>
      <c r="KMG53" s="19"/>
      <c r="KMH53" s="21"/>
      <c r="KMI53" s="19"/>
      <c r="KMR53" s="19"/>
      <c r="KMS53" s="19"/>
      <c r="KMT53" s="19"/>
      <c r="KMU53" s="19"/>
      <c r="KMV53" s="21"/>
      <c r="KMW53" s="19"/>
      <c r="KNF53" s="19"/>
      <c r="KNG53" s="19"/>
      <c r="KNH53" s="19"/>
      <c r="KNI53" s="19"/>
      <c r="KNJ53" s="21"/>
      <c r="KNK53" s="19"/>
      <c r="KNT53" s="19"/>
      <c r="KNU53" s="19"/>
      <c r="KNV53" s="19"/>
      <c r="KNW53" s="19"/>
      <c r="KNX53" s="21"/>
      <c r="KNY53" s="19"/>
      <c r="KOH53" s="19"/>
      <c r="KOI53" s="19"/>
      <c r="KOJ53" s="19"/>
      <c r="KOK53" s="19"/>
      <c r="KOL53" s="21"/>
      <c r="KOM53" s="19"/>
      <c r="KOV53" s="19"/>
      <c r="KOW53" s="19"/>
      <c r="KOX53" s="19"/>
      <c r="KOY53" s="19"/>
      <c r="KOZ53" s="21"/>
      <c r="KPA53" s="19"/>
      <c r="KPJ53" s="19"/>
      <c r="KPK53" s="19"/>
      <c r="KPL53" s="19"/>
      <c r="KPM53" s="19"/>
      <c r="KPN53" s="21"/>
      <c r="KPO53" s="19"/>
      <c r="KPX53" s="19"/>
      <c r="KPY53" s="19"/>
      <c r="KPZ53" s="19"/>
      <c r="KQA53" s="19"/>
      <c r="KQB53" s="21"/>
      <c r="KQC53" s="19"/>
      <c r="KQL53" s="19"/>
      <c r="KQM53" s="19"/>
      <c r="KQN53" s="19"/>
      <c r="KQO53" s="19"/>
      <c r="KQP53" s="21"/>
      <c r="KQQ53" s="19"/>
      <c r="KQZ53" s="19"/>
      <c r="KRA53" s="19"/>
      <c r="KRB53" s="19"/>
      <c r="KRC53" s="19"/>
      <c r="KRD53" s="21"/>
      <c r="KRE53" s="19"/>
      <c r="KRN53" s="19"/>
      <c r="KRO53" s="19"/>
      <c r="KRP53" s="19"/>
      <c r="KRQ53" s="19"/>
      <c r="KRR53" s="21"/>
      <c r="KRS53" s="19"/>
      <c r="KSB53" s="19"/>
      <c r="KSC53" s="19"/>
      <c r="KSD53" s="19"/>
      <c r="KSE53" s="19"/>
      <c r="KSF53" s="21"/>
      <c r="KSG53" s="19"/>
      <c r="KSP53" s="19"/>
      <c r="KSQ53" s="19"/>
      <c r="KSR53" s="19"/>
      <c r="KSS53" s="19"/>
      <c r="KST53" s="21"/>
      <c r="KSU53" s="19"/>
      <c r="KTD53" s="19"/>
      <c r="KTE53" s="19"/>
      <c r="KTF53" s="19"/>
      <c r="KTG53" s="19"/>
      <c r="KTH53" s="21"/>
      <c r="KTI53" s="19"/>
      <c r="KTR53" s="19"/>
      <c r="KTS53" s="19"/>
      <c r="KTT53" s="19"/>
      <c r="KTU53" s="19"/>
      <c r="KTV53" s="21"/>
      <c r="KTW53" s="19"/>
      <c r="KUF53" s="19"/>
      <c r="KUG53" s="19"/>
      <c r="KUH53" s="19"/>
      <c r="KUI53" s="19"/>
      <c r="KUJ53" s="21"/>
      <c r="KUK53" s="19"/>
      <c r="KUT53" s="19"/>
      <c r="KUU53" s="19"/>
      <c r="KUV53" s="19"/>
      <c r="KUW53" s="19"/>
      <c r="KUX53" s="21"/>
      <c r="KUY53" s="19"/>
      <c r="KVH53" s="19"/>
      <c r="KVI53" s="19"/>
      <c r="KVJ53" s="19"/>
      <c r="KVK53" s="19"/>
      <c r="KVL53" s="21"/>
      <c r="KVM53" s="19"/>
      <c r="KVV53" s="19"/>
      <c r="KVW53" s="19"/>
      <c r="KVX53" s="19"/>
      <c r="KVY53" s="19"/>
      <c r="KVZ53" s="21"/>
      <c r="KWA53" s="19"/>
      <c r="KWJ53" s="19"/>
      <c r="KWK53" s="19"/>
      <c r="KWL53" s="19"/>
      <c r="KWM53" s="19"/>
      <c r="KWN53" s="21"/>
      <c r="KWO53" s="19"/>
      <c r="KWX53" s="19"/>
      <c r="KWY53" s="19"/>
      <c r="KWZ53" s="19"/>
      <c r="KXA53" s="19"/>
      <c r="KXB53" s="21"/>
      <c r="KXC53" s="19"/>
      <c r="KXL53" s="19"/>
      <c r="KXM53" s="19"/>
      <c r="KXN53" s="19"/>
      <c r="KXO53" s="19"/>
      <c r="KXP53" s="21"/>
      <c r="KXQ53" s="19"/>
      <c r="KXZ53" s="19"/>
      <c r="KYA53" s="19"/>
      <c r="KYB53" s="19"/>
      <c r="KYC53" s="19"/>
      <c r="KYD53" s="21"/>
      <c r="KYE53" s="19"/>
      <c r="KYN53" s="19"/>
      <c r="KYO53" s="19"/>
      <c r="KYP53" s="19"/>
      <c r="KYQ53" s="19"/>
      <c r="KYR53" s="21"/>
      <c r="KYS53" s="19"/>
      <c r="KZB53" s="19"/>
      <c r="KZC53" s="19"/>
      <c r="KZD53" s="19"/>
      <c r="KZE53" s="19"/>
      <c r="KZF53" s="21"/>
      <c r="KZG53" s="19"/>
      <c r="KZP53" s="19"/>
      <c r="KZQ53" s="19"/>
      <c r="KZR53" s="19"/>
      <c r="KZS53" s="19"/>
      <c r="KZT53" s="21"/>
      <c r="KZU53" s="19"/>
      <c r="LAD53" s="19"/>
      <c r="LAE53" s="19"/>
      <c r="LAF53" s="19"/>
      <c r="LAG53" s="19"/>
      <c r="LAH53" s="21"/>
      <c r="LAI53" s="19"/>
      <c r="LAR53" s="19"/>
      <c r="LAS53" s="19"/>
      <c r="LAT53" s="19"/>
      <c r="LAU53" s="19"/>
      <c r="LAV53" s="21"/>
      <c r="LAW53" s="19"/>
      <c r="LBF53" s="19"/>
      <c r="LBG53" s="19"/>
      <c r="LBH53" s="19"/>
      <c r="LBI53" s="19"/>
      <c r="LBJ53" s="21"/>
      <c r="LBK53" s="19"/>
      <c r="LBT53" s="19"/>
      <c r="LBU53" s="19"/>
      <c r="LBV53" s="19"/>
      <c r="LBW53" s="19"/>
      <c r="LBX53" s="21"/>
      <c r="LBY53" s="19"/>
      <c r="LCH53" s="19"/>
      <c r="LCI53" s="19"/>
      <c r="LCJ53" s="19"/>
      <c r="LCK53" s="19"/>
      <c r="LCL53" s="21"/>
      <c r="LCM53" s="19"/>
      <c r="LCV53" s="19"/>
      <c r="LCW53" s="19"/>
      <c r="LCX53" s="19"/>
      <c r="LCY53" s="19"/>
      <c r="LCZ53" s="21"/>
      <c r="LDA53" s="19"/>
      <c r="LDJ53" s="19"/>
      <c r="LDK53" s="19"/>
      <c r="LDL53" s="19"/>
      <c r="LDM53" s="19"/>
      <c r="LDN53" s="21"/>
      <c r="LDO53" s="19"/>
      <c r="LDX53" s="19"/>
      <c r="LDY53" s="19"/>
      <c r="LDZ53" s="19"/>
      <c r="LEA53" s="19"/>
      <c r="LEB53" s="21"/>
      <c r="LEC53" s="19"/>
      <c r="LEL53" s="19"/>
      <c r="LEM53" s="19"/>
      <c r="LEN53" s="19"/>
      <c r="LEO53" s="19"/>
      <c r="LEP53" s="21"/>
      <c r="LEQ53" s="19"/>
      <c r="LEZ53" s="19"/>
      <c r="LFA53" s="19"/>
      <c r="LFB53" s="19"/>
      <c r="LFC53" s="19"/>
      <c r="LFD53" s="21"/>
      <c r="LFE53" s="19"/>
      <c r="LFN53" s="19"/>
      <c r="LFO53" s="19"/>
      <c r="LFP53" s="19"/>
      <c r="LFQ53" s="19"/>
      <c r="LFR53" s="21"/>
      <c r="LFS53" s="19"/>
      <c r="LGB53" s="19"/>
      <c r="LGC53" s="19"/>
      <c r="LGD53" s="19"/>
      <c r="LGE53" s="19"/>
      <c r="LGF53" s="21"/>
      <c r="LGG53" s="19"/>
      <c r="LGP53" s="19"/>
      <c r="LGQ53" s="19"/>
      <c r="LGR53" s="19"/>
      <c r="LGS53" s="19"/>
      <c r="LGT53" s="21"/>
      <c r="LGU53" s="19"/>
      <c r="LHD53" s="19"/>
      <c r="LHE53" s="19"/>
      <c r="LHF53" s="19"/>
      <c r="LHG53" s="19"/>
      <c r="LHH53" s="21"/>
      <c r="LHI53" s="19"/>
      <c r="LHR53" s="19"/>
      <c r="LHS53" s="19"/>
      <c r="LHT53" s="19"/>
      <c r="LHU53" s="19"/>
      <c r="LHV53" s="21"/>
      <c r="LHW53" s="19"/>
      <c r="LIF53" s="19"/>
      <c r="LIG53" s="19"/>
      <c r="LIH53" s="19"/>
      <c r="LII53" s="19"/>
      <c r="LIJ53" s="21"/>
      <c r="LIK53" s="19"/>
      <c r="LIT53" s="19"/>
      <c r="LIU53" s="19"/>
      <c r="LIV53" s="19"/>
      <c r="LIW53" s="19"/>
      <c r="LIX53" s="21"/>
      <c r="LIY53" s="19"/>
      <c r="LJH53" s="19"/>
      <c r="LJI53" s="19"/>
      <c r="LJJ53" s="19"/>
      <c r="LJK53" s="19"/>
      <c r="LJL53" s="21"/>
      <c r="LJM53" s="19"/>
      <c r="LJV53" s="19"/>
      <c r="LJW53" s="19"/>
      <c r="LJX53" s="19"/>
      <c r="LJY53" s="19"/>
      <c r="LJZ53" s="21"/>
      <c r="LKA53" s="19"/>
      <c r="LKJ53" s="19"/>
      <c r="LKK53" s="19"/>
      <c r="LKL53" s="19"/>
      <c r="LKM53" s="19"/>
      <c r="LKN53" s="21"/>
      <c r="LKO53" s="19"/>
      <c r="LKX53" s="19"/>
      <c r="LKY53" s="19"/>
      <c r="LKZ53" s="19"/>
      <c r="LLA53" s="19"/>
      <c r="LLB53" s="21"/>
      <c r="LLC53" s="19"/>
      <c r="LLL53" s="19"/>
      <c r="LLM53" s="19"/>
      <c r="LLN53" s="19"/>
      <c r="LLO53" s="19"/>
      <c r="LLP53" s="21"/>
      <c r="LLQ53" s="19"/>
      <c r="LLZ53" s="19"/>
      <c r="LMA53" s="19"/>
      <c r="LMB53" s="19"/>
      <c r="LMC53" s="19"/>
      <c r="LMD53" s="21"/>
      <c r="LME53" s="19"/>
      <c r="LMN53" s="19"/>
      <c r="LMO53" s="19"/>
      <c r="LMP53" s="19"/>
      <c r="LMQ53" s="19"/>
      <c r="LMR53" s="21"/>
      <c r="LMS53" s="19"/>
      <c r="LNB53" s="19"/>
      <c r="LNC53" s="19"/>
      <c r="LND53" s="19"/>
      <c r="LNE53" s="19"/>
      <c r="LNF53" s="21"/>
      <c r="LNG53" s="19"/>
      <c r="LNP53" s="19"/>
      <c r="LNQ53" s="19"/>
      <c r="LNR53" s="19"/>
      <c r="LNS53" s="19"/>
      <c r="LNT53" s="21"/>
      <c r="LNU53" s="19"/>
      <c r="LOD53" s="19"/>
      <c r="LOE53" s="19"/>
      <c r="LOF53" s="19"/>
      <c r="LOG53" s="19"/>
      <c r="LOH53" s="21"/>
      <c r="LOI53" s="19"/>
      <c r="LOR53" s="19"/>
      <c r="LOS53" s="19"/>
      <c r="LOT53" s="19"/>
      <c r="LOU53" s="19"/>
      <c r="LOV53" s="21"/>
      <c r="LOW53" s="19"/>
      <c r="LPF53" s="19"/>
      <c r="LPG53" s="19"/>
      <c r="LPH53" s="19"/>
      <c r="LPI53" s="19"/>
      <c r="LPJ53" s="21"/>
      <c r="LPK53" s="19"/>
      <c r="LPT53" s="19"/>
      <c r="LPU53" s="19"/>
      <c r="LPV53" s="19"/>
      <c r="LPW53" s="19"/>
      <c r="LPX53" s="21"/>
      <c r="LPY53" s="19"/>
      <c r="LQH53" s="19"/>
      <c r="LQI53" s="19"/>
      <c r="LQJ53" s="19"/>
      <c r="LQK53" s="19"/>
      <c r="LQL53" s="21"/>
      <c r="LQM53" s="19"/>
      <c r="LQV53" s="19"/>
      <c r="LQW53" s="19"/>
      <c r="LQX53" s="19"/>
      <c r="LQY53" s="19"/>
      <c r="LQZ53" s="21"/>
      <c r="LRA53" s="19"/>
      <c r="LRJ53" s="19"/>
      <c r="LRK53" s="19"/>
      <c r="LRL53" s="19"/>
      <c r="LRM53" s="19"/>
      <c r="LRN53" s="21"/>
      <c r="LRO53" s="19"/>
      <c r="LRX53" s="19"/>
      <c r="LRY53" s="19"/>
      <c r="LRZ53" s="19"/>
      <c r="LSA53" s="19"/>
      <c r="LSB53" s="21"/>
      <c r="LSC53" s="19"/>
      <c r="LSL53" s="19"/>
      <c r="LSM53" s="19"/>
      <c r="LSN53" s="19"/>
      <c r="LSO53" s="19"/>
      <c r="LSP53" s="21"/>
      <c r="LSQ53" s="19"/>
      <c r="LSZ53" s="19"/>
      <c r="LTA53" s="19"/>
      <c r="LTB53" s="19"/>
      <c r="LTC53" s="19"/>
      <c r="LTD53" s="21"/>
      <c r="LTE53" s="19"/>
      <c r="LTN53" s="19"/>
      <c r="LTO53" s="19"/>
      <c r="LTP53" s="19"/>
      <c r="LTQ53" s="19"/>
      <c r="LTR53" s="21"/>
      <c r="LTS53" s="19"/>
      <c r="LUB53" s="19"/>
      <c r="LUC53" s="19"/>
      <c r="LUD53" s="19"/>
      <c r="LUE53" s="19"/>
      <c r="LUF53" s="21"/>
      <c r="LUG53" s="19"/>
      <c r="LUP53" s="19"/>
      <c r="LUQ53" s="19"/>
      <c r="LUR53" s="19"/>
      <c r="LUS53" s="19"/>
      <c r="LUT53" s="21"/>
      <c r="LUU53" s="19"/>
      <c r="LVD53" s="19"/>
      <c r="LVE53" s="19"/>
      <c r="LVF53" s="19"/>
      <c r="LVG53" s="19"/>
      <c r="LVH53" s="21"/>
      <c r="LVI53" s="19"/>
      <c r="LVR53" s="19"/>
      <c r="LVS53" s="19"/>
      <c r="LVT53" s="19"/>
      <c r="LVU53" s="19"/>
      <c r="LVV53" s="21"/>
      <c r="LVW53" s="19"/>
      <c r="LWF53" s="19"/>
      <c r="LWG53" s="19"/>
      <c r="LWH53" s="19"/>
      <c r="LWI53" s="19"/>
      <c r="LWJ53" s="21"/>
      <c r="LWK53" s="19"/>
      <c r="LWT53" s="19"/>
      <c r="LWU53" s="19"/>
      <c r="LWV53" s="19"/>
      <c r="LWW53" s="19"/>
      <c r="LWX53" s="21"/>
      <c r="LWY53" s="19"/>
      <c r="LXH53" s="19"/>
      <c r="LXI53" s="19"/>
      <c r="LXJ53" s="19"/>
      <c r="LXK53" s="19"/>
      <c r="LXL53" s="21"/>
      <c r="LXM53" s="19"/>
      <c r="LXV53" s="19"/>
      <c r="LXW53" s="19"/>
      <c r="LXX53" s="19"/>
      <c r="LXY53" s="19"/>
      <c r="LXZ53" s="21"/>
      <c r="LYA53" s="19"/>
      <c r="LYJ53" s="19"/>
      <c r="LYK53" s="19"/>
      <c r="LYL53" s="19"/>
      <c r="LYM53" s="19"/>
      <c r="LYN53" s="21"/>
      <c r="LYO53" s="19"/>
      <c r="LYX53" s="19"/>
      <c r="LYY53" s="19"/>
      <c r="LYZ53" s="19"/>
      <c r="LZA53" s="19"/>
      <c r="LZB53" s="21"/>
      <c r="LZC53" s="19"/>
      <c r="LZL53" s="19"/>
      <c r="LZM53" s="19"/>
      <c r="LZN53" s="19"/>
      <c r="LZO53" s="19"/>
      <c r="LZP53" s="21"/>
      <c r="LZQ53" s="19"/>
      <c r="LZZ53" s="19"/>
      <c r="MAA53" s="19"/>
      <c r="MAB53" s="19"/>
      <c r="MAC53" s="19"/>
      <c r="MAD53" s="21"/>
      <c r="MAE53" s="19"/>
      <c r="MAN53" s="19"/>
      <c r="MAO53" s="19"/>
      <c r="MAP53" s="19"/>
      <c r="MAQ53" s="19"/>
      <c r="MAR53" s="21"/>
      <c r="MAS53" s="19"/>
      <c r="MBB53" s="19"/>
      <c r="MBC53" s="19"/>
      <c r="MBD53" s="19"/>
      <c r="MBE53" s="19"/>
      <c r="MBF53" s="21"/>
      <c r="MBG53" s="19"/>
      <c r="MBP53" s="19"/>
      <c r="MBQ53" s="19"/>
      <c r="MBR53" s="19"/>
      <c r="MBS53" s="19"/>
      <c r="MBT53" s="21"/>
      <c r="MBU53" s="19"/>
      <c r="MCD53" s="19"/>
      <c r="MCE53" s="19"/>
      <c r="MCF53" s="19"/>
      <c r="MCG53" s="19"/>
      <c r="MCH53" s="21"/>
      <c r="MCI53" s="19"/>
      <c r="MCR53" s="19"/>
      <c r="MCS53" s="19"/>
      <c r="MCT53" s="19"/>
      <c r="MCU53" s="19"/>
      <c r="MCV53" s="21"/>
      <c r="MCW53" s="19"/>
      <c r="MDF53" s="19"/>
      <c r="MDG53" s="19"/>
      <c r="MDH53" s="19"/>
      <c r="MDI53" s="19"/>
      <c r="MDJ53" s="21"/>
      <c r="MDK53" s="19"/>
      <c r="MDT53" s="19"/>
      <c r="MDU53" s="19"/>
      <c r="MDV53" s="19"/>
      <c r="MDW53" s="19"/>
      <c r="MDX53" s="21"/>
      <c r="MDY53" s="19"/>
      <c r="MEH53" s="19"/>
      <c r="MEI53" s="19"/>
      <c r="MEJ53" s="19"/>
      <c r="MEK53" s="19"/>
      <c r="MEL53" s="21"/>
      <c r="MEM53" s="19"/>
      <c r="MEV53" s="19"/>
      <c r="MEW53" s="19"/>
      <c r="MEX53" s="19"/>
      <c r="MEY53" s="19"/>
      <c r="MEZ53" s="21"/>
      <c r="MFA53" s="19"/>
      <c r="MFJ53" s="19"/>
      <c r="MFK53" s="19"/>
      <c r="MFL53" s="19"/>
      <c r="MFM53" s="19"/>
      <c r="MFN53" s="21"/>
      <c r="MFO53" s="19"/>
      <c r="MFX53" s="19"/>
      <c r="MFY53" s="19"/>
      <c r="MFZ53" s="19"/>
      <c r="MGA53" s="19"/>
      <c r="MGB53" s="21"/>
      <c r="MGC53" s="19"/>
      <c r="MGL53" s="19"/>
      <c r="MGM53" s="19"/>
      <c r="MGN53" s="19"/>
      <c r="MGO53" s="19"/>
      <c r="MGP53" s="21"/>
      <c r="MGQ53" s="19"/>
      <c r="MGZ53" s="19"/>
      <c r="MHA53" s="19"/>
      <c r="MHB53" s="19"/>
      <c r="MHC53" s="19"/>
      <c r="MHD53" s="21"/>
      <c r="MHE53" s="19"/>
      <c r="MHN53" s="19"/>
      <c r="MHO53" s="19"/>
      <c r="MHP53" s="19"/>
      <c r="MHQ53" s="19"/>
      <c r="MHR53" s="21"/>
      <c r="MHS53" s="19"/>
      <c r="MIB53" s="19"/>
      <c r="MIC53" s="19"/>
      <c r="MID53" s="19"/>
      <c r="MIE53" s="19"/>
      <c r="MIF53" s="21"/>
      <c r="MIG53" s="19"/>
      <c r="MIP53" s="19"/>
      <c r="MIQ53" s="19"/>
      <c r="MIR53" s="19"/>
      <c r="MIS53" s="19"/>
      <c r="MIT53" s="21"/>
      <c r="MIU53" s="19"/>
      <c r="MJD53" s="19"/>
      <c r="MJE53" s="19"/>
      <c r="MJF53" s="19"/>
      <c r="MJG53" s="19"/>
      <c r="MJH53" s="21"/>
      <c r="MJI53" s="19"/>
      <c r="MJR53" s="19"/>
      <c r="MJS53" s="19"/>
      <c r="MJT53" s="19"/>
      <c r="MJU53" s="19"/>
      <c r="MJV53" s="21"/>
      <c r="MJW53" s="19"/>
      <c r="MKF53" s="19"/>
      <c r="MKG53" s="19"/>
      <c r="MKH53" s="19"/>
      <c r="MKI53" s="19"/>
      <c r="MKJ53" s="21"/>
      <c r="MKK53" s="19"/>
      <c r="MKT53" s="19"/>
      <c r="MKU53" s="19"/>
      <c r="MKV53" s="19"/>
      <c r="MKW53" s="19"/>
      <c r="MKX53" s="21"/>
      <c r="MKY53" s="19"/>
      <c r="MLH53" s="19"/>
      <c r="MLI53" s="19"/>
      <c r="MLJ53" s="19"/>
      <c r="MLK53" s="19"/>
      <c r="MLL53" s="21"/>
      <c r="MLM53" s="19"/>
      <c r="MLV53" s="19"/>
      <c r="MLW53" s="19"/>
      <c r="MLX53" s="19"/>
      <c r="MLY53" s="19"/>
      <c r="MLZ53" s="21"/>
      <c r="MMA53" s="19"/>
      <c r="MMJ53" s="19"/>
      <c r="MMK53" s="19"/>
      <c r="MML53" s="19"/>
      <c r="MMM53" s="19"/>
      <c r="MMN53" s="21"/>
      <c r="MMO53" s="19"/>
      <c r="MMX53" s="19"/>
      <c r="MMY53" s="19"/>
      <c r="MMZ53" s="19"/>
      <c r="MNA53" s="19"/>
      <c r="MNB53" s="21"/>
      <c r="MNC53" s="19"/>
      <c r="MNL53" s="19"/>
      <c r="MNM53" s="19"/>
      <c r="MNN53" s="19"/>
      <c r="MNO53" s="19"/>
      <c r="MNP53" s="21"/>
      <c r="MNQ53" s="19"/>
      <c r="MNZ53" s="19"/>
      <c r="MOA53" s="19"/>
      <c r="MOB53" s="19"/>
      <c r="MOC53" s="19"/>
      <c r="MOD53" s="21"/>
      <c r="MOE53" s="19"/>
      <c r="MON53" s="19"/>
      <c r="MOO53" s="19"/>
      <c r="MOP53" s="19"/>
      <c r="MOQ53" s="19"/>
      <c r="MOR53" s="21"/>
      <c r="MOS53" s="19"/>
      <c r="MPB53" s="19"/>
      <c r="MPC53" s="19"/>
      <c r="MPD53" s="19"/>
      <c r="MPE53" s="19"/>
      <c r="MPF53" s="21"/>
      <c r="MPG53" s="19"/>
      <c r="MPP53" s="19"/>
      <c r="MPQ53" s="19"/>
      <c r="MPR53" s="19"/>
      <c r="MPS53" s="19"/>
      <c r="MPT53" s="21"/>
      <c r="MPU53" s="19"/>
      <c r="MQD53" s="19"/>
      <c r="MQE53" s="19"/>
      <c r="MQF53" s="19"/>
      <c r="MQG53" s="19"/>
      <c r="MQH53" s="21"/>
      <c r="MQI53" s="19"/>
      <c r="MQR53" s="19"/>
      <c r="MQS53" s="19"/>
      <c r="MQT53" s="19"/>
      <c r="MQU53" s="19"/>
      <c r="MQV53" s="21"/>
      <c r="MQW53" s="19"/>
      <c r="MRF53" s="19"/>
      <c r="MRG53" s="19"/>
      <c r="MRH53" s="19"/>
      <c r="MRI53" s="19"/>
      <c r="MRJ53" s="21"/>
      <c r="MRK53" s="19"/>
      <c r="MRT53" s="19"/>
      <c r="MRU53" s="19"/>
      <c r="MRV53" s="19"/>
      <c r="MRW53" s="19"/>
      <c r="MRX53" s="21"/>
      <c r="MRY53" s="19"/>
      <c r="MSH53" s="19"/>
      <c r="MSI53" s="19"/>
      <c r="MSJ53" s="19"/>
      <c r="MSK53" s="19"/>
      <c r="MSL53" s="21"/>
      <c r="MSM53" s="19"/>
      <c r="MSV53" s="19"/>
      <c r="MSW53" s="19"/>
      <c r="MSX53" s="19"/>
      <c r="MSY53" s="19"/>
      <c r="MSZ53" s="21"/>
      <c r="MTA53" s="19"/>
      <c r="MTJ53" s="19"/>
      <c r="MTK53" s="19"/>
      <c r="MTL53" s="19"/>
      <c r="MTM53" s="19"/>
      <c r="MTN53" s="21"/>
      <c r="MTO53" s="19"/>
      <c r="MTX53" s="19"/>
      <c r="MTY53" s="19"/>
      <c r="MTZ53" s="19"/>
      <c r="MUA53" s="19"/>
      <c r="MUB53" s="21"/>
      <c r="MUC53" s="19"/>
      <c r="MUL53" s="19"/>
      <c r="MUM53" s="19"/>
      <c r="MUN53" s="19"/>
      <c r="MUO53" s="19"/>
      <c r="MUP53" s="21"/>
      <c r="MUQ53" s="19"/>
      <c r="MUZ53" s="19"/>
      <c r="MVA53" s="19"/>
      <c r="MVB53" s="19"/>
      <c r="MVC53" s="19"/>
      <c r="MVD53" s="21"/>
      <c r="MVE53" s="19"/>
      <c r="MVN53" s="19"/>
      <c r="MVO53" s="19"/>
      <c r="MVP53" s="19"/>
      <c r="MVQ53" s="19"/>
      <c r="MVR53" s="21"/>
      <c r="MVS53" s="19"/>
      <c r="MWB53" s="19"/>
      <c r="MWC53" s="19"/>
      <c r="MWD53" s="19"/>
      <c r="MWE53" s="19"/>
      <c r="MWF53" s="21"/>
      <c r="MWG53" s="19"/>
      <c r="MWP53" s="19"/>
      <c r="MWQ53" s="19"/>
      <c r="MWR53" s="19"/>
      <c r="MWS53" s="19"/>
      <c r="MWT53" s="21"/>
      <c r="MWU53" s="19"/>
      <c r="MXD53" s="19"/>
      <c r="MXE53" s="19"/>
      <c r="MXF53" s="19"/>
      <c r="MXG53" s="19"/>
      <c r="MXH53" s="21"/>
      <c r="MXI53" s="19"/>
      <c r="MXR53" s="19"/>
      <c r="MXS53" s="19"/>
      <c r="MXT53" s="19"/>
      <c r="MXU53" s="19"/>
      <c r="MXV53" s="21"/>
      <c r="MXW53" s="19"/>
      <c r="MYF53" s="19"/>
      <c r="MYG53" s="19"/>
      <c r="MYH53" s="19"/>
      <c r="MYI53" s="19"/>
      <c r="MYJ53" s="21"/>
      <c r="MYK53" s="19"/>
      <c r="MYT53" s="19"/>
      <c r="MYU53" s="19"/>
      <c r="MYV53" s="19"/>
      <c r="MYW53" s="19"/>
      <c r="MYX53" s="21"/>
      <c r="MYY53" s="19"/>
      <c r="MZH53" s="19"/>
      <c r="MZI53" s="19"/>
      <c r="MZJ53" s="19"/>
      <c r="MZK53" s="19"/>
      <c r="MZL53" s="21"/>
      <c r="MZM53" s="19"/>
      <c r="MZV53" s="19"/>
      <c r="MZW53" s="19"/>
      <c r="MZX53" s="19"/>
      <c r="MZY53" s="19"/>
      <c r="MZZ53" s="21"/>
      <c r="NAA53" s="19"/>
      <c r="NAJ53" s="19"/>
      <c r="NAK53" s="19"/>
      <c r="NAL53" s="19"/>
      <c r="NAM53" s="19"/>
      <c r="NAN53" s="21"/>
      <c r="NAO53" s="19"/>
      <c r="NAX53" s="19"/>
      <c r="NAY53" s="19"/>
      <c r="NAZ53" s="19"/>
      <c r="NBA53" s="19"/>
      <c r="NBB53" s="21"/>
      <c r="NBC53" s="19"/>
      <c r="NBL53" s="19"/>
      <c r="NBM53" s="19"/>
      <c r="NBN53" s="19"/>
      <c r="NBO53" s="19"/>
      <c r="NBP53" s="21"/>
      <c r="NBQ53" s="19"/>
      <c r="NBZ53" s="19"/>
      <c r="NCA53" s="19"/>
      <c r="NCB53" s="19"/>
      <c r="NCC53" s="19"/>
      <c r="NCD53" s="21"/>
      <c r="NCE53" s="19"/>
      <c r="NCN53" s="19"/>
      <c r="NCO53" s="19"/>
      <c r="NCP53" s="19"/>
      <c r="NCQ53" s="19"/>
      <c r="NCR53" s="21"/>
      <c r="NCS53" s="19"/>
      <c r="NDB53" s="19"/>
      <c r="NDC53" s="19"/>
      <c r="NDD53" s="19"/>
      <c r="NDE53" s="19"/>
      <c r="NDF53" s="21"/>
      <c r="NDG53" s="19"/>
      <c r="NDP53" s="19"/>
      <c r="NDQ53" s="19"/>
      <c r="NDR53" s="19"/>
      <c r="NDS53" s="19"/>
      <c r="NDT53" s="21"/>
      <c r="NDU53" s="19"/>
      <c r="NED53" s="19"/>
      <c r="NEE53" s="19"/>
      <c r="NEF53" s="19"/>
      <c r="NEG53" s="19"/>
      <c r="NEH53" s="21"/>
      <c r="NEI53" s="19"/>
      <c r="NER53" s="19"/>
      <c r="NES53" s="19"/>
      <c r="NET53" s="19"/>
      <c r="NEU53" s="19"/>
      <c r="NEV53" s="21"/>
      <c r="NEW53" s="19"/>
      <c r="NFF53" s="19"/>
      <c r="NFG53" s="19"/>
      <c r="NFH53" s="19"/>
      <c r="NFI53" s="19"/>
      <c r="NFJ53" s="21"/>
      <c r="NFK53" s="19"/>
      <c r="NFT53" s="19"/>
      <c r="NFU53" s="19"/>
      <c r="NFV53" s="19"/>
      <c r="NFW53" s="19"/>
      <c r="NFX53" s="21"/>
      <c r="NFY53" s="19"/>
      <c r="NGH53" s="19"/>
      <c r="NGI53" s="19"/>
      <c r="NGJ53" s="19"/>
      <c r="NGK53" s="19"/>
      <c r="NGL53" s="21"/>
      <c r="NGM53" s="19"/>
      <c r="NGV53" s="19"/>
      <c r="NGW53" s="19"/>
      <c r="NGX53" s="19"/>
      <c r="NGY53" s="19"/>
      <c r="NGZ53" s="21"/>
      <c r="NHA53" s="19"/>
      <c r="NHJ53" s="19"/>
      <c r="NHK53" s="19"/>
      <c r="NHL53" s="19"/>
      <c r="NHM53" s="19"/>
      <c r="NHN53" s="21"/>
      <c r="NHO53" s="19"/>
      <c r="NHX53" s="19"/>
      <c r="NHY53" s="19"/>
      <c r="NHZ53" s="19"/>
      <c r="NIA53" s="19"/>
      <c r="NIB53" s="21"/>
      <c r="NIC53" s="19"/>
      <c r="NIL53" s="19"/>
      <c r="NIM53" s="19"/>
      <c r="NIN53" s="19"/>
      <c r="NIO53" s="19"/>
      <c r="NIP53" s="21"/>
      <c r="NIQ53" s="19"/>
      <c r="NIZ53" s="19"/>
      <c r="NJA53" s="19"/>
      <c r="NJB53" s="19"/>
      <c r="NJC53" s="19"/>
      <c r="NJD53" s="21"/>
      <c r="NJE53" s="19"/>
      <c r="NJN53" s="19"/>
      <c r="NJO53" s="19"/>
      <c r="NJP53" s="19"/>
      <c r="NJQ53" s="19"/>
      <c r="NJR53" s="21"/>
      <c r="NJS53" s="19"/>
      <c r="NKB53" s="19"/>
      <c r="NKC53" s="19"/>
      <c r="NKD53" s="19"/>
      <c r="NKE53" s="19"/>
      <c r="NKF53" s="21"/>
      <c r="NKG53" s="19"/>
      <c r="NKP53" s="19"/>
      <c r="NKQ53" s="19"/>
      <c r="NKR53" s="19"/>
      <c r="NKS53" s="19"/>
      <c r="NKT53" s="21"/>
      <c r="NKU53" s="19"/>
      <c r="NLD53" s="19"/>
      <c r="NLE53" s="19"/>
      <c r="NLF53" s="19"/>
      <c r="NLG53" s="19"/>
      <c r="NLH53" s="21"/>
      <c r="NLI53" s="19"/>
      <c r="NLR53" s="19"/>
      <c r="NLS53" s="19"/>
      <c r="NLT53" s="19"/>
      <c r="NLU53" s="19"/>
      <c r="NLV53" s="21"/>
      <c r="NLW53" s="19"/>
      <c r="NMF53" s="19"/>
      <c r="NMG53" s="19"/>
      <c r="NMH53" s="19"/>
      <c r="NMI53" s="19"/>
      <c r="NMJ53" s="21"/>
      <c r="NMK53" s="19"/>
      <c r="NMT53" s="19"/>
      <c r="NMU53" s="19"/>
      <c r="NMV53" s="19"/>
      <c r="NMW53" s="19"/>
      <c r="NMX53" s="21"/>
      <c r="NMY53" s="19"/>
      <c r="NNH53" s="19"/>
      <c r="NNI53" s="19"/>
      <c r="NNJ53" s="19"/>
      <c r="NNK53" s="19"/>
      <c r="NNL53" s="21"/>
      <c r="NNM53" s="19"/>
      <c r="NNV53" s="19"/>
      <c r="NNW53" s="19"/>
      <c r="NNX53" s="19"/>
      <c r="NNY53" s="19"/>
      <c r="NNZ53" s="21"/>
      <c r="NOA53" s="19"/>
      <c r="NOJ53" s="19"/>
      <c r="NOK53" s="19"/>
      <c r="NOL53" s="19"/>
      <c r="NOM53" s="19"/>
      <c r="NON53" s="21"/>
      <c r="NOO53" s="19"/>
      <c r="NOX53" s="19"/>
      <c r="NOY53" s="19"/>
      <c r="NOZ53" s="19"/>
      <c r="NPA53" s="19"/>
      <c r="NPB53" s="21"/>
      <c r="NPC53" s="19"/>
      <c r="NPL53" s="19"/>
      <c r="NPM53" s="19"/>
      <c r="NPN53" s="19"/>
      <c r="NPO53" s="19"/>
      <c r="NPP53" s="21"/>
      <c r="NPQ53" s="19"/>
      <c r="NPZ53" s="19"/>
      <c r="NQA53" s="19"/>
      <c r="NQB53" s="19"/>
      <c r="NQC53" s="19"/>
      <c r="NQD53" s="21"/>
      <c r="NQE53" s="19"/>
      <c r="NQN53" s="19"/>
      <c r="NQO53" s="19"/>
      <c r="NQP53" s="19"/>
      <c r="NQQ53" s="19"/>
      <c r="NQR53" s="21"/>
      <c r="NQS53" s="19"/>
      <c r="NRB53" s="19"/>
      <c r="NRC53" s="19"/>
      <c r="NRD53" s="19"/>
      <c r="NRE53" s="19"/>
      <c r="NRF53" s="21"/>
      <c r="NRG53" s="19"/>
      <c r="NRP53" s="19"/>
      <c r="NRQ53" s="19"/>
      <c r="NRR53" s="19"/>
      <c r="NRS53" s="19"/>
      <c r="NRT53" s="21"/>
      <c r="NRU53" s="19"/>
      <c r="NSD53" s="19"/>
      <c r="NSE53" s="19"/>
      <c r="NSF53" s="19"/>
      <c r="NSG53" s="19"/>
      <c r="NSH53" s="21"/>
      <c r="NSI53" s="19"/>
      <c r="NSR53" s="19"/>
      <c r="NSS53" s="19"/>
      <c r="NST53" s="19"/>
      <c r="NSU53" s="19"/>
      <c r="NSV53" s="21"/>
      <c r="NSW53" s="19"/>
      <c r="NTF53" s="19"/>
      <c r="NTG53" s="19"/>
      <c r="NTH53" s="19"/>
      <c r="NTI53" s="19"/>
      <c r="NTJ53" s="21"/>
      <c r="NTK53" s="19"/>
      <c r="NTT53" s="19"/>
      <c r="NTU53" s="19"/>
      <c r="NTV53" s="19"/>
      <c r="NTW53" s="19"/>
      <c r="NTX53" s="21"/>
      <c r="NTY53" s="19"/>
      <c r="NUH53" s="19"/>
      <c r="NUI53" s="19"/>
      <c r="NUJ53" s="19"/>
      <c r="NUK53" s="19"/>
      <c r="NUL53" s="21"/>
      <c r="NUM53" s="19"/>
      <c r="NUV53" s="19"/>
      <c r="NUW53" s="19"/>
      <c r="NUX53" s="19"/>
      <c r="NUY53" s="19"/>
      <c r="NUZ53" s="21"/>
      <c r="NVA53" s="19"/>
      <c r="NVJ53" s="19"/>
      <c r="NVK53" s="19"/>
      <c r="NVL53" s="19"/>
      <c r="NVM53" s="19"/>
      <c r="NVN53" s="21"/>
      <c r="NVO53" s="19"/>
      <c r="NVX53" s="19"/>
      <c r="NVY53" s="19"/>
      <c r="NVZ53" s="19"/>
      <c r="NWA53" s="19"/>
      <c r="NWB53" s="21"/>
      <c r="NWC53" s="19"/>
      <c r="NWL53" s="19"/>
      <c r="NWM53" s="19"/>
      <c r="NWN53" s="19"/>
      <c r="NWO53" s="19"/>
      <c r="NWP53" s="21"/>
      <c r="NWQ53" s="19"/>
      <c r="NWZ53" s="19"/>
      <c r="NXA53" s="19"/>
      <c r="NXB53" s="19"/>
      <c r="NXC53" s="19"/>
      <c r="NXD53" s="21"/>
      <c r="NXE53" s="19"/>
      <c r="NXN53" s="19"/>
      <c r="NXO53" s="19"/>
      <c r="NXP53" s="19"/>
      <c r="NXQ53" s="19"/>
      <c r="NXR53" s="21"/>
      <c r="NXS53" s="19"/>
      <c r="NYB53" s="19"/>
      <c r="NYC53" s="19"/>
      <c r="NYD53" s="19"/>
      <c r="NYE53" s="19"/>
      <c r="NYF53" s="21"/>
      <c r="NYG53" s="19"/>
      <c r="NYP53" s="19"/>
      <c r="NYQ53" s="19"/>
      <c r="NYR53" s="19"/>
      <c r="NYS53" s="19"/>
      <c r="NYT53" s="21"/>
      <c r="NYU53" s="19"/>
      <c r="NZD53" s="19"/>
      <c r="NZE53" s="19"/>
      <c r="NZF53" s="19"/>
      <c r="NZG53" s="19"/>
      <c r="NZH53" s="21"/>
      <c r="NZI53" s="19"/>
      <c r="NZR53" s="19"/>
      <c r="NZS53" s="19"/>
      <c r="NZT53" s="19"/>
      <c r="NZU53" s="19"/>
      <c r="NZV53" s="21"/>
      <c r="NZW53" s="19"/>
      <c r="OAF53" s="19"/>
      <c r="OAG53" s="19"/>
      <c r="OAH53" s="19"/>
      <c r="OAI53" s="19"/>
      <c r="OAJ53" s="21"/>
      <c r="OAK53" s="19"/>
      <c r="OAT53" s="19"/>
      <c r="OAU53" s="19"/>
      <c r="OAV53" s="19"/>
      <c r="OAW53" s="19"/>
      <c r="OAX53" s="21"/>
      <c r="OAY53" s="19"/>
      <c r="OBH53" s="19"/>
      <c r="OBI53" s="19"/>
      <c r="OBJ53" s="19"/>
      <c r="OBK53" s="19"/>
      <c r="OBL53" s="21"/>
      <c r="OBM53" s="19"/>
      <c r="OBV53" s="19"/>
      <c r="OBW53" s="19"/>
      <c r="OBX53" s="19"/>
      <c r="OBY53" s="19"/>
      <c r="OBZ53" s="21"/>
      <c r="OCA53" s="19"/>
      <c r="OCJ53" s="19"/>
      <c r="OCK53" s="19"/>
      <c r="OCL53" s="19"/>
      <c r="OCM53" s="19"/>
      <c r="OCN53" s="21"/>
      <c r="OCO53" s="19"/>
      <c r="OCX53" s="19"/>
      <c r="OCY53" s="19"/>
      <c r="OCZ53" s="19"/>
      <c r="ODA53" s="19"/>
      <c r="ODB53" s="21"/>
      <c r="ODC53" s="19"/>
      <c r="ODL53" s="19"/>
      <c r="ODM53" s="19"/>
      <c r="ODN53" s="19"/>
      <c r="ODO53" s="19"/>
      <c r="ODP53" s="21"/>
      <c r="ODQ53" s="19"/>
      <c r="ODZ53" s="19"/>
      <c r="OEA53" s="19"/>
      <c r="OEB53" s="19"/>
      <c r="OEC53" s="19"/>
      <c r="OED53" s="21"/>
      <c r="OEE53" s="19"/>
      <c r="OEN53" s="19"/>
      <c r="OEO53" s="19"/>
      <c r="OEP53" s="19"/>
      <c r="OEQ53" s="19"/>
      <c r="OER53" s="21"/>
      <c r="OES53" s="19"/>
      <c r="OFB53" s="19"/>
      <c r="OFC53" s="19"/>
      <c r="OFD53" s="19"/>
      <c r="OFE53" s="19"/>
      <c r="OFF53" s="21"/>
      <c r="OFG53" s="19"/>
      <c r="OFP53" s="19"/>
      <c r="OFQ53" s="19"/>
      <c r="OFR53" s="19"/>
      <c r="OFS53" s="19"/>
      <c r="OFT53" s="21"/>
      <c r="OFU53" s="19"/>
      <c r="OGD53" s="19"/>
      <c r="OGE53" s="19"/>
      <c r="OGF53" s="19"/>
      <c r="OGG53" s="19"/>
      <c r="OGH53" s="21"/>
      <c r="OGI53" s="19"/>
      <c r="OGR53" s="19"/>
      <c r="OGS53" s="19"/>
      <c r="OGT53" s="19"/>
      <c r="OGU53" s="19"/>
      <c r="OGV53" s="21"/>
      <c r="OGW53" s="19"/>
      <c r="OHF53" s="19"/>
      <c r="OHG53" s="19"/>
      <c r="OHH53" s="19"/>
      <c r="OHI53" s="19"/>
      <c r="OHJ53" s="21"/>
      <c r="OHK53" s="19"/>
      <c r="OHT53" s="19"/>
      <c r="OHU53" s="19"/>
      <c r="OHV53" s="19"/>
      <c r="OHW53" s="19"/>
      <c r="OHX53" s="21"/>
      <c r="OHY53" s="19"/>
      <c r="OIH53" s="19"/>
      <c r="OII53" s="19"/>
      <c r="OIJ53" s="19"/>
      <c r="OIK53" s="19"/>
      <c r="OIL53" s="21"/>
      <c r="OIM53" s="19"/>
      <c r="OIV53" s="19"/>
      <c r="OIW53" s="19"/>
      <c r="OIX53" s="19"/>
      <c r="OIY53" s="19"/>
      <c r="OIZ53" s="21"/>
      <c r="OJA53" s="19"/>
      <c r="OJJ53" s="19"/>
      <c r="OJK53" s="19"/>
      <c r="OJL53" s="19"/>
      <c r="OJM53" s="19"/>
      <c r="OJN53" s="21"/>
      <c r="OJO53" s="19"/>
      <c r="OJX53" s="19"/>
      <c r="OJY53" s="19"/>
      <c r="OJZ53" s="19"/>
      <c r="OKA53" s="19"/>
      <c r="OKB53" s="21"/>
      <c r="OKC53" s="19"/>
      <c r="OKL53" s="19"/>
      <c r="OKM53" s="19"/>
      <c r="OKN53" s="19"/>
      <c r="OKO53" s="19"/>
      <c r="OKP53" s="21"/>
      <c r="OKQ53" s="19"/>
      <c r="OKZ53" s="19"/>
      <c r="OLA53" s="19"/>
      <c r="OLB53" s="19"/>
      <c r="OLC53" s="19"/>
      <c r="OLD53" s="21"/>
      <c r="OLE53" s="19"/>
      <c r="OLN53" s="19"/>
      <c r="OLO53" s="19"/>
      <c r="OLP53" s="19"/>
      <c r="OLQ53" s="19"/>
      <c r="OLR53" s="21"/>
      <c r="OLS53" s="19"/>
      <c r="OMB53" s="19"/>
      <c r="OMC53" s="19"/>
      <c r="OMD53" s="19"/>
      <c r="OME53" s="19"/>
      <c r="OMF53" s="21"/>
      <c r="OMG53" s="19"/>
      <c r="OMP53" s="19"/>
      <c r="OMQ53" s="19"/>
      <c r="OMR53" s="19"/>
      <c r="OMS53" s="19"/>
      <c r="OMT53" s="21"/>
      <c r="OMU53" s="19"/>
      <c r="OND53" s="19"/>
      <c r="ONE53" s="19"/>
      <c r="ONF53" s="19"/>
      <c r="ONG53" s="19"/>
      <c r="ONH53" s="21"/>
      <c r="ONI53" s="19"/>
      <c r="ONR53" s="19"/>
      <c r="ONS53" s="19"/>
      <c r="ONT53" s="19"/>
      <c r="ONU53" s="19"/>
      <c r="ONV53" s="21"/>
      <c r="ONW53" s="19"/>
      <c r="OOF53" s="19"/>
      <c r="OOG53" s="19"/>
      <c r="OOH53" s="19"/>
      <c r="OOI53" s="19"/>
      <c r="OOJ53" s="21"/>
      <c r="OOK53" s="19"/>
      <c r="OOT53" s="19"/>
      <c r="OOU53" s="19"/>
      <c r="OOV53" s="19"/>
      <c r="OOW53" s="19"/>
      <c r="OOX53" s="21"/>
      <c r="OOY53" s="19"/>
      <c r="OPH53" s="19"/>
      <c r="OPI53" s="19"/>
      <c r="OPJ53" s="19"/>
      <c r="OPK53" s="19"/>
      <c r="OPL53" s="21"/>
      <c r="OPM53" s="19"/>
      <c r="OPV53" s="19"/>
      <c r="OPW53" s="19"/>
      <c r="OPX53" s="19"/>
      <c r="OPY53" s="19"/>
      <c r="OPZ53" s="21"/>
      <c r="OQA53" s="19"/>
      <c r="OQJ53" s="19"/>
      <c r="OQK53" s="19"/>
      <c r="OQL53" s="19"/>
      <c r="OQM53" s="19"/>
      <c r="OQN53" s="21"/>
      <c r="OQO53" s="19"/>
      <c r="OQX53" s="19"/>
      <c r="OQY53" s="19"/>
      <c r="OQZ53" s="19"/>
      <c r="ORA53" s="19"/>
      <c r="ORB53" s="21"/>
      <c r="ORC53" s="19"/>
      <c r="ORL53" s="19"/>
      <c r="ORM53" s="19"/>
      <c r="ORN53" s="19"/>
      <c r="ORO53" s="19"/>
      <c r="ORP53" s="21"/>
      <c r="ORQ53" s="19"/>
      <c r="ORZ53" s="19"/>
      <c r="OSA53" s="19"/>
      <c r="OSB53" s="19"/>
      <c r="OSC53" s="19"/>
      <c r="OSD53" s="21"/>
      <c r="OSE53" s="19"/>
      <c r="OSN53" s="19"/>
      <c r="OSO53" s="19"/>
      <c r="OSP53" s="19"/>
      <c r="OSQ53" s="19"/>
      <c r="OSR53" s="21"/>
      <c r="OSS53" s="19"/>
      <c r="OTB53" s="19"/>
      <c r="OTC53" s="19"/>
      <c r="OTD53" s="19"/>
      <c r="OTE53" s="19"/>
      <c r="OTF53" s="21"/>
      <c r="OTG53" s="19"/>
      <c r="OTP53" s="19"/>
      <c r="OTQ53" s="19"/>
      <c r="OTR53" s="19"/>
      <c r="OTS53" s="19"/>
      <c r="OTT53" s="21"/>
      <c r="OTU53" s="19"/>
      <c r="OUD53" s="19"/>
      <c r="OUE53" s="19"/>
      <c r="OUF53" s="19"/>
      <c r="OUG53" s="19"/>
      <c r="OUH53" s="21"/>
      <c r="OUI53" s="19"/>
      <c r="OUR53" s="19"/>
      <c r="OUS53" s="19"/>
      <c r="OUT53" s="19"/>
      <c r="OUU53" s="19"/>
      <c r="OUV53" s="21"/>
      <c r="OUW53" s="19"/>
      <c r="OVF53" s="19"/>
      <c r="OVG53" s="19"/>
      <c r="OVH53" s="19"/>
      <c r="OVI53" s="19"/>
      <c r="OVJ53" s="21"/>
      <c r="OVK53" s="19"/>
      <c r="OVT53" s="19"/>
      <c r="OVU53" s="19"/>
      <c r="OVV53" s="19"/>
      <c r="OVW53" s="19"/>
      <c r="OVX53" s="21"/>
      <c r="OVY53" s="19"/>
      <c r="OWH53" s="19"/>
      <c r="OWI53" s="19"/>
      <c r="OWJ53" s="19"/>
      <c r="OWK53" s="19"/>
      <c r="OWL53" s="21"/>
      <c r="OWM53" s="19"/>
      <c r="OWV53" s="19"/>
      <c r="OWW53" s="19"/>
      <c r="OWX53" s="19"/>
      <c r="OWY53" s="19"/>
      <c r="OWZ53" s="21"/>
      <c r="OXA53" s="19"/>
      <c r="OXJ53" s="19"/>
      <c r="OXK53" s="19"/>
      <c r="OXL53" s="19"/>
      <c r="OXM53" s="19"/>
      <c r="OXN53" s="21"/>
      <c r="OXO53" s="19"/>
      <c r="OXX53" s="19"/>
      <c r="OXY53" s="19"/>
      <c r="OXZ53" s="19"/>
      <c r="OYA53" s="19"/>
      <c r="OYB53" s="21"/>
      <c r="OYC53" s="19"/>
      <c r="OYL53" s="19"/>
      <c r="OYM53" s="19"/>
      <c r="OYN53" s="19"/>
      <c r="OYO53" s="19"/>
      <c r="OYP53" s="21"/>
      <c r="OYQ53" s="19"/>
      <c r="OYZ53" s="19"/>
      <c r="OZA53" s="19"/>
      <c r="OZB53" s="19"/>
      <c r="OZC53" s="19"/>
      <c r="OZD53" s="21"/>
      <c r="OZE53" s="19"/>
      <c r="OZN53" s="19"/>
      <c r="OZO53" s="19"/>
      <c r="OZP53" s="19"/>
      <c r="OZQ53" s="19"/>
      <c r="OZR53" s="21"/>
      <c r="OZS53" s="19"/>
      <c r="PAB53" s="19"/>
      <c r="PAC53" s="19"/>
      <c r="PAD53" s="19"/>
      <c r="PAE53" s="19"/>
      <c r="PAF53" s="21"/>
      <c r="PAG53" s="19"/>
      <c r="PAP53" s="19"/>
      <c r="PAQ53" s="19"/>
      <c r="PAR53" s="19"/>
      <c r="PAS53" s="19"/>
      <c r="PAT53" s="21"/>
      <c r="PAU53" s="19"/>
      <c r="PBD53" s="19"/>
      <c r="PBE53" s="19"/>
      <c r="PBF53" s="19"/>
      <c r="PBG53" s="19"/>
      <c r="PBH53" s="21"/>
      <c r="PBI53" s="19"/>
      <c r="PBR53" s="19"/>
      <c r="PBS53" s="19"/>
      <c r="PBT53" s="19"/>
      <c r="PBU53" s="19"/>
      <c r="PBV53" s="21"/>
      <c r="PBW53" s="19"/>
      <c r="PCF53" s="19"/>
      <c r="PCG53" s="19"/>
      <c r="PCH53" s="19"/>
      <c r="PCI53" s="19"/>
      <c r="PCJ53" s="21"/>
      <c r="PCK53" s="19"/>
      <c r="PCT53" s="19"/>
      <c r="PCU53" s="19"/>
      <c r="PCV53" s="19"/>
      <c r="PCW53" s="19"/>
      <c r="PCX53" s="21"/>
      <c r="PCY53" s="19"/>
      <c r="PDH53" s="19"/>
      <c r="PDI53" s="19"/>
      <c r="PDJ53" s="19"/>
      <c r="PDK53" s="19"/>
      <c r="PDL53" s="21"/>
      <c r="PDM53" s="19"/>
      <c r="PDV53" s="19"/>
      <c r="PDW53" s="19"/>
      <c r="PDX53" s="19"/>
      <c r="PDY53" s="19"/>
      <c r="PDZ53" s="21"/>
      <c r="PEA53" s="19"/>
      <c r="PEJ53" s="19"/>
      <c r="PEK53" s="19"/>
      <c r="PEL53" s="19"/>
      <c r="PEM53" s="19"/>
      <c r="PEN53" s="21"/>
      <c r="PEO53" s="19"/>
      <c r="PEX53" s="19"/>
      <c r="PEY53" s="19"/>
      <c r="PEZ53" s="19"/>
      <c r="PFA53" s="19"/>
      <c r="PFB53" s="21"/>
      <c r="PFC53" s="19"/>
      <c r="PFL53" s="19"/>
      <c r="PFM53" s="19"/>
      <c r="PFN53" s="19"/>
      <c r="PFO53" s="19"/>
      <c r="PFP53" s="21"/>
      <c r="PFQ53" s="19"/>
      <c r="PFZ53" s="19"/>
      <c r="PGA53" s="19"/>
      <c r="PGB53" s="19"/>
      <c r="PGC53" s="19"/>
      <c r="PGD53" s="21"/>
      <c r="PGE53" s="19"/>
      <c r="PGN53" s="19"/>
      <c r="PGO53" s="19"/>
      <c r="PGP53" s="19"/>
      <c r="PGQ53" s="19"/>
      <c r="PGR53" s="21"/>
      <c r="PGS53" s="19"/>
      <c r="PHB53" s="19"/>
      <c r="PHC53" s="19"/>
      <c r="PHD53" s="19"/>
      <c r="PHE53" s="19"/>
      <c r="PHF53" s="21"/>
      <c r="PHG53" s="19"/>
      <c r="PHP53" s="19"/>
      <c r="PHQ53" s="19"/>
      <c r="PHR53" s="19"/>
      <c r="PHS53" s="19"/>
      <c r="PHT53" s="21"/>
      <c r="PHU53" s="19"/>
      <c r="PID53" s="19"/>
      <c r="PIE53" s="19"/>
      <c r="PIF53" s="19"/>
      <c r="PIG53" s="19"/>
      <c r="PIH53" s="21"/>
      <c r="PII53" s="19"/>
      <c r="PIR53" s="19"/>
      <c r="PIS53" s="19"/>
      <c r="PIT53" s="19"/>
      <c r="PIU53" s="19"/>
      <c r="PIV53" s="21"/>
      <c r="PIW53" s="19"/>
      <c r="PJF53" s="19"/>
      <c r="PJG53" s="19"/>
      <c r="PJH53" s="19"/>
      <c r="PJI53" s="19"/>
      <c r="PJJ53" s="21"/>
      <c r="PJK53" s="19"/>
      <c r="PJT53" s="19"/>
      <c r="PJU53" s="19"/>
      <c r="PJV53" s="19"/>
      <c r="PJW53" s="19"/>
      <c r="PJX53" s="21"/>
      <c r="PJY53" s="19"/>
      <c r="PKH53" s="19"/>
      <c r="PKI53" s="19"/>
      <c r="PKJ53" s="19"/>
      <c r="PKK53" s="19"/>
      <c r="PKL53" s="21"/>
      <c r="PKM53" s="19"/>
      <c r="PKV53" s="19"/>
      <c r="PKW53" s="19"/>
      <c r="PKX53" s="19"/>
      <c r="PKY53" s="19"/>
      <c r="PKZ53" s="21"/>
      <c r="PLA53" s="19"/>
      <c r="PLJ53" s="19"/>
      <c r="PLK53" s="19"/>
      <c r="PLL53" s="19"/>
      <c r="PLM53" s="19"/>
      <c r="PLN53" s="21"/>
      <c r="PLO53" s="19"/>
      <c r="PLX53" s="19"/>
      <c r="PLY53" s="19"/>
      <c r="PLZ53" s="19"/>
      <c r="PMA53" s="19"/>
      <c r="PMB53" s="21"/>
      <c r="PMC53" s="19"/>
      <c r="PML53" s="19"/>
      <c r="PMM53" s="19"/>
      <c r="PMN53" s="19"/>
      <c r="PMO53" s="19"/>
      <c r="PMP53" s="21"/>
      <c r="PMQ53" s="19"/>
      <c r="PMZ53" s="19"/>
      <c r="PNA53" s="19"/>
      <c r="PNB53" s="19"/>
      <c r="PNC53" s="19"/>
      <c r="PND53" s="21"/>
      <c r="PNE53" s="19"/>
      <c r="PNN53" s="19"/>
      <c r="PNO53" s="19"/>
      <c r="PNP53" s="19"/>
      <c r="PNQ53" s="19"/>
      <c r="PNR53" s="21"/>
      <c r="PNS53" s="19"/>
      <c r="POB53" s="19"/>
      <c r="POC53" s="19"/>
      <c r="POD53" s="19"/>
      <c r="POE53" s="19"/>
      <c r="POF53" s="21"/>
      <c r="POG53" s="19"/>
      <c r="POP53" s="19"/>
      <c r="POQ53" s="19"/>
      <c r="POR53" s="19"/>
      <c r="POS53" s="19"/>
      <c r="POT53" s="21"/>
      <c r="POU53" s="19"/>
      <c r="PPD53" s="19"/>
      <c r="PPE53" s="19"/>
      <c r="PPF53" s="19"/>
      <c r="PPG53" s="19"/>
      <c r="PPH53" s="21"/>
      <c r="PPI53" s="19"/>
      <c r="PPR53" s="19"/>
      <c r="PPS53" s="19"/>
      <c r="PPT53" s="19"/>
      <c r="PPU53" s="19"/>
      <c r="PPV53" s="21"/>
      <c r="PPW53" s="19"/>
      <c r="PQF53" s="19"/>
      <c r="PQG53" s="19"/>
      <c r="PQH53" s="19"/>
      <c r="PQI53" s="19"/>
      <c r="PQJ53" s="21"/>
      <c r="PQK53" s="19"/>
      <c r="PQT53" s="19"/>
      <c r="PQU53" s="19"/>
      <c r="PQV53" s="19"/>
      <c r="PQW53" s="19"/>
      <c r="PQX53" s="21"/>
      <c r="PQY53" s="19"/>
      <c r="PRH53" s="19"/>
      <c r="PRI53" s="19"/>
      <c r="PRJ53" s="19"/>
      <c r="PRK53" s="19"/>
      <c r="PRL53" s="21"/>
      <c r="PRM53" s="19"/>
      <c r="PRV53" s="19"/>
      <c r="PRW53" s="19"/>
      <c r="PRX53" s="19"/>
      <c r="PRY53" s="19"/>
      <c r="PRZ53" s="21"/>
      <c r="PSA53" s="19"/>
      <c r="PSJ53" s="19"/>
      <c r="PSK53" s="19"/>
      <c r="PSL53" s="19"/>
      <c r="PSM53" s="19"/>
      <c r="PSN53" s="21"/>
      <c r="PSO53" s="19"/>
      <c r="PSX53" s="19"/>
      <c r="PSY53" s="19"/>
      <c r="PSZ53" s="19"/>
      <c r="PTA53" s="19"/>
      <c r="PTB53" s="21"/>
      <c r="PTC53" s="19"/>
      <c r="PTL53" s="19"/>
      <c r="PTM53" s="19"/>
      <c r="PTN53" s="19"/>
      <c r="PTO53" s="19"/>
      <c r="PTP53" s="21"/>
      <c r="PTQ53" s="19"/>
      <c r="PTZ53" s="19"/>
      <c r="PUA53" s="19"/>
      <c r="PUB53" s="19"/>
      <c r="PUC53" s="19"/>
      <c r="PUD53" s="21"/>
      <c r="PUE53" s="19"/>
      <c r="PUN53" s="19"/>
      <c r="PUO53" s="19"/>
      <c r="PUP53" s="19"/>
      <c r="PUQ53" s="19"/>
      <c r="PUR53" s="21"/>
      <c r="PUS53" s="19"/>
      <c r="PVB53" s="19"/>
      <c r="PVC53" s="19"/>
      <c r="PVD53" s="19"/>
      <c r="PVE53" s="19"/>
      <c r="PVF53" s="21"/>
      <c r="PVG53" s="19"/>
      <c r="PVP53" s="19"/>
      <c r="PVQ53" s="19"/>
      <c r="PVR53" s="19"/>
      <c r="PVS53" s="19"/>
      <c r="PVT53" s="21"/>
      <c r="PVU53" s="19"/>
      <c r="PWD53" s="19"/>
      <c r="PWE53" s="19"/>
      <c r="PWF53" s="19"/>
      <c r="PWG53" s="19"/>
      <c r="PWH53" s="21"/>
      <c r="PWI53" s="19"/>
      <c r="PWR53" s="19"/>
      <c r="PWS53" s="19"/>
      <c r="PWT53" s="19"/>
      <c r="PWU53" s="19"/>
      <c r="PWV53" s="21"/>
      <c r="PWW53" s="19"/>
      <c r="PXF53" s="19"/>
      <c r="PXG53" s="19"/>
      <c r="PXH53" s="19"/>
      <c r="PXI53" s="19"/>
      <c r="PXJ53" s="21"/>
      <c r="PXK53" s="19"/>
      <c r="PXT53" s="19"/>
      <c r="PXU53" s="19"/>
      <c r="PXV53" s="19"/>
      <c r="PXW53" s="19"/>
      <c r="PXX53" s="21"/>
      <c r="PXY53" s="19"/>
      <c r="PYH53" s="19"/>
      <c r="PYI53" s="19"/>
      <c r="PYJ53" s="19"/>
      <c r="PYK53" s="19"/>
      <c r="PYL53" s="21"/>
      <c r="PYM53" s="19"/>
      <c r="PYV53" s="19"/>
      <c r="PYW53" s="19"/>
      <c r="PYX53" s="19"/>
      <c r="PYY53" s="19"/>
      <c r="PYZ53" s="21"/>
      <c r="PZA53" s="19"/>
      <c r="PZJ53" s="19"/>
      <c r="PZK53" s="19"/>
      <c r="PZL53" s="19"/>
      <c r="PZM53" s="19"/>
      <c r="PZN53" s="21"/>
      <c r="PZO53" s="19"/>
      <c r="PZX53" s="19"/>
      <c r="PZY53" s="19"/>
      <c r="PZZ53" s="19"/>
      <c r="QAA53" s="19"/>
      <c r="QAB53" s="21"/>
      <c r="QAC53" s="19"/>
      <c r="QAL53" s="19"/>
      <c r="QAM53" s="19"/>
      <c r="QAN53" s="19"/>
      <c r="QAO53" s="19"/>
      <c r="QAP53" s="21"/>
      <c r="QAQ53" s="19"/>
      <c r="QAZ53" s="19"/>
      <c r="QBA53" s="19"/>
      <c r="QBB53" s="19"/>
      <c r="QBC53" s="19"/>
      <c r="QBD53" s="21"/>
      <c r="QBE53" s="19"/>
      <c r="QBN53" s="19"/>
      <c r="QBO53" s="19"/>
      <c r="QBP53" s="19"/>
      <c r="QBQ53" s="19"/>
      <c r="QBR53" s="21"/>
      <c r="QBS53" s="19"/>
      <c r="QCB53" s="19"/>
      <c r="QCC53" s="19"/>
      <c r="QCD53" s="19"/>
      <c r="QCE53" s="19"/>
      <c r="QCF53" s="21"/>
      <c r="QCG53" s="19"/>
      <c r="QCP53" s="19"/>
      <c r="QCQ53" s="19"/>
      <c r="QCR53" s="19"/>
      <c r="QCS53" s="19"/>
      <c r="QCT53" s="21"/>
      <c r="QCU53" s="19"/>
      <c r="QDD53" s="19"/>
      <c r="QDE53" s="19"/>
      <c r="QDF53" s="19"/>
      <c r="QDG53" s="19"/>
      <c r="QDH53" s="21"/>
      <c r="QDI53" s="19"/>
      <c r="QDR53" s="19"/>
      <c r="QDS53" s="19"/>
      <c r="QDT53" s="19"/>
      <c r="QDU53" s="19"/>
      <c r="QDV53" s="21"/>
      <c r="QDW53" s="19"/>
      <c r="QEF53" s="19"/>
      <c r="QEG53" s="19"/>
      <c r="QEH53" s="19"/>
      <c r="QEI53" s="19"/>
      <c r="QEJ53" s="21"/>
      <c r="QEK53" s="19"/>
      <c r="QET53" s="19"/>
      <c r="QEU53" s="19"/>
      <c r="QEV53" s="19"/>
      <c r="QEW53" s="19"/>
      <c r="QEX53" s="21"/>
      <c r="QEY53" s="19"/>
      <c r="QFH53" s="19"/>
      <c r="QFI53" s="19"/>
      <c r="QFJ53" s="19"/>
      <c r="QFK53" s="19"/>
      <c r="QFL53" s="21"/>
      <c r="QFM53" s="19"/>
      <c r="QFV53" s="19"/>
      <c r="QFW53" s="19"/>
      <c r="QFX53" s="19"/>
      <c r="QFY53" s="19"/>
      <c r="QFZ53" s="21"/>
      <c r="QGA53" s="19"/>
      <c r="QGJ53" s="19"/>
      <c r="QGK53" s="19"/>
      <c r="QGL53" s="19"/>
      <c r="QGM53" s="19"/>
      <c r="QGN53" s="21"/>
      <c r="QGO53" s="19"/>
      <c r="QGX53" s="19"/>
      <c r="QGY53" s="19"/>
      <c r="QGZ53" s="19"/>
      <c r="QHA53" s="19"/>
      <c r="QHB53" s="21"/>
      <c r="QHC53" s="19"/>
      <c r="QHL53" s="19"/>
      <c r="QHM53" s="19"/>
      <c r="QHN53" s="19"/>
      <c r="QHO53" s="19"/>
      <c r="QHP53" s="21"/>
      <c r="QHQ53" s="19"/>
      <c r="QHZ53" s="19"/>
      <c r="QIA53" s="19"/>
      <c r="QIB53" s="19"/>
      <c r="QIC53" s="19"/>
      <c r="QID53" s="21"/>
      <c r="QIE53" s="19"/>
      <c r="QIN53" s="19"/>
      <c r="QIO53" s="19"/>
      <c r="QIP53" s="19"/>
      <c r="QIQ53" s="19"/>
      <c r="QIR53" s="21"/>
      <c r="QIS53" s="19"/>
      <c r="QJB53" s="19"/>
      <c r="QJC53" s="19"/>
      <c r="QJD53" s="19"/>
      <c r="QJE53" s="19"/>
      <c r="QJF53" s="21"/>
      <c r="QJG53" s="19"/>
      <c r="QJP53" s="19"/>
      <c r="QJQ53" s="19"/>
      <c r="QJR53" s="19"/>
      <c r="QJS53" s="19"/>
      <c r="QJT53" s="21"/>
      <c r="QJU53" s="19"/>
      <c r="QKD53" s="19"/>
      <c r="QKE53" s="19"/>
      <c r="QKF53" s="19"/>
      <c r="QKG53" s="19"/>
      <c r="QKH53" s="21"/>
      <c r="QKI53" s="19"/>
      <c r="QKR53" s="19"/>
      <c r="QKS53" s="19"/>
      <c r="QKT53" s="19"/>
      <c r="QKU53" s="19"/>
      <c r="QKV53" s="21"/>
      <c r="QKW53" s="19"/>
      <c r="QLF53" s="19"/>
      <c r="QLG53" s="19"/>
      <c r="QLH53" s="19"/>
      <c r="QLI53" s="19"/>
      <c r="QLJ53" s="21"/>
      <c r="QLK53" s="19"/>
      <c r="QLT53" s="19"/>
      <c r="QLU53" s="19"/>
      <c r="QLV53" s="19"/>
      <c r="QLW53" s="19"/>
      <c r="QLX53" s="21"/>
      <c r="QLY53" s="19"/>
      <c r="QMH53" s="19"/>
      <c r="QMI53" s="19"/>
      <c r="QMJ53" s="19"/>
      <c r="QMK53" s="19"/>
      <c r="QML53" s="21"/>
      <c r="QMM53" s="19"/>
      <c r="QMV53" s="19"/>
      <c r="QMW53" s="19"/>
      <c r="QMX53" s="19"/>
      <c r="QMY53" s="19"/>
      <c r="QMZ53" s="21"/>
      <c r="QNA53" s="19"/>
      <c r="QNJ53" s="19"/>
      <c r="QNK53" s="19"/>
      <c r="QNL53" s="19"/>
      <c r="QNM53" s="19"/>
      <c r="QNN53" s="21"/>
      <c r="QNO53" s="19"/>
      <c r="QNX53" s="19"/>
      <c r="QNY53" s="19"/>
      <c r="QNZ53" s="19"/>
      <c r="QOA53" s="19"/>
      <c r="QOB53" s="21"/>
      <c r="QOC53" s="19"/>
      <c r="QOL53" s="19"/>
      <c r="QOM53" s="19"/>
      <c r="QON53" s="19"/>
      <c r="QOO53" s="19"/>
      <c r="QOP53" s="21"/>
      <c r="QOQ53" s="19"/>
      <c r="QOZ53" s="19"/>
      <c r="QPA53" s="19"/>
      <c r="QPB53" s="19"/>
      <c r="QPC53" s="19"/>
      <c r="QPD53" s="21"/>
      <c r="QPE53" s="19"/>
      <c r="QPN53" s="19"/>
      <c r="QPO53" s="19"/>
      <c r="QPP53" s="19"/>
      <c r="QPQ53" s="19"/>
      <c r="QPR53" s="21"/>
      <c r="QPS53" s="19"/>
      <c r="QQB53" s="19"/>
      <c r="QQC53" s="19"/>
      <c r="QQD53" s="19"/>
      <c r="QQE53" s="19"/>
      <c r="QQF53" s="21"/>
      <c r="QQG53" s="19"/>
      <c r="QQP53" s="19"/>
      <c r="QQQ53" s="19"/>
      <c r="QQR53" s="19"/>
      <c r="QQS53" s="19"/>
      <c r="QQT53" s="21"/>
      <c r="QQU53" s="19"/>
      <c r="QRD53" s="19"/>
      <c r="QRE53" s="19"/>
      <c r="QRF53" s="19"/>
      <c r="QRG53" s="19"/>
      <c r="QRH53" s="21"/>
      <c r="QRI53" s="19"/>
      <c r="QRR53" s="19"/>
      <c r="QRS53" s="19"/>
      <c r="QRT53" s="19"/>
      <c r="QRU53" s="19"/>
      <c r="QRV53" s="21"/>
      <c r="QRW53" s="19"/>
      <c r="QSF53" s="19"/>
      <c r="QSG53" s="19"/>
      <c r="QSH53" s="19"/>
      <c r="QSI53" s="19"/>
      <c r="QSJ53" s="21"/>
      <c r="QSK53" s="19"/>
      <c r="QST53" s="19"/>
      <c r="QSU53" s="19"/>
      <c r="QSV53" s="19"/>
      <c r="QSW53" s="19"/>
      <c r="QSX53" s="21"/>
      <c r="QSY53" s="19"/>
      <c r="QTH53" s="19"/>
      <c r="QTI53" s="19"/>
      <c r="QTJ53" s="19"/>
      <c r="QTK53" s="19"/>
      <c r="QTL53" s="21"/>
      <c r="QTM53" s="19"/>
      <c r="QTV53" s="19"/>
      <c r="QTW53" s="19"/>
      <c r="QTX53" s="19"/>
      <c r="QTY53" s="19"/>
      <c r="QTZ53" s="21"/>
      <c r="QUA53" s="19"/>
      <c r="QUJ53" s="19"/>
      <c r="QUK53" s="19"/>
      <c r="QUL53" s="19"/>
      <c r="QUM53" s="19"/>
      <c r="QUN53" s="21"/>
      <c r="QUO53" s="19"/>
      <c r="QUX53" s="19"/>
      <c r="QUY53" s="19"/>
      <c r="QUZ53" s="19"/>
      <c r="QVA53" s="19"/>
      <c r="QVB53" s="21"/>
      <c r="QVC53" s="19"/>
      <c r="QVL53" s="19"/>
      <c r="QVM53" s="19"/>
      <c r="QVN53" s="19"/>
      <c r="QVO53" s="19"/>
      <c r="QVP53" s="21"/>
      <c r="QVQ53" s="19"/>
      <c r="QVZ53" s="19"/>
      <c r="QWA53" s="19"/>
      <c r="QWB53" s="19"/>
      <c r="QWC53" s="19"/>
      <c r="QWD53" s="21"/>
      <c r="QWE53" s="19"/>
      <c r="QWN53" s="19"/>
      <c r="QWO53" s="19"/>
      <c r="QWP53" s="19"/>
      <c r="QWQ53" s="19"/>
      <c r="QWR53" s="21"/>
      <c r="QWS53" s="19"/>
      <c r="QXB53" s="19"/>
      <c r="QXC53" s="19"/>
      <c r="QXD53" s="19"/>
      <c r="QXE53" s="19"/>
      <c r="QXF53" s="21"/>
      <c r="QXG53" s="19"/>
      <c r="QXP53" s="19"/>
      <c r="QXQ53" s="19"/>
      <c r="QXR53" s="19"/>
      <c r="QXS53" s="19"/>
      <c r="QXT53" s="21"/>
      <c r="QXU53" s="19"/>
      <c r="QYD53" s="19"/>
      <c r="QYE53" s="19"/>
      <c r="QYF53" s="19"/>
      <c r="QYG53" s="19"/>
      <c r="QYH53" s="21"/>
      <c r="QYI53" s="19"/>
      <c r="QYR53" s="19"/>
      <c r="QYS53" s="19"/>
      <c r="QYT53" s="19"/>
      <c r="QYU53" s="19"/>
      <c r="QYV53" s="21"/>
      <c r="QYW53" s="19"/>
      <c r="QZF53" s="19"/>
      <c r="QZG53" s="19"/>
      <c r="QZH53" s="19"/>
      <c r="QZI53" s="19"/>
      <c r="QZJ53" s="21"/>
      <c r="QZK53" s="19"/>
      <c r="QZT53" s="19"/>
      <c r="QZU53" s="19"/>
      <c r="QZV53" s="19"/>
      <c r="QZW53" s="19"/>
      <c r="QZX53" s="21"/>
      <c r="QZY53" s="19"/>
      <c r="RAH53" s="19"/>
      <c r="RAI53" s="19"/>
      <c r="RAJ53" s="19"/>
      <c r="RAK53" s="19"/>
      <c r="RAL53" s="21"/>
      <c r="RAM53" s="19"/>
      <c r="RAV53" s="19"/>
      <c r="RAW53" s="19"/>
      <c r="RAX53" s="19"/>
      <c r="RAY53" s="19"/>
      <c r="RAZ53" s="21"/>
      <c r="RBA53" s="19"/>
      <c r="RBJ53" s="19"/>
      <c r="RBK53" s="19"/>
      <c r="RBL53" s="19"/>
      <c r="RBM53" s="19"/>
      <c r="RBN53" s="21"/>
      <c r="RBO53" s="19"/>
      <c r="RBX53" s="19"/>
      <c r="RBY53" s="19"/>
      <c r="RBZ53" s="19"/>
      <c r="RCA53" s="19"/>
      <c r="RCB53" s="21"/>
      <c r="RCC53" s="19"/>
      <c r="RCL53" s="19"/>
      <c r="RCM53" s="19"/>
      <c r="RCN53" s="19"/>
      <c r="RCO53" s="19"/>
      <c r="RCP53" s="21"/>
      <c r="RCQ53" s="19"/>
      <c r="RCZ53" s="19"/>
      <c r="RDA53" s="19"/>
      <c r="RDB53" s="19"/>
      <c r="RDC53" s="19"/>
      <c r="RDD53" s="21"/>
      <c r="RDE53" s="19"/>
      <c r="RDN53" s="19"/>
      <c r="RDO53" s="19"/>
      <c r="RDP53" s="19"/>
      <c r="RDQ53" s="19"/>
      <c r="RDR53" s="21"/>
      <c r="RDS53" s="19"/>
      <c r="REB53" s="19"/>
      <c r="REC53" s="19"/>
      <c r="RED53" s="19"/>
      <c r="REE53" s="19"/>
      <c r="REF53" s="21"/>
      <c r="REG53" s="19"/>
      <c r="REP53" s="19"/>
      <c r="REQ53" s="19"/>
      <c r="RER53" s="19"/>
      <c r="RES53" s="19"/>
      <c r="RET53" s="21"/>
      <c r="REU53" s="19"/>
      <c r="RFD53" s="19"/>
      <c r="RFE53" s="19"/>
      <c r="RFF53" s="19"/>
      <c r="RFG53" s="19"/>
      <c r="RFH53" s="21"/>
      <c r="RFI53" s="19"/>
      <c r="RFR53" s="19"/>
      <c r="RFS53" s="19"/>
      <c r="RFT53" s="19"/>
      <c r="RFU53" s="19"/>
      <c r="RFV53" s="21"/>
      <c r="RFW53" s="19"/>
      <c r="RGF53" s="19"/>
      <c r="RGG53" s="19"/>
      <c r="RGH53" s="19"/>
      <c r="RGI53" s="19"/>
      <c r="RGJ53" s="21"/>
      <c r="RGK53" s="19"/>
      <c r="RGT53" s="19"/>
      <c r="RGU53" s="19"/>
      <c r="RGV53" s="19"/>
      <c r="RGW53" s="19"/>
      <c r="RGX53" s="21"/>
      <c r="RGY53" s="19"/>
      <c r="RHH53" s="19"/>
      <c r="RHI53" s="19"/>
      <c r="RHJ53" s="19"/>
      <c r="RHK53" s="19"/>
      <c r="RHL53" s="21"/>
      <c r="RHM53" s="19"/>
      <c r="RHV53" s="19"/>
      <c r="RHW53" s="19"/>
      <c r="RHX53" s="19"/>
      <c r="RHY53" s="19"/>
      <c r="RHZ53" s="21"/>
      <c r="RIA53" s="19"/>
      <c r="RIJ53" s="19"/>
      <c r="RIK53" s="19"/>
      <c r="RIL53" s="19"/>
      <c r="RIM53" s="19"/>
      <c r="RIN53" s="21"/>
      <c r="RIO53" s="19"/>
      <c r="RIX53" s="19"/>
      <c r="RIY53" s="19"/>
      <c r="RIZ53" s="19"/>
      <c r="RJA53" s="19"/>
      <c r="RJB53" s="21"/>
      <c r="RJC53" s="19"/>
      <c r="RJL53" s="19"/>
      <c r="RJM53" s="19"/>
      <c r="RJN53" s="19"/>
      <c r="RJO53" s="19"/>
      <c r="RJP53" s="21"/>
      <c r="RJQ53" s="19"/>
      <c r="RJZ53" s="19"/>
      <c r="RKA53" s="19"/>
      <c r="RKB53" s="19"/>
      <c r="RKC53" s="19"/>
      <c r="RKD53" s="21"/>
      <c r="RKE53" s="19"/>
      <c r="RKN53" s="19"/>
      <c r="RKO53" s="19"/>
      <c r="RKP53" s="19"/>
      <c r="RKQ53" s="19"/>
      <c r="RKR53" s="21"/>
      <c r="RKS53" s="19"/>
      <c r="RLB53" s="19"/>
      <c r="RLC53" s="19"/>
      <c r="RLD53" s="19"/>
      <c r="RLE53" s="19"/>
      <c r="RLF53" s="21"/>
      <c r="RLG53" s="19"/>
      <c r="RLP53" s="19"/>
      <c r="RLQ53" s="19"/>
      <c r="RLR53" s="19"/>
      <c r="RLS53" s="19"/>
      <c r="RLT53" s="21"/>
      <c r="RLU53" s="19"/>
      <c r="RMD53" s="19"/>
      <c r="RME53" s="19"/>
      <c r="RMF53" s="19"/>
      <c r="RMG53" s="19"/>
      <c r="RMH53" s="21"/>
      <c r="RMI53" s="19"/>
      <c r="RMR53" s="19"/>
      <c r="RMS53" s="19"/>
      <c r="RMT53" s="19"/>
      <c r="RMU53" s="19"/>
      <c r="RMV53" s="21"/>
      <c r="RMW53" s="19"/>
      <c r="RNF53" s="19"/>
      <c r="RNG53" s="19"/>
      <c r="RNH53" s="19"/>
      <c r="RNI53" s="19"/>
      <c r="RNJ53" s="21"/>
      <c r="RNK53" s="19"/>
      <c r="RNT53" s="19"/>
      <c r="RNU53" s="19"/>
      <c r="RNV53" s="19"/>
      <c r="RNW53" s="19"/>
      <c r="RNX53" s="21"/>
      <c r="RNY53" s="19"/>
      <c r="ROH53" s="19"/>
      <c r="ROI53" s="19"/>
      <c r="ROJ53" s="19"/>
      <c r="ROK53" s="19"/>
      <c r="ROL53" s="21"/>
      <c r="ROM53" s="19"/>
      <c r="ROV53" s="19"/>
      <c r="ROW53" s="19"/>
      <c r="ROX53" s="19"/>
      <c r="ROY53" s="19"/>
      <c r="ROZ53" s="21"/>
      <c r="RPA53" s="19"/>
      <c r="RPJ53" s="19"/>
      <c r="RPK53" s="19"/>
      <c r="RPL53" s="19"/>
      <c r="RPM53" s="19"/>
      <c r="RPN53" s="21"/>
      <c r="RPO53" s="19"/>
      <c r="RPX53" s="19"/>
      <c r="RPY53" s="19"/>
      <c r="RPZ53" s="19"/>
      <c r="RQA53" s="19"/>
      <c r="RQB53" s="21"/>
      <c r="RQC53" s="19"/>
      <c r="RQL53" s="19"/>
      <c r="RQM53" s="19"/>
      <c r="RQN53" s="19"/>
      <c r="RQO53" s="19"/>
      <c r="RQP53" s="21"/>
      <c r="RQQ53" s="19"/>
      <c r="RQZ53" s="19"/>
      <c r="RRA53" s="19"/>
      <c r="RRB53" s="19"/>
      <c r="RRC53" s="19"/>
      <c r="RRD53" s="21"/>
      <c r="RRE53" s="19"/>
      <c r="RRN53" s="19"/>
      <c r="RRO53" s="19"/>
      <c r="RRP53" s="19"/>
      <c r="RRQ53" s="19"/>
      <c r="RRR53" s="21"/>
      <c r="RRS53" s="19"/>
      <c r="RSB53" s="19"/>
      <c r="RSC53" s="19"/>
      <c r="RSD53" s="19"/>
      <c r="RSE53" s="19"/>
      <c r="RSF53" s="21"/>
      <c r="RSG53" s="19"/>
      <c r="RSP53" s="19"/>
      <c r="RSQ53" s="19"/>
      <c r="RSR53" s="19"/>
      <c r="RSS53" s="19"/>
      <c r="RST53" s="21"/>
      <c r="RSU53" s="19"/>
      <c r="RTD53" s="19"/>
      <c r="RTE53" s="19"/>
      <c r="RTF53" s="19"/>
      <c r="RTG53" s="19"/>
      <c r="RTH53" s="21"/>
      <c r="RTI53" s="19"/>
      <c r="RTR53" s="19"/>
      <c r="RTS53" s="19"/>
      <c r="RTT53" s="19"/>
      <c r="RTU53" s="19"/>
      <c r="RTV53" s="21"/>
      <c r="RTW53" s="19"/>
      <c r="RUF53" s="19"/>
      <c r="RUG53" s="19"/>
      <c r="RUH53" s="19"/>
      <c r="RUI53" s="19"/>
      <c r="RUJ53" s="21"/>
      <c r="RUK53" s="19"/>
      <c r="RUT53" s="19"/>
      <c r="RUU53" s="19"/>
      <c r="RUV53" s="19"/>
      <c r="RUW53" s="19"/>
      <c r="RUX53" s="21"/>
      <c r="RUY53" s="19"/>
      <c r="RVH53" s="19"/>
      <c r="RVI53" s="19"/>
      <c r="RVJ53" s="19"/>
      <c r="RVK53" s="19"/>
      <c r="RVL53" s="21"/>
      <c r="RVM53" s="19"/>
      <c r="RVV53" s="19"/>
      <c r="RVW53" s="19"/>
      <c r="RVX53" s="19"/>
      <c r="RVY53" s="19"/>
      <c r="RVZ53" s="21"/>
      <c r="RWA53" s="19"/>
      <c r="RWJ53" s="19"/>
      <c r="RWK53" s="19"/>
      <c r="RWL53" s="19"/>
      <c r="RWM53" s="19"/>
      <c r="RWN53" s="21"/>
      <c r="RWO53" s="19"/>
      <c r="RWX53" s="19"/>
      <c r="RWY53" s="19"/>
      <c r="RWZ53" s="19"/>
      <c r="RXA53" s="19"/>
      <c r="RXB53" s="21"/>
      <c r="RXC53" s="19"/>
      <c r="RXL53" s="19"/>
      <c r="RXM53" s="19"/>
      <c r="RXN53" s="19"/>
      <c r="RXO53" s="19"/>
      <c r="RXP53" s="21"/>
      <c r="RXQ53" s="19"/>
      <c r="RXZ53" s="19"/>
      <c r="RYA53" s="19"/>
      <c r="RYB53" s="19"/>
      <c r="RYC53" s="19"/>
      <c r="RYD53" s="21"/>
      <c r="RYE53" s="19"/>
      <c r="RYN53" s="19"/>
      <c r="RYO53" s="19"/>
      <c r="RYP53" s="19"/>
      <c r="RYQ53" s="19"/>
      <c r="RYR53" s="21"/>
      <c r="RYS53" s="19"/>
      <c r="RZB53" s="19"/>
      <c r="RZC53" s="19"/>
      <c r="RZD53" s="19"/>
      <c r="RZE53" s="19"/>
      <c r="RZF53" s="21"/>
      <c r="RZG53" s="19"/>
      <c r="RZP53" s="19"/>
      <c r="RZQ53" s="19"/>
      <c r="RZR53" s="19"/>
      <c r="RZS53" s="19"/>
      <c r="RZT53" s="21"/>
      <c r="RZU53" s="19"/>
      <c r="SAD53" s="19"/>
      <c r="SAE53" s="19"/>
      <c r="SAF53" s="19"/>
      <c r="SAG53" s="19"/>
      <c r="SAH53" s="21"/>
      <c r="SAI53" s="19"/>
      <c r="SAR53" s="19"/>
      <c r="SAS53" s="19"/>
      <c r="SAT53" s="19"/>
      <c r="SAU53" s="19"/>
      <c r="SAV53" s="21"/>
      <c r="SAW53" s="19"/>
      <c r="SBF53" s="19"/>
      <c r="SBG53" s="19"/>
      <c r="SBH53" s="19"/>
      <c r="SBI53" s="19"/>
      <c r="SBJ53" s="21"/>
      <c r="SBK53" s="19"/>
      <c r="SBT53" s="19"/>
      <c r="SBU53" s="19"/>
      <c r="SBV53" s="19"/>
      <c r="SBW53" s="19"/>
      <c r="SBX53" s="21"/>
      <c r="SBY53" s="19"/>
      <c r="SCH53" s="19"/>
      <c r="SCI53" s="19"/>
      <c r="SCJ53" s="19"/>
      <c r="SCK53" s="19"/>
      <c r="SCL53" s="21"/>
      <c r="SCM53" s="19"/>
      <c r="SCV53" s="19"/>
      <c r="SCW53" s="19"/>
      <c r="SCX53" s="19"/>
      <c r="SCY53" s="19"/>
      <c r="SCZ53" s="21"/>
      <c r="SDA53" s="19"/>
      <c r="SDJ53" s="19"/>
      <c r="SDK53" s="19"/>
      <c r="SDL53" s="19"/>
      <c r="SDM53" s="19"/>
      <c r="SDN53" s="21"/>
      <c r="SDO53" s="19"/>
      <c r="SDX53" s="19"/>
      <c r="SDY53" s="19"/>
      <c r="SDZ53" s="19"/>
      <c r="SEA53" s="19"/>
      <c r="SEB53" s="21"/>
      <c r="SEC53" s="19"/>
      <c r="SEL53" s="19"/>
      <c r="SEM53" s="19"/>
      <c r="SEN53" s="19"/>
      <c r="SEO53" s="19"/>
      <c r="SEP53" s="21"/>
      <c r="SEQ53" s="19"/>
      <c r="SEZ53" s="19"/>
      <c r="SFA53" s="19"/>
      <c r="SFB53" s="19"/>
      <c r="SFC53" s="19"/>
      <c r="SFD53" s="21"/>
      <c r="SFE53" s="19"/>
      <c r="SFN53" s="19"/>
      <c r="SFO53" s="19"/>
      <c r="SFP53" s="19"/>
      <c r="SFQ53" s="19"/>
      <c r="SFR53" s="21"/>
      <c r="SFS53" s="19"/>
      <c r="SGB53" s="19"/>
      <c r="SGC53" s="19"/>
      <c r="SGD53" s="19"/>
      <c r="SGE53" s="19"/>
      <c r="SGF53" s="21"/>
      <c r="SGG53" s="19"/>
      <c r="SGP53" s="19"/>
      <c r="SGQ53" s="19"/>
      <c r="SGR53" s="19"/>
      <c r="SGS53" s="19"/>
      <c r="SGT53" s="21"/>
      <c r="SGU53" s="19"/>
      <c r="SHD53" s="19"/>
      <c r="SHE53" s="19"/>
      <c r="SHF53" s="19"/>
      <c r="SHG53" s="19"/>
      <c r="SHH53" s="21"/>
      <c r="SHI53" s="19"/>
      <c r="SHR53" s="19"/>
      <c r="SHS53" s="19"/>
      <c r="SHT53" s="19"/>
      <c r="SHU53" s="19"/>
      <c r="SHV53" s="21"/>
      <c r="SHW53" s="19"/>
      <c r="SIF53" s="19"/>
      <c r="SIG53" s="19"/>
      <c r="SIH53" s="19"/>
      <c r="SII53" s="19"/>
      <c r="SIJ53" s="21"/>
      <c r="SIK53" s="19"/>
      <c r="SIT53" s="19"/>
      <c r="SIU53" s="19"/>
      <c r="SIV53" s="19"/>
      <c r="SIW53" s="19"/>
      <c r="SIX53" s="21"/>
      <c r="SIY53" s="19"/>
      <c r="SJH53" s="19"/>
      <c r="SJI53" s="19"/>
      <c r="SJJ53" s="19"/>
      <c r="SJK53" s="19"/>
      <c r="SJL53" s="21"/>
      <c r="SJM53" s="19"/>
      <c r="SJV53" s="19"/>
      <c r="SJW53" s="19"/>
      <c r="SJX53" s="19"/>
      <c r="SJY53" s="19"/>
      <c r="SJZ53" s="21"/>
      <c r="SKA53" s="19"/>
      <c r="SKJ53" s="19"/>
      <c r="SKK53" s="19"/>
      <c r="SKL53" s="19"/>
      <c r="SKM53" s="19"/>
      <c r="SKN53" s="21"/>
      <c r="SKO53" s="19"/>
      <c r="SKX53" s="19"/>
      <c r="SKY53" s="19"/>
      <c r="SKZ53" s="19"/>
      <c r="SLA53" s="19"/>
      <c r="SLB53" s="21"/>
      <c r="SLC53" s="19"/>
      <c r="SLL53" s="19"/>
      <c r="SLM53" s="19"/>
      <c r="SLN53" s="19"/>
      <c r="SLO53" s="19"/>
      <c r="SLP53" s="21"/>
      <c r="SLQ53" s="19"/>
      <c r="SLZ53" s="19"/>
      <c r="SMA53" s="19"/>
      <c r="SMB53" s="19"/>
      <c r="SMC53" s="19"/>
      <c r="SMD53" s="21"/>
      <c r="SME53" s="19"/>
      <c r="SMN53" s="19"/>
      <c r="SMO53" s="19"/>
      <c r="SMP53" s="19"/>
      <c r="SMQ53" s="19"/>
      <c r="SMR53" s="21"/>
      <c r="SMS53" s="19"/>
      <c r="SNB53" s="19"/>
      <c r="SNC53" s="19"/>
      <c r="SND53" s="19"/>
      <c r="SNE53" s="19"/>
      <c r="SNF53" s="21"/>
      <c r="SNG53" s="19"/>
      <c r="SNP53" s="19"/>
      <c r="SNQ53" s="19"/>
      <c r="SNR53" s="19"/>
      <c r="SNS53" s="19"/>
      <c r="SNT53" s="21"/>
      <c r="SNU53" s="19"/>
      <c r="SOD53" s="19"/>
      <c r="SOE53" s="19"/>
      <c r="SOF53" s="19"/>
      <c r="SOG53" s="19"/>
      <c r="SOH53" s="21"/>
      <c r="SOI53" s="19"/>
      <c r="SOR53" s="19"/>
      <c r="SOS53" s="19"/>
      <c r="SOT53" s="19"/>
      <c r="SOU53" s="19"/>
      <c r="SOV53" s="21"/>
      <c r="SOW53" s="19"/>
      <c r="SPF53" s="19"/>
      <c r="SPG53" s="19"/>
      <c r="SPH53" s="19"/>
      <c r="SPI53" s="19"/>
      <c r="SPJ53" s="21"/>
      <c r="SPK53" s="19"/>
      <c r="SPT53" s="19"/>
      <c r="SPU53" s="19"/>
      <c r="SPV53" s="19"/>
      <c r="SPW53" s="19"/>
      <c r="SPX53" s="21"/>
      <c r="SPY53" s="19"/>
      <c r="SQH53" s="19"/>
      <c r="SQI53" s="19"/>
      <c r="SQJ53" s="19"/>
      <c r="SQK53" s="19"/>
      <c r="SQL53" s="21"/>
      <c r="SQM53" s="19"/>
      <c r="SQV53" s="19"/>
      <c r="SQW53" s="19"/>
      <c r="SQX53" s="19"/>
      <c r="SQY53" s="19"/>
      <c r="SQZ53" s="21"/>
      <c r="SRA53" s="19"/>
      <c r="SRJ53" s="19"/>
      <c r="SRK53" s="19"/>
      <c r="SRL53" s="19"/>
      <c r="SRM53" s="19"/>
      <c r="SRN53" s="21"/>
      <c r="SRO53" s="19"/>
      <c r="SRX53" s="19"/>
      <c r="SRY53" s="19"/>
      <c r="SRZ53" s="19"/>
      <c r="SSA53" s="19"/>
      <c r="SSB53" s="21"/>
      <c r="SSC53" s="19"/>
      <c r="SSL53" s="19"/>
      <c r="SSM53" s="19"/>
      <c r="SSN53" s="19"/>
      <c r="SSO53" s="19"/>
      <c r="SSP53" s="21"/>
      <c r="SSQ53" s="19"/>
      <c r="SSZ53" s="19"/>
      <c r="STA53" s="19"/>
      <c r="STB53" s="19"/>
      <c r="STC53" s="19"/>
      <c r="STD53" s="21"/>
      <c r="STE53" s="19"/>
      <c r="STN53" s="19"/>
      <c r="STO53" s="19"/>
      <c r="STP53" s="19"/>
      <c r="STQ53" s="19"/>
      <c r="STR53" s="21"/>
      <c r="STS53" s="19"/>
      <c r="SUB53" s="19"/>
      <c r="SUC53" s="19"/>
      <c r="SUD53" s="19"/>
      <c r="SUE53" s="19"/>
      <c r="SUF53" s="21"/>
      <c r="SUG53" s="19"/>
      <c r="SUP53" s="19"/>
      <c r="SUQ53" s="19"/>
      <c r="SUR53" s="19"/>
      <c r="SUS53" s="19"/>
      <c r="SUT53" s="21"/>
      <c r="SUU53" s="19"/>
      <c r="SVD53" s="19"/>
      <c r="SVE53" s="19"/>
      <c r="SVF53" s="19"/>
      <c r="SVG53" s="19"/>
      <c r="SVH53" s="21"/>
      <c r="SVI53" s="19"/>
      <c r="SVR53" s="19"/>
      <c r="SVS53" s="19"/>
      <c r="SVT53" s="19"/>
      <c r="SVU53" s="19"/>
      <c r="SVV53" s="21"/>
      <c r="SVW53" s="19"/>
      <c r="SWF53" s="19"/>
      <c r="SWG53" s="19"/>
      <c r="SWH53" s="19"/>
      <c r="SWI53" s="19"/>
      <c r="SWJ53" s="21"/>
      <c r="SWK53" s="19"/>
      <c r="SWT53" s="19"/>
      <c r="SWU53" s="19"/>
      <c r="SWV53" s="19"/>
      <c r="SWW53" s="19"/>
      <c r="SWX53" s="21"/>
      <c r="SWY53" s="19"/>
      <c r="SXH53" s="19"/>
      <c r="SXI53" s="19"/>
      <c r="SXJ53" s="19"/>
      <c r="SXK53" s="19"/>
      <c r="SXL53" s="21"/>
      <c r="SXM53" s="19"/>
      <c r="SXV53" s="19"/>
      <c r="SXW53" s="19"/>
      <c r="SXX53" s="19"/>
      <c r="SXY53" s="19"/>
      <c r="SXZ53" s="21"/>
      <c r="SYA53" s="19"/>
      <c r="SYJ53" s="19"/>
      <c r="SYK53" s="19"/>
      <c r="SYL53" s="19"/>
      <c r="SYM53" s="19"/>
      <c r="SYN53" s="21"/>
      <c r="SYO53" s="19"/>
      <c r="SYX53" s="19"/>
      <c r="SYY53" s="19"/>
      <c r="SYZ53" s="19"/>
      <c r="SZA53" s="19"/>
      <c r="SZB53" s="21"/>
      <c r="SZC53" s="19"/>
      <c r="SZL53" s="19"/>
      <c r="SZM53" s="19"/>
      <c r="SZN53" s="19"/>
      <c r="SZO53" s="19"/>
      <c r="SZP53" s="21"/>
      <c r="SZQ53" s="19"/>
      <c r="SZZ53" s="19"/>
      <c r="TAA53" s="19"/>
      <c r="TAB53" s="19"/>
      <c r="TAC53" s="19"/>
      <c r="TAD53" s="21"/>
      <c r="TAE53" s="19"/>
      <c r="TAN53" s="19"/>
      <c r="TAO53" s="19"/>
      <c r="TAP53" s="19"/>
      <c r="TAQ53" s="19"/>
      <c r="TAR53" s="21"/>
      <c r="TAS53" s="19"/>
      <c r="TBB53" s="19"/>
      <c r="TBC53" s="19"/>
      <c r="TBD53" s="19"/>
      <c r="TBE53" s="19"/>
      <c r="TBF53" s="21"/>
      <c r="TBG53" s="19"/>
      <c r="TBP53" s="19"/>
      <c r="TBQ53" s="19"/>
      <c r="TBR53" s="19"/>
      <c r="TBS53" s="19"/>
      <c r="TBT53" s="21"/>
      <c r="TBU53" s="19"/>
      <c r="TCD53" s="19"/>
      <c r="TCE53" s="19"/>
      <c r="TCF53" s="19"/>
      <c r="TCG53" s="19"/>
      <c r="TCH53" s="21"/>
      <c r="TCI53" s="19"/>
      <c r="TCR53" s="19"/>
      <c r="TCS53" s="19"/>
      <c r="TCT53" s="19"/>
      <c r="TCU53" s="19"/>
      <c r="TCV53" s="21"/>
      <c r="TCW53" s="19"/>
      <c r="TDF53" s="19"/>
      <c r="TDG53" s="19"/>
      <c r="TDH53" s="19"/>
      <c r="TDI53" s="19"/>
      <c r="TDJ53" s="21"/>
      <c r="TDK53" s="19"/>
      <c r="TDT53" s="19"/>
      <c r="TDU53" s="19"/>
      <c r="TDV53" s="19"/>
      <c r="TDW53" s="19"/>
      <c r="TDX53" s="21"/>
      <c r="TDY53" s="19"/>
      <c r="TEH53" s="19"/>
      <c r="TEI53" s="19"/>
      <c r="TEJ53" s="19"/>
      <c r="TEK53" s="19"/>
      <c r="TEL53" s="21"/>
      <c r="TEM53" s="19"/>
      <c r="TEV53" s="19"/>
      <c r="TEW53" s="19"/>
      <c r="TEX53" s="19"/>
      <c r="TEY53" s="19"/>
      <c r="TEZ53" s="21"/>
      <c r="TFA53" s="19"/>
      <c r="TFJ53" s="19"/>
      <c r="TFK53" s="19"/>
      <c r="TFL53" s="19"/>
      <c r="TFM53" s="19"/>
      <c r="TFN53" s="21"/>
      <c r="TFO53" s="19"/>
      <c r="TFX53" s="19"/>
      <c r="TFY53" s="19"/>
      <c r="TFZ53" s="19"/>
      <c r="TGA53" s="19"/>
      <c r="TGB53" s="21"/>
      <c r="TGC53" s="19"/>
      <c r="TGL53" s="19"/>
      <c r="TGM53" s="19"/>
      <c r="TGN53" s="19"/>
      <c r="TGO53" s="19"/>
      <c r="TGP53" s="21"/>
      <c r="TGQ53" s="19"/>
      <c r="TGZ53" s="19"/>
      <c r="THA53" s="19"/>
      <c r="THB53" s="19"/>
      <c r="THC53" s="19"/>
      <c r="THD53" s="21"/>
      <c r="THE53" s="19"/>
      <c r="THN53" s="19"/>
      <c r="THO53" s="19"/>
      <c r="THP53" s="19"/>
      <c r="THQ53" s="19"/>
      <c r="THR53" s="21"/>
      <c r="THS53" s="19"/>
      <c r="TIB53" s="19"/>
      <c r="TIC53" s="19"/>
      <c r="TID53" s="19"/>
      <c r="TIE53" s="19"/>
      <c r="TIF53" s="21"/>
      <c r="TIG53" s="19"/>
      <c r="TIP53" s="19"/>
      <c r="TIQ53" s="19"/>
      <c r="TIR53" s="19"/>
      <c r="TIS53" s="19"/>
      <c r="TIT53" s="21"/>
      <c r="TIU53" s="19"/>
      <c r="TJD53" s="19"/>
      <c r="TJE53" s="19"/>
      <c r="TJF53" s="19"/>
      <c r="TJG53" s="19"/>
      <c r="TJH53" s="21"/>
      <c r="TJI53" s="19"/>
      <c r="TJR53" s="19"/>
      <c r="TJS53" s="19"/>
      <c r="TJT53" s="19"/>
      <c r="TJU53" s="19"/>
      <c r="TJV53" s="21"/>
      <c r="TJW53" s="19"/>
      <c r="TKF53" s="19"/>
      <c r="TKG53" s="19"/>
      <c r="TKH53" s="19"/>
      <c r="TKI53" s="19"/>
      <c r="TKJ53" s="21"/>
      <c r="TKK53" s="19"/>
      <c r="TKT53" s="19"/>
      <c r="TKU53" s="19"/>
      <c r="TKV53" s="19"/>
      <c r="TKW53" s="19"/>
      <c r="TKX53" s="21"/>
      <c r="TKY53" s="19"/>
      <c r="TLH53" s="19"/>
      <c r="TLI53" s="19"/>
      <c r="TLJ53" s="19"/>
      <c r="TLK53" s="19"/>
      <c r="TLL53" s="21"/>
      <c r="TLM53" s="19"/>
      <c r="TLV53" s="19"/>
      <c r="TLW53" s="19"/>
      <c r="TLX53" s="19"/>
      <c r="TLY53" s="19"/>
      <c r="TLZ53" s="21"/>
      <c r="TMA53" s="19"/>
      <c r="TMJ53" s="19"/>
      <c r="TMK53" s="19"/>
      <c r="TML53" s="19"/>
      <c r="TMM53" s="19"/>
      <c r="TMN53" s="21"/>
      <c r="TMO53" s="19"/>
      <c r="TMX53" s="19"/>
      <c r="TMY53" s="19"/>
      <c r="TMZ53" s="19"/>
      <c r="TNA53" s="19"/>
      <c r="TNB53" s="21"/>
      <c r="TNC53" s="19"/>
      <c r="TNL53" s="19"/>
      <c r="TNM53" s="19"/>
      <c r="TNN53" s="19"/>
      <c r="TNO53" s="19"/>
      <c r="TNP53" s="21"/>
      <c r="TNQ53" s="19"/>
      <c r="TNZ53" s="19"/>
      <c r="TOA53" s="19"/>
      <c r="TOB53" s="19"/>
      <c r="TOC53" s="19"/>
      <c r="TOD53" s="21"/>
      <c r="TOE53" s="19"/>
      <c r="TON53" s="19"/>
      <c r="TOO53" s="19"/>
      <c r="TOP53" s="19"/>
      <c r="TOQ53" s="19"/>
      <c r="TOR53" s="21"/>
      <c r="TOS53" s="19"/>
      <c r="TPB53" s="19"/>
      <c r="TPC53" s="19"/>
      <c r="TPD53" s="19"/>
      <c r="TPE53" s="19"/>
      <c r="TPF53" s="21"/>
      <c r="TPG53" s="19"/>
      <c r="TPP53" s="19"/>
      <c r="TPQ53" s="19"/>
      <c r="TPR53" s="19"/>
      <c r="TPS53" s="19"/>
      <c r="TPT53" s="21"/>
      <c r="TPU53" s="19"/>
      <c r="TQD53" s="19"/>
      <c r="TQE53" s="19"/>
      <c r="TQF53" s="19"/>
      <c r="TQG53" s="19"/>
      <c r="TQH53" s="21"/>
      <c r="TQI53" s="19"/>
      <c r="TQR53" s="19"/>
      <c r="TQS53" s="19"/>
      <c r="TQT53" s="19"/>
      <c r="TQU53" s="19"/>
      <c r="TQV53" s="21"/>
      <c r="TQW53" s="19"/>
      <c r="TRF53" s="19"/>
      <c r="TRG53" s="19"/>
      <c r="TRH53" s="19"/>
      <c r="TRI53" s="19"/>
      <c r="TRJ53" s="21"/>
      <c r="TRK53" s="19"/>
      <c r="TRT53" s="19"/>
      <c r="TRU53" s="19"/>
      <c r="TRV53" s="19"/>
      <c r="TRW53" s="19"/>
      <c r="TRX53" s="21"/>
      <c r="TRY53" s="19"/>
      <c r="TSH53" s="19"/>
      <c r="TSI53" s="19"/>
      <c r="TSJ53" s="19"/>
      <c r="TSK53" s="19"/>
      <c r="TSL53" s="21"/>
      <c r="TSM53" s="19"/>
      <c r="TSV53" s="19"/>
      <c r="TSW53" s="19"/>
      <c r="TSX53" s="19"/>
      <c r="TSY53" s="19"/>
      <c r="TSZ53" s="21"/>
      <c r="TTA53" s="19"/>
      <c r="TTJ53" s="19"/>
      <c r="TTK53" s="19"/>
      <c r="TTL53" s="19"/>
      <c r="TTM53" s="19"/>
      <c r="TTN53" s="21"/>
      <c r="TTO53" s="19"/>
      <c r="TTX53" s="19"/>
      <c r="TTY53" s="19"/>
      <c r="TTZ53" s="19"/>
      <c r="TUA53" s="19"/>
      <c r="TUB53" s="21"/>
      <c r="TUC53" s="19"/>
      <c r="TUL53" s="19"/>
      <c r="TUM53" s="19"/>
      <c r="TUN53" s="19"/>
      <c r="TUO53" s="19"/>
      <c r="TUP53" s="21"/>
      <c r="TUQ53" s="19"/>
      <c r="TUZ53" s="19"/>
      <c r="TVA53" s="19"/>
      <c r="TVB53" s="19"/>
      <c r="TVC53" s="19"/>
      <c r="TVD53" s="21"/>
      <c r="TVE53" s="19"/>
      <c r="TVN53" s="19"/>
      <c r="TVO53" s="19"/>
      <c r="TVP53" s="19"/>
      <c r="TVQ53" s="19"/>
      <c r="TVR53" s="21"/>
      <c r="TVS53" s="19"/>
      <c r="TWB53" s="19"/>
      <c r="TWC53" s="19"/>
      <c r="TWD53" s="19"/>
      <c r="TWE53" s="19"/>
      <c r="TWF53" s="21"/>
      <c r="TWG53" s="19"/>
      <c r="TWP53" s="19"/>
      <c r="TWQ53" s="19"/>
      <c r="TWR53" s="19"/>
      <c r="TWS53" s="19"/>
      <c r="TWT53" s="21"/>
      <c r="TWU53" s="19"/>
      <c r="TXD53" s="19"/>
      <c r="TXE53" s="19"/>
      <c r="TXF53" s="19"/>
      <c r="TXG53" s="19"/>
      <c r="TXH53" s="21"/>
      <c r="TXI53" s="19"/>
      <c r="TXR53" s="19"/>
      <c r="TXS53" s="19"/>
      <c r="TXT53" s="19"/>
      <c r="TXU53" s="19"/>
      <c r="TXV53" s="21"/>
      <c r="TXW53" s="19"/>
      <c r="TYF53" s="19"/>
      <c r="TYG53" s="19"/>
      <c r="TYH53" s="19"/>
      <c r="TYI53" s="19"/>
      <c r="TYJ53" s="21"/>
      <c r="TYK53" s="19"/>
      <c r="TYT53" s="19"/>
      <c r="TYU53" s="19"/>
      <c r="TYV53" s="19"/>
      <c r="TYW53" s="19"/>
      <c r="TYX53" s="21"/>
      <c r="TYY53" s="19"/>
      <c r="TZH53" s="19"/>
      <c r="TZI53" s="19"/>
      <c r="TZJ53" s="19"/>
      <c r="TZK53" s="19"/>
      <c r="TZL53" s="21"/>
      <c r="TZM53" s="19"/>
      <c r="TZV53" s="19"/>
      <c r="TZW53" s="19"/>
      <c r="TZX53" s="19"/>
      <c r="TZY53" s="19"/>
      <c r="TZZ53" s="21"/>
      <c r="UAA53" s="19"/>
      <c r="UAJ53" s="19"/>
      <c r="UAK53" s="19"/>
      <c r="UAL53" s="19"/>
      <c r="UAM53" s="19"/>
      <c r="UAN53" s="21"/>
      <c r="UAO53" s="19"/>
      <c r="UAX53" s="19"/>
      <c r="UAY53" s="19"/>
      <c r="UAZ53" s="19"/>
      <c r="UBA53" s="19"/>
      <c r="UBB53" s="21"/>
      <c r="UBC53" s="19"/>
      <c r="UBL53" s="19"/>
      <c r="UBM53" s="19"/>
      <c r="UBN53" s="19"/>
      <c r="UBO53" s="19"/>
      <c r="UBP53" s="21"/>
      <c r="UBQ53" s="19"/>
      <c r="UBZ53" s="19"/>
      <c r="UCA53" s="19"/>
      <c r="UCB53" s="19"/>
      <c r="UCC53" s="19"/>
      <c r="UCD53" s="21"/>
      <c r="UCE53" s="19"/>
      <c r="UCN53" s="19"/>
      <c r="UCO53" s="19"/>
      <c r="UCP53" s="19"/>
      <c r="UCQ53" s="19"/>
      <c r="UCR53" s="21"/>
      <c r="UCS53" s="19"/>
      <c r="UDB53" s="19"/>
      <c r="UDC53" s="19"/>
      <c r="UDD53" s="19"/>
      <c r="UDE53" s="19"/>
      <c r="UDF53" s="21"/>
      <c r="UDG53" s="19"/>
      <c r="UDP53" s="19"/>
      <c r="UDQ53" s="19"/>
      <c r="UDR53" s="19"/>
      <c r="UDS53" s="19"/>
      <c r="UDT53" s="21"/>
      <c r="UDU53" s="19"/>
      <c r="UED53" s="19"/>
      <c r="UEE53" s="19"/>
      <c r="UEF53" s="19"/>
      <c r="UEG53" s="19"/>
      <c r="UEH53" s="21"/>
      <c r="UEI53" s="19"/>
      <c r="UER53" s="19"/>
      <c r="UES53" s="19"/>
      <c r="UET53" s="19"/>
      <c r="UEU53" s="19"/>
      <c r="UEV53" s="21"/>
      <c r="UEW53" s="19"/>
      <c r="UFF53" s="19"/>
      <c r="UFG53" s="19"/>
      <c r="UFH53" s="19"/>
      <c r="UFI53" s="19"/>
      <c r="UFJ53" s="21"/>
      <c r="UFK53" s="19"/>
      <c r="UFT53" s="19"/>
      <c r="UFU53" s="19"/>
      <c r="UFV53" s="19"/>
      <c r="UFW53" s="19"/>
      <c r="UFX53" s="21"/>
      <c r="UFY53" s="19"/>
      <c r="UGH53" s="19"/>
      <c r="UGI53" s="19"/>
      <c r="UGJ53" s="19"/>
      <c r="UGK53" s="19"/>
      <c r="UGL53" s="21"/>
      <c r="UGM53" s="19"/>
      <c r="UGV53" s="19"/>
      <c r="UGW53" s="19"/>
      <c r="UGX53" s="19"/>
      <c r="UGY53" s="19"/>
      <c r="UGZ53" s="21"/>
      <c r="UHA53" s="19"/>
      <c r="UHJ53" s="19"/>
      <c r="UHK53" s="19"/>
      <c r="UHL53" s="19"/>
      <c r="UHM53" s="19"/>
      <c r="UHN53" s="21"/>
      <c r="UHO53" s="19"/>
      <c r="UHX53" s="19"/>
      <c r="UHY53" s="19"/>
      <c r="UHZ53" s="19"/>
      <c r="UIA53" s="19"/>
      <c r="UIB53" s="21"/>
      <c r="UIC53" s="19"/>
      <c r="UIL53" s="19"/>
      <c r="UIM53" s="19"/>
      <c r="UIN53" s="19"/>
      <c r="UIO53" s="19"/>
      <c r="UIP53" s="21"/>
      <c r="UIQ53" s="19"/>
      <c r="UIZ53" s="19"/>
      <c r="UJA53" s="19"/>
      <c r="UJB53" s="19"/>
      <c r="UJC53" s="19"/>
      <c r="UJD53" s="21"/>
      <c r="UJE53" s="19"/>
      <c r="UJN53" s="19"/>
      <c r="UJO53" s="19"/>
      <c r="UJP53" s="19"/>
      <c r="UJQ53" s="19"/>
      <c r="UJR53" s="21"/>
      <c r="UJS53" s="19"/>
      <c r="UKB53" s="19"/>
      <c r="UKC53" s="19"/>
      <c r="UKD53" s="19"/>
      <c r="UKE53" s="19"/>
      <c r="UKF53" s="21"/>
      <c r="UKG53" s="19"/>
      <c r="UKP53" s="19"/>
      <c r="UKQ53" s="19"/>
      <c r="UKR53" s="19"/>
      <c r="UKS53" s="19"/>
      <c r="UKT53" s="21"/>
      <c r="UKU53" s="19"/>
      <c r="ULD53" s="19"/>
      <c r="ULE53" s="19"/>
      <c r="ULF53" s="19"/>
      <c r="ULG53" s="19"/>
      <c r="ULH53" s="21"/>
      <c r="ULI53" s="19"/>
      <c r="ULR53" s="19"/>
      <c r="ULS53" s="19"/>
      <c r="ULT53" s="19"/>
      <c r="ULU53" s="19"/>
      <c r="ULV53" s="21"/>
      <c r="ULW53" s="19"/>
      <c r="UMF53" s="19"/>
      <c r="UMG53" s="19"/>
      <c r="UMH53" s="19"/>
      <c r="UMI53" s="19"/>
      <c r="UMJ53" s="21"/>
      <c r="UMK53" s="19"/>
      <c r="UMT53" s="19"/>
      <c r="UMU53" s="19"/>
      <c r="UMV53" s="19"/>
      <c r="UMW53" s="19"/>
      <c r="UMX53" s="21"/>
      <c r="UMY53" s="19"/>
      <c r="UNH53" s="19"/>
      <c r="UNI53" s="19"/>
      <c r="UNJ53" s="19"/>
      <c r="UNK53" s="19"/>
      <c r="UNL53" s="21"/>
      <c r="UNM53" s="19"/>
      <c r="UNV53" s="19"/>
      <c r="UNW53" s="19"/>
      <c r="UNX53" s="19"/>
      <c r="UNY53" s="19"/>
      <c r="UNZ53" s="21"/>
      <c r="UOA53" s="19"/>
      <c r="UOJ53" s="19"/>
      <c r="UOK53" s="19"/>
      <c r="UOL53" s="19"/>
      <c r="UOM53" s="19"/>
      <c r="UON53" s="21"/>
      <c r="UOO53" s="19"/>
      <c r="UOX53" s="19"/>
      <c r="UOY53" s="19"/>
      <c r="UOZ53" s="19"/>
      <c r="UPA53" s="19"/>
      <c r="UPB53" s="21"/>
      <c r="UPC53" s="19"/>
      <c r="UPL53" s="19"/>
      <c r="UPM53" s="19"/>
      <c r="UPN53" s="19"/>
      <c r="UPO53" s="19"/>
      <c r="UPP53" s="21"/>
      <c r="UPQ53" s="19"/>
      <c r="UPZ53" s="19"/>
      <c r="UQA53" s="19"/>
      <c r="UQB53" s="19"/>
      <c r="UQC53" s="19"/>
      <c r="UQD53" s="21"/>
      <c r="UQE53" s="19"/>
      <c r="UQN53" s="19"/>
      <c r="UQO53" s="19"/>
      <c r="UQP53" s="19"/>
      <c r="UQQ53" s="19"/>
      <c r="UQR53" s="21"/>
      <c r="UQS53" s="19"/>
      <c r="URB53" s="19"/>
      <c r="URC53" s="19"/>
      <c r="URD53" s="19"/>
      <c r="URE53" s="19"/>
      <c r="URF53" s="21"/>
      <c r="URG53" s="19"/>
      <c r="URP53" s="19"/>
      <c r="URQ53" s="19"/>
      <c r="URR53" s="19"/>
      <c r="URS53" s="19"/>
      <c r="URT53" s="21"/>
      <c r="URU53" s="19"/>
      <c r="USD53" s="19"/>
      <c r="USE53" s="19"/>
      <c r="USF53" s="19"/>
      <c r="USG53" s="19"/>
      <c r="USH53" s="21"/>
      <c r="USI53" s="19"/>
      <c r="USR53" s="19"/>
      <c r="USS53" s="19"/>
      <c r="UST53" s="19"/>
      <c r="USU53" s="19"/>
      <c r="USV53" s="21"/>
      <c r="USW53" s="19"/>
      <c r="UTF53" s="19"/>
      <c r="UTG53" s="19"/>
      <c r="UTH53" s="19"/>
      <c r="UTI53" s="19"/>
      <c r="UTJ53" s="21"/>
      <c r="UTK53" s="19"/>
      <c r="UTT53" s="19"/>
      <c r="UTU53" s="19"/>
      <c r="UTV53" s="19"/>
      <c r="UTW53" s="19"/>
      <c r="UTX53" s="21"/>
      <c r="UTY53" s="19"/>
      <c r="UUH53" s="19"/>
      <c r="UUI53" s="19"/>
      <c r="UUJ53" s="19"/>
      <c r="UUK53" s="19"/>
      <c r="UUL53" s="21"/>
      <c r="UUM53" s="19"/>
      <c r="UUV53" s="19"/>
      <c r="UUW53" s="19"/>
      <c r="UUX53" s="19"/>
      <c r="UUY53" s="19"/>
      <c r="UUZ53" s="21"/>
      <c r="UVA53" s="19"/>
      <c r="UVJ53" s="19"/>
      <c r="UVK53" s="19"/>
      <c r="UVL53" s="19"/>
      <c r="UVM53" s="19"/>
      <c r="UVN53" s="21"/>
      <c r="UVO53" s="19"/>
      <c r="UVX53" s="19"/>
      <c r="UVY53" s="19"/>
      <c r="UVZ53" s="19"/>
      <c r="UWA53" s="19"/>
      <c r="UWB53" s="21"/>
      <c r="UWC53" s="19"/>
      <c r="UWL53" s="19"/>
      <c r="UWM53" s="19"/>
      <c r="UWN53" s="19"/>
      <c r="UWO53" s="19"/>
      <c r="UWP53" s="21"/>
      <c r="UWQ53" s="19"/>
      <c r="UWZ53" s="19"/>
      <c r="UXA53" s="19"/>
      <c r="UXB53" s="19"/>
      <c r="UXC53" s="19"/>
      <c r="UXD53" s="21"/>
      <c r="UXE53" s="19"/>
      <c r="UXN53" s="19"/>
      <c r="UXO53" s="19"/>
      <c r="UXP53" s="19"/>
      <c r="UXQ53" s="19"/>
      <c r="UXR53" s="21"/>
      <c r="UXS53" s="19"/>
      <c r="UYB53" s="19"/>
      <c r="UYC53" s="19"/>
      <c r="UYD53" s="19"/>
      <c r="UYE53" s="19"/>
      <c r="UYF53" s="21"/>
      <c r="UYG53" s="19"/>
      <c r="UYP53" s="19"/>
      <c r="UYQ53" s="19"/>
      <c r="UYR53" s="19"/>
      <c r="UYS53" s="19"/>
      <c r="UYT53" s="21"/>
      <c r="UYU53" s="19"/>
      <c r="UZD53" s="19"/>
      <c r="UZE53" s="19"/>
      <c r="UZF53" s="19"/>
      <c r="UZG53" s="19"/>
      <c r="UZH53" s="21"/>
      <c r="UZI53" s="19"/>
      <c r="UZR53" s="19"/>
      <c r="UZS53" s="19"/>
      <c r="UZT53" s="19"/>
      <c r="UZU53" s="19"/>
      <c r="UZV53" s="21"/>
      <c r="UZW53" s="19"/>
      <c r="VAF53" s="19"/>
      <c r="VAG53" s="19"/>
      <c r="VAH53" s="19"/>
      <c r="VAI53" s="19"/>
      <c r="VAJ53" s="21"/>
      <c r="VAK53" s="19"/>
      <c r="VAT53" s="19"/>
      <c r="VAU53" s="19"/>
      <c r="VAV53" s="19"/>
      <c r="VAW53" s="19"/>
      <c r="VAX53" s="21"/>
      <c r="VAY53" s="19"/>
      <c r="VBH53" s="19"/>
      <c r="VBI53" s="19"/>
      <c r="VBJ53" s="19"/>
      <c r="VBK53" s="19"/>
      <c r="VBL53" s="21"/>
      <c r="VBM53" s="19"/>
      <c r="VBV53" s="19"/>
      <c r="VBW53" s="19"/>
      <c r="VBX53" s="19"/>
      <c r="VBY53" s="19"/>
      <c r="VBZ53" s="21"/>
      <c r="VCA53" s="19"/>
      <c r="VCJ53" s="19"/>
      <c r="VCK53" s="19"/>
      <c r="VCL53" s="19"/>
      <c r="VCM53" s="19"/>
      <c r="VCN53" s="21"/>
      <c r="VCO53" s="19"/>
      <c r="VCX53" s="19"/>
      <c r="VCY53" s="19"/>
      <c r="VCZ53" s="19"/>
      <c r="VDA53" s="19"/>
      <c r="VDB53" s="21"/>
      <c r="VDC53" s="19"/>
      <c r="VDL53" s="19"/>
      <c r="VDM53" s="19"/>
      <c r="VDN53" s="19"/>
      <c r="VDO53" s="19"/>
      <c r="VDP53" s="21"/>
      <c r="VDQ53" s="19"/>
      <c r="VDZ53" s="19"/>
      <c r="VEA53" s="19"/>
      <c r="VEB53" s="19"/>
      <c r="VEC53" s="19"/>
      <c r="VED53" s="21"/>
      <c r="VEE53" s="19"/>
      <c r="VEN53" s="19"/>
      <c r="VEO53" s="19"/>
      <c r="VEP53" s="19"/>
      <c r="VEQ53" s="19"/>
      <c r="VER53" s="21"/>
      <c r="VES53" s="19"/>
      <c r="VFB53" s="19"/>
      <c r="VFC53" s="19"/>
      <c r="VFD53" s="19"/>
      <c r="VFE53" s="19"/>
      <c r="VFF53" s="21"/>
      <c r="VFG53" s="19"/>
      <c r="VFP53" s="19"/>
      <c r="VFQ53" s="19"/>
      <c r="VFR53" s="19"/>
      <c r="VFS53" s="19"/>
      <c r="VFT53" s="21"/>
      <c r="VFU53" s="19"/>
      <c r="VGD53" s="19"/>
      <c r="VGE53" s="19"/>
      <c r="VGF53" s="19"/>
      <c r="VGG53" s="19"/>
      <c r="VGH53" s="21"/>
      <c r="VGI53" s="19"/>
      <c r="VGR53" s="19"/>
      <c r="VGS53" s="19"/>
      <c r="VGT53" s="19"/>
      <c r="VGU53" s="19"/>
      <c r="VGV53" s="21"/>
      <c r="VGW53" s="19"/>
      <c r="VHF53" s="19"/>
      <c r="VHG53" s="19"/>
      <c r="VHH53" s="19"/>
      <c r="VHI53" s="19"/>
      <c r="VHJ53" s="21"/>
      <c r="VHK53" s="19"/>
      <c r="VHT53" s="19"/>
      <c r="VHU53" s="19"/>
      <c r="VHV53" s="19"/>
      <c r="VHW53" s="19"/>
      <c r="VHX53" s="21"/>
      <c r="VHY53" s="19"/>
      <c r="VIH53" s="19"/>
      <c r="VII53" s="19"/>
      <c r="VIJ53" s="19"/>
      <c r="VIK53" s="19"/>
      <c r="VIL53" s="21"/>
      <c r="VIM53" s="19"/>
      <c r="VIV53" s="19"/>
      <c r="VIW53" s="19"/>
      <c r="VIX53" s="19"/>
      <c r="VIY53" s="19"/>
      <c r="VIZ53" s="21"/>
      <c r="VJA53" s="19"/>
      <c r="VJJ53" s="19"/>
      <c r="VJK53" s="19"/>
      <c r="VJL53" s="19"/>
      <c r="VJM53" s="19"/>
      <c r="VJN53" s="21"/>
      <c r="VJO53" s="19"/>
      <c r="VJX53" s="19"/>
      <c r="VJY53" s="19"/>
      <c r="VJZ53" s="19"/>
      <c r="VKA53" s="19"/>
      <c r="VKB53" s="21"/>
      <c r="VKC53" s="19"/>
      <c r="VKL53" s="19"/>
      <c r="VKM53" s="19"/>
      <c r="VKN53" s="19"/>
      <c r="VKO53" s="19"/>
      <c r="VKP53" s="21"/>
      <c r="VKQ53" s="19"/>
      <c r="VKZ53" s="19"/>
      <c r="VLA53" s="19"/>
      <c r="VLB53" s="19"/>
      <c r="VLC53" s="19"/>
      <c r="VLD53" s="21"/>
      <c r="VLE53" s="19"/>
      <c r="VLN53" s="19"/>
      <c r="VLO53" s="19"/>
      <c r="VLP53" s="19"/>
      <c r="VLQ53" s="19"/>
      <c r="VLR53" s="21"/>
      <c r="VLS53" s="19"/>
      <c r="VMB53" s="19"/>
      <c r="VMC53" s="19"/>
      <c r="VMD53" s="19"/>
      <c r="VME53" s="19"/>
      <c r="VMF53" s="21"/>
      <c r="VMG53" s="19"/>
      <c r="VMP53" s="19"/>
      <c r="VMQ53" s="19"/>
      <c r="VMR53" s="19"/>
      <c r="VMS53" s="19"/>
      <c r="VMT53" s="21"/>
      <c r="VMU53" s="19"/>
      <c r="VND53" s="19"/>
      <c r="VNE53" s="19"/>
      <c r="VNF53" s="19"/>
      <c r="VNG53" s="19"/>
      <c r="VNH53" s="21"/>
      <c r="VNI53" s="19"/>
      <c r="VNR53" s="19"/>
      <c r="VNS53" s="19"/>
      <c r="VNT53" s="19"/>
      <c r="VNU53" s="19"/>
      <c r="VNV53" s="21"/>
      <c r="VNW53" s="19"/>
      <c r="VOF53" s="19"/>
      <c r="VOG53" s="19"/>
      <c r="VOH53" s="19"/>
      <c r="VOI53" s="19"/>
      <c r="VOJ53" s="21"/>
      <c r="VOK53" s="19"/>
      <c r="VOT53" s="19"/>
      <c r="VOU53" s="19"/>
      <c r="VOV53" s="19"/>
      <c r="VOW53" s="19"/>
      <c r="VOX53" s="21"/>
      <c r="VOY53" s="19"/>
      <c r="VPH53" s="19"/>
      <c r="VPI53" s="19"/>
      <c r="VPJ53" s="19"/>
      <c r="VPK53" s="19"/>
      <c r="VPL53" s="21"/>
      <c r="VPM53" s="19"/>
      <c r="VPV53" s="19"/>
      <c r="VPW53" s="19"/>
      <c r="VPX53" s="19"/>
      <c r="VPY53" s="19"/>
      <c r="VPZ53" s="21"/>
      <c r="VQA53" s="19"/>
      <c r="VQJ53" s="19"/>
      <c r="VQK53" s="19"/>
      <c r="VQL53" s="19"/>
      <c r="VQM53" s="19"/>
      <c r="VQN53" s="21"/>
      <c r="VQO53" s="19"/>
      <c r="VQX53" s="19"/>
      <c r="VQY53" s="19"/>
      <c r="VQZ53" s="19"/>
      <c r="VRA53" s="19"/>
      <c r="VRB53" s="21"/>
      <c r="VRC53" s="19"/>
      <c r="VRL53" s="19"/>
      <c r="VRM53" s="19"/>
      <c r="VRN53" s="19"/>
      <c r="VRO53" s="19"/>
      <c r="VRP53" s="21"/>
      <c r="VRQ53" s="19"/>
      <c r="VRZ53" s="19"/>
      <c r="VSA53" s="19"/>
      <c r="VSB53" s="19"/>
      <c r="VSC53" s="19"/>
      <c r="VSD53" s="21"/>
      <c r="VSE53" s="19"/>
      <c r="VSN53" s="19"/>
      <c r="VSO53" s="19"/>
      <c r="VSP53" s="19"/>
      <c r="VSQ53" s="19"/>
      <c r="VSR53" s="21"/>
      <c r="VSS53" s="19"/>
      <c r="VTB53" s="19"/>
      <c r="VTC53" s="19"/>
      <c r="VTD53" s="19"/>
      <c r="VTE53" s="19"/>
      <c r="VTF53" s="21"/>
      <c r="VTG53" s="19"/>
      <c r="VTP53" s="19"/>
      <c r="VTQ53" s="19"/>
      <c r="VTR53" s="19"/>
      <c r="VTS53" s="19"/>
      <c r="VTT53" s="21"/>
      <c r="VTU53" s="19"/>
      <c r="VUD53" s="19"/>
      <c r="VUE53" s="19"/>
      <c r="VUF53" s="19"/>
      <c r="VUG53" s="19"/>
      <c r="VUH53" s="21"/>
      <c r="VUI53" s="19"/>
      <c r="VUR53" s="19"/>
      <c r="VUS53" s="19"/>
      <c r="VUT53" s="19"/>
      <c r="VUU53" s="19"/>
      <c r="VUV53" s="21"/>
      <c r="VUW53" s="19"/>
      <c r="VVF53" s="19"/>
      <c r="VVG53" s="19"/>
      <c r="VVH53" s="19"/>
      <c r="VVI53" s="19"/>
      <c r="VVJ53" s="21"/>
      <c r="VVK53" s="19"/>
      <c r="VVT53" s="19"/>
      <c r="VVU53" s="19"/>
      <c r="VVV53" s="19"/>
      <c r="VVW53" s="19"/>
      <c r="VVX53" s="21"/>
      <c r="VVY53" s="19"/>
      <c r="VWH53" s="19"/>
      <c r="VWI53" s="19"/>
      <c r="VWJ53" s="19"/>
      <c r="VWK53" s="19"/>
      <c r="VWL53" s="21"/>
      <c r="VWM53" s="19"/>
      <c r="VWV53" s="19"/>
      <c r="VWW53" s="19"/>
      <c r="VWX53" s="19"/>
      <c r="VWY53" s="19"/>
      <c r="VWZ53" s="21"/>
      <c r="VXA53" s="19"/>
      <c r="VXJ53" s="19"/>
      <c r="VXK53" s="19"/>
      <c r="VXL53" s="19"/>
      <c r="VXM53" s="19"/>
      <c r="VXN53" s="21"/>
      <c r="VXO53" s="19"/>
      <c r="VXX53" s="19"/>
      <c r="VXY53" s="19"/>
      <c r="VXZ53" s="19"/>
      <c r="VYA53" s="19"/>
      <c r="VYB53" s="21"/>
      <c r="VYC53" s="19"/>
      <c r="VYL53" s="19"/>
      <c r="VYM53" s="19"/>
      <c r="VYN53" s="19"/>
      <c r="VYO53" s="19"/>
      <c r="VYP53" s="21"/>
      <c r="VYQ53" s="19"/>
      <c r="VYZ53" s="19"/>
      <c r="VZA53" s="19"/>
      <c r="VZB53" s="19"/>
      <c r="VZC53" s="19"/>
      <c r="VZD53" s="21"/>
      <c r="VZE53" s="19"/>
      <c r="VZN53" s="19"/>
      <c r="VZO53" s="19"/>
      <c r="VZP53" s="19"/>
      <c r="VZQ53" s="19"/>
      <c r="VZR53" s="21"/>
      <c r="VZS53" s="19"/>
      <c r="WAB53" s="19"/>
      <c r="WAC53" s="19"/>
      <c r="WAD53" s="19"/>
      <c r="WAE53" s="19"/>
      <c r="WAF53" s="21"/>
      <c r="WAG53" s="19"/>
      <c r="WAP53" s="19"/>
      <c r="WAQ53" s="19"/>
      <c r="WAR53" s="19"/>
      <c r="WAS53" s="19"/>
      <c r="WAT53" s="21"/>
      <c r="WAU53" s="19"/>
      <c r="WBD53" s="19"/>
      <c r="WBE53" s="19"/>
      <c r="WBF53" s="19"/>
      <c r="WBG53" s="19"/>
      <c r="WBH53" s="21"/>
      <c r="WBI53" s="19"/>
      <c r="WBR53" s="19"/>
      <c r="WBS53" s="19"/>
      <c r="WBT53" s="19"/>
      <c r="WBU53" s="19"/>
      <c r="WBV53" s="21"/>
      <c r="WBW53" s="19"/>
      <c r="WCF53" s="19"/>
      <c r="WCG53" s="19"/>
      <c r="WCH53" s="19"/>
      <c r="WCI53" s="19"/>
      <c r="WCJ53" s="21"/>
      <c r="WCK53" s="19"/>
      <c r="WCT53" s="19"/>
      <c r="WCU53" s="19"/>
      <c r="WCV53" s="19"/>
      <c r="WCW53" s="19"/>
      <c r="WCX53" s="21"/>
      <c r="WCY53" s="19"/>
      <c r="WDH53" s="19"/>
      <c r="WDI53" s="19"/>
      <c r="WDJ53" s="19"/>
      <c r="WDK53" s="19"/>
      <c r="WDL53" s="21"/>
      <c r="WDM53" s="19"/>
      <c r="WDV53" s="19"/>
      <c r="WDW53" s="19"/>
      <c r="WDX53" s="19"/>
      <c r="WDY53" s="19"/>
      <c r="WDZ53" s="21"/>
      <c r="WEA53" s="19"/>
      <c r="WEJ53" s="19"/>
      <c r="WEK53" s="19"/>
      <c r="WEL53" s="19"/>
      <c r="WEM53" s="19"/>
      <c r="WEN53" s="21"/>
      <c r="WEO53" s="19"/>
      <c r="WEX53" s="19"/>
      <c r="WEY53" s="19"/>
      <c r="WEZ53" s="19"/>
      <c r="WFA53" s="19"/>
      <c r="WFB53" s="21"/>
      <c r="WFC53" s="19"/>
      <c r="WFL53" s="19"/>
      <c r="WFM53" s="19"/>
      <c r="WFN53" s="19"/>
      <c r="WFO53" s="19"/>
      <c r="WFP53" s="21"/>
      <c r="WFQ53" s="19"/>
      <c r="WFZ53" s="19"/>
      <c r="WGA53" s="19"/>
      <c r="WGB53" s="19"/>
      <c r="WGC53" s="19"/>
      <c r="WGD53" s="21"/>
      <c r="WGE53" s="19"/>
      <c r="WGN53" s="19"/>
      <c r="WGO53" s="19"/>
      <c r="WGP53" s="19"/>
      <c r="WGQ53" s="19"/>
      <c r="WGR53" s="21"/>
      <c r="WGS53" s="19"/>
      <c r="WHB53" s="19"/>
      <c r="WHC53" s="19"/>
      <c r="WHD53" s="19"/>
      <c r="WHE53" s="19"/>
      <c r="WHF53" s="21"/>
      <c r="WHG53" s="19"/>
      <c r="WHP53" s="19"/>
      <c r="WHQ53" s="19"/>
      <c r="WHR53" s="19"/>
      <c r="WHS53" s="19"/>
      <c r="WHT53" s="21"/>
      <c r="WHU53" s="19"/>
      <c r="WID53" s="19"/>
      <c r="WIE53" s="19"/>
      <c r="WIF53" s="19"/>
      <c r="WIG53" s="19"/>
      <c r="WIH53" s="21"/>
      <c r="WII53" s="19"/>
      <c r="WIR53" s="19"/>
      <c r="WIS53" s="19"/>
      <c r="WIT53" s="19"/>
      <c r="WIU53" s="19"/>
      <c r="WIV53" s="21"/>
      <c r="WIW53" s="19"/>
      <c r="WJF53" s="19"/>
      <c r="WJG53" s="19"/>
      <c r="WJH53" s="19"/>
      <c r="WJI53" s="19"/>
      <c r="WJJ53" s="21"/>
      <c r="WJK53" s="19"/>
      <c r="WJT53" s="19"/>
      <c r="WJU53" s="19"/>
      <c r="WJV53" s="19"/>
      <c r="WJW53" s="19"/>
      <c r="WJX53" s="21"/>
      <c r="WJY53" s="19"/>
      <c r="WKH53" s="19"/>
      <c r="WKI53" s="19"/>
      <c r="WKJ53" s="19"/>
      <c r="WKK53" s="19"/>
      <c r="WKL53" s="21"/>
      <c r="WKM53" s="19"/>
      <c r="WKV53" s="19"/>
      <c r="WKW53" s="19"/>
      <c r="WKX53" s="19"/>
      <c r="WKY53" s="19"/>
      <c r="WKZ53" s="21"/>
      <c r="WLA53" s="19"/>
      <c r="WLJ53" s="19"/>
      <c r="WLK53" s="19"/>
      <c r="WLL53" s="19"/>
      <c r="WLM53" s="19"/>
      <c r="WLN53" s="21"/>
      <c r="WLO53" s="19"/>
      <c r="WLX53" s="19"/>
      <c r="WLY53" s="19"/>
      <c r="WLZ53" s="19"/>
      <c r="WMA53" s="19"/>
      <c r="WMB53" s="21"/>
      <c r="WMC53" s="19"/>
      <c r="WML53" s="19"/>
      <c r="WMM53" s="19"/>
      <c r="WMN53" s="19"/>
      <c r="WMO53" s="19"/>
      <c r="WMP53" s="21"/>
      <c r="WMQ53" s="19"/>
      <c r="WMZ53" s="19"/>
      <c r="WNA53" s="19"/>
      <c r="WNB53" s="19"/>
      <c r="WNC53" s="19"/>
      <c r="WND53" s="21"/>
      <c r="WNE53" s="19"/>
      <c r="WNN53" s="19"/>
      <c r="WNO53" s="19"/>
      <c r="WNP53" s="19"/>
      <c r="WNQ53" s="19"/>
      <c r="WNR53" s="21"/>
      <c r="WNS53" s="19"/>
      <c r="WOB53" s="19"/>
      <c r="WOC53" s="19"/>
      <c r="WOD53" s="19"/>
      <c r="WOE53" s="19"/>
      <c r="WOF53" s="21"/>
      <c r="WOG53" s="19"/>
      <c r="WOP53" s="19"/>
      <c r="WOQ53" s="19"/>
      <c r="WOR53" s="19"/>
      <c r="WOS53" s="19"/>
      <c r="WOT53" s="21"/>
      <c r="WOU53" s="19"/>
      <c r="WPD53" s="19"/>
      <c r="WPE53" s="19"/>
      <c r="WPF53" s="19"/>
      <c r="WPG53" s="19"/>
      <c r="WPH53" s="21"/>
      <c r="WPI53" s="19"/>
      <c r="WPR53" s="19"/>
      <c r="WPS53" s="19"/>
      <c r="WPT53" s="19"/>
      <c r="WPU53" s="19"/>
      <c r="WPV53" s="21"/>
      <c r="WPW53" s="19"/>
      <c r="WQF53" s="19"/>
      <c r="WQG53" s="19"/>
      <c r="WQH53" s="19"/>
      <c r="WQI53" s="19"/>
      <c r="WQJ53" s="21"/>
      <c r="WQK53" s="19"/>
      <c r="WQT53" s="19"/>
      <c r="WQU53" s="19"/>
      <c r="WQV53" s="19"/>
      <c r="WQW53" s="19"/>
      <c r="WQX53" s="21"/>
      <c r="WQY53" s="19"/>
      <c r="WRH53" s="19"/>
      <c r="WRI53" s="19"/>
      <c r="WRJ53" s="19"/>
      <c r="WRK53" s="19"/>
      <c r="WRL53" s="21"/>
      <c r="WRM53" s="19"/>
      <c r="WRV53" s="19"/>
      <c r="WRW53" s="19"/>
      <c r="WRX53" s="19"/>
      <c r="WRY53" s="19"/>
      <c r="WRZ53" s="21"/>
      <c r="WSA53" s="19"/>
      <c r="WSJ53" s="19"/>
      <c r="WSK53" s="19"/>
      <c r="WSL53" s="19"/>
      <c r="WSM53" s="19"/>
      <c r="WSN53" s="21"/>
      <c r="WSO53" s="19"/>
      <c r="WSX53" s="19"/>
      <c r="WSY53" s="19"/>
      <c r="WSZ53" s="19"/>
      <c r="WTA53" s="19"/>
      <c r="WTB53" s="21"/>
      <c r="WTC53" s="19"/>
      <c r="WTL53" s="19"/>
      <c r="WTM53" s="19"/>
      <c r="WTN53" s="19"/>
      <c r="WTO53" s="19"/>
      <c r="WTP53" s="21"/>
      <c r="WTQ53" s="19"/>
      <c r="WTZ53" s="19"/>
      <c r="WUA53" s="19"/>
      <c r="WUB53" s="19"/>
      <c r="WUC53" s="19"/>
      <c r="WUD53" s="21"/>
      <c r="WUE53" s="19"/>
      <c r="WUN53" s="19"/>
      <c r="WUO53" s="19"/>
      <c r="WUP53" s="19"/>
      <c r="WUQ53" s="19"/>
      <c r="WUR53" s="21"/>
      <c r="WUS53" s="19"/>
      <c r="WVB53" s="19"/>
      <c r="WVC53" s="19"/>
      <c r="WVD53" s="19"/>
      <c r="WVE53" s="19"/>
      <c r="WVF53" s="21"/>
      <c r="WVG53" s="19"/>
      <c r="WVP53" s="19"/>
      <c r="WVQ53" s="19"/>
      <c r="WVR53" s="19"/>
      <c r="WVS53" s="19"/>
      <c r="WVT53" s="21"/>
      <c r="WVU53" s="19"/>
      <c r="WWD53" s="19"/>
      <c r="WWE53" s="19"/>
      <c r="WWF53" s="19"/>
      <c r="WWG53" s="19"/>
      <c r="WWH53" s="21"/>
      <c r="WWI53" s="19"/>
      <c r="WWR53" s="19"/>
      <c r="WWS53" s="19"/>
      <c r="WWT53" s="19"/>
      <c r="WWU53" s="19"/>
      <c r="WWV53" s="21"/>
      <c r="WWW53" s="19"/>
      <c r="WXF53" s="19"/>
      <c r="WXG53" s="19"/>
      <c r="WXH53" s="19"/>
      <c r="WXI53" s="19"/>
      <c r="WXJ53" s="21"/>
      <c r="WXK53" s="19"/>
      <c r="WXT53" s="19"/>
      <c r="WXU53" s="19"/>
      <c r="WXV53" s="19"/>
      <c r="WXW53" s="19"/>
      <c r="WXX53" s="21"/>
      <c r="WXY53" s="19"/>
      <c r="WYH53" s="19"/>
      <c r="WYI53" s="19"/>
      <c r="WYJ53" s="19"/>
      <c r="WYK53" s="19"/>
      <c r="WYL53" s="21"/>
      <c r="WYM53" s="19"/>
      <c r="WYV53" s="19"/>
      <c r="WYW53" s="19"/>
      <c r="WYX53" s="19"/>
      <c r="WYY53" s="19"/>
      <c r="WYZ53" s="21"/>
      <c r="WZA53" s="19"/>
      <c r="WZJ53" s="19"/>
      <c r="WZK53" s="19"/>
      <c r="WZL53" s="19"/>
      <c r="WZM53" s="19"/>
      <c r="WZN53" s="21"/>
      <c r="WZO53" s="19"/>
      <c r="WZX53" s="19"/>
      <c r="WZY53" s="19"/>
      <c r="WZZ53" s="19"/>
      <c r="XAA53" s="19"/>
      <c r="XAB53" s="21"/>
      <c r="XAC53" s="19"/>
      <c r="XAL53" s="19"/>
      <c r="XAM53" s="19"/>
      <c r="XAN53" s="19"/>
      <c r="XAO53" s="19"/>
      <c r="XAP53" s="21"/>
      <c r="XAQ53" s="19"/>
      <c r="XAZ53" s="19"/>
      <c r="XBA53" s="19"/>
      <c r="XBB53" s="19"/>
      <c r="XBC53" s="19"/>
      <c r="XBD53" s="21"/>
      <c r="XBE53" s="19"/>
      <c r="XBN53" s="19"/>
      <c r="XBO53" s="19"/>
      <c r="XBP53" s="19"/>
      <c r="XBQ53" s="19"/>
      <c r="XBR53" s="21"/>
      <c r="XBS53" s="19"/>
      <c r="XCB53" s="19"/>
      <c r="XCC53" s="19"/>
      <c r="XCD53" s="19"/>
      <c r="XCE53" s="19"/>
      <c r="XCF53" s="21"/>
      <c r="XCG53" s="19"/>
      <c r="XCP53" s="19"/>
      <c r="XCQ53" s="19"/>
      <c r="XCR53" s="19"/>
      <c r="XCS53" s="19"/>
      <c r="XCT53" s="21"/>
      <c r="XCU53" s="19"/>
      <c r="XDD53" s="19"/>
      <c r="XDE53" s="19"/>
      <c r="XDF53" s="19"/>
      <c r="XDG53" s="19"/>
      <c r="XDH53" s="21"/>
      <c r="XDI53" s="19"/>
      <c r="XDR53" s="19"/>
      <c r="XDS53" s="19"/>
      <c r="XDT53" s="19"/>
      <c r="XDU53" s="19"/>
      <c r="XDV53" s="21"/>
      <c r="XDW53" s="19"/>
      <c r="XEF53" s="19"/>
      <c r="XEG53" s="19"/>
      <c r="XEH53" s="19"/>
      <c r="XEI53" s="19"/>
      <c r="XEJ53" s="21"/>
      <c r="XEK53" s="19"/>
    </row>
    <row r="54" spans="1:1021 1030:2043 2052:3065 3074:7167 7176:8189 8198:9211 9220:10233 10242:14335 14344:15357 15366:16365" s="20" customFormat="1">
      <c r="A54" s="19">
        <v>4</v>
      </c>
      <c r="B54" s="19">
        <v>5</v>
      </c>
      <c r="C54" s="19" t="s">
        <v>123</v>
      </c>
      <c r="D54" s="20">
        <v>7</v>
      </c>
      <c r="E54" s="20">
        <v>4</v>
      </c>
      <c r="F54" s="20">
        <v>2</v>
      </c>
      <c r="G54" s="20">
        <v>1</v>
      </c>
      <c r="H54" s="20">
        <v>1</v>
      </c>
      <c r="I54" s="20">
        <v>12</v>
      </c>
      <c r="J54" s="20">
        <v>8</v>
      </c>
      <c r="K54" s="20">
        <v>4</v>
      </c>
      <c r="L54" s="27"/>
      <c r="M54" s="19"/>
      <c r="V54" s="19"/>
      <c r="W54" s="19"/>
      <c r="X54" s="19"/>
      <c r="Y54" s="19"/>
      <c r="Z54" s="21"/>
      <c r="AA54" s="19"/>
      <c r="AJ54" s="19"/>
      <c r="AK54" s="19"/>
      <c r="AL54" s="19"/>
      <c r="AM54" s="19"/>
      <c r="AN54" s="21"/>
      <c r="AO54" s="19"/>
      <c r="AX54" s="19"/>
      <c r="AY54" s="19"/>
      <c r="AZ54" s="19"/>
      <c r="BA54" s="19"/>
      <c r="BB54" s="21"/>
      <c r="BC54" s="19"/>
      <c r="BL54" s="19"/>
      <c r="BM54" s="19"/>
      <c r="BN54" s="19"/>
      <c r="BO54" s="19"/>
      <c r="BP54" s="21"/>
      <c r="BQ54" s="19"/>
      <c r="BZ54" s="19"/>
      <c r="CA54" s="19"/>
      <c r="CB54" s="19"/>
      <c r="CC54" s="19"/>
      <c r="CD54" s="21"/>
      <c r="CE54" s="19"/>
      <c r="CN54" s="19"/>
      <c r="CO54" s="19"/>
      <c r="CP54" s="19"/>
      <c r="CQ54" s="19"/>
      <c r="CR54" s="21"/>
      <c r="CS54" s="19"/>
      <c r="DB54" s="19"/>
      <c r="DC54" s="19"/>
      <c r="DD54" s="19"/>
      <c r="DE54" s="19"/>
      <c r="DF54" s="21"/>
      <c r="DG54" s="19"/>
      <c r="DP54" s="19"/>
      <c r="DQ54" s="19"/>
      <c r="DR54" s="19"/>
      <c r="DS54" s="19"/>
      <c r="DT54" s="21"/>
      <c r="DU54" s="19"/>
      <c r="ED54" s="19"/>
      <c r="EE54" s="19"/>
      <c r="EF54" s="19"/>
      <c r="EG54" s="19"/>
      <c r="EH54" s="21"/>
      <c r="EI54" s="19"/>
      <c r="ER54" s="19"/>
      <c r="ES54" s="19"/>
      <c r="ET54" s="19"/>
      <c r="EU54" s="19"/>
      <c r="EV54" s="21"/>
      <c r="EW54" s="19"/>
      <c r="FF54" s="19"/>
      <c r="FG54" s="19"/>
      <c r="FH54" s="19"/>
      <c r="FI54" s="19"/>
      <c r="FJ54" s="21"/>
      <c r="FK54" s="19"/>
      <c r="FT54" s="19"/>
      <c r="FU54" s="19"/>
      <c r="FV54" s="19"/>
      <c r="FW54" s="19"/>
      <c r="FX54" s="21"/>
      <c r="FY54" s="19"/>
      <c r="GH54" s="19"/>
      <c r="GI54" s="19"/>
      <c r="GJ54" s="19"/>
      <c r="GK54" s="19"/>
      <c r="GL54" s="21"/>
      <c r="GM54" s="19"/>
      <c r="GV54" s="19"/>
      <c r="GW54" s="19"/>
      <c r="GX54" s="19"/>
      <c r="GY54" s="19"/>
      <c r="GZ54" s="21"/>
      <c r="HA54" s="19"/>
      <c r="HJ54" s="19"/>
      <c r="HK54" s="19"/>
      <c r="HL54" s="19"/>
      <c r="HM54" s="19"/>
      <c r="HN54" s="21"/>
      <c r="HO54" s="19"/>
      <c r="HX54" s="19"/>
      <c r="HY54" s="19"/>
      <c r="HZ54" s="19"/>
      <c r="IA54" s="19"/>
      <c r="IB54" s="21"/>
      <c r="IC54" s="19"/>
      <c r="IL54" s="19"/>
      <c r="IM54" s="19"/>
      <c r="IN54" s="19"/>
      <c r="IO54" s="19"/>
      <c r="IP54" s="21"/>
      <c r="IQ54" s="19"/>
      <c r="IZ54" s="19"/>
      <c r="JA54" s="19"/>
      <c r="JB54" s="19"/>
      <c r="JC54" s="19"/>
      <c r="JD54" s="21"/>
      <c r="JE54" s="19"/>
      <c r="JN54" s="19"/>
      <c r="JO54" s="19"/>
      <c r="JP54" s="19"/>
      <c r="JQ54" s="19"/>
      <c r="JR54" s="21"/>
      <c r="JS54" s="19"/>
      <c r="KB54" s="19"/>
      <c r="KC54" s="19"/>
      <c r="KD54" s="19"/>
      <c r="KE54" s="19"/>
      <c r="KF54" s="21"/>
      <c r="KG54" s="19"/>
      <c r="KP54" s="19"/>
      <c r="KQ54" s="19"/>
      <c r="KR54" s="19"/>
      <c r="KS54" s="19"/>
      <c r="KT54" s="21"/>
      <c r="KU54" s="19"/>
      <c r="LD54" s="19"/>
      <c r="LE54" s="19"/>
      <c r="LF54" s="19"/>
      <c r="LG54" s="19"/>
      <c r="LH54" s="21"/>
      <c r="LI54" s="19"/>
      <c r="LR54" s="19"/>
      <c r="LS54" s="19"/>
      <c r="LT54" s="19"/>
      <c r="LU54" s="19"/>
      <c r="LV54" s="21"/>
      <c r="LW54" s="19"/>
      <c r="MF54" s="19"/>
      <c r="MG54" s="19"/>
      <c r="MH54" s="19"/>
      <c r="MI54" s="19"/>
      <c r="MJ54" s="21"/>
      <c r="MK54" s="19"/>
      <c r="MT54" s="19"/>
      <c r="MU54" s="19"/>
      <c r="MV54" s="19"/>
      <c r="MW54" s="19"/>
      <c r="MX54" s="21"/>
      <c r="MY54" s="19"/>
      <c r="NH54" s="19"/>
      <c r="NI54" s="19"/>
      <c r="NJ54" s="19"/>
      <c r="NK54" s="19"/>
      <c r="NL54" s="21"/>
      <c r="NM54" s="19"/>
      <c r="NV54" s="19"/>
      <c r="NW54" s="19"/>
      <c r="NX54" s="19"/>
      <c r="NY54" s="19"/>
      <c r="NZ54" s="21"/>
      <c r="OA54" s="19"/>
      <c r="OJ54" s="19"/>
      <c r="OK54" s="19"/>
      <c r="OL54" s="19"/>
      <c r="OM54" s="19"/>
      <c r="ON54" s="21"/>
      <c r="OO54" s="19"/>
      <c r="OX54" s="19"/>
      <c r="OY54" s="19"/>
      <c r="OZ54" s="19"/>
      <c r="PA54" s="19"/>
      <c r="PB54" s="21"/>
      <c r="PC54" s="19"/>
      <c r="PL54" s="19"/>
      <c r="PM54" s="19"/>
      <c r="PN54" s="19"/>
      <c r="PO54" s="19"/>
      <c r="PP54" s="21"/>
      <c r="PQ54" s="19"/>
      <c r="PZ54" s="19"/>
      <c r="QA54" s="19"/>
      <c r="QB54" s="19"/>
      <c r="QC54" s="19"/>
      <c r="QD54" s="21"/>
      <c r="QE54" s="19"/>
      <c r="QN54" s="19"/>
      <c r="QO54" s="19"/>
      <c r="QP54" s="19"/>
      <c r="QQ54" s="19"/>
      <c r="QR54" s="21"/>
      <c r="QS54" s="19"/>
      <c r="RB54" s="19"/>
      <c r="RC54" s="19"/>
      <c r="RD54" s="19"/>
      <c r="RE54" s="19"/>
      <c r="RF54" s="21"/>
      <c r="RG54" s="19"/>
      <c r="RP54" s="19"/>
      <c r="RQ54" s="19"/>
      <c r="RR54" s="19"/>
      <c r="RS54" s="19"/>
      <c r="RT54" s="21"/>
      <c r="RU54" s="19"/>
      <c r="SD54" s="19"/>
      <c r="SE54" s="19"/>
      <c r="SF54" s="19"/>
      <c r="SG54" s="19"/>
      <c r="SH54" s="21"/>
      <c r="SI54" s="19"/>
      <c r="SR54" s="19"/>
      <c r="SS54" s="19"/>
      <c r="ST54" s="19"/>
      <c r="SU54" s="19"/>
      <c r="SV54" s="21"/>
      <c r="SW54" s="19"/>
      <c r="TF54" s="19"/>
      <c r="TG54" s="19"/>
      <c r="TH54" s="19"/>
      <c r="TI54" s="19"/>
      <c r="TJ54" s="21"/>
      <c r="TK54" s="19"/>
      <c r="TT54" s="19"/>
      <c r="TU54" s="19"/>
      <c r="TV54" s="19"/>
      <c r="TW54" s="19"/>
      <c r="TX54" s="21"/>
      <c r="TY54" s="19"/>
      <c r="UH54" s="19"/>
      <c r="UI54" s="19"/>
      <c r="UJ54" s="19"/>
      <c r="UK54" s="19"/>
      <c r="UL54" s="21"/>
      <c r="UM54" s="19"/>
      <c r="UV54" s="19"/>
      <c r="UW54" s="19"/>
      <c r="UX54" s="19"/>
      <c r="UY54" s="19"/>
      <c r="UZ54" s="21"/>
      <c r="VA54" s="19"/>
      <c r="VJ54" s="19"/>
      <c r="VK54" s="19"/>
      <c r="VL54" s="19"/>
      <c r="VM54" s="19"/>
      <c r="VN54" s="21"/>
      <c r="VO54" s="19"/>
      <c r="VX54" s="19"/>
      <c r="VY54" s="19"/>
      <c r="VZ54" s="19"/>
      <c r="WA54" s="19"/>
      <c r="WB54" s="21"/>
      <c r="WC54" s="19"/>
      <c r="WL54" s="19"/>
      <c r="WM54" s="19"/>
      <c r="WN54" s="19"/>
      <c r="WO54" s="19"/>
      <c r="WP54" s="21"/>
      <c r="WQ54" s="19"/>
      <c r="WZ54" s="19"/>
      <c r="XA54" s="19"/>
      <c r="XB54" s="19"/>
      <c r="XC54" s="19"/>
      <c r="XD54" s="21"/>
      <c r="XE54" s="19"/>
      <c r="XN54" s="19"/>
      <c r="XO54" s="19"/>
      <c r="XP54" s="19"/>
      <c r="XQ54" s="19"/>
      <c r="XR54" s="21"/>
      <c r="XS54" s="19"/>
      <c r="YB54" s="19"/>
      <c r="YC54" s="19"/>
      <c r="YD54" s="19"/>
      <c r="YE54" s="19"/>
      <c r="YF54" s="21"/>
      <c r="YG54" s="19"/>
      <c r="YP54" s="19"/>
      <c r="YQ54" s="19"/>
      <c r="YR54" s="19"/>
      <c r="YS54" s="19"/>
      <c r="YT54" s="21"/>
      <c r="YU54" s="19"/>
      <c r="ZD54" s="19"/>
      <c r="ZE54" s="19"/>
      <c r="ZF54" s="19"/>
      <c r="ZG54" s="19"/>
      <c r="ZH54" s="21"/>
      <c r="ZI54" s="19"/>
      <c r="ZR54" s="19"/>
      <c r="ZS54" s="19"/>
      <c r="ZT54" s="19"/>
      <c r="ZU54" s="19"/>
      <c r="ZV54" s="21"/>
      <c r="ZW54" s="19"/>
      <c r="AAF54" s="19"/>
      <c r="AAG54" s="19"/>
      <c r="AAH54" s="19"/>
      <c r="AAI54" s="19"/>
      <c r="AAJ54" s="21"/>
      <c r="AAK54" s="19"/>
      <c r="AAT54" s="19"/>
      <c r="AAU54" s="19"/>
      <c r="AAV54" s="19"/>
      <c r="AAW54" s="19"/>
      <c r="AAX54" s="21"/>
      <c r="AAY54" s="19"/>
      <c r="ABH54" s="19"/>
      <c r="ABI54" s="19"/>
      <c r="ABJ54" s="19"/>
      <c r="ABK54" s="19"/>
      <c r="ABL54" s="21"/>
      <c r="ABM54" s="19"/>
      <c r="ABV54" s="19"/>
      <c r="ABW54" s="19"/>
      <c r="ABX54" s="19"/>
      <c r="ABY54" s="19"/>
      <c r="ABZ54" s="21"/>
      <c r="ACA54" s="19"/>
      <c r="ACJ54" s="19"/>
      <c r="ACK54" s="19"/>
      <c r="ACL54" s="19"/>
      <c r="ACM54" s="19"/>
      <c r="ACN54" s="21"/>
      <c r="ACO54" s="19"/>
      <c r="ACX54" s="19"/>
      <c r="ACY54" s="19"/>
      <c r="ACZ54" s="19"/>
      <c r="ADA54" s="19"/>
      <c r="ADB54" s="21"/>
      <c r="ADC54" s="19"/>
      <c r="ADL54" s="19"/>
      <c r="ADM54" s="19"/>
      <c r="ADN54" s="19"/>
      <c r="ADO54" s="19"/>
      <c r="ADP54" s="21"/>
      <c r="ADQ54" s="19"/>
      <c r="ADZ54" s="19"/>
      <c r="AEA54" s="19"/>
      <c r="AEB54" s="19"/>
      <c r="AEC54" s="19"/>
      <c r="AED54" s="21"/>
      <c r="AEE54" s="19"/>
      <c r="AEN54" s="19"/>
      <c r="AEO54" s="19"/>
      <c r="AEP54" s="19"/>
      <c r="AEQ54" s="19"/>
      <c r="AER54" s="21"/>
      <c r="AES54" s="19"/>
      <c r="AFB54" s="19"/>
      <c r="AFC54" s="19"/>
      <c r="AFD54" s="19"/>
      <c r="AFE54" s="19"/>
      <c r="AFF54" s="21"/>
      <c r="AFG54" s="19"/>
      <c r="AFP54" s="19"/>
      <c r="AFQ54" s="19"/>
      <c r="AFR54" s="19"/>
      <c r="AFS54" s="19"/>
      <c r="AFT54" s="21"/>
      <c r="AFU54" s="19"/>
      <c r="AGD54" s="19"/>
      <c r="AGE54" s="19"/>
      <c r="AGF54" s="19"/>
      <c r="AGG54" s="19"/>
      <c r="AGH54" s="21"/>
      <c r="AGI54" s="19"/>
      <c r="AGR54" s="19"/>
      <c r="AGS54" s="19"/>
      <c r="AGT54" s="19"/>
      <c r="AGU54" s="19"/>
      <c r="AGV54" s="21"/>
      <c r="AGW54" s="19"/>
      <c r="AHF54" s="19"/>
      <c r="AHG54" s="19"/>
      <c r="AHH54" s="19"/>
      <c r="AHI54" s="19"/>
      <c r="AHJ54" s="21"/>
      <c r="AHK54" s="19"/>
      <c r="AHT54" s="19"/>
      <c r="AHU54" s="19"/>
      <c r="AHV54" s="19"/>
      <c r="AHW54" s="19"/>
      <c r="AHX54" s="21"/>
      <c r="AHY54" s="19"/>
      <c r="AIH54" s="19"/>
      <c r="AII54" s="19"/>
      <c r="AIJ54" s="19"/>
      <c r="AIK54" s="19"/>
      <c r="AIL54" s="21"/>
      <c r="AIM54" s="19"/>
      <c r="AIV54" s="19"/>
      <c r="AIW54" s="19"/>
      <c r="AIX54" s="19"/>
      <c r="AIY54" s="19"/>
      <c r="AIZ54" s="21"/>
      <c r="AJA54" s="19"/>
      <c r="AJJ54" s="19"/>
      <c r="AJK54" s="19"/>
      <c r="AJL54" s="19"/>
      <c r="AJM54" s="19"/>
      <c r="AJN54" s="21"/>
      <c r="AJO54" s="19"/>
      <c r="AJX54" s="19"/>
      <c r="AJY54" s="19"/>
      <c r="AJZ54" s="19"/>
      <c r="AKA54" s="19"/>
      <c r="AKB54" s="21"/>
      <c r="AKC54" s="19"/>
      <c r="AKL54" s="19"/>
      <c r="AKM54" s="19"/>
      <c r="AKN54" s="19"/>
      <c r="AKO54" s="19"/>
      <c r="AKP54" s="21"/>
      <c r="AKQ54" s="19"/>
      <c r="AKZ54" s="19"/>
      <c r="ALA54" s="19"/>
      <c r="ALB54" s="19"/>
      <c r="ALC54" s="19"/>
      <c r="ALD54" s="21"/>
      <c r="ALE54" s="19"/>
      <c r="ALN54" s="19"/>
      <c r="ALO54" s="19"/>
      <c r="ALP54" s="19"/>
      <c r="ALQ54" s="19"/>
      <c r="ALR54" s="21"/>
      <c r="ALS54" s="19"/>
      <c r="AMB54" s="19"/>
      <c r="AMC54" s="19"/>
      <c r="AMD54" s="19"/>
      <c r="AME54" s="19"/>
      <c r="AMF54" s="21"/>
      <c r="AMG54" s="19"/>
      <c r="AMP54" s="19"/>
      <c r="AMQ54" s="19"/>
      <c r="AMR54" s="19"/>
      <c r="AMS54" s="19"/>
      <c r="AMT54" s="21"/>
      <c r="AMU54" s="19"/>
      <c r="AND54" s="19"/>
      <c r="ANE54" s="19"/>
      <c r="ANF54" s="19"/>
      <c r="ANG54" s="19"/>
      <c r="ANH54" s="21"/>
      <c r="ANI54" s="19"/>
      <c r="ANR54" s="19"/>
      <c r="ANS54" s="19"/>
      <c r="ANT54" s="19"/>
      <c r="ANU54" s="19"/>
      <c r="ANV54" s="21"/>
      <c r="ANW54" s="19"/>
      <c r="AOF54" s="19"/>
      <c r="AOG54" s="19"/>
      <c r="AOH54" s="19"/>
      <c r="AOI54" s="19"/>
      <c r="AOJ54" s="21"/>
      <c r="AOK54" s="19"/>
      <c r="AOT54" s="19"/>
      <c r="AOU54" s="19"/>
      <c r="AOV54" s="19"/>
      <c r="AOW54" s="19"/>
      <c r="AOX54" s="21"/>
      <c r="AOY54" s="19"/>
      <c r="APH54" s="19"/>
      <c r="API54" s="19"/>
      <c r="APJ54" s="19"/>
      <c r="APK54" s="19"/>
      <c r="APL54" s="21"/>
      <c r="APM54" s="19"/>
      <c r="APV54" s="19"/>
      <c r="APW54" s="19"/>
      <c r="APX54" s="19"/>
      <c r="APY54" s="19"/>
      <c r="APZ54" s="21"/>
      <c r="AQA54" s="19"/>
      <c r="AQJ54" s="19"/>
      <c r="AQK54" s="19"/>
      <c r="AQL54" s="19"/>
      <c r="AQM54" s="19"/>
      <c r="AQN54" s="21"/>
      <c r="AQO54" s="19"/>
      <c r="AQX54" s="19"/>
      <c r="AQY54" s="19"/>
      <c r="AQZ54" s="19"/>
      <c r="ARA54" s="19"/>
      <c r="ARB54" s="21"/>
      <c r="ARC54" s="19"/>
      <c r="ARL54" s="19"/>
      <c r="ARM54" s="19"/>
      <c r="ARN54" s="19"/>
      <c r="ARO54" s="19"/>
      <c r="ARP54" s="21"/>
      <c r="ARQ54" s="19"/>
      <c r="ARZ54" s="19"/>
      <c r="ASA54" s="19"/>
      <c r="ASB54" s="19"/>
      <c r="ASC54" s="19"/>
      <c r="ASD54" s="21"/>
      <c r="ASE54" s="19"/>
      <c r="ASN54" s="19"/>
      <c r="ASO54" s="19"/>
      <c r="ASP54" s="19"/>
      <c r="ASQ54" s="19"/>
      <c r="ASR54" s="21"/>
      <c r="ASS54" s="19"/>
      <c r="ATB54" s="19"/>
      <c r="ATC54" s="19"/>
      <c r="ATD54" s="19"/>
      <c r="ATE54" s="19"/>
      <c r="ATF54" s="21"/>
      <c r="ATG54" s="19"/>
      <c r="ATP54" s="19"/>
      <c r="ATQ54" s="19"/>
      <c r="ATR54" s="19"/>
      <c r="ATS54" s="19"/>
      <c r="ATT54" s="21"/>
      <c r="ATU54" s="19"/>
      <c r="AUD54" s="19"/>
      <c r="AUE54" s="19"/>
      <c r="AUF54" s="19"/>
      <c r="AUG54" s="19"/>
      <c r="AUH54" s="21"/>
      <c r="AUI54" s="19"/>
      <c r="AUR54" s="19"/>
      <c r="AUS54" s="19"/>
      <c r="AUT54" s="19"/>
      <c r="AUU54" s="19"/>
      <c r="AUV54" s="21"/>
      <c r="AUW54" s="19"/>
      <c r="AVF54" s="19"/>
      <c r="AVG54" s="19"/>
      <c r="AVH54" s="19"/>
      <c r="AVI54" s="19"/>
      <c r="AVJ54" s="21"/>
      <c r="AVK54" s="19"/>
      <c r="AVT54" s="19"/>
      <c r="AVU54" s="19"/>
      <c r="AVV54" s="19"/>
      <c r="AVW54" s="19"/>
      <c r="AVX54" s="21"/>
      <c r="AVY54" s="19"/>
      <c r="AWH54" s="19"/>
      <c r="AWI54" s="19"/>
      <c r="AWJ54" s="19"/>
      <c r="AWK54" s="19"/>
      <c r="AWL54" s="21"/>
      <c r="AWM54" s="19"/>
      <c r="AWV54" s="19"/>
      <c r="AWW54" s="19"/>
      <c r="AWX54" s="19"/>
      <c r="AWY54" s="19"/>
      <c r="AWZ54" s="21"/>
      <c r="AXA54" s="19"/>
      <c r="AXJ54" s="19"/>
      <c r="AXK54" s="19"/>
      <c r="AXL54" s="19"/>
      <c r="AXM54" s="19"/>
      <c r="AXN54" s="21"/>
      <c r="AXO54" s="19"/>
      <c r="AXX54" s="19"/>
      <c r="AXY54" s="19"/>
      <c r="AXZ54" s="19"/>
      <c r="AYA54" s="19"/>
      <c r="AYB54" s="21"/>
      <c r="AYC54" s="19"/>
      <c r="AYL54" s="19"/>
      <c r="AYM54" s="19"/>
      <c r="AYN54" s="19"/>
      <c r="AYO54" s="19"/>
      <c r="AYP54" s="21"/>
      <c r="AYQ54" s="19"/>
      <c r="AYZ54" s="19"/>
      <c r="AZA54" s="19"/>
      <c r="AZB54" s="19"/>
      <c r="AZC54" s="19"/>
      <c r="AZD54" s="21"/>
      <c r="AZE54" s="19"/>
      <c r="AZN54" s="19"/>
      <c r="AZO54" s="19"/>
      <c r="AZP54" s="19"/>
      <c r="AZQ54" s="19"/>
      <c r="AZR54" s="21"/>
      <c r="AZS54" s="19"/>
      <c r="BAB54" s="19"/>
      <c r="BAC54" s="19"/>
      <c r="BAD54" s="19"/>
      <c r="BAE54" s="19"/>
      <c r="BAF54" s="21"/>
      <c r="BAG54" s="19"/>
      <c r="BAP54" s="19"/>
      <c r="BAQ54" s="19"/>
      <c r="BAR54" s="19"/>
      <c r="BAS54" s="19"/>
      <c r="BAT54" s="21"/>
      <c r="BAU54" s="19"/>
      <c r="BBD54" s="19"/>
      <c r="BBE54" s="19"/>
      <c r="BBF54" s="19"/>
      <c r="BBG54" s="19"/>
      <c r="BBH54" s="21"/>
      <c r="BBI54" s="19"/>
      <c r="BBR54" s="19"/>
      <c r="BBS54" s="19"/>
      <c r="BBT54" s="19"/>
      <c r="BBU54" s="19"/>
      <c r="BBV54" s="21"/>
      <c r="BBW54" s="19"/>
      <c r="BCF54" s="19"/>
      <c r="BCG54" s="19"/>
      <c r="BCH54" s="19"/>
      <c r="BCI54" s="19"/>
      <c r="BCJ54" s="21"/>
      <c r="BCK54" s="19"/>
      <c r="BCT54" s="19"/>
      <c r="BCU54" s="19"/>
      <c r="BCV54" s="19"/>
      <c r="BCW54" s="19"/>
      <c r="BCX54" s="21"/>
      <c r="BCY54" s="19"/>
      <c r="BDH54" s="19"/>
      <c r="BDI54" s="19"/>
      <c r="BDJ54" s="19"/>
      <c r="BDK54" s="19"/>
      <c r="BDL54" s="21"/>
      <c r="BDM54" s="19"/>
      <c r="BDV54" s="19"/>
      <c r="BDW54" s="19"/>
      <c r="BDX54" s="19"/>
      <c r="BDY54" s="19"/>
      <c r="BDZ54" s="21"/>
      <c r="BEA54" s="19"/>
      <c r="BEJ54" s="19"/>
      <c r="BEK54" s="19"/>
      <c r="BEL54" s="19"/>
      <c r="BEM54" s="19"/>
      <c r="BEN54" s="21"/>
      <c r="BEO54" s="19"/>
      <c r="BEX54" s="19"/>
      <c r="BEY54" s="19"/>
      <c r="BEZ54" s="19"/>
      <c r="BFA54" s="19"/>
      <c r="BFB54" s="21"/>
      <c r="BFC54" s="19"/>
      <c r="BFL54" s="19"/>
      <c r="BFM54" s="19"/>
      <c r="BFN54" s="19"/>
      <c r="BFO54" s="19"/>
      <c r="BFP54" s="21"/>
      <c r="BFQ54" s="19"/>
      <c r="BFZ54" s="19"/>
      <c r="BGA54" s="19"/>
      <c r="BGB54" s="19"/>
      <c r="BGC54" s="19"/>
      <c r="BGD54" s="21"/>
      <c r="BGE54" s="19"/>
      <c r="BGN54" s="19"/>
      <c r="BGO54" s="19"/>
      <c r="BGP54" s="19"/>
      <c r="BGQ54" s="19"/>
      <c r="BGR54" s="21"/>
      <c r="BGS54" s="19"/>
      <c r="BHB54" s="19"/>
      <c r="BHC54" s="19"/>
      <c r="BHD54" s="19"/>
      <c r="BHE54" s="19"/>
      <c r="BHF54" s="21"/>
      <c r="BHG54" s="19"/>
      <c r="BHP54" s="19"/>
      <c r="BHQ54" s="19"/>
      <c r="BHR54" s="19"/>
      <c r="BHS54" s="19"/>
      <c r="BHT54" s="21"/>
      <c r="BHU54" s="19"/>
      <c r="BID54" s="19"/>
      <c r="BIE54" s="19"/>
      <c r="BIF54" s="19"/>
      <c r="BIG54" s="19"/>
      <c r="BIH54" s="21"/>
      <c r="BII54" s="19"/>
      <c r="BIR54" s="19"/>
      <c r="BIS54" s="19"/>
      <c r="BIT54" s="19"/>
      <c r="BIU54" s="19"/>
      <c r="BIV54" s="21"/>
      <c r="BIW54" s="19"/>
      <c r="BJF54" s="19"/>
      <c r="BJG54" s="19"/>
      <c r="BJH54" s="19"/>
      <c r="BJI54" s="19"/>
      <c r="BJJ54" s="21"/>
      <c r="BJK54" s="19"/>
      <c r="BJT54" s="19"/>
      <c r="BJU54" s="19"/>
      <c r="BJV54" s="19"/>
      <c r="BJW54" s="19"/>
      <c r="BJX54" s="21"/>
      <c r="BJY54" s="19"/>
      <c r="BKH54" s="19"/>
      <c r="BKI54" s="19"/>
      <c r="BKJ54" s="19"/>
      <c r="BKK54" s="19"/>
      <c r="BKL54" s="21"/>
      <c r="BKM54" s="19"/>
      <c r="BKV54" s="19"/>
      <c r="BKW54" s="19"/>
      <c r="BKX54" s="19"/>
      <c r="BKY54" s="19"/>
      <c r="BKZ54" s="21"/>
      <c r="BLA54" s="19"/>
      <c r="BLJ54" s="19"/>
      <c r="BLK54" s="19"/>
      <c r="BLL54" s="19"/>
      <c r="BLM54" s="19"/>
      <c r="BLN54" s="21"/>
      <c r="BLO54" s="19"/>
      <c r="BLX54" s="19"/>
      <c r="BLY54" s="19"/>
      <c r="BLZ54" s="19"/>
      <c r="BMA54" s="19"/>
      <c r="BMB54" s="21"/>
      <c r="BMC54" s="19"/>
      <c r="BML54" s="19"/>
      <c r="BMM54" s="19"/>
      <c r="BMN54" s="19"/>
      <c r="BMO54" s="19"/>
      <c r="BMP54" s="21"/>
      <c r="BMQ54" s="19"/>
      <c r="BMZ54" s="19"/>
      <c r="BNA54" s="19"/>
      <c r="BNB54" s="19"/>
      <c r="BNC54" s="19"/>
      <c r="BND54" s="21"/>
      <c r="BNE54" s="19"/>
      <c r="BNN54" s="19"/>
      <c r="BNO54" s="19"/>
      <c r="BNP54" s="19"/>
      <c r="BNQ54" s="19"/>
      <c r="BNR54" s="21"/>
      <c r="BNS54" s="19"/>
      <c r="BOB54" s="19"/>
      <c r="BOC54" s="19"/>
      <c r="BOD54" s="19"/>
      <c r="BOE54" s="19"/>
      <c r="BOF54" s="21"/>
      <c r="BOG54" s="19"/>
      <c r="BOP54" s="19"/>
      <c r="BOQ54" s="19"/>
      <c r="BOR54" s="19"/>
      <c r="BOS54" s="19"/>
      <c r="BOT54" s="21"/>
      <c r="BOU54" s="19"/>
      <c r="BPD54" s="19"/>
      <c r="BPE54" s="19"/>
      <c r="BPF54" s="19"/>
      <c r="BPG54" s="19"/>
      <c r="BPH54" s="21"/>
      <c r="BPI54" s="19"/>
      <c r="BPR54" s="19"/>
      <c r="BPS54" s="19"/>
      <c r="BPT54" s="19"/>
      <c r="BPU54" s="19"/>
      <c r="BPV54" s="21"/>
      <c r="BPW54" s="19"/>
      <c r="BQF54" s="19"/>
      <c r="BQG54" s="19"/>
      <c r="BQH54" s="19"/>
      <c r="BQI54" s="19"/>
      <c r="BQJ54" s="21"/>
      <c r="BQK54" s="19"/>
      <c r="BQT54" s="19"/>
      <c r="BQU54" s="19"/>
      <c r="BQV54" s="19"/>
      <c r="BQW54" s="19"/>
      <c r="BQX54" s="21"/>
      <c r="BQY54" s="19"/>
      <c r="BRH54" s="19"/>
      <c r="BRI54" s="19"/>
      <c r="BRJ54" s="19"/>
      <c r="BRK54" s="19"/>
      <c r="BRL54" s="21"/>
      <c r="BRM54" s="19"/>
      <c r="BRV54" s="19"/>
      <c r="BRW54" s="19"/>
      <c r="BRX54" s="19"/>
      <c r="BRY54" s="19"/>
      <c r="BRZ54" s="21"/>
      <c r="BSA54" s="19"/>
      <c r="BSJ54" s="19"/>
      <c r="BSK54" s="19"/>
      <c r="BSL54" s="19"/>
      <c r="BSM54" s="19"/>
      <c r="BSN54" s="21"/>
      <c r="BSO54" s="19"/>
      <c r="BSX54" s="19"/>
      <c r="BSY54" s="19"/>
      <c r="BSZ54" s="19"/>
      <c r="BTA54" s="19"/>
      <c r="BTB54" s="21"/>
      <c r="BTC54" s="19"/>
      <c r="BTL54" s="19"/>
      <c r="BTM54" s="19"/>
      <c r="BTN54" s="19"/>
      <c r="BTO54" s="19"/>
      <c r="BTP54" s="21"/>
      <c r="BTQ54" s="19"/>
      <c r="BTZ54" s="19"/>
      <c r="BUA54" s="19"/>
      <c r="BUB54" s="19"/>
      <c r="BUC54" s="19"/>
      <c r="BUD54" s="21"/>
      <c r="BUE54" s="19"/>
      <c r="BUN54" s="19"/>
      <c r="BUO54" s="19"/>
      <c r="BUP54" s="19"/>
      <c r="BUQ54" s="19"/>
      <c r="BUR54" s="21"/>
      <c r="BUS54" s="19"/>
      <c r="BVB54" s="19"/>
      <c r="BVC54" s="19"/>
      <c r="BVD54" s="19"/>
      <c r="BVE54" s="19"/>
      <c r="BVF54" s="21"/>
      <c r="BVG54" s="19"/>
      <c r="BVP54" s="19"/>
      <c r="BVQ54" s="19"/>
      <c r="BVR54" s="19"/>
      <c r="BVS54" s="19"/>
      <c r="BVT54" s="21"/>
      <c r="BVU54" s="19"/>
      <c r="BWD54" s="19"/>
      <c r="BWE54" s="19"/>
      <c r="BWF54" s="19"/>
      <c r="BWG54" s="19"/>
      <c r="BWH54" s="21"/>
      <c r="BWI54" s="19"/>
      <c r="BWR54" s="19"/>
      <c r="BWS54" s="19"/>
      <c r="BWT54" s="19"/>
      <c r="BWU54" s="19"/>
      <c r="BWV54" s="21"/>
      <c r="BWW54" s="19"/>
      <c r="BXF54" s="19"/>
      <c r="BXG54" s="19"/>
      <c r="BXH54" s="19"/>
      <c r="BXI54" s="19"/>
      <c r="BXJ54" s="21"/>
      <c r="BXK54" s="19"/>
      <c r="BXT54" s="19"/>
      <c r="BXU54" s="19"/>
      <c r="BXV54" s="19"/>
      <c r="BXW54" s="19"/>
      <c r="BXX54" s="21"/>
      <c r="BXY54" s="19"/>
      <c r="BYH54" s="19"/>
      <c r="BYI54" s="19"/>
      <c r="BYJ54" s="19"/>
      <c r="BYK54" s="19"/>
      <c r="BYL54" s="21"/>
      <c r="BYM54" s="19"/>
      <c r="BYV54" s="19"/>
      <c r="BYW54" s="19"/>
      <c r="BYX54" s="19"/>
      <c r="BYY54" s="19"/>
      <c r="BYZ54" s="21"/>
      <c r="BZA54" s="19"/>
      <c r="BZJ54" s="19"/>
      <c r="BZK54" s="19"/>
      <c r="BZL54" s="19"/>
      <c r="BZM54" s="19"/>
      <c r="BZN54" s="21"/>
      <c r="BZO54" s="19"/>
      <c r="BZX54" s="19"/>
      <c r="BZY54" s="19"/>
      <c r="BZZ54" s="19"/>
      <c r="CAA54" s="19"/>
      <c r="CAB54" s="21"/>
      <c r="CAC54" s="19"/>
      <c r="CAL54" s="19"/>
      <c r="CAM54" s="19"/>
      <c r="CAN54" s="19"/>
      <c r="CAO54" s="19"/>
      <c r="CAP54" s="21"/>
      <c r="CAQ54" s="19"/>
      <c r="CAZ54" s="19"/>
      <c r="CBA54" s="19"/>
      <c r="CBB54" s="19"/>
      <c r="CBC54" s="19"/>
      <c r="CBD54" s="21"/>
      <c r="CBE54" s="19"/>
      <c r="CBN54" s="19"/>
      <c r="CBO54" s="19"/>
      <c r="CBP54" s="19"/>
      <c r="CBQ54" s="19"/>
      <c r="CBR54" s="21"/>
      <c r="CBS54" s="19"/>
      <c r="CCB54" s="19"/>
      <c r="CCC54" s="19"/>
      <c r="CCD54" s="19"/>
      <c r="CCE54" s="19"/>
      <c r="CCF54" s="21"/>
      <c r="CCG54" s="19"/>
      <c r="CCP54" s="19"/>
      <c r="CCQ54" s="19"/>
      <c r="CCR54" s="19"/>
      <c r="CCS54" s="19"/>
      <c r="CCT54" s="21"/>
      <c r="CCU54" s="19"/>
      <c r="CDD54" s="19"/>
      <c r="CDE54" s="19"/>
      <c r="CDF54" s="19"/>
      <c r="CDG54" s="19"/>
      <c r="CDH54" s="21"/>
      <c r="CDI54" s="19"/>
      <c r="CDR54" s="19"/>
      <c r="CDS54" s="19"/>
      <c r="CDT54" s="19"/>
      <c r="CDU54" s="19"/>
      <c r="CDV54" s="21"/>
      <c r="CDW54" s="19"/>
      <c r="CEF54" s="19"/>
      <c r="CEG54" s="19"/>
      <c r="CEH54" s="19"/>
      <c r="CEI54" s="19"/>
      <c r="CEJ54" s="21"/>
      <c r="CEK54" s="19"/>
      <c r="CET54" s="19"/>
      <c r="CEU54" s="19"/>
      <c r="CEV54" s="19"/>
      <c r="CEW54" s="19"/>
      <c r="CEX54" s="21"/>
      <c r="CEY54" s="19"/>
      <c r="CFH54" s="19"/>
      <c r="CFI54" s="19"/>
      <c r="CFJ54" s="19"/>
      <c r="CFK54" s="19"/>
      <c r="CFL54" s="21"/>
      <c r="CFM54" s="19"/>
      <c r="CFV54" s="19"/>
      <c r="CFW54" s="19"/>
      <c r="CFX54" s="19"/>
      <c r="CFY54" s="19"/>
      <c r="CFZ54" s="21"/>
      <c r="CGA54" s="19"/>
      <c r="CGJ54" s="19"/>
      <c r="CGK54" s="19"/>
      <c r="CGL54" s="19"/>
      <c r="CGM54" s="19"/>
      <c r="CGN54" s="21"/>
      <c r="CGO54" s="19"/>
      <c r="CGX54" s="19"/>
      <c r="CGY54" s="19"/>
      <c r="CGZ54" s="19"/>
      <c r="CHA54" s="19"/>
      <c r="CHB54" s="21"/>
      <c r="CHC54" s="19"/>
      <c r="CHL54" s="19"/>
      <c r="CHM54" s="19"/>
      <c r="CHN54" s="19"/>
      <c r="CHO54" s="19"/>
      <c r="CHP54" s="21"/>
      <c r="CHQ54" s="19"/>
      <c r="CHZ54" s="19"/>
      <c r="CIA54" s="19"/>
      <c r="CIB54" s="19"/>
      <c r="CIC54" s="19"/>
      <c r="CID54" s="21"/>
      <c r="CIE54" s="19"/>
      <c r="CIN54" s="19"/>
      <c r="CIO54" s="19"/>
      <c r="CIP54" s="19"/>
      <c r="CIQ54" s="19"/>
      <c r="CIR54" s="21"/>
      <c r="CIS54" s="19"/>
      <c r="CJB54" s="19"/>
      <c r="CJC54" s="19"/>
      <c r="CJD54" s="19"/>
      <c r="CJE54" s="19"/>
      <c r="CJF54" s="21"/>
      <c r="CJG54" s="19"/>
      <c r="CJP54" s="19"/>
      <c r="CJQ54" s="19"/>
      <c r="CJR54" s="19"/>
      <c r="CJS54" s="19"/>
      <c r="CJT54" s="21"/>
      <c r="CJU54" s="19"/>
      <c r="CKD54" s="19"/>
      <c r="CKE54" s="19"/>
      <c r="CKF54" s="19"/>
      <c r="CKG54" s="19"/>
      <c r="CKH54" s="21"/>
      <c r="CKI54" s="19"/>
      <c r="CKR54" s="19"/>
      <c r="CKS54" s="19"/>
      <c r="CKT54" s="19"/>
      <c r="CKU54" s="19"/>
      <c r="CKV54" s="21"/>
      <c r="CKW54" s="19"/>
      <c r="CLF54" s="19"/>
      <c r="CLG54" s="19"/>
      <c r="CLH54" s="19"/>
      <c r="CLI54" s="19"/>
      <c r="CLJ54" s="21"/>
      <c r="CLK54" s="19"/>
      <c r="CLT54" s="19"/>
      <c r="CLU54" s="19"/>
      <c r="CLV54" s="19"/>
      <c r="CLW54" s="19"/>
      <c r="CLX54" s="21"/>
      <c r="CLY54" s="19"/>
      <c r="CMH54" s="19"/>
      <c r="CMI54" s="19"/>
      <c r="CMJ54" s="19"/>
      <c r="CMK54" s="19"/>
      <c r="CML54" s="21"/>
      <c r="CMM54" s="19"/>
      <c r="CMV54" s="19"/>
      <c r="CMW54" s="19"/>
      <c r="CMX54" s="19"/>
      <c r="CMY54" s="19"/>
      <c r="CMZ54" s="21"/>
      <c r="CNA54" s="19"/>
      <c r="CNJ54" s="19"/>
      <c r="CNK54" s="19"/>
      <c r="CNL54" s="19"/>
      <c r="CNM54" s="19"/>
      <c r="CNN54" s="21"/>
      <c r="CNO54" s="19"/>
      <c r="CNX54" s="19"/>
      <c r="CNY54" s="19"/>
      <c r="CNZ54" s="19"/>
      <c r="COA54" s="19"/>
      <c r="COB54" s="21"/>
      <c r="COC54" s="19"/>
      <c r="COL54" s="19"/>
      <c r="COM54" s="19"/>
      <c r="CON54" s="19"/>
      <c r="COO54" s="19"/>
      <c r="COP54" s="21"/>
      <c r="COQ54" s="19"/>
      <c r="COZ54" s="19"/>
      <c r="CPA54" s="19"/>
      <c r="CPB54" s="19"/>
      <c r="CPC54" s="19"/>
      <c r="CPD54" s="21"/>
      <c r="CPE54" s="19"/>
      <c r="CPN54" s="19"/>
      <c r="CPO54" s="19"/>
      <c r="CPP54" s="19"/>
      <c r="CPQ54" s="19"/>
      <c r="CPR54" s="21"/>
      <c r="CPS54" s="19"/>
      <c r="CQB54" s="19"/>
      <c r="CQC54" s="19"/>
      <c r="CQD54" s="19"/>
      <c r="CQE54" s="19"/>
      <c r="CQF54" s="21"/>
      <c r="CQG54" s="19"/>
      <c r="CQP54" s="19"/>
      <c r="CQQ54" s="19"/>
      <c r="CQR54" s="19"/>
      <c r="CQS54" s="19"/>
      <c r="CQT54" s="21"/>
      <c r="CQU54" s="19"/>
      <c r="CRD54" s="19"/>
      <c r="CRE54" s="19"/>
      <c r="CRF54" s="19"/>
      <c r="CRG54" s="19"/>
      <c r="CRH54" s="21"/>
      <c r="CRI54" s="19"/>
      <c r="CRR54" s="19"/>
      <c r="CRS54" s="19"/>
      <c r="CRT54" s="19"/>
      <c r="CRU54" s="19"/>
      <c r="CRV54" s="21"/>
      <c r="CRW54" s="19"/>
      <c r="CSF54" s="19"/>
      <c r="CSG54" s="19"/>
      <c r="CSH54" s="19"/>
      <c r="CSI54" s="19"/>
      <c r="CSJ54" s="21"/>
      <c r="CSK54" s="19"/>
      <c r="CST54" s="19"/>
      <c r="CSU54" s="19"/>
      <c r="CSV54" s="19"/>
      <c r="CSW54" s="19"/>
      <c r="CSX54" s="21"/>
      <c r="CSY54" s="19"/>
      <c r="CTH54" s="19"/>
      <c r="CTI54" s="19"/>
      <c r="CTJ54" s="19"/>
      <c r="CTK54" s="19"/>
      <c r="CTL54" s="21"/>
      <c r="CTM54" s="19"/>
      <c r="CTV54" s="19"/>
      <c r="CTW54" s="19"/>
      <c r="CTX54" s="19"/>
      <c r="CTY54" s="19"/>
      <c r="CTZ54" s="21"/>
      <c r="CUA54" s="19"/>
      <c r="CUJ54" s="19"/>
      <c r="CUK54" s="19"/>
      <c r="CUL54" s="19"/>
      <c r="CUM54" s="19"/>
      <c r="CUN54" s="21"/>
      <c r="CUO54" s="19"/>
      <c r="CUX54" s="19"/>
      <c r="CUY54" s="19"/>
      <c r="CUZ54" s="19"/>
      <c r="CVA54" s="19"/>
      <c r="CVB54" s="21"/>
      <c r="CVC54" s="19"/>
      <c r="CVL54" s="19"/>
      <c r="CVM54" s="19"/>
      <c r="CVN54" s="19"/>
      <c r="CVO54" s="19"/>
      <c r="CVP54" s="21"/>
      <c r="CVQ54" s="19"/>
      <c r="CVZ54" s="19"/>
      <c r="CWA54" s="19"/>
      <c r="CWB54" s="19"/>
      <c r="CWC54" s="19"/>
      <c r="CWD54" s="21"/>
      <c r="CWE54" s="19"/>
      <c r="CWN54" s="19"/>
      <c r="CWO54" s="19"/>
      <c r="CWP54" s="19"/>
      <c r="CWQ54" s="19"/>
      <c r="CWR54" s="21"/>
      <c r="CWS54" s="19"/>
      <c r="CXB54" s="19"/>
      <c r="CXC54" s="19"/>
      <c r="CXD54" s="19"/>
      <c r="CXE54" s="19"/>
      <c r="CXF54" s="21"/>
      <c r="CXG54" s="19"/>
      <c r="CXP54" s="19"/>
      <c r="CXQ54" s="19"/>
      <c r="CXR54" s="19"/>
      <c r="CXS54" s="19"/>
      <c r="CXT54" s="21"/>
      <c r="CXU54" s="19"/>
      <c r="CYD54" s="19"/>
      <c r="CYE54" s="19"/>
      <c r="CYF54" s="19"/>
      <c r="CYG54" s="19"/>
      <c r="CYH54" s="21"/>
      <c r="CYI54" s="19"/>
      <c r="CYR54" s="19"/>
      <c r="CYS54" s="19"/>
      <c r="CYT54" s="19"/>
      <c r="CYU54" s="19"/>
      <c r="CYV54" s="21"/>
      <c r="CYW54" s="19"/>
      <c r="CZF54" s="19"/>
      <c r="CZG54" s="19"/>
      <c r="CZH54" s="19"/>
      <c r="CZI54" s="19"/>
      <c r="CZJ54" s="21"/>
      <c r="CZK54" s="19"/>
      <c r="CZT54" s="19"/>
      <c r="CZU54" s="19"/>
      <c r="CZV54" s="19"/>
      <c r="CZW54" s="19"/>
      <c r="CZX54" s="21"/>
      <c r="CZY54" s="19"/>
      <c r="DAH54" s="19"/>
      <c r="DAI54" s="19"/>
      <c r="DAJ54" s="19"/>
      <c r="DAK54" s="19"/>
      <c r="DAL54" s="21"/>
      <c r="DAM54" s="19"/>
      <c r="DAV54" s="19"/>
      <c r="DAW54" s="19"/>
      <c r="DAX54" s="19"/>
      <c r="DAY54" s="19"/>
      <c r="DAZ54" s="21"/>
      <c r="DBA54" s="19"/>
      <c r="DBJ54" s="19"/>
      <c r="DBK54" s="19"/>
      <c r="DBL54" s="19"/>
      <c r="DBM54" s="19"/>
      <c r="DBN54" s="21"/>
      <c r="DBO54" s="19"/>
      <c r="DBX54" s="19"/>
      <c r="DBY54" s="19"/>
      <c r="DBZ54" s="19"/>
      <c r="DCA54" s="19"/>
      <c r="DCB54" s="21"/>
      <c r="DCC54" s="19"/>
      <c r="DCL54" s="19"/>
      <c r="DCM54" s="19"/>
      <c r="DCN54" s="19"/>
      <c r="DCO54" s="19"/>
      <c r="DCP54" s="21"/>
      <c r="DCQ54" s="19"/>
      <c r="DCZ54" s="19"/>
      <c r="DDA54" s="19"/>
      <c r="DDB54" s="19"/>
      <c r="DDC54" s="19"/>
      <c r="DDD54" s="21"/>
      <c r="DDE54" s="19"/>
      <c r="DDN54" s="19"/>
      <c r="DDO54" s="19"/>
      <c r="DDP54" s="19"/>
      <c r="DDQ54" s="19"/>
      <c r="DDR54" s="21"/>
      <c r="DDS54" s="19"/>
      <c r="DEB54" s="19"/>
      <c r="DEC54" s="19"/>
      <c r="DED54" s="19"/>
      <c r="DEE54" s="19"/>
      <c r="DEF54" s="21"/>
      <c r="DEG54" s="19"/>
      <c r="DEP54" s="19"/>
      <c r="DEQ54" s="19"/>
      <c r="DER54" s="19"/>
      <c r="DES54" s="19"/>
      <c r="DET54" s="21"/>
      <c r="DEU54" s="19"/>
      <c r="DFD54" s="19"/>
      <c r="DFE54" s="19"/>
      <c r="DFF54" s="19"/>
      <c r="DFG54" s="19"/>
      <c r="DFH54" s="21"/>
      <c r="DFI54" s="19"/>
      <c r="DFR54" s="19"/>
      <c r="DFS54" s="19"/>
      <c r="DFT54" s="19"/>
      <c r="DFU54" s="19"/>
      <c r="DFV54" s="21"/>
      <c r="DFW54" s="19"/>
      <c r="DGF54" s="19"/>
      <c r="DGG54" s="19"/>
      <c r="DGH54" s="19"/>
      <c r="DGI54" s="19"/>
      <c r="DGJ54" s="21"/>
      <c r="DGK54" s="19"/>
      <c r="DGT54" s="19"/>
      <c r="DGU54" s="19"/>
      <c r="DGV54" s="19"/>
      <c r="DGW54" s="19"/>
      <c r="DGX54" s="21"/>
      <c r="DGY54" s="19"/>
      <c r="DHH54" s="19"/>
      <c r="DHI54" s="19"/>
      <c r="DHJ54" s="19"/>
      <c r="DHK54" s="19"/>
      <c r="DHL54" s="21"/>
      <c r="DHM54" s="19"/>
      <c r="DHV54" s="19"/>
      <c r="DHW54" s="19"/>
      <c r="DHX54" s="19"/>
      <c r="DHY54" s="19"/>
      <c r="DHZ54" s="21"/>
      <c r="DIA54" s="19"/>
      <c r="DIJ54" s="19"/>
      <c r="DIK54" s="19"/>
      <c r="DIL54" s="19"/>
      <c r="DIM54" s="19"/>
      <c r="DIN54" s="21"/>
      <c r="DIO54" s="19"/>
      <c r="DIX54" s="19"/>
      <c r="DIY54" s="19"/>
      <c r="DIZ54" s="19"/>
      <c r="DJA54" s="19"/>
      <c r="DJB54" s="21"/>
      <c r="DJC54" s="19"/>
      <c r="DJL54" s="19"/>
      <c r="DJM54" s="19"/>
      <c r="DJN54" s="19"/>
      <c r="DJO54" s="19"/>
      <c r="DJP54" s="21"/>
      <c r="DJQ54" s="19"/>
      <c r="DJZ54" s="19"/>
      <c r="DKA54" s="19"/>
      <c r="DKB54" s="19"/>
      <c r="DKC54" s="19"/>
      <c r="DKD54" s="21"/>
      <c r="DKE54" s="19"/>
      <c r="DKN54" s="19"/>
      <c r="DKO54" s="19"/>
      <c r="DKP54" s="19"/>
      <c r="DKQ54" s="19"/>
      <c r="DKR54" s="21"/>
      <c r="DKS54" s="19"/>
      <c r="DLB54" s="19"/>
      <c r="DLC54" s="19"/>
      <c r="DLD54" s="19"/>
      <c r="DLE54" s="19"/>
      <c r="DLF54" s="21"/>
      <c r="DLG54" s="19"/>
      <c r="DLP54" s="19"/>
      <c r="DLQ54" s="19"/>
      <c r="DLR54" s="19"/>
      <c r="DLS54" s="19"/>
      <c r="DLT54" s="21"/>
      <c r="DLU54" s="19"/>
      <c r="DMD54" s="19"/>
      <c r="DME54" s="19"/>
      <c r="DMF54" s="19"/>
      <c r="DMG54" s="19"/>
      <c r="DMH54" s="21"/>
      <c r="DMI54" s="19"/>
      <c r="DMR54" s="19"/>
      <c r="DMS54" s="19"/>
      <c r="DMT54" s="19"/>
      <c r="DMU54" s="19"/>
      <c r="DMV54" s="21"/>
      <c r="DMW54" s="19"/>
      <c r="DNF54" s="19"/>
      <c r="DNG54" s="19"/>
      <c r="DNH54" s="19"/>
      <c r="DNI54" s="19"/>
      <c r="DNJ54" s="21"/>
      <c r="DNK54" s="19"/>
      <c r="DNT54" s="19"/>
      <c r="DNU54" s="19"/>
      <c r="DNV54" s="19"/>
      <c r="DNW54" s="19"/>
      <c r="DNX54" s="21"/>
      <c r="DNY54" s="19"/>
      <c r="DOH54" s="19"/>
      <c r="DOI54" s="19"/>
      <c r="DOJ54" s="19"/>
      <c r="DOK54" s="19"/>
      <c r="DOL54" s="21"/>
      <c r="DOM54" s="19"/>
      <c r="DOV54" s="19"/>
      <c r="DOW54" s="19"/>
      <c r="DOX54" s="19"/>
      <c r="DOY54" s="19"/>
      <c r="DOZ54" s="21"/>
      <c r="DPA54" s="19"/>
      <c r="DPJ54" s="19"/>
      <c r="DPK54" s="19"/>
      <c r="DPL54" s="19"/>
      <c r="DPM54" s="19"/>
      <c r="DPN54" s="21"/>
      <c r="DPO54" s="19"/>
      <c r="DPX54" s="19"/>
      <c r="DPY54" s="19"/>
      <c r="DPZ54" s="19"/>
      <c r="DQA54" s="19"/>
      <c r="DQB54" s="21"/>
      <c r="DQC54" s="19"/>
      <c r="DQL54" s="19"/>
      <c r="DQM54" s="19"/>
      <c r="DQN54" s="19"/>
      <c r="DQO54" s="19"/>
      <c r="DQP54" s="21"/>
      <c r="DQQ54" s="19"/>
      <c r="DQZ54" s="19"/>
      <c r="DRA54" s="19"/>
      <c r="DRB54" s="19"/>
      <c r="DRC54" s="19"/>
      <c r="DRD54" s="21"/>
      <c r="DRE54" s="19"/>
      <c r="DRN54" s="19"/>
      <c r="DRO54" s="19"/>
      <c r="DRP54" s="19"/>
      <c r="DRQ54" s="19"/>
      <c r="DRR54" s="21"/>
      <c r="DRS54" s="19"/>
      <c r="DSB54" s="19"/>
      <c r="DSC54" s="19"/>
      <c r="DSD54" s="19"/>
      <c r="DSE54" s="19"/>
      <c r="DSF54" s="21"/>
      <c r="DSG54" s="19"/>
      <c r="DSP54" s="19"/>
      <c r="DSQ54" s="19"/>
      <c r="DSR54" s="19"/>
      <c r="DSS54" s="19"/>
      <c r="DST54" s="21"/>
      <c r="DSU54" s="19"/>
      <c r="DTD54" s="19"/>
      <c r="DTE54" s="19"/>
      <c r="DTF54" s="19"/>
      <c r="DTG54" s="19"/>
      <c r="DTH54" s="21"/>
      <c r="DTI54" s="19"/>
      <c r="DTR54" s="19"/>
      <c r="DTS54" s="19"/>
      <c r="DTT54" s="19"/>
      <c r="DTU54" s="19"/>
      <c r="DTV54" s="21"/>
      <c r="DTW54" s="19"/>
      <c r="DUF54" s="19"/>
      <c r="DUG54" s="19"/>
      <c r="DUH54" s="19"/>
      <c r="DUI54" s="19"/>
      <c r="DUJ54" s="21"/>
      <c r="DUK54" s="19"/>
      <c r="DUT54" s="19"/>
      <c r="DUU54" s="19"/>
      <c r="DUV54" s="19"/>
      <c r="DUW54" s="19"/>
      <c r="DUX54" s="21"/>
      <c r="DUY54" s="19"/>
      <c r="DVH54" s="19"/>
      <c r="DVI54" s="19"/>
      <c r="DVJ54" s="19"/>
      <c r="DVK54" s="19"/>
      <c r="DVL54" s="21"/>
      <c r="DVM54" s="19"/>
      <c r="DVV54" s="19"/>
      <c r="DVW54" s="19"/>
      <c r="DVX54" s="19"/>
      <c r="DVY54" s="19"/>
      <c r="DVZ54" s="21"/>
      <c r="DWA54" s="19"/>
      <c r="DWJ54" s="19"/>
      <c r="DWK54" s="19"/>
      <c r="DWL54" s="19"/>
      <c r="DWM54" s="19"/>
      <c r="DWN54" s="21"/>
      <c r="DWO54" s="19"/>
      <c r="DWX54" s="19"/>
      <c r="DWY54" s="19"/>
      <c r="DWZ54" s="19"/>
      <c r="DXA54" s="19"/>
      <c r="DXB54" s="21"/>
      <c r="DXC54" s="19"/>
      <c r="DXL54" s="19"/>
      <c r="DXM54" s="19"/>
      <c r="DXN54" s="19"/>
      <c r="DXO54" s="19"/>
      <c r="DXP54" s="21"/>
      <c r="DXQ54" s="19"/>
      <c r="DXZ54" s="19"/>
      <c r="DYA54" s="19"/>
      <c r="DYB54" s="19"/>
      <c r="DYC54" s="19"/>
      <c r="DYD54" s="21"/>
      <c r="DYE54" s="19"/>
      <c r="DYN54" s="19"/>
      <c r="DYO54" s="19"/>
      <c r="DYP54" s="19"/>
      <c r="DYQ54" s="19"/>
      <c r="DYR54" s="21"/>
      <c r="DYS54" s="19"/>
      <c r="DZB54" s="19"/>
      <c r="DZC54" s="19"/>
      <c r="DZD54" s="19"/>
      <c r="DZE54" s="19"/>
      <c r="DZF54" s="21"/>
      <c r="DZG54" s="19"/>
      <c r="DZP54" s="19"/>
      <c r="DZQ54" s="19"/>
      <c r="DZR54" s="19"/>
      <c r="DZS54" s="19"/>
      <c r="DZT54" s="21"/>
      <c r="DZU54" s="19"/>
      <c r="EAD54" s="19"/>
      <c r="EAE54" s="19"/>
      <c r="EAF54" s="19"/>
      <c r="EAG54" s="19"/>
      <c r="EAH54" s="21"/>
      <c r="EAI54" s="19"/>
      <c r="EAR54" s="19"/>
      <c r="EAS54" s="19"/>
      <c r="EAT54" s="19"/>
      <c r="EAU54" s="19"/>
      <c r="EAV54" s="21"/>
      <c r="EAW54" s="19"/>
      <c r="EBF54" s="19"/>
      <c r="EBG54" s="19"/>
      <c r="EBH54" s="19"/>
      <c r="EBI54" s="19"/>
      <c r="EBJ54" s="21"/>
      <c r="EBK54" s="19"/>
      <c r="EBT54" s="19"/>
      <c r="EBU54" s="19"/>
      <c r="EBV54" s="19"/>
      <c r="EBW54" s="19"/>
      <c r="EBX54" s="21"/>
      <c r="EBY54" s="19"/>
      <c r="ECH54" s="19"/>
      <c r="ECI54" s="19"/>
      <c r="ECJ54" s="19"/>
      <c r="ECK54" s="19"/>
      <c r="ECL54" s="21"/>
      <c r="ECM54" s="19"/>
      <c r="ECV54" s="19"/>
      <c r="ECW54" s="19"/>
      <c r="ECX54" s="19"/>
      <c r="ECY54" s="19"/>
      <c r="ECZ54" s="21"/>
      <c r="EDA54" s="19"/>
      <c r="EDJ54" s="19"/>
      <c r="EDK54" s="19"/>
      <c r="EDL54" s="19"/>
      <c r="EDM54" s="19"/>
      <c r="EDN54" s="21"/>
      <c r="EDO54" s="19"/>
      <c r="EDX54" s="19"/>
      <c r="EDY54" s="19"/>
      <c r="EDZ54" s="19"/>
      <c r="EEA54" s="19"/>
      <c r="EEB54" s="21"/>
      <c r="EEC54" s="19"/>
      <c r="EEL54" s="19"/>
      <c r="EEM54" s="19"/>
      <c r="EEN54" s="19"/>
      <c r="EEO54" s="19"/>
      <c r="EEP54" s="21"/>
      <c r="EEQ54" s="19"/>
      <c r="EEZ54" s="19"/>
      <c r="EFA54" s="19"/>
      <c r="EFB54" s="19"/>
      <c r="EFC54" s="19"/>
      <c r="EFD54" s="21"/>
      <c r="EFE54" s="19"/>
      <c r="EFN54" s="19"/>
      <c r="EFO54" s="19"/>
      <c r="EFP54" s="19"/>
      <c r="EFQ54" s="19"/>
      <c r="EFR54" s="21"/>
      <c r="EFS54" s="19"/>
      <c r="EGB54" s="19"/>
      <c r="EGC54" s="19"/>
      <c r="EGD54" s="19"/>
      <c r="EGE54" s="19"/>
      <c r="EGF54" s="21"/>
      <c r="EGG54" s="19"/>
      <c r="EGP54" s="19"/>
      <c r="EGQ54" s="19"/>
      <c r="EGR54" s="19"/>
      <c r="EGS54" s="19"/>
      <c r="EGT54" s="21"/>
      <c r="EGU54" s="19"/>
      <c r="EHD54" s="19"/>
      <c r="EHE54" s="19"/>
      <c r="EHF54" s="19"/>
      <c r="EHG54" s="19"/>
      <c r="EHH54" s="21"/>
      <c r="EHI54" s="19"/>
      <c r="EHR54" s="19"/>
      <c r="EHS54" s="19"/>
      <c r="EHT54" s="19"/>
      <c r="EHU54" s="19"/>
      <c r="EHV54" s="21"/>
      <c r="EHW54" s="19"/>
      <c r="EIF54" s="19"/>
      <c r="EIG54" s="19"/>
      <c r="EIH54" s="19"/>
      <c r="EII54" s="19"/>
      <c r="EIJ54" s="21"/>
      <c r="EIK54" s="19"/>
      <c r="EIT54" s="19"/>
      <c r="EIU54" s="19"/>
      <c r="EIV54" s="19"/>
      <c r="EIW54" s="19"/>
      <c r="EIX54" s="21"/>
      <c r="EIY54" s="19"/>
      <c r="EJH54" s="19"/>
      <c r="EJI54" s="19"/>
      <c r="EJJ54" s="19"/>
      <c r="EJK54" s="19"/>
      <c r="EJL54" s="21"/>
      <c r="EJM54" s="19"/>
      <c r="EJV54" s="19"/>
      <c r="EJW54" s="19"/>
      <c r="EJX54" s="19"/>
      <c r="EJY54" s="19"/>
      <c r="EJZ54" s="21"/>
      <c r="EKA54" s="19"/>
      <c r="EKJ54" s="19"/>
      <c r="EKK54" s="19"/>
      <c r="EKL54" s="19"/>
      <c r="EKM54" s="19"/>
      <c r="EKN54" s="21"/>
      <c r="EKO54" s="19"/>
      <c r="EKX54" s="19"/>
      <c r="EKY54" s="19"/>
      <c r="EKZ54" s="19"/>
      <c r="ELA54" s="19"/>
      <c r="ELB54" s="21"/>
      <c r="ELC54" s="19"/>
      <c r="ELL54" s="19"/>
      <c r="ELM54" s="19"/>
      <c r="ELN54" s="19"/>
      <c r="ELO54" s="19"/>
      <c r="ELP54" s="21"/>
      <c r="ELQ54" s="19"/>
      <c r="ELZ54" s="19"/>
      <c r="EMA54" s="19"/>
      <c r="EMB54" s="19"/>
      <c r="EMC54" s="19"/>
      <c r="EMD54" s="21"/>
      <c r="EME54" s="19"/>
      <c r="EMN54" s="19"/>
      <c r="EMO54" s="19"/>
      <c r="EMP54" s="19"/>
      <c r="EMQ54" s="19"/>
      <c r="EMR54" s="21"/>
      <c r="EMS54" s="19"/>
      <c r="ENB54" s="19"/>
      <c r="ENC54" s="19"/>
      <c r="END54" s="19"/>
      <c r="ENE54" s="19"/>
      <c r="ENF54" s="21"/>
      <c r="ENG54" s="19"/>
      <c r="ENP54" s="19"/>
      <c r="ENQ54" s="19"/>
      <c r="ENR54" s="19"/>
      <c r="ENS54" s="19"/>
      <c r="ENT54" s="21"/>
      <c r="ENU54" s="19"/>
      <c r="EOD54" s="19"/>
      <c r="EOE54" s="19"/>
      <c r="EOF54" s="19"/>
      <c r="EOG54" s="19"/>
      <c r="EOH54" s="21"/>
      <c r="EOI54" s="19"/>
      <c r="EOR54" s="19"/>
      <c r="EOS54" s="19"/>
      <c r="EOT54" s="19"/>
      <c r="EOU54" s="19"/>
      <c r="EOV54" s="21"/>
      <c r="EOW54" s="19"/>
      <c r="EPF54" s="19"/>
      <c r="EPG54" s="19"/>
      <c r="EPH54" s="19"/>
      <c r="EPI54" s="19"/>
      <c r="EPJ54" s="21"/>
      <c r="EPK54" s="19"/>
      <c r="EPT54" s="19"/>
      <c r="EPU54" s="19"/>
      <c r="EPV54" s="19"/>
      <c r="EPW54" s="19"/>
      <c r="EPX54" s="21"/>
      <c r="EPY54" s="19"/>
      <c r="EQH54" s="19"/>
      <c r="EQI54" s="19"/>
      <c r="EQJ54" s="19"/>
      <c r="EQK54" s="19"/>
      <c r="EQL54" s="21"/>
      <c r="EQM54" s="19"/>
      <c r="EQV54" s="19"/>
      <c r="EQW54" s="19"/>
      <c r="EQX54" s="19"/>
      <c r="EQY54" s="19"/>
      <c r="EQZ54" s="21"/>
      <c r="ERA54" s="19"/>
      <c r="ERJ54" s="19"/>
      <c r="ERK54" s="19"/>
      <c r="ERL54" s="19"/>
      <c r="ERM54" s="19"/>
      <c r="ERN54" s="21"/>
      <c r="ERO54" s="19"/>
      <c r="ERX54" s="19"/>
      <c r="ERY54" s="19"/>
      <c r="ERZ54" s="19"/>
      <c r="ESA54" s="19"/>
      <c r="ESB54" s="21"/>
      <c r="ESC54" s="19"/>
      <c r="ESL54" s="19"/>
      <c r="ESM54" s="19"/>
      <c r="ESN54" s="19"/>
      <c r="ESO54" s="19"/>
      <c r="ESP54" s="21"/>
      <c r="ESQ54" s="19"/>
      <c r="ESZ54" s="19"/>
      <c r="ETA54" s="19"/>
      <c r="ETB54" s="19"/>
      <c r="ETC54" s="19"/>
      <c r="ETD54" s="21"/>
      <c r="ETE54" s="19"/>
      <c r="ETN54" s="19"/>
      <c r="ETO54" s="19"/>
      <c r="ETP54" s="19"/>
      <c r="ETQ54" s="19"/>
      <c r="ETR54" s="21"/>
      <c r="ETS54" s="19"/>
      <c r="EUB54" s="19"/>
      <c r="EUC54" s="19"/>
      <c r="EUD54" s="19"/>
      <c r="EUE54" s="19"/>
      <c r="EUF54" s="21"/>
      <c r="EUG54" s="19"/>
      <c r="EUP54" s="19"/>
      <c r="EUQ54" s="19"/>
      <c r="EUR54" s="19"/>
      <c r="EUS54" s="19"/>
      <c r="EUT54" s="21"/>
      <c r="EUU54" s="19"/>
      <c r="EVD54" s="19"/>
      <c r="EVE54" s="19"/>
      <c r="EVF54" s="19"/>
      <c r="EVG54" s="19"/>
      <c r="EVH54" s="21"/>
      <c r="EVI54" s="19"/>
      <c r="EVR54" s="19"/>
      <c r="EVS54" s="19"/>
      <c r="EVT54" s="19"/>
      <c r="EVU54" s="19"/>
      <c r="EVV54" s="21"/>
      <c r="EVW54" s="19"/>
      <c r="EWF54" s="19"/>
      <c r="EWG54" s="19"/>
      <c r="EWH54" s="19"/>
      <c r="EWI54" s="19"/>
      <c r="EWJ54" s="21"/>
      <c r="EWK54" s="19"/>
      <c r="EWT54" s="19"/>
      <c r="EWU54" s="19"/>
      <c r="EWV54" s="19"/>
      <c r="EWW54" s="19"/>
      <c r="EWX54" s="21"/>
      <c r="EWY54" s="19"/>
      <c r="EXH54" s="19"/>
      <c r="EXI54" s="19"/>
      <c r="EXJ54" s="19"/>
      <c r="EXK54" s="19"/>
      <c r="EXL54" s="21"/>
      <c r="EXM54" s="19"/>
      <c r="EXV54" s="19"/>
      <c r="EXW54" s="19"/>
      <c r="EXX54" s="19"/>
      <c r="EXY54" s="19"/>
      <c r="EXZ54" s="21"/>
      <c r="EYA54" s="19"/>
      <c r="EYJ54" s="19"/>
      <c r="EYK54" s="19"/>
      <c r="EYL54" s="19"/>
      <c r="EYM54" s="19"/>
      <c r="EYN54" s="21"/>
      <c r="EYO54" s="19"/>
      <c r="EYX54" s="19"/>
      <c r="EYY54" s="19"/>
      <c r="EYZ54" s="19"/>
      <c r="EZA54" s="19"/>
      <c r="EZB54" s="21"/>
      <c r="EZC54" s="19"/>
      <c r="EZL54" s="19"/>
      <c r="EZM54" s="19"/>
      <c r="EZN54" s="19"/>
      <c r="EZO54" s="19"/>
      <c r="EZP54" s="21"/>
      <c r="EZQ54" s="19"/>
      <c r="EZZ54" s="19"/>
      <c r="FAA54" s="19"/>
      <c r="FAB54" s="19"/>
      <c r="FAC54" s="19"/>
      <c r="FAD54" s="21"/>
      <c r="FAE54" s="19"/>
      <c r="FAN54" s="19"/>
      <c r="FAO54" s="19"/>
      <c r="FAP54" s="19"/>
      <c r="FAQ54" s="19"/>
      <c r="FAR54" s="21"/>
      <c r="FAS54" s="19"/>
      <c r="FBB54" s="19"/>
      <c r="FBC54" s="19"/>
      <c r="FBD54" s="19"/>
      <c r="FBE54" s="19"/>
      <c r="FBF54" s="21"/>
      <c r="FBG54" s="19"/>
      <c r="FBP54" s="19"/>
      <c r="FBQ54" s="19"/>
      <c r="FBR54" s="19"/>
      <c r="FBS54" s="19"/>
      <c r="FBT54" s="21"/>
      <c r="FBU54" s="19"/>
      <c r="FCD54" s="19"/>
      <c r="FCE54" s="19"/>
      <c r="FCF54" s="19"/>
      <c r="FCG54" s="19"/>
      <c r="FCH54" s="21"/>
      <c r="FCI54" s="19"/>
      <c r="FCR54" s="19"/>
      <c r="FCS54" s="19"/>
      <c r="FCT54" s="19"/>
      <c r="FCU54" s="19"/>
      <c r="FCV54" s="21"/>
      <c r="FCW54" s="19"/>
      <c r="FDF54" s="19"/>
      <c r="FDG54" s="19"/>
      <c r="FDH54" s="19"/>
      <c r="FDI54" s="19"/>
      <c r="FDJ54" s="21"/>
      <c r="FDK54" s="19"/>
      <c r="FDT54" s="19"/>
      <c r="FDU54" s="19"/>
      <c r="FDV54" s="19"/>
      <c r="FDW54" s="19"/>
      <c r="FDX54" s="21"/>
      <c r="FDY54" s="19"/>
      <c r="FEH54" s="19"/>
      <c r="FEI54" s="19"/>
      <c r="FEJ54" s="19"/>
      <c r="FEK54" s="19"/>
      <c r="FEL54" s="21"/>
      <c r="FEM54" s="19"/>
      <c r="FEV54" s="19"/>
      <c r="FEW54" s="19"/>
      <c r="FEX54" s="19"/>
      <c r="FEY54" s="19"/>
      <c r="FEZ54" s="21"/>
      <c r="FFA54" s="19"/>
      <c r="FFJ54" s="19"/>
      <c r="FFK54" s="19"/>
      <c r="FFL54" s="19"/>
      <c r="FFM54" s="19"/>
      <c r="FFN54" s="21"/>
      <c r="FFO54" s="19"/>
      <c r="FFX54" s="19"/>
      <c r="FFY54" s="19"/>
      <c r="FFZ54" s="19"/>
      <c r="FGA54" s="19"/>
      <c r="FGB54" s="21"/>
      <c r="FGC54" s="19"/>
      <c r="FGL54" s="19"/>
      <c r="FGM54" s="19"/>
      <c r="FGN54" s="19"/>
      <c r="FGO54" s="19"/>
      <c r="FGP54" s="21"/>
      <c r="FGQ54" s="19"/>
      <c r="FGZ54" s="19"/>
      <c r="FHA54" s="19"/>
      <c r="FHB54" s="19"/>
      <c r="FHC54" s="19"/>
      <c r="FHD54" s="21"/>
      <c r="FHE54" s="19"/>
      <c r="FHN54" s="19"/>
      <c r="FHO54" s="19"/>
      <c r="FHP54" s="19"/>
      <c r="FHQ54" s="19"/>
      <c r="FHR54" s="21"/>
      <c r="FHS54" s="19"/>
      <c r="FIB54" s="19"/>
      <c r="FIC54" s="19"/>
      <c r="FID54" s="19"/>
      <c r="FIE54" s="19"/>
      <c r="FIF54" s="21"/>
      <c r="FIG54" s="19"/>
      <c r="FIP54" s="19"/>
      <c r="FIQ54" s="19"/>
      <c r="FIR54" s="19"/>
      <c r="FIS54" s="19"/>
      <c r="FIT54" s="21"/>
      <c r="FIU54" s="19"/>
      <c r="FJD54" s="19"/>
      <c r="FJE54" s="19"/>
      <c r="FJF54" s="19"/>
      <c r="FJG54" s="19"/>
      <c r="FJH54" s="21"/>
      <c r="FJI54" s="19"/>
      <c r="FJR54" s="19"/>
      <c r="FJS54" s="19"/>
      <c r="FJT54" s="19"/>
      <c r="FJU54" s="19"/>
      <c r="FJV54" s="21"/>
      <c r="FJW54" s="19"/>
      <c r="FKF54" s="19"/>
      <c r="FKG54" s="19"/>
      <c r="FKH54" s="19"/>
      <c r="FKI54" s="19"/>
      <c r="FKJ54" s="21"/>
      <c r="FKK54" s="19"/>
      <c r="FKT54" s="19"/>
      <c r="FKU54" s="19"/>
      <c r="FKV54" s="19"/>
      <c r="FKW54" s="19"/>
      <c r="FKX54" s="21"/>
      <c r="FKY54" s="19"/>
      <c r="FLH54" s="19"/>
      <c r="FLI54" s="19"/>
      <c r="FLJ54" s="19"/>
      <c r="FLK54" s="19"/>
      <c r="FLL54" s="21"/>
      <c r="FLM54" s="19"/>
      <c r="FLV54" s="19"/>
      <c r="FLW54" s="19"/>
      <c r="FLX54" s="19"/>
      <c r="FLY54" s="19"/>
      <c r="FLZ54" s="21"/>
      <c r="FMA54" s="19"/>
      <c r="FMJ54" s="19"/>
      <c r="FMK54" s="19"/>
      <c r="FML54" s="19"/>
      <c r="FMM54" s="19"/>
      <c r="FMN54" s="21"/>
      <c r="FMO54" s="19"/>
      <c r="FMX54" s="19"/>
      <c r="FMY54" s="19"/>
      <c r="FMZ54" s="19"/>
      <c r="FNA54" s="19"/>
      <c r="FNB54" s="21"/>
      <c r="FNC54" s="19"/>
      <c r="FNL54" s="19"/>
      <c r="FNM54" s="19"/>
      <c r="FNN54" s="19"/>
      <c r="FNO54" s="19"/>
      <c r="FNP54" s="21"/>
      <c r="FNQ54" s="19"/>
      <c r="FNZ54" s="19"/>
      <c r="FOA54" s="19"/>
      <c r="FOB54" s="19"/>
      <c r="FOC54" s="19"/>
      <c r="FOD54" s="21"/>
      <c r="FOE54" s="19"/>
      <c r="FON54" s="19"/>
      <c r="FOO54" s="19"/>
      <c r="FOP54" s="19"/>
      <c r="FOQ54" s="19"/>
      <c r="FOR54" s="21"/>
      <c r="FOS54" s="19"/>
      <c r="FPB54" s="19"/>
      <c r="FPC54" s="19"/>
      <c r="FPD54" s="19"/>
      <c r="FPE54" s="19"/>
      <c r="FPF54" s="21"/>
      <c r="FPG54" s="19"/>
      <c r="FPP54" s="19"/>
      <c r="FPQ54" s="19"/>
      <c r="FPR54" s="19"/>
      <c r="FPS54" s="19"/>
      <c r="FPT54" s="21"/>
      <c r="FPU54" s="19"/>
      <c r="FQD54" s="19"/>
      <c r="FQE54" s="19"/>
      <c r="FQF54" s="19"/>
      <c r="FQG54" s="19"/>
      <c r="FQH54" s="21"/>
      <c r="FQI54" s="19"/>
      <c r="FQR54" s="19"/>
      <c r="FQS54" s="19"/>
      <c r="FQT54" s="19"/>
      <c r="FQU54" s="19"/>
      <c r="FQV54" s="21"/>
      <c r="FQW54" s="19"/>
      <c r="FRF54" s="19"/>
      <c r="FRG54" s="19"/>
      <c r="FRH54" s="19"/>
      <c r="FRI54" s="19"/>
      <c r="FRJ54" s="21"/>
      <c r="FRK54" s="19"/>
      <c r="FRT54" s="19"/>
      <c r="FRU54" s="19"/>
      <c r="FRV54" s="19"/>
      <c r="FRW54" s="19"/>
      <c r="FRX54" s="21"/>
      <c r="FRY54" s="19"/>
      <c r="FSH54" s="19"/>
      <c r="FSI54" s="19"/>
      <c r="FSJ54" s="19"/>
      <c r="FSK54" s="19"/>
      <c r="FSL54" s="21"/>
      <c r="FSM54" s="19"/>
      <c r="FSV54" s="19"/>
      <c r="FSW54" s="19"/>
      <c r="FSX54" s="19"/>
      <c r="FSY54" s="19"/>
      <c r="FSZ54" s="21"/>
      <c r="FTA54" s="19"/>
      <c r="FTJ54" s="19"/>
      <c r="FTK54" s="19"/>
      <c r="FTL54" s="19"/>
      <c r="FTM54" s="19"/>
      <c r="FTN54" s="21"/>
      <c r="FTO54" s="19"/>
      <c r="FTX54" s="19"/>
      <c r="FTY54" s="19"/>
      <c r="FTZ54" s="19"/>
      <c r="FUA54" s="19"/>
      <c r="FUB54" s="21"/>
      <c r="FUC54" s="19"/>
      <c r="FUL54" s="19"/>
      <c r="FUM54" s="19"/>
      <c r="FUN54" s="19"/>
      <c r="FUO54" s="19"/>
      <c r="FUP54" s="21"/>
      <c r="FUQ54" s="19"/>
      <c r="FUZ54" s="19"/>
      <c r="FVA54" s="19"/>
      <c r="FVB54" s="19"/>
      <c r="FVC54" s="19"/>
      <c r="FVD54" s="21"/>
      <c r="FVE54" s="19"/>
      <c r="FVN54" s="19"/>
      <c r="FVO54" s="19"/>
      <c r="FVP54" s="19"/>
      <c r="FVQ54" s="19"/>
      <c r="FVR54" s="21"/>
      <c r="FVS54" s="19"/>
      <c r="FWB54" s="19"/>
      <c r="FWC54" s="19"/>
      <c r="FWD54" s="19"/>
      <c r="FWE54" s="19"/>
      <c r="FWF54" s="21"/>
      <c r="FWG54" s="19"/>
      <c r="FWP54" s="19"/>
      <c r="FWQ54" s="19"/>
      <c r="FWR54" s="19"/>
      <c r="FWS54" s="19"/>
      <c r="FWT54" s="21"/>
      <c r="FWU54" s="19"/>
      <c r="FXD54" s="19"/>
      <c r="FXE54" s="19"/>
      <c r="FXF54" s="19"/>
      <c r="FXG54" s="19"/>
      <c r="FXH54" s="21"/>
      <c r="FXI54" s="19"/>
      <c r="FXR54" s="19"/>
      <c r="FXS54" s="19"/>
      <c r="FXT54" s="19"/>
      <c r="FXU54" s="19"/>
      <c r="FXV54" s="21"/>
      <c r="FXW54" s="19"/>
      <c r="FYF54" s="19"/>
      <c r="FYG54" s="19"/>
      <c r="FYH54" s="19"/>
      <c r="FYI54" s="19"/>
      <c r="FYJ54" s="21"/>
      <c r="FYK54" s="19"/>
      <c r="FYT54" s="19"/>
      <c r="FYU54" s="19"/>
      <c r="FYV54" s="19"/>
      <c r="FYW54" s="19"/>
      <c r="FYX54" s="21"/>
      <c r="FYY54" s="19"/>
      <c r="FZH54" s="19"/>
      <c r="FZI54" s="19"/>
      <c r="FZJ54" s="19"/>
      <c r="FZK54" s="19"/>
      <c r="FZL54" s="21"/>
      <c r="FZM54" s="19"/>
      <c r="FZV54" s="19"/>
      <c r="FZW54" s="19"/>
      <c r="FZX54" s="19"/>
      <c r="FZY54" s="19"/>
      <c r="FZZ54" s="21"/>
      <c r="GAA54" s="19"/>
      <c r="GAJ54" s="19"/>
      <c r="GAK54" s="19"/>
      <c r="GAL54" s="19"/>
      <c r="GAM54" s="19"/>
      <c r="GAN54" s="21"/>
      <c r="GAO54" s="19"/>
      <c r="GAX54" s="19"/>
      <c r="GAY54" s="19"/>
      <c r="GAZ54" s="19"/>
      <c r="GBA54" s="19"/>
      <c r="GBB54" s="21"/>
      <c r="GBC54" s="19"/>
      <c r="GBL54" s="19"/>
      <c r="GBM54" s="19"/>
      <c r="GBN54" s="19"/>
      <c r="GBO54" s="19"/>
      <c r="GBP54" s="21"/>
      <c r="GBQ54" s="19"/>
      <c r="GBZ54" s="19"/>
      <c r="GCA54" s="19"/>
      <c r="GCB54" s="19"/>
      <c r="GCC54" s="19"/>
      <c r="GCD54" s="21"/>
      <c r="GCE54" s="19"/>
      <c r="GCN54" s="19"/>
      <c r="GCO54" s="19"/>
      <c r="GCP54" s="19"/>
      <c r="GCQ54" s="19"/>
      <c r="GCR54" s="21"/>
      <c r="GCS54" s="19"/>
      <c r="GDB54" s="19"/>
      <c r="GDC54" s="19"/>
      <c r="GDD54" s="19"/>
      <c r="GDE54" s="19"/>
      <c r="GDF54" s="21"/>
      <c r="GDG54" s="19"/>
      <c r="GDP54" s="19"/>
      <c r="GDQ54" s="19"/>
      <c r="GDR54" s="19"/>
      <c r="GDS54" s="19"/>
      <c r="GDT54" s="21"/>
      <c r="GDU54" s="19"/>
      <c r="GED54" s="19"/>
      <c r="GEE54" s="19"/>
      <c r="GEF54" s="19"/>
      <c r="GEG54" s="19"/>
      <c r="GEH54" s="21"/>
      <c r="GEI54" s="19"/>
      <c r="GER54" s="19"/>
      <c r="GES54" s="19"/>
      <c r="GET54" s="19"/>
      <c r="GEU54" s="19"/>
      <c r="GEV54" s="21"/>
      <c r="GEW54" s="19"/>
      <c r="GFF54" s="19"/>
      <c r="GFG54" s="19"/>
      <c r="GFH54" s="19"/>
      <c r="GFI54" s="19"/>
      <c r="GFJ54" s="21"/>
      <c r="GFK54" s="19"/>
      <c r="GFT54" s="19"/>
      <c r="GFU54" s="19"/>
      <c r="GFV54" s="19"/>
      <c r="GFW54" s="19"/>
      <c r="GFX54" s="21"/>
      <c r="GFY54" s="19"/>
      <c r="GGH54" s="19"/>
      <c r="GGI54" s="19"/>
      <c r="GGJ54" s="19"/>
      <c r="GGK54" s="19"/>
      <c r="GGL54" s="21"/>
      <c r="GGM54" s="19"/>
      <c r="GGV54" s="19"/>
      <c r="GGW54" s="19"/>
      <c r="GGX54" s="19"/>
      <c r="GGY54" s="19"/>
      <c r="GGZ54" s="21"/>
      <c r="GHA54" s="19"/>
      <c r="GHJ54" s="19"/>
      <c r="GHK54" s="19"/>
      <c r="GHL54" s="19"/>
      <c r="GHM54" s="19"/>
      <c r="GHN54" s="21"/>
      <c r="GHO54" s="19"/>
      <c r="GHX54" s="19"/>
      <c r="GHY54" s="19"/>
      <c r="GHZ54" s="19"/>
      <c r="GIA54" s="19"/>
      <c r="GIB54" s="21"/>
      <c r="GIC54" s="19"/>
      <c r="GIL54" s="19"/>
      <c r="GIM54" s="19"/>
      <c r="GIN54" s="19"/>
      <c r="GIO54" s="19"/>
      <c r="GIP54" s="21"/>
      <c r="GIQ54" s="19"/>
      <c r="GIZ54" s="19"/>
      <c r="GJA54" s="19"/>
      <c r="GJB54" s="19"/>
      <c r="GJC54" s="19"/>
      <c r="GJD54" s="21"/>
      <c r="GJE54" s="19"/>
      <c r="GJN54" s="19"/>
      <c r="GJO54" s="19"/>
      <c r="GJP54" s="19"/>
      <c r="GJQ54" s="19"/>
      <c r="GJR54" s="21"/>
      <c r="GJS54" s="19"/>
      <c r="GKB54" s="19"/>
      <c r="GKC54" s="19"/>
      <c r="GKD54" s="19"/>
      <c r="GKE54" s="19"/>
      <c r="GKF54" s="21"/>
      <c r="GKG54" s="19"/>
      <c r="GKP54" s="19"/>
      <c r="GKQ54" s="19"/>
      <c r="GKR54" s="19"/>
      <c r="GKS54" s="19"/>
      <c r="GKT54" s="21"/>
      <c r="GKU54" s="19"/>
      <c r="GLD54" s="19"/>
      <c r="GLE54" s="19"/>
      <c r="GLF54" s="19"/>
      <c r="GLG54" s="19"/>
      <c r="GLH54" s="21"/>
      <c r="GLI54" s="19"/>
      <c r="GLR54" s="19"/>
      <c r="GLS54" s="19"/>
      <c r="GLT54" s="19"/>
      <c r="GLU54" s="19"/>
      <c r="GLV54" s="21"/>
      <c r="GLW54" s="19"/>
      <c r="GMF54" s="19"/>
      <c r="GMG54" s="19"/>
      <c r="GMH54" s="19"/>
      <c r="GMI54" s="19"/>
      <c r="GMJ54" s="21"/>
      <c r="GMK54" s="19"/>
      <c r="GMT54" s="19"/>
      <c r="GMU54" s="19"/>
      <c r="GMV54" s="19"/>
      <c r="GMW54" s="19"/>
      <c r="GMX54" s="21"/>
      <c r="GMY54" s="19"/>
      <c r="GNH54" s="19"/>
      <c r="GNI54" s="19"/>
      <c r="GNJ54" s="19"/>
      <c r="GNK54" s="19"/>
      <c r="GNL54" s="21"/>
      <c r="GNM54" s="19"/>
      <c r="GNV54" s="19"/>
      <c r="GNW54" s="19"/>
      <c r="GNX54" s="19"/>
      <c r="GNY54" s="19"/>
      <c r="GNZ54" s="21"/>
      <c r="GOA54" s="19"/>
      <c r="GOJ54" s="19"/>
      <c r="GOK54" s="19"/>
      <c r="GOL54" s="19"/>
      <c r="GOM54" s="19"/>
      <c r="GON54" s="21"/>
      <c r="GOO54" s="19"/>
      <c r="GOX54" s="19"/>
      <c r="GOY54" s="19"/>
      <c r="GOZ54" s="19"/>
      <c r="GPA54" s="19"/>
      <c r="GPB54" s="21"/>
      <c r="GPC54" s="19"/>
      <c r="GPL54" s="19"/>
      <c r="GPM54" s="19"/>
      <c r="GPN54" s="19"/>
      <c r="GPO54" s="19"/>
      <c r="GPP54" s="21"/>
      <c r="GPQ54" s="19"/>
      <c r="GPZ54" s="19"/>
      <c r="GQA54" s="19"/>
      <c r="GQB54" s="19"/>
      <c r="GQC54" s="19"/>
      <c r="GQD54" s="21"/>
      <c r="GQE54" s="19"/>
      <c r="GQN54" s="19"/>
      <c r="GQO54" s="19"/>
      <c r="GQP54" s="19"/>
      <c r="GQQ54" s="19"/>
      <c r="GQR54" s="21"/>
      <c r="GQS54" s="19"/>
      <c r="GRB54" s="19"/>
      <c r="GRC54" s="19"/>
      <c r="GRD54" s="19"/>
      <c r="GRE54" s="19"/>
      <c r="GRF54" s="21"/>
      <c r="GRG54" s="19"/>
      <c r="GRP54" s="19"/>
      <c r="GRQ54" s="19"/>
      <c r="GRR54" s="19"/>
      <c r="GRS54" s="19"/>
      <c r="GRT54" s="21"/>
      <c r="GRU54" s="19"/>
      <c r="GSD54" s="19"/>
      <c r="GSE54" s="19"/>
      <c r="GSF54" s="19"/>
      <c r="GSG54" s="19"/>
      <c r="GSH54" s="21"/>
      <c r="GSI54" s="19"/>
      <c r="GSR54" s="19"/>
      <c r="GSS54" s="19"/>
      <c r="GST54" s="19"/>
      <c r="GSU54" s="19"/>
      <c r="GSV54" s="21"/>
      <c r="GSW54" s="19"/>
      <c r="GTF54" s="19"/>
      <c r="GTG54" s="19"/>
      <c r="GTH54" s="19"/>
      <c r="GTI54" s="19"/>
      <c r="GTJ54" s="21"/>
      <c r="GTK54" s="19"/>
      <c r="GTT54" s="19"/>
      <c r="GTU54" s="19"/>
      <c r="GTV54" s="19"/>
      <c r="GTW54" s="19"/>
      <c r="GTX54" s="21"/>
      <c r="GTY54" s="19"/>
      <c r="GUH54" s="19"/>
      <c r="GUI54" s="19"/>
      <c r="GUJ54" s="19"/>
      <c r="GUK54" s="19"/>
      <c r="GUL54" s="21"/>
      <c r="GUM54" s="19"/>
      <c r="GUV54" s="19"/>
      <c r="GUW54" s="19"/>
      <c r="GUX54" s="19"/>
      <c r="GUY54" s="19"/>
      <c r="GUZ54" s="21"/>
      <c r="GVA54" s="19"/>
      <c r="GVJ54" s="19"/>
      <c r="GVK54" s="19"/>
      <c r="GVL54" s="19"/>
      <c r="GVM54" s="19"/>
      <c r="GVN54" s="21"/>
      <c r="GVO54" s="19"/>
      <c r="GVX54" s="19"/>
      <c r="GVY54" s="19"/>
      <c r="GVZ54" s="19"/>
      <c r="GWA54" s="19"/>
      <c r="GWB54" s="21"/>
      <c r="GWC54" s="19"/>
      <c r="GWL54" s="19"/>
      <c r="GWM54" s="19"/>
      <c r="GWN54" s="19"/>
      <c r="GWO54" s="19"/>
      <c r="GWP54" s="21"/>
      <c r="GWQ54" s="19"/>
      <c r="GWZ54" s="19"/>
      <c r="GXA54" s="19"/>
      <c r="GXB54" s="19"/>
      <c r="GXC54" s="19"/>
      <c r="GXD54" s="21"/>
      <c r="GXE54" s="19"/>
      <c r="GXN54" s="19"/>
      <c r="GXO54" s="19"/>
      <c r="GXP54" s="19"/>
      <c r="GXQ54" s="19"/>
      <c r="GXR54" s="21"/>
      <c r="GXS54" s="19"/>
      <c r="GYB54" s="19"/>
      <c r="GYC54" s="19"/>
      <c r="GYD54" s="19"/>
      <c r="GYE54" s="19"/>
      <c r="GYF54" s="21"/>
      <c r="GYG54" s="19"/>
      <c r="GYP54" s="19"/>
      <c r="GYQ54" s="19"/>
      <c r="GYR54" s="19"/>
      <c r="GYS54" s="19"/>
      <c r="GYT54" s="21"/>
      <c r="GYU54" s="19"/>
      <c r="GZD54" s="19"/>
      <c r="GZE54" s="19"/>
      <c r="GZF54" s="19"/>
      <c r="GZG54" s="19"/>
      <c r="GZH54" s="21"/>
      <c r="GZI54" s="19"/>
      <c r="GZR54" s="19"/>
      <c r="GZS54" s="19"/>
      <c r="GZT54" s="19"/>
      <c r="GZU54" s="19"/>
      <c r="GZV54" s="21"/>
      <c r="GZW54" s="19"/>
      <c r="HAF54" s="19"/>
      <c r="HAG54" s="19"/>
      <c r="HAH54" s="19"/>
      <c r="HAI54" s="19"/>
      <c r="HAJ54" s="21"/>
      <c r="HAK54" s="19"/>
      <c r="HAT54" s="19"/>
      <c r="HAU54" s="19"/>
      <c r="HAV54" s="19"/>
      <c r="HAW54" s="19"/>
      <c r="HAX54" s="21"/>
      <c r="HAY54" s="19"/>
      <c r="HBH54" s="19"/>
      <c r="HBI54" s="19"/>
      <c r="HBJ54" s="19"/>
      <c r="HBK54" s="19"/>
      <c r="HBL54" s="21"/>
      <c r="HBM54" s="19"/>
      <c r="HBV54" s="19"/>
      <c r="HBW54" s="19"/>
      <c r="HBX54" s="19"/>
      <c r="HBY54" s="19"/>
      <c r="HBZ54" s="21"/>
      <c r="HCA54" s="19"/>
      <c r="HCJ54" s="19"/>
      <c r="HCK54" s="19"/>
      <c r="HCL54" s="19"/>
      <c r="HCM54" s="19"/>
      <c r="HCN54" s="21"/>
      <c r="HCO54" s="19"/>
      <c r="HCX54" s="19"/>
      <c r="HCY54" s="19"/>
      <c r="HCZ54" s="19"/>
      <c r="HDA54" s="19"/>
      <c r="HDB54" s="21"/>
      <c r="HDC54" s="19"/>
      <c r="HDL54" s="19"/>
      <c r="HDM54" s="19"/>
      <c r="HDN54" s="19"/>
      <c r="HDO54" s="19"/>
      <c r="HDP54" s="21"/>
      <c r="HDQ54" s="19"/>
      <c r="HDZ54" s="19"/>
      <c r="HEA54" s="19"/>
      <c r="HEB54" s="19"/>
      <c r="HEC54" s="19"/>
      <c r="HED54" s="21"/>
      <c r="HEE54" s="19"/>
      <c r="HEN54" s="19"/>
      <c r="HEO54" s="19"/>
      <c r="HEP54" s="19"/>
      <c r="HEQ54" s="19"/>
      <c r="HER54" s="21"/>
      <c r="HES54" s="19"/>
      <c r="HFB54" s="19"/>
      <c r="HFC54" s="19"/>
      <c r="HFD54" s="19"/>
      <c r="HFE54" s="19"/>
      <c r="HFF54" s="21"/>
      <c r="HFG54" s="19"/>
      <c r="HFP54" s="19"/>
      <c r="HFQ54" s="19"/>
      <c r="HFR54" s="19"/>
      <c r="HFS54" s="19"/>
      <c r="HFT54" s="21"/>
      <c r="HFU54" s="19"/>
      <c r="HGD54" s="19"/>
      <c r="HGE54" s="19"/>
      <c r="HGF54" s="19"/>
      <c r="HGG54" s="19"/>
      <c r="HGH54" s="21"/>
      <c r="HGI54" s="19"/>
      <c r="HGR54" s="19"/>
      <c r="HGS54" s="19"/>
      <c r="HGT54" s="19"/>
      <c r="HGU54" s="19"/>
      <c r="HGV54" s="21"/>
      <c r="HGW54" s="19"/>
      <c r="HHF54" s="19"/>
      <c r="HHG54" s="19"/>
      <c r="HHH54" s="19"/>
      <c r="HHI54" s="19"/>
      <c r="HHJ54" s="21"/>
      <c r="HHK54" s="19"/>
      <c r="HHT54" s="19"/>
      <c r="HHU54" s="19"/>
      <c r="HHV54" s="19"/>
      <c r="HHW54" s="19"/>
      <c r="HHX54" s="21"/>
      <c r="HHY54" s="19"/>
      <c r="HIH54" s="19"/>
      <c r="HII54" s="19"/>
      <c r="HIJ54" s="19"/>
      <c r="HIK54" s="19"/>
      <c r="HIL54" s="21"/>
      <c r="HIM54" s="19"/>
      <c r="HIV54" s="19"/>
      <c r="HIW54" s="19"/>
      <c r="HIX54" s="19"/>
      <c r="HIY54" s="19"/>
      <c r="HIZ54" s="21"/>
      <c r="HJA54" s="19"/>
      <c r="HJJ54" s="19"/>
      <c r="HJK54" s="19"/>
      <c r="HJL54" s="19"/>
      <c r="HJM54" s="19"/>
      <c r="HJN54" s="21"/>
      <c r="HJO54" s="19"/>
      <c r="HJX54" s="19"/>
      <c r="HJY54" s="19"/>
      <c r="HJZ54" s="19"/>
      <c r="HKA54" s="19"/>
      <c r="HKB54" s="21"/>
      <c r="HKC54" s="19"/>
      <c r="HKL54" s="19"/>
      <c r="HKM54" s="19"/>
      <c r="HKN54" s="19"/>
      <c r="HKO54" s="19"/>
      <c r="HKP54" s="21"/>
      <c r="HKQ54" s="19"/>
      <c r="HKZ54" s="19"/>
      <c r="HLA54" s="19"/>
      <c r="HLB54" s="19"/>
      <c r="HLC54" s="19"/>
      <c r="HLD54" s="21"/>
      <c r="HLE54" s="19"/>
      <c r="HLN54" s="19"/>
      <c r="HLO54" s="19"/>
      <c r="HLP54" s="19"/>
      <c r="HLQ54" s="19"/>
      <c r="HLR54" s="21"/>
      <c r="HLS54" s="19"/>
      <c r="HMB54" s="19"/>
      <c r="HMC54" s="19"/>
      <c r="HMD54" s="19"/>
      <c r="HME54" s="19"/>
      <c r="HMF54" s="21"/>
      <c r="HMG54" s="19"/>
      <c r="HMP54" s="19"/>
      <c r="HMQ54" s="19"/>
      <c r="HMR54" s="19"/>
      <c r="HMS54" s="19"/>
      <c r="HMT54" s="21"/>
      <c r="HMU54" s="19"/>
      <c r="HND54" s="19"/>
      <c r="HNE54" s="19"/>
      <c r="HNF54" s="19"/>
      <c r="HNG54" s="19"/>
      <c r="HNH54" s="21"/>
      <c r="HNI54" s="19"/>
      <c r="HNR54" s="19"/>
      <c r="HNS54" s="19"/>
      <c r="HNT54" s="19"/>
      <c r="HNU54" s="19"/>
      <c r="HNV54" s="21"/>
      <c r="HNW54" s="19"/>
      <c r="HOF54" s="19"/>
      <c r="HOG54" s="19"/>
      <c r="HOH54" s="19"/>
      <c r="HOI54" s="19"/>
      <c r="HOJ54" s="21"/>
      <c r="HOK54" s="19"/>
      <c r="HOT54" s="19"/>
      <c r="HOU54" s="19"/>
      <c r="HOV54" s="19"/>
      <c r="HOW54" s="19"/>
      <c r="HOX54" s="21"/>
      <c r="HOY54" s="19"/>
      <c r="HPH54" s="19"/>
      <c r="HPI54" s="19"/>
      <c r="HPJ54" s="19"/>
      <c r="HPK54" s="19"/>
      <c r="HPL54" s="21"/>
      <c r="HPM54" s="19"/>
      <c r="HPV54" s="19"/>
      <c r="HPW54" s="19"/>
      <c r="HPX54" s="19"/>
      <c r="HPY54" s="19"/>
      <c r="HPZ54" s="21"/>
      <c r="HQA54" s="19"/>
      <c r="HQJ54" s="19"/>
      <c r="HQK54" s="19"/>
      <c r="HQL54" s="19"/>
      <c r="HQM54" s="19"/>
      <c r="HQN54" s="21"/>
      <c r="HQO54" s="19"/>
      <c r="HQX54" s="19"/>
      <c r="HQY54" s="19"/>
      <c r="HQZ54" s="19"/>
      <c r="HRA54" s="19"/>
      <c r="HRB54" s="21"/>
      <c r="HRC54" s="19"/>
      <c r="HRL54" s="19"/>
      <c r="HRM54" s="19"/>
      <c r="HRN54" s="19"/>
      <c r="HRO54" s="19"/>
      <c r="HRP54" s="21"/>
      <c r="HRQ54" s="19"/>
      <c r="HRZ54" s="19"/>
      <c r="HSA54" s="19"/>
      <c r="HSB54" s="19"/>
      <c r="HSC54" s="19"/>
      <c r="HSD54" s="21"/>
      <c r="HSE54" s="19"/>
      <c r="HSN54" s="19"/>
      <c r="HSO54" s="19"/>
      <c r="HSP54" s="19"/>
      <c r="HSQ54" s="19"/>
      <c r="HSR54" s="21"/>
      <c r="HSS54" s="19"/>
      <c r="HTB54" s="19"/>
      <c r="HTC54" s="19"/>
      <c r="HTD54" s="19"/>
      <c r="HTE54" s="19"/>
      <c r="HTF54" s="21"/>
      <c r="HTG54" s="19"/>
      <c r="HTP54" s="19"/>
      <c r="HTQ54" s="19"/>
      <c r="HTR54" s="19"/>
      <c r="HTS54" s="19"/>
      <c r="HTT54" s="21"/>
      <c r="HTU54" s="19"/>
      <c r="HUD54" s="19"/>
      <c r="HUE54" s="19"/>
      <c r="HUF54" s="19"/>
      <c r="HUG54" s="19"/>
      <c r="HUH54" s="21"/>
      <c r="HUI54" s="19"/>
      <c r="HUR54" s="19"/>
      <c r="HUS54" s="19"/>
      <c r="HUT54" s="19"/>
      <c r="HUU54" s="19"/>
      <c r="HUV54" s="21"/>
      <c r="HUW54" s="19"/>
      <c r="HVF54" s="19"/>
      <c r="HVG54" s="19"/>
      <c r="HVH54" s="19"/>
      <c r="HVI54" s="19"/>
      <c r="HVJ54" s="21"/>
      <c r="HVK54" s="19"/>
      <c r="HVT54" s="19"/>
      <c r="HVU54" s="19"/>
      <c r="HVV54" s="19"/>
      <c r="HVW54" s="19"/>
      <c r="HVX54" s="21"/>
      <c r="HVY54" s="19"/>
      <c r="HWH54" s="19"/>
      <c r="HWI54" s="19"/>
      <c r="HWJ54" s="19"/>
      <c r="HWK54" s="19"/>
      <c r="HWL54" s="21"/>
      <c r="HWM54" s="19"/>
      <c r="HWV54" s="19"/>
      <c r="HWW54" s="19"/>
      <c r="HWX54" s="19"/>
      <c r="HWY54" s="19"/>
      <c r="HWZ54" s="21"/>
      <c r="HXA54" s="19"/>
      <c r="HXJ54" s="19"/>
      <c r="HXK54" s="19"/>
      <c r="HXL54" s="19"/>
      <c r="HXM54" s="19"/>
      <c r="HXN54" s="21"/>
      <c r="HXO54" s="19"/>
      <c r="HXX54" s="19"/>
      <c r="HXY54" s="19"/>
      <c r="HXZ54" s="19"/>
      <c r="HYA54" s="19"/>
      <c r="HYB54" s="21"/>
      <c r="HYC54" s="19"/>
      <c r="HYL54" s="19"/>
      <c r="HYM54" s="19"/>
      <c r="HYN54" s="19"/>
      <c r="HYO54" s="19"/>
      <c r="HYP54" s="21"/>
      <c r="HYQ54" s="19"/>
      <c r="HYZ54" s="19"/>
      <c r="HZA54" s="19"/>
      <c r="HZB54" s="19"/>
      <c r="HZC54" s="19"/>
      <c r="HZD54" s="21"/>
      <c r="HZE54" s="19"/>
      <c r="HZN54" s="19"/>
      <c r="HZO54" s="19"/>
      <c r="HZP54" s="19"/>
      <c r="HZQ54" s="19"/>
      <c r="HZR54" s="21"/>
      <c r="HZS54" s="19"/>
      <c r="IAB54" s="19"/>
      <c r="IAC54" s="19"/>
      <c r="IAD54" s="19"/>
      <c r="IAE54" s="19"/>
      <c r="IAF54" s="21"/>
      <c r="IAG54" s="19"/>
      <c r="IAP54" s="19"/>
      <c r="IAQ54" s="19"/>
      <c r="IAR54" s="19"/>
      <c r="IAS54" s="19"/>
      <c r="IAT54" s="21"/>
      <c r="IAU54" s="19"/>
      <c r="IBD54" s="19"/>
      <c r="IBE54" s="19"/>
      <c r="IBF54" s="19"/>
      <c r="IBG54" s="19"/>
      <c r="IBH54" s="21"/>
      <c r="IBI54" s="19"/>
      <c r="IBR54" s="19"/>
      <c r="IBS54" s="19"/>
      <c r="IBT54" s="19"/>
      <c r="IBU54" s="19"/>
      <c r="IBV54" s="21"/>
      <c r="IBW54" s="19"/>
      <c r="ICF54" s="19"/>
      <c r="ICG54" s="19"/>
      <c r="ICH54" s="19"/>
      <c r="ICI54" s="19"/>
      <c r="ICJ54" s="21"/>
      <c r="ICK54" s="19"/>
      <c r="ICT54" s="19"/>
      <c r="ICU54" s="19"/>
      <c r="ICV54" s="19"/>
      <c r="ICW54" s="19"/>
      <c r="ICX54" s="21"/>
      <c r="ICY54" s="19"/>
      <c r="IDH54" s="19"/>
      <c r="IDI54" s="19"/>
      <c r="IDJ54" s="19"/>
      <c r="IDK54" s="19"/>
      <c r="IDL54" s="21"/>
      <c r="IDM54" s="19"/>
      <c r="IDV54" s="19"/>
      <c r="IDW54" s="19"/>
      <c r="IDX54" s="19"/>
      <c r="IDY54" s="19"/>
      <c r="IDZ54" s="21"/>
      <c r="IEA54" s="19"/>
      <c r="IEJ54" s="19"/>
      <c r="IEK54" s="19"/>
      <c r="IEL54" s="19"/>
      <c r="IEM54" s="19"/>
      <c r="IEN54" s="21"/>
      <c r="IEO54" s="19"/>
      <c r="IEX54" s="19"/>
      <c r="IEY54" s="19"/>
      <c r="IEZ54" s="19"/>
      <c r="IFA54" s="19"/>
      <c r="IFB54" s="21"/>
      <c r="IFC54" s="19"/>
      <c r="IFL54" s="19"/>
      <c r="IFM54" s="19"/>
      <c r="IFN54" s="19"/>
      <c r="IFO54" s="19"/>
      <c r="IFP54" s="21"/>
      <c r="IFQ54" s="19"/>
      <c r="IFZ54" s="19"/>
      <c r="IGA54" s="19"/>
      <c r="IGB54" s="19"/>
      <c r="IGC54" s="19"/>
      <c r="IGD54" s="21"/>
      <c r="IGE54" s="19"/>
      <c r="IGN54" s="19"/>
      <c r="IGO54" s="19"/>
      <c r="IGP54" s="19"/>
      <c r="IGQ54" s="19"/>
      <c r="IGR54" s="21"/>
      <c r="IGS54" s="19"/>
      <c r="IHB54" s="19"/>
      <c r="IHC54" s="19"/>
      <c r="IHD54" s="19"/>
      <c r="IHE54" s="19"/>
      <c r="IHF54" s="21"/>
      <c r="IHG54" s="19"/>
      <c r="IHP54" s="19"/>
      <c r="IHQ54" s="19"/>
      <c r="IHR54" s="19"/>
      <c r="IHS54" s="19"/>
      <c r="IHT54" s="21"/>
      <c r="IHU54" s="19"/>
      <c r="IID54" s="19"/>
      <c r="IIE54" s="19"/>
      <c r="IIF54" s="19"/>
      <c r="IIG54" s="19"/>
      <c r="IIH54" s="21"/>
      <c r="III54" s="19"/>
      <c r="IIR54" s="19"/>
      <c r="IIS54" s="19"/>
      <c r="IIT54" s="19"/>
      <c r="IIU54" s="19"/>
      <c r="IIV54" s="21"/>
      <c r="IIW54" s="19"/>
      <c r="IJF54" s="19"/>
      <c r="IJG54" s="19"/>
      <c r="IJH54" s="19"/>
      <c r="IJI54" s="19"/>
      <c r="IJJ54" s="21"/>
      <c r="IJK54" s="19"/>
      <c r="IJT54" s="19"/>
      <c r="IJU54" s="19"/>
      <c r="IJV54" s="19"/>
      <c r="IJW54" s="19"/>
      <c r="IJX54" s="21"/>
      <c r="IJY54" s="19"/>
      <c r="IKH54" s="19"/>
      <c r="IKI54" s="19"/>
      <c r="IKJ54" s="19"/>
      <c r="IKK54" s="19"/>
      <c r="IKL54" s="21"/>
      <c r="IKM54" s="19"/>
      <c r="IKV54" s="19"/>
      <c r="IKW54" s="19"/>
      <c r="IKX54" s="19"/>
      <c r="IKY54" s="19"/>
      <c r="IKZ54" s="21"/>
      <c r="ILA54" s="19"/>
      <c r="ILJ54" s="19"/>
      <c r="ILK54" s="19"/>
      <c r="ILL54" s="19"/>
      <c r="ILM54" s="19"/>
      <c r="ILN54" s="21"/>
      <c r="ILO54" s="19"/>
      <c r="ILX54" s="19"/>
      <c r="ILY54" s="19"/>
      <c r="ILZ54" s="19"/>
      <c r="IMA54" s="19"/>
      <c r="IMB54" s="21"/>
      <c r="IMC54" s="19"/>
      <c r="IML54" s="19"/>
      <c r="IMM54" s="19"/>
      <c r="IMN54" s="19"/>
      <c r="IMO54" s="19"/>
      <c r="IMP54" s="21"/>
      <c r="IMQ54" s="19"/>
      <c r="IMZ54" s="19"/>
      <c r="INA54" s="19"/>
      <c r="INB54" s="19"/>
      <c r="INC54" s="19"/>
      <c r="IND54" s="21"/>
      <c r="INE54" s="19"/>
      <c r="INN54" s="19"/>
      <c r="INO54" s="19"/>
      <c r="INP54" s="19"/>
      <c r="INQ54" s="19"/>
      <c r="INR54" s="21"/>
      <c r="INS54" s="19"/>
      <c r="IOB54" s="19"/>
      <c r="IOC54" s="19"/>
      <c r="IOD54" s="19"/>
      <c r="IOE54" s="19"/>
      <c r="IOF54" s="21"/>
      <c r="IOG54" s="19"/>
      <c r="IOP54" s="19"/>
      <c r="IOQ54" s="19"/>
      <c r="IOR54" s="19"/>
      <c r="IOS54" s="19"/>
      <c r="IOT54" s="21"/>
      <c r="IOU54" s="19"/>
      <c r="IPD54" s="19"/>
      <c r="IPE54" s="19"/>
      <c r="IPF54" s="19"/>
      <c r="IPG54" s="19"/>
      <c r="IPH54" s="21"/>
      <c r="IPI54" s="19"/>
      <c r="IPR54" s="19"/>
      <c r="IPS54" s="19"/>
      <c r="IPT54" s="19"/>
      <c r="IPU54" s="19"/>
      <c r="IPV54" s="21"/>
      <c r="IPW54" s="19"/>
      <c r="IQF54" s="19"/>
      <c r="IQG54" s="19"/>
      <c r="IQH54" s="19"/>
      <c r="IQI54" s="19"/>
      <c r="IQJ54" s="21"/>
      <c r="IQK54" s="19"/>
      <c r="IQT54" s="19"/>
      <c r="IQU54" s="19"/>
      <c r="IQV54" s="19"/>
      <c r="IQW54" s="19"/>
      <c r="IQX54" s="21"/>
      <c r="IQY54" s="19"/>
      <c r="IRH54" s="19"/>
      <c r="IRI54" s="19"/>
      <c r="IRJ54" s="19"/>
      <c r="IRK54" s="19"/>
      <c r="IRL54" s="21"/>
      <c r="IRM54" s="19"/>
      <c r="IRV54" s="19"/>
      <c r="IRW54" s="19"/>
      <c r="IRX54" s="19"/>
      <c r="IRY54" s="19"/>
      <c r="IRZ54" s="21"/>
      <c r="ISA54" s="19"/>
      <c r="ISJ54" s="19"/>
      <c r="ISK54" s="19"/>
      <c r="ISL54" s="19"/>
      <c r="ISM54" s="19"/>
      <c r="ISN54" s="21"/>
      <c r="ISO54" s="19"/>
      <c r="ISX54" s="19"/>
      <c r="ISY54" s="19"/>
      <c r="ISZ54" s="19"/>
      <c r="ITA54" s="19"/>
      <c r="ITB54" s="21"/>
      <c r="ITC54" s="19"/>
      <c r="ITL54" s="19"/>
      <c r="ITM54" s="19"/>
      <c r="ITN54" s="19"/>
      <c r="ITO54" s="19"/>
      <c r="ITP54" s="21"/>
      <c r="ITQ54" s="19"/>
      <c r="ITZ54" s="19"/>
      <c r="IUA54" s="19"/>
      <c r="IUB54" s="19"/>
      <c r="IUC54" s="19"/>
      <c r="IUD54" s="21"/>
      <c r="IUE54" s="19"/>
      <c r="IUN54" s="19"/>
      <c r="IUO54" s="19"/>
      <c r="IUP54" s="19"/>
      <c r="IUQ54" s="19"/>
      <c r="IUR54" s="21"/>
      <c r="IUS54" s="19"/>
      <c r="IVB54" s="19"/>
      <c r="IVC54" s="19"/>
      <c r="IVD54" s="19"/>
      <c r="IVE54" s="19"/>
      <c r="IVF54" s="21"/>
      <c r="IVG54" s="19"/>
      <c r="IVP54" s="19"/>
      <c r="IVQ54" s="19"/>
      <c r="IVR54" s="19"/>
      <c r="IVS54" s="19"/>
      <c r="IVT54" s="21"/>
      <c r="IVU54" s="19"/>
      <c r="IWD54" s="19"/>
      <c r="IWE54" s="19"/>
      <c r="IWF54" s="19"/>
      <c r="IWG54" s="19"/>
      <c r="IWH54" s="21"/>
      <c r="IWI54" s="19"/>
      <c r="IWR54" s="19"/>
      <c r="IWS54" s="19"/>
      <c r="IWT54" s="19"/>
      <c r="IWU54" s="19"/>
      <c r="IWV54" s="21"/>
      <c r="IWW54" s="19"/>
      <c r="IXF54" s="19"/>
      <c r="IXG54" s="19"/>
      <c r="IXH54" s="19"/>
      <c r="IXI54" s="19"/>
      <c r="IXJ54" s="21"/>
      <c r="IXK54" s="19"/>
      <c r="IXT54" s="19"/>
      <c r="IXU54" s="19"/>
      <c r="IXV54" s="19"/>
      <c r="IXW54" s="19"/>
      <c r="IXX54" s="21"/>
      <c r="IXY54" s="19"/>
      <c r="IYH54" s="19"/>
      <c r="IYI54" s="19"/>
      <c r="IYJ54" s="19"/>
      <c r="IYK54" s="19"/>
      <c r="IYL54" s="21"/>
      <c r="IYM54" s="19"/>
      <c r="IYV54" s="19"/>
      <c r="IYW54" s="19"/>
      <c r="IYX54" s="19"/>
      <c r="IYY54" s="19"/>
      <c r="IYZ54" s="21"/>
      <c r="IZA54" s="19"/>
      <c r="IZJ54" s="19"/>
      <c r="IZK54" s="19"/>
      <c r="IZL54" s="19"/>
      <c r="IZM54" s="19"/>
      <c r="IZN54" s="21"/>
      <c r="IZO54" s="19"/>
      <c r="IZX54" s="19"/>
      <c r="IZY54" s="19"/>
      <c r="IZZ54" s="19"/>
      <c r="JAA54" s="19"/>
      <c r="JAB54" s="21"/>
      <c r="JAC54" s="19"/>
      <c r="JAL54" s="19"/>
      <c r="JAM54" s="19"/>
      <c r="JAN54" s="19"/>
      <c r="JAO54" s="19"/>
      <c r="JAP54" s="21"/>
      <c r="JAQ54" s="19"/>
      <c r="JAZ54" s="19"/>
      <c r="JBA54" s="19"/>
      <c r="JBB54" s="19"/>
      <c r="JBC54" s="19"/>
      <c r="JBD54" s="21"/>
      <c r="JBE54" s="19"/>
      <c r="JBN54" s="19"/>
      <c r="JBO54" s="19"/>
      <c r="JBP54" s="19"/>
      <c r="JBQ54" s="19"/>
      <c r="JBR54" s="21"/>
      <c r="JBS54" s="19"/>
      <c r="JCB54" s="19"/>
      <c r="JCC54" s="19"/>
      <c r="JCD54" s="19"/>
      <c r="JCE54" s="19"/>
      <c r="JCF54" s="21"/>
      <c r="JCG54" s="19"/>
      <c r="JCP54" s="19"/>
      <c r="JCQ54" s="19"/>
      <c r="JCR54" s="19"/>
      <c r="JCS54" s="19"/>
      <c r="JCT54" s="21"/>
      <c r="JCU54" s="19"/>
      <c r="JDD54" s="19"/>
      <c r="JDE54" s="19"/>
      <c r="JDF54" s="19"/>
      <c r="JDG54" s="19"/>
      <c r="JDH54" s="21"/>
      <c r="JDI54" s="19"/>
      <c r="JDR54" s="19"/>
      <c r="JDS54" s="19"/>
      <c r="JDT54" s="19"/>
      <c r="JDU54" s="19"/>
      <c r="JDV54" s="21"/>
      <c r="JDW54" s="19"/>
      <c r="JEF54" s="19"/>
      <c r="JEG54" s="19"/>
      <c r="JEH54" s="19"/>
      <c r="JEI54" s="19"/>
      <c r="JEJ54" s="21"/>
      <c r="JEK54" s="19"/>
      <c r="JET54" s="19"/>
      <c r="JEU54" s="19"/>
      <c r="JEV54" s="19"/>
      <c r="JEW54" s="19"/>
      <c r="JEX54" s="21"/>
      <c r="JEY54" s="19"/>
      <c r="JFH54" s="19"/>
      <c r="JFI54" s="19"/>
      <c r="JFJ54" s="19"/>
      <c r="JFK54" s="19"/>
      <c r="JFL54" s="21"/>
      <c r="JFM54" s="19"/>
      <c r="JFV54" s="19"/>
      <c r="JFW54" s="19"/>
      <c r="JFX54" s="19"/>
      <c r="JFY54" s="19"/>
      <c r="JFZ54" s="21"/>
      <c r="JGA54" s="19"/>
      <c r="JGJ54" s="19"/>
      <c r="JGK54" s="19"/>
      <c r="JGL54" s="19"/>
      <c r="JGM54" s="19"/>
      <c r="JGN54" s="21"/>
      <c r="JGO54" s="19"/>
      <c r="JGX54" s="19"/>
      <c r="JGY54" s="19"/>
      <c r="JGZ54" s="19"/>
      <c r="JHA54" s="19"/>
      <c r="JHB54" s="21"/>
      <c r="JHC54" s="19"/>
      <c r="JHL54" s="19"/>
      <c r="JHM54" s="19"/>
      <c r="JHN54" s="19"/>
      <c r="JHO54" s="19"/>
      <c r="JHP54" s="21"/>
      <c r="JHQ54" s="19"/>
      <c r="JHZ54" s="19"/>
      <c r="JIA54" s="19"/>
      <c r="JIB54" s="19"/>
      <c r="JIC54" s="19"/>
      <c r="JID54" s="21"/>
      <c r="JIE54" s="19"/>
      <c r="JIN54" s="19"/>
      <c r="JIO54" s="19"/>
      <c r="JIP54" s="19"/>
      <c r="JIQ54" s="19"/>
      <c r="JIR54" s="21"/>
      <c r="JIS54" s="19"/>
      <c r="JJB54" s="19"/>
      <c r="JJC54" s="19"/>
      <c r="JJD54" s="19"/>
      <c r="JJE54" s="19"/>
      <c r="JJF54" s="21"/>
      <c r="JJG54" s="19"/>
      <c r="JJP54" s="19"/>
      <c r="JJQ54" s="19"/>
      <c r="JJR54" s="19"/>
      <c r="JJS54" s="19"/>
      <c r="JJT54" s="21"/>
      <c r="JJU54" s="19"/>
      <c r="JKD54" s="19"/>
      <c r="JKE54" s="19"/>
      <c r="JKF54" s="19"/>
      <c r="JKG54" s="19"/>
      <c r="JKH54" s="21"/>
      <c r="JKI54" s="19"/>
      <c r="JKR54" s="19"/>
      <c r="JKS54" s="19"/>
      <c r="JKT54" s="19"/>
      <c r="JKU54" s="19"/>
      <c r="JKV54" s="21"/>
      <c r="JKW54" s="19"/>
      <c r="JLF54" s="19"/>
      <c r="JLG54" s="19"/>
      <c r="JLH54" s="19"/>
      <c r="JLI54" s="19"/>
      <c r="JLJ54" s="21"/>
      <c r="JLK54" s="19"/>
      <c r="JLT54" s="19"/>
      <c r="JLU54" s="19"/>
      <c r="JLV54" s="19"/>
      <c r="JLW54" s="19"/>
      <c r="JLX54" s="21"/>
      <c r="JLY54" s="19"/>
      <c r="JMH54" s="19"/>
      <c r="JMI54" s="19"/>
      <c r="JMJ54" s="19"/>
      <c r="JMK54" s="19"/>
      <c r="JML54" s="21"/>
      <c r="JMM54" s="19"/>
      <c r="JMV54" s="19"/>
      <c r="JMW54" s="19"/>
      <c r="JMX54" s="19"/>
      <c r="JMY54" s="19"/>
      <c r="JMZ54" s="21"/>
      <c r="JNA54" s="19"/>
      <c r="JNJ54" s="19"/>
      <c r="JNK54" s="19"/>
      <c r="JNL54" s="19"/>
      <c r="JNM54" s="19"/>
      <c r="JNN54" s="21"/>
      <c r="JNO54" s="19"/>
      <c r="JNX54" s="19"/>
      <c r="JNY54" s="19"/>
      <c r="JNZ54" s="19"/>
      <c r="JOA54" s="19"/>
      <c r="JOB54" s="21"/>
      <c r="JOC54" s="19"/>
      <c r="JOL54" s="19"/>
      <c r="JOM54" s="19"/>
      <c r="JON54" s="19"/>
      <c r="JOO54" s="19"/>
      <c r="JOP54" s="21"/>
      <c r="JOQ54" s="19"/>
      <c r="JOZ54" s="19"/>
      <c r="JPA54" s="19"/>
      <c r="JPB54" s="19"/>
      <c r="JPC54" s="19"/>
      <c r="JPD54" s="21"/>
      <c r="JPE54" s="19"/>
      <c r="JPN54" s="19"/>
      <c r="JPO54" s="19"/>
      <c r="JPP54" s="19"/>
      <c r="JPQ54" s="19"/>
      <c r="JPR54" s="21"/>
      <c r="JPS54" s="19"/>
      <c r="JQB54" s="19"/>
      <c r="JQC54" s="19"/>
      <c r="JQD54" s="19"/>
      <c r="JQE54" s="19"/>
      <c r="JQF54" s="21"/>
      <c r="JQG54" s="19"/>
      <c r="JQP54" s="19"/>
      <c r="JQQ54" s="19"/>
      <c r="JQR54" s="19"/>
      <c r="JQS54" s="19"/>
      <c r="JQT54" s="21"/>
      <c r="JQU54" s="19"/>
      <c r="JRD54" s="19"/>
      <c r="JRE54" s="19"/>
      <c r="JRF54" s="19"/>
      <c r="JRG54" s="19"/>
      <c r="JRH54" s="21"/>
      <c r="JRI54" s="19"/>
      <c r="JRR54" s="19"/>
      <c r="JRS54" s="19"/>
      <c r="JRT54" s="19"/>
      <c r="JRU54" s="19"/>
      <c r="JRV54" s="21"/>
      <c r="JRW54" s="19"/>
      <c r="JSF54" s="19"/>
      <c r="JSG54" s="19"/>
      <c r="JSH54" s="19"/>
      <c r="JSI54" s="19"/>
      <c r="JSJ54" s="21"/>
      <c r="JSK54" s="19"/>
      <c r="JST54" s="19"/>
      <c r="JSU54" s="19"/>
      <c r="JSV54" s="19"/>
      <c r="JSW54" s="19"/>
      <c r="JSX54" s="21"/>
      <c r="JSY54" s="19"/>
      <c r="JTH54" s="19"/>
      <c r="JTI54" s="19"/>
      <c r="JTJ54" s="19"/>
      <c r="JTK54" s="19"/>
      <c r="JTL54" s="21"/>
      <c r="JTM54" s="19"/>
      <c r="JTV54" s="19"/>
      <c r="JTW54" s="19"/>
      <c r="JTX54" s="19"/>
      <c r="JTY54" s="19"/>
      <c r="JTZ54" s="21"/>
      <c r="JUA54" s="19"/>
      <c r="JUJ54" s="19"/>
      <c r="JUK54" s="19"/>
      <c r="JUL54" s="19"/>
      <c r="JUM54" s="19"/>
      <c r="JUN54" s="21"/>
      <c r="JUO54" s="19"/>
      <c r="JUX54" s="19"/>
      <c r="JUY54" s="19"/>
      <c r="JUZ54" s="19"/>
      <c r="JVA54" s="19"/>
      <c r="JVB54" s="21"/>
      <c r="JVC54" s="19"/>
      <c r="JVL54" s="19"/>
      <c r="JVM54" s="19"/>
      <c r="JVN54" s="19"/>
      <c r="JVO54" s="19"/>
      <c r="JVP54" s="21"/>
      <c r="JVQ54" s="19"/>
      <c r="JVZ54" s="19"/>
      <c r="JWA54" s="19"/>
      <c r="JWB54" s="19"/>
      <c r="JWC54" s="19"/>
      <c r="JWD54" s="21"/>
      <c r="JWE54" s="19"/>
      <c r="JWN54" s="19"/>
      <c r="JWO54" s="19"/>
      <c r="JWP54" s="19"/>
      <c r="JWQ54" s="19"/>
      <c r="JWR54" s="21"/>
      <c r="JWS54" s="19"/>
      <c r="JXB54" s="19"/>
      <c r="JXC54" s="19"/>
      <c r="JXD54" s="19"/>
      <c r="JXE54" s="19"/>
      <c r="JXF54" s="21"/>
      <c r="JXG54" s="19"/>
      <c r="JXP54" s="19"/>
      <c r="JXQ54" s="19"/>
      <c r="JXR54" s="19"/>
      <c r="JXS54" s="19"/>
      <c r="JXT54" s="21"/>
      <c r="JXU54" s="19"/>
      <c r="JYD54" s="19"/>
      <c r="JYE54" s="19"/>
      <c r="JYF54" s="19"/>
      <c r="JYG54" s="19"/>
      <c r="JYH54" s="21"/>
      <c r="JYI54" s="19"/>
      <c r="JYR54" s="19"/>
      <c r="JYS54" s="19"/>
      <c r="JYT54" s="19"/>
      <c r="JYU54" s="19"/>
      <c r="JYV54" s="21"/>
      <c r="JYW54" s="19"/>
      <c r="JZF54" s="19"/>
      <c r="JZG54" s="19"/>
      <c r="JZH54" s="19"/>
      <c r="JZI54" s="19"/>
      <c r="JZJ54" s="21"/>
      <c r="JZK54" s="19"/>
      <c r="JZT54" s="19"/>
      <c r="JZU54" s="19"/>
      <c r="JZV54" s="19"/>
      <c r="JZW54" s="19"/>
      <c r="JZX54" s="21"/>
      <c r="JZY54" s="19"/>
      <c r="KAH54" s="19"/>
      <c r="KAI54" s="19"/>
      <c r="KAJ54" s="19"/>
      <c r="KAK54" s="19"/>
      <c r="KAL54" s="21"/>
      <c r="KAM54" s="19"/>
      <c r="KAV54" s="19"/>
      <c r="KAW54" s="19"/>
      <c r="KAX54" s="19"/>
      <c r="KAY54" s="19"/>
      <c r="KAZ54" s="21"/>
      <c r="KBA54" s="19"/>
      <c r="KBJ54" s="19"/>
      <c r="KBK54" s="19"/>
      <c r="KBL54" s="19"/>
      <c r="KBM54" s="19"/>
      <c r="KBN54" s="21"/>
      <c r="KBO54" s="19"/>
      <c r="KBX54" s="19"/>
      <c r="KBY54" s="19"/>
      <c r="KBZ54" s="19"/>
      <c r="KCA54" s="19"/>
      <c r="KCB54" s="21"/>
      <c r="KCC54" s="19"/>
      <c r="KCL54" s="19"/>
      <c r="KCM54" s="19"/>
      <c r="KCN54" s="19"/>
      <c r="KCO54" s="19"/>
      <c r="KCP54" s="21"/>
      <c r="KCQ54" s="19"/>
      <c r="KCZ54" s="19"/>
      <c r="KDA54" s="19"/>
      <c r="KDB54" s="19"/>
      <c r="KDC54" s="19"/>
      <c r="KDD54" s="21"/>
      <c r="KDE54" s="19"/>
      <c r="KDN54" s="19"/>
      <c r="KDO54" s="19"/>
      <c r="KDP54" s="19"/>
      <c r="KDQ54" s="19"/>
      <c r="KDR54" s="21"/>
      <c r="KDS54" s="19"/>
      <c r="KEB54" s="19"/>
      <c r="KEC54" s="19"/>
      <c r="KED54" s="19"/>
      <c r="KEE54" s="19"/>
      <c r="KEF54" s="21"/>
      <c r="KEG54" s="19"/>
      <c r="KEP54" s="19"/>
      <c r="KEQ54" s="19"/>
      <c r="KER54" s="19"/>
      <c r="KES54" s="19"/>
      <c r="KET54" s="21"/>
      <c r="KEU54" s="19"/>
      <c r="KFD54" s="19"/>
      <c r="KFE54" s="19"/>
      <c r="KFF54" s="19"/>
      <c r="KFG54" s="19"/>
      <c r="KFH54" s="21"/>
      <c r="KFI54" s="19"/>
      <c r="KFR54" s="19"/>
      <c r="KFS54" s="19"/>
      <c r="KFT54" s="19"/>
      <c r="KFU54" s="19"/>
      <c r="KFV54" s="21"/>
      <c r="KFW54" s="19"/>
      <c r="KGF54" s="19"/>
      <c r="KGG54" s="19"/>
      <c r="KGH54" s="19"/>
      <c r="KGI54" s="19"/>
      <c r="KGJ54" s="21"/>
      <c r="KGK54" s="19"/>
      <c r="KGT54" s="19"/>
      <c r="KGU54" s="19"/>
      <c r="KGV54" s="19"/>
      <c r="KGW54" s="19"/>
      <c r="KGX54" s="21"/>
      <c r="KGY54" s="19"/>
      <c r="KHH54" s="19"/>
      <c r="KHI54" s="19"/>
      <c r="KHJ54" s="19"/>
      <c r="KHK54" s="19"/>
      <c r="KHL54" s="21"/>
      <c r="KHM54" s="19"/>
      <c r="KHV54" s="19"/>
      <c r="KHW54" s="19"/>
      <c r="KHX54" s="19"/>
      <c r="KHY54" s="19"/>
      <c r="KHZ54" s="21"/>
      <c r="KIA54" s="19"/>
      <c r="KIJ54" s="19"/>
      <c r="KIK54" s="19"/>
      <c r="KIL54" s="19"/>
      <c r="KIM54" s="19"/>
      <c r="KIN54" s="21"/>
      <c r="KIO54" s="19"/>
      <c r="KIX54" s="19"/>
      <c r="KIY54" s="19"/>
      <c r="KIZ54" s="19"/>
      <c r="KJA54" s="19"/>
      <c r="KJB54" s="21"/>
      <c r="KJC54" s="19"/>
      <c r="KJL54" s="19"/>
      <c r="KJM54" s="19"/>
      <c r="KJN54" s="19"/>
      <c r="KJO54" s="19"/>
      <c r="KJP54" s="21"/>
      <c r="KJQ54" s="19"/>
      <c r="KJZ54" s="19"/>
      <c r="KKA54" s="19"/>
      <c r="KKB54" s="19"/>
      <c r="KKC54" s="19"/>
      <c r="KKD54" s="21"/>
      <c r="KKE54" s="19"/>
      <c r="KKN54" s="19"/>
      <c r="KKO54" s="19"/>
      <c r="KKP54" s="19"/>
      <c r="KKQ54" s="19"/>
      <c r="KKR54" s="21"/>
      <c r="KKS54" s="19"/>
      <c r="KLB54" s="19"/>
      <c r="KLC54" s="19"/>
      <c r="KLD54" s="19"/>
      <c r="KLE54" s="19"/>
      <c r="KLF54" s="21"/>
      <c r="KLG54" s="19"/>
      <c r="KLP54" s="19"/>
      <c r="KLQ54" s="19"/>
      <c r="KLR54" s="19"/>
      <c r="KLS54" s="19"/>
      <c r="KLT54" s="21"/>
      <c r="KLU54" s="19"/>
      <c r="KMD54" s="19"/>
      <c r="KME54" s="19"/>
      <c r="KMF54" s="19"/>
      <c r="KMG54" s="19"/>
      <c r="KMH54" s="21"/>
      <c r="KMI54" s="19"/>
      <c r="KMR54" s="19"/>
      <c r="KMS54" s="19"/>
      <c r="KMT54" s="19"/>
      <c r="KMU54" s="19"/>
      <c r="KMV54" s="21"/>
      <c r="KMW54" s="19"/>
      <c r="KNF54" s="19"/>
      <c r="KNG54" s="19"/>
      <c r="KNH54" s="19"/>
      <c r="KNI54" s="19"/>
      <c r="KNJ54" s="21"/>
      <c r="KNK54" s="19"/>
      <c r="KNT54" s="19"/>
      <c r="KNU54" s="19"/>
      <c r="KNV54" s="19"/>
      <c r="KNW54" s="19"/>
      <c r="KNX54" s="21"/>
      <c r="KNY54" s="19"/>
      <c r="KOH54" s="19"/>
      <c r="KOI54" s="19"/>
      <c r="KOJ54" s="19"/>
      <c r="KOK54" s="19"/>
      <c r="KOL54" s="21"/>
      <c r="KOM54" s="19"/>
      <c r="KOV54" s="19"/>
      <c r="KOW54" s="19"/>
      <c r="KOX54" s="19"/>
      <c r="KOY54" s="19"/>
      <c r="KOZ54" s="21"/>
      <c r="KPA54" s="19"/>
      <c r="KPJ54" s="19"/>
      <c r="KPK54" s="19"/>
      <c r="KPL54" s="19"/>
      <c r="KPM54" s="19"/>
      <c r="KPN54" s="21"/>
      <c r="KPO54" s="19"/>
      <c r="KPX54" s="19"/>
      <c r="KPY54" s="19"/>
      <c r="KPZ54" s="19"/>
      <c r="KQA54" s="19"/>
      <c r="KQB54" s="21"/>
      <c r="KQC54" s="19"/>
      <c r="KQL54" s="19"/>
      <c r="KQM54" s="19"/>
      <c r="KQN54" s="19"/>
      <c r="KQO54" s="19"/>
      <c r="KQP54" s="21"/>
      <c r="KQQ54" s="19"/>
      <c r="KQZ54" s="19"/>
      <c r="KRA54" s="19"/>
      <c r="KRB54" s="19"/>
      <c r="KRC54" s="19"/>
      <c r="KRD54" s="21"/>
      <c r="KRE54" s="19"/>
      <c r="KRN54" s="19"/>
      <c r="KRO54" s="19"/>
      <c r="KRP54" s="19"/>
      <c r="KRQ54" s="19"/>
      <c r="KRR54" s="21"/>
      <c r="KRS54" s="19"/>
      <c r="KSB54" s="19"/>
      <c r="KSC54" s="19"/>
      <c r="KSD54" s="19"/>
      <c r="KSE54" s="19"/>
      <c r="KSF54" s="21"/>
      <c r="KSG54" s="19"/>
      <c r="KSP54" s="19"/>
      <c r="KSQ54" s="19"/>
      <c r="KSR54" s="19"/>
      <c r="KSS54" s="19"/>
      <c r="KST54" s="21"/>
      <c r="KSU54" s="19"/>
      <c r="KTD54" s="19"/>
      <c r="KTE54" s="19"/>
      <c r="KTF54" s="19"/>
      <c r="KTG54" s="19"/>
      <c r="KTH54" s="21"/>
      <c r="KTI54" s="19"/>
      <c r="KTR54" s="19"/>
      <c r="KTS54" s="19"/>
      <c r="KTT54" s="19"/>
      <c r="KTU54" s="19"/>
      <c r="KTV54" s="21"/>
      <c r="KTW54" s="19"/>
      <c r="KUF54" s="19"/>
      <c r="KUG54" s="19"/>
      <c r="KUH54" s="19"/>
      <c r="KUI54" s="19"/>
      <c r="KUJ54" s="21"/>
      <c r="KUK54" s="19"/>
      <c r="KUT54" s="19"/>
      <c r="KUU54" s="19"/>
      <c r="KUV54" s="19"/>
      <c r="KUW54" s="19"/>
      <c r="KUX54" s="21"/>
      <c r="KUY54" s="19"/>
      <c r="KVH54" s="19"/>
      <c r="KVI54" s="19"/>
      <c r="KVJ54" s="19"/>
      <c r="KVK54" s="19"/>
      <c r="KVL54" s="21"/>
      <c r="KVM54" s="19"/>
      <c r="KVV54" s="19"/>
      <c r="KVW54" s="19"/>
      <c r="KVX54" s="19"/>
      <c r="KVY54" s="19"/>
      <c r="KVZ54" s="21"/>
      <c r="KWA54" s="19"/>
      <c r="KWJ54" s="19"/>
      <c r="KWK54" s="19"/>
      <c r="KWL54" s="19"/>
      <c r="KWM54" s="19"/>
      <c r="KWN54" s="21"/>
      <c r="KWO54" s="19"/>
      <c r="KWX54" s="19"/>
      <c r="KWY54" s="19"/>
      <c r="KWZ54" s="19"/>
      <c r="KXA54" s="19"/>
      <c r="KXB54" s="21"/>
      <c r="KXC54" s="19"/>
      <c r="KXL54" s="19"/>
      <c r="KXM54" s="19"/>
      <c r="KXN54" s="19"/>
      <c r="KXO54" s="19"/>
      <c r="KXP54" s="21"/>
      <c r="KXQ54" s="19"/>
      <c r="KXZ54" s="19"/>
      <c r="KYA54" s="19"/>
      <c r="KYB54" s="19"/>
      <c r="KYC54" s="19"/>
      <c r="KYD54" s="21"/>
      <c r="KYE54" s="19"/>
      <c r="KYN54" s="19"/>
      <c r="KYO54" s="19"/>
      <c r="KYP54" s="19"/>
      <c r="KYQ54" s="19"/>
      <c r="KYR54" s="21"/>
      <c r="KYS54" s="19"/>
      <c r="KZB54" s="19"/>
      <c r="KZC54" s="19"/>
      <c r="KZD54" s="19"/>
      <c r="KZE54" s="19"/>
      <c r="KZF54" s="21"/>
      <c r="KZG54" s="19"/>
      <c r="KZP54" s="19"/>
      <c r="KZQ54" s="19"/>
      <c r="KZR54" s="19"/>
      <c r="KZS54" s="19"/>
      <c r="KZT54" s="21"/>
      <c r="KZU54" s="19"/>
      <c r="LAD54" s="19"/>
      <c r="LAE54" s="19"/>
      <c r="LAF54" s="19"/>
      <c r="LAG54" s="19"/>
      <c r="LAH54" s="21"/>
      <c r="LAI54" s="19"/>
      <c r="LAR54" s="19"/>
      <c r="LAS54" s="19"/>
      <c r="LAT54" s="19"/>
      <c r="LAU54" s="19"/>
      <c r="LAV54" s="21"/>
      <c r="LAW54" s="19"/>
      <c r="LBF54" s="19"/>
      <c r="LBG54" s="19"/>
      <c r="LBH54" s="19"/>
      <c r="LBI54" s="19"/>
      <c r="LBJ54" s="21"/>
      <c r="LBK54" s="19"/>
      <c r="LBT54" s="19"/>
      <c r="LBU54" s="19"/>
      <c r="LBV54" s="19"/>
      <c r="LBW54" s="19"/>
      <c r="LBX54" s="21"/>
      <c r="LBY54" s="19"/>
      <c r="LCH54" s="19"/>
      <c r="LCI54" s="19"/>
      <c r="LCJ54" s="19"/>
      <c r="LCK54" s="19"/>
      <c r="LCL54" s="21"/>
      <c r="LCM54" s="19"/>
      <c r="LCV54" s="19"/>
      <c r="LCW54" s="19"/>
      <c r="LCX54" s="19"/>
      <c r="LCY54" s="19"/>
      <c r="LCZ54" s="21"/>
      <c r="LDA54" s="19"/>
      <c r="LDJ54" s="19"/>
      <c r="LDK54" s="19"/>
      <c r="LDL54" s="19"/>
      <c r="LDM54" s="19"/>
      <c r="LDN54" s="21"/>
      <c r="LDO54" s="19"/>
      <c r="LDX54" s="19"/>
      <c r="LDY54" s="19"/>
      <c r="LDZ54" s="19"/>
      <c r="LEA54" s="19"/>
      <c r="LEB54" s="21"/>
      <c r="LEC54" s="19"/>
      <c r="LEL54" s="19"/>
      <c r="LEM54" s="19"/>
      <c r="LEN54" s="19"/>
      <c r="LEO54" s="19"/>
      <c r="LEP54" s="21"/>
      <c r="LEQ54" s="19"/>
      <c r="LEZ54" s="19"/>
      <c r="LFA54" s="19"/>
      <c r="LFB54" s="19"/>
      <c r="LFC54" s="19"/>
      <c r="LFD54" s="21"/>
      <c r="LFE54" s="19"/>
      <c r="LFN54" s="19"/>
      <c r="LFO54" s="19"/>
      <c r="LFP54" s="19"/>
      <c r="LFQ54" s="19"/>
      <c r="LFR54" s="21"/>
      <c r="LFS54" s="19"/>
      <c r="LGB54" s="19"/>
      <c r="LGC54" s="19"/>
      <c r="LGD54" s="19"/>
      <c r="LGE54" s="19"/>
      <c r="LGF54" s="21"/>
      <c r="LGG54" s="19"/>
      <c r="LGP54" s="19"/>
      <c r="LGQ54" s="19"/>
      <c r="LGR54" s="19"/>
      <c r="LGS54" s="19"/>
      <c r="LGT54" s="21"/>
      <c r="LGU54" s="19"/>
      <c r="LHD54" s="19"/>
      <c r="LHE54" s="19"/>
      <c r="LHF54" s="19"/>
      <c r="LHG54" s="19"/>
      <c r="LHH54" s="21"/>
      <c r="LHI54" s="19"/>
      <c r="LHR54" s="19"/>
      <c r="LHS54" s="19"/>
      <c r="LHT54" s="19"/>
      <c r="LHU54" s="19"/>
      <c r="LHV54" s="21"/>
      <c r="LHW54" s="19"/>
      <c r="LIF54" s="19"/>
      <c r="LIG54" s="19"/>
      <c r="LIH54" s="19"/>
      <c r="LII54" s="19"/>
      <c r="LIJ54" s="21"/>
      <c r="LIK54" s="19"/>
      <c r="LIT54" s="19"/>
      <c r="LIU54" s="19"/>
      <c r="LIV54" s="19"/>
      <c r="LIW54" s="19"/>
      <c r="LIX54" s="21"/>
      <c r="LIY54" s="19"/>
      <c r="LJH54" s="19"/>
      <c r="LJI54" s="19"/>
      <c r="LJJ54" s="19"/>
      <c r="LJK54" s="19"/>
      <c r="LJL54" s="21"/>
      <c r="LJM54" s="19"/>
      <c r="LJV54" s="19"/>
      <c r="LJW54" s="19"/>
      <c r="LJX54" s="19"/>
      <c r="LJY54" s="19"/>
      <c r="LJZ54" s="21"/>
      <c r="LKA54" s="19"/>
      <c r="LKJ54" s="19"/>
      <c r="LKK54" s="19"/>
      <c r="LKL54" s="19"/>
      <c r="LKM54" s="19"/>
      <c r="LKN54" s="21"/>
      <c r="LKO54" s="19"/>
      <c r="LKX54" s="19"/>
      <c r="LKY54" s="19"/>
      <c r="LKZ54" s="19"/>
      <c r="LLA54" s="19"/>
      <c r="LLB54" s="21"/>
      <c r="LLC54" s="19"/>
      <c r="LLL54" s="19"/>
      <c r="LLM54" s="19"/>
      <c r="LLN54" s="19"/>
      <c r="LLO54" s="19"/>
      <c r="LLP54" s="21"/>
      <c r="LLQ54" s="19"/>
      <c r="LLZ54" s="19"/>
      <c r="LMA54" s="19"/>
      <c r="LMB54" s="19"/>
      <c r="LMC54" s="19"/>
      <c r="LMD54" s="21"/>
      <c r="LME54" s="19"/>
      <c r="LMN54" s="19"/>
      <c r="LMO54" s="19"/>
      <c r="LMP54" s="19"/>
      <c r="LMQ54" s="19"/>
      <c r="LMR54" s="21"/>
      <c r="LMS54" s="19"/>
      <c r="LNB54" s="19"/>
      <c r="LNC54" s="19"/>
      <c r="LND54" s="19"/>
      <c r="LNE54" s="19"/>
      <c r="LNF54" s="21"/>
      <c r="LNG54" s="19"/>
      <c r="LNP54" s="19"/>
      <c r="LNQ54" s="19"/>
      <c r="LNR54" s="19"/>
      <c r="LNS54" s="19"/>
      <c r="LNT54" s="21"/>
      <c r="LNU54" s="19"/>
      <c r="LOD54" s="19"/>
      <c r="LOE54" s="19"/>
      <c r="LOF54" s="19"/>
      <c r="LOG54" s="19"/>
      <c r="LOH54" s="21"/>
      <c r="LOI54" s="19"/>
      <c r="LOR54" s="19"/>
      <c r="LOS54" s="19"/>
      <c r="LOT54" s="19"/>
      <c r="LOU54" s="19"/>
      <c r="LOV54" s="21"/>
      <c r="LOW54" s="19"/>
      <c r="LPF54" s="19"/>
      <c r="LPG54" s="19"/>
      <c r="LPH54" s="19"/>
      <c r="LPI54" s="19"/>
      <c r="LPJ54" s="21"/>
      <c r="LPK54" s="19"/>
      <c r="LPT54" s="19"/>
      <c r="LPU54" s="19"/>
      <c r="LPV54" s="19"/>
      <c r="LPW54" s="19"/>
      <c r="LPX54" s="21"/>
      <c r="LPY54" s="19"/>
      <c r="LQH54" s="19"/>
      <c r="LQI54" s="19"/>
      <c r="LQJ54" s="19"/>
      <c r="LQK54" s="19"/>
      <c r="LQL54" s="21"/>
      <c r="LQM54" s="19"/>
      <c r="LQV54" s="19"/>
      <c r="LQW54" s="19"/>
      <c r="LQX54" s="19"/>
      <c r="LQY54" s="19"/>
      <c r="LQZ54" s="21"/>
      <c r="LRA54" s="19"/>
      <c r="LRJ54" s="19"/>
      <c r="LRK54" s="19"/>
      <c r="LRL54" s="19"/>
      <c r="LRM54" s="19"/>
      <c r="LRN54" s="21"/>
      <c r="LRO54" s="19"/>
      <c r="LRX54" s="19"/>
      <c r="LRY54" s="19"/>
      <c r="LRZ54" s="19"/>
      <c r="LSA54" s="19"/>
      <c r="LSB54" s="21"/>
      <c r="LSC54" s="19"/>
      <c r="LSL54" s="19"/>
      <c r="LSM54" s="19"/>
      <c r="LSN54" s="19"/>
      <c r="LSO54" s="19"/>
      <c r="LSP54" s="21"/>
      <c r="LSQ54" s="19"/>
      <c r="LSZ54" s="19"/>
      <c r="LTA54" s="19"/>
      <c r="LTB54" s="19"/>
      <c r="LTC54" s="19"/>
      <c r="LTD54" s="21"/>
      <c r="LTE54" s="19"/>
      <c r="LTN54" s="19"/>
      <c r="LTO54" s="19"/>
      <c r="LTP54" s="19"/>
      <c r="LTQ54" s="19"/>
      <c r="LTR54" s="21"/>
      <c r="LTS54" s="19"/>
      <c r="LUB54" s="19"/>
      <c r="LUC54" s="19"/>
      <c r="LUD54" s="19"/>
      <c r="LUE54" s="19"/>
      <c r="LUF54" s="21"/>
      <c r="LUG54" s="19"/>
      <c r="LUP54" s="19"/>
      <c r="LUQ54" s="19"/>
      <c r="LUR54" s="19"/>
      <c r="LUS54" s="19"/>
      <c r="LUT54" s="21"/>
      <c r="LUU54" s="19"/>
      <c r="LVD54" s="19"/>
      <c r="LVE54" s="19"/>
      <c r="LVF54" s="19"/>
      <c r="LVG54" s="19"/>
      <c r="LVH54" s="21"/>
      <c r="LVI54" s="19"/>
      <c r="LVR54" s="19"/>
      <c r="LVS54" s="19"/>
      <c r="LVT54" s="19"/>
      <c r="LVU54" s="19"/>
      <c r="LVV54" s="21"/>
      <c r="LVW54" s="19"/>
      <c r="LWF54" s="19"/>
      <c r="LWG54" s="19"/>
      <c r="LWH54" s="19"/>
      <c r="LWI54" s="19"/>
      <c r="LWJ54" s="21"/>
      <c r="LWK54" s="19"/>
      <c r="LWT54" s="19"/>
      <c r="LWU54" s="19"/>
      <c r="LWV54" s="19"/>
      <c r="LWW54" s="19"/>
      <c r="LWX54" s="21"/>
      <c r="LWY54" s="19"/>
      <c r="LXH54" s="19"/>
      <c r="LXI54" s="19"/>
      <c r="LXJ54" s="19"/>
      <c r="LXK54" s="19"/>
      <c r="LXL54" s="21"/>
      <c r="LXM54" s="19"/>
      <c r="LXV54" s="19"/>
      <c r="LXW54" s="19"/>
      <c r="LXX54" s="19"/>
      <c r="LXY54" s="19"/>
      <c r="LXZ54" s="21"/>
      <c r="LYA54" s="19"/>
      <c r="LYJ54" s="19"/>
      <c r="LYK54" s="19"/>
      <c r="LYL54" s="19"/>
      <c r="LYM54" s="19"/>
      <c r="LYN54" s="21"/>
      <c r="LYO54" s="19"/>
      <c r="LYX54" s="19"/>
      <c r="LYY54" s="19"/>
      <c r="LYZ54" s="19"/>
      <c r="LZA54" s="19"/>
      <c r="LZB54" s="21"/>
      <c r="LZC54" s="19"/>
      <c r="LZL54" s="19"/>
      <c r="LZM54" s="19"/>
      <c r="LZN54" s="19"/>
      <c r="LZO54" s="19"/>
      <c r="LZP54" s="21"/>
      <c r="LZQ54" s="19"/>
      <c r="LZZ54" s="19"/>
      <c r="MAA54" s="19"/>
      <c r="MAB54" s="19"/>
      <c r="MAC54" s="19"/>
      <c r="MAD54" s="21"/>
      <c r="MAE54" s="19"/>
      <c r="MAN54" s="19"/>
      <c r="MAO54" s="19"/>
      <c r="MAP54" s="19"/>
      <c r="MAQ54" s="19"/>
      <c r="MAR54" s="21"/>
      <c r="MAS54" s="19"/>
      <c r="MBB54" s="19"/>
      <c r="MBC54" s="19"/>
      <c r="MBD54" s="19"/>
      <c r="MBE54" s="19"/>
      <c r="MBF54" s="21"/>
      <c r="MBG54" s="19"/>
      <c r="MBP54" s="19"/>
      <c r="MBQ54" s="19"/>
      <c r="MBR54" s="19"/>
      <c r="MBS54" s="19"/>
      <c r="MBT54" s="21"/>
      <c r="MBU54" s="19"/>
      <c r="MCD54" s="19"/>
      <c r="MCE54" s="19"/>
      <c r="MCF54" s="19"/>
      <c r="MCG54" s="19"/>
      <c r="MCH54" s="21"/>
      <c r="MCI54" s="19"/>
      <c r="MCR54" s="19"/>
      <c r="MCS54" s="19"/>
      <c r="MCT54" s="19"/>
      <c r="MCU54" s="19"/>
      <c r="MCV54" s="21"/>
      <c r="MCW54" s="19"/>
      <c r="MDF54" s="19"/>
      <c r="MDG54" s="19"/>
      <c r="MDH54" s="19"/>
      <c r="MDI54" s="19"/>
      <c r="MDJ54" s="21"/>
      <c r="MDK54" s="19"/>
      <c r="MDT54" s="19"/>
      <c r="MDU54" s="19"/>
      <c r="MDV54" s="19"/>
      <c r="MDW54" s="19"/>
      <c r="MDX54" s="21"/>
      <c r="MDY54" s="19"/>
      <c r="MEH54" s="19"/>
      <c r="MEI54" s="19"/>
      <c r="MEJ54" s="19"/>
      <c r="MEK54" s="19"/>
      <c r="MEL54" s="21"/>
      <c r="MEM54" s="19"/>
      <c r="MEV54" s="19"/>
      <c r="MEW54" s="19"/>
      <c r="MEX54" s="19"/>
      <c r="MEY54" s="19"/>
      <c r="MEZ54" s="21"/>
      <c r="MFA54" s="19"/>
      <c r="MFJ54" s="19"/>
      <c r="MFK54" s="19"/>
      <c r="MFL54" s="19"/>
      <c r="MFM54" s="19"/>
      <c r="MFN54" s="21"/>
      <c r="MFO54" s="19"/>
      <c r="MFX54" s="19"/>
      <c r="MFY54" s="19"/>
      <c r="MFZ54" s="19"/>
      <c r="MGA54" s="19"/>
      <c r="MGB54" s="21"/>
      <c r="MGC54" s="19"/>
      <c r="MGL54" s="19"/>
      <c r="MGM54" s="19"/>
      <c r="MGN54" s="19"/>
      <c r="MGO54" s="19"/>
      <c r="MGP54" s="21"/>
      <c r="MGQ54" s="19"/>
      <c r="MGZ54" s="19"/>
      <c r="MHA54" s="19"/>
      <c r="MHB54" s="19"/>
      <c r="MHC54" s="19"/>
      <c r="MHD54" s="21"/>
      <c r="MHE54" s="19"/>
      <c r="MHN54" s="19"/>
      <c r="MHO54" s="19"/>
      <c r="MHP54" s="19"/>
      <c r="MHQ54" s="19"/>
      <c r="MHR54" s="21"/>
      <c r="MHS54" s="19"/>
      <c r="MIB54" s="19"/>
      <c r="MIC54" s="19"/>
      <c r="MID54" s="19"/>
      <c r="MIE54" s="19"/>
      <c r="MIF54" s="21"/>
      <c r="MIG54" s="19"/>
      <c r="MIP54" s="19"/>
      <c r="MIQ54" s="19"/>
      <c r="MIR54" s="19"/>
      <c r="MIS54" s="19"/>
      <c r="MIT54" s="21"/>
      <c r="MIU54" s="19"/>
      <c r="MJD54" s="19"/>
      <c r="MJE54" s="19"/>
      <c r="MJF54" s="19"/>
      <c r="MJG54" s="19"/>
      <c r="MJH54" s="21"/>
      <c r="MJI54" s="19"/>
      <c r="MJR54" s="19"/>
      <c r="MJS54" s="19"/>
      <c r="MJT54" s="19"/>
      <c r="MJU54" s="19"/>
      <c r="MJV54" s="21"/>
      <c r="MJW54" s="19"/>
      <c r="MKF54" s="19"/>
      <c r="MKG54" s="19"/>
      <c r="MKH54" s="19"/>
      <c r="MKI54" s="19"/>
      <c r="MKJ54" s="21"/>
      <c r="MKK54" s="19"/>
      <c r="MKT54" s="19"/>
      <c r="MKU54" s="19"/>
      <c r="MKV54" s="19"/>
      <c r="MKW54" s="19"/>
      <c r="MKX54" s="21"/>
      <c r="MKY54" s="19"/>
      <c r="MLH54" s="19"/>
      <c r="MLI54" s="19"/>
      <c r="MLJ54" s="19"/>
      <c r="MLK54" s="19"/>
      <c r="MLL54" s="21"/>
      <c r="MLM54" s="19"/>
      <c r="MLV54" s="19"/>
      <c r="MLW54" s="19"/>
      <c r="MLX54" s="19"/>
      <c r="MLY54" s="19"/>
      <c r="MLZ54" s="21"/>
      <c r="MMA54" s="19"/>
      <c r="MMJ54" s="19"/>
      <c r="MMK54" s="19"/>
      <c r="MML54" s="19"/>
      <c r="MMM54" s="19"/>
      <c r="MMN54" s="21"/>
      <c r="MMO54" s="19"/>
      <c r="MMX54" s="19"/>
      <c r="MMY54" s="19"/>
      <c r="MMZ54" s="19"/>
      <c r="MNA54" s="19"/>
      <c r="MNB54" s="21"/>
      <c r="MNC54" s="19"/>
      <c r="MNL54" s="19"/>
      <c r="MNM54" s="19"/>
      <c r="MNN54" s="19"/>
      <c r="MNO54" s="19"/>
      <c r="MNP54" s="21"/>
      <c r="MNQ54" s="19"/>
      <c r="MNZ54" s="19"/>
      <c r="MOA54" s="19"/>
      <c r="MOB54" s="19"/>
      <c r="MOC54" s="19"/>
      <c r="MOD54" s="21"/>
      <c r="MOE54" s="19"/>
      <c r="MON54" s="19"/>
      <c r="MOO54" s="19"/>
      <c r="MOP54" s="19"/>
      <c r="MOQ54" s="19"/>
      <c r="MOR54" s="21"/>
      <c r="MOS54" s="19"/>
      <c r="MPB54" s="19"/>
      <c r="MPC54" s="19"/>
      <c r="MPD54" s="19"/>
      <c r="MPE54" s="19"/>
      <c r="MPF54" s="21"/>
      <c r="MPG54" s="19"/>
      <c r="MPP54" s="19"/>
      <c r="MPQ54" s="19"/>
      <c r="MPR54" s="19"/>
      <c r="MPS54" s="19"/>
      <c r="MPT54" s="21"/>
      <c r="MPU54" s="19"/>
      <c r="MQD54" s="19"/>
      <c r="MQE54" s="19"/>
      <c r="MQF54" s="19"/>
      <c r="MQG54" s="19"/>
      <c r="MQH54" s="21"/>
      <c r="MQI54" s="19"/>
      <c r="MQR54" s="19"/>
      <c r="MQS54" s="19"/>
      <c r="MQT54" s="19"/>
      <c r="MQU54" s="19"/>
      <c r="MQV54" s="21"/>
      <c r="MQW54" s="19"/>
      <c r="MRF54" s="19"/>
      <c r="MRG54" s="19"/>
      <c r="MRH54" s="19"/>
      <c r="MRI54" s="19"/>
      <c r="MRJ54" s="21"/>
      <c r="MRK54" s="19"/>
      <c r="MRT54" s="19"/>
      <c r="MRU54" s="19"/>
      <c r="MRV54" s="19"/>
      <c r="MRW54" s="19"/>
      <c r="MRX54" s="21"/>
      <c r="MRY54" s="19"/>
      <c r="MSH54" s="19"/>
      <c r="MSI54" s="19"/>
      <c r="MSJ54" s="19"/>
      <c r="MSK54" s="19"/>
      <c r="MSL54" s="21"/>
      <c r="MSM54" s="19"/>
      <c r="MSV54" s="19"/>
      <c r="MSW54" s="19"/>
      <c r="MSX54" s="19"/>
      <c r="MSY54" s="19"/>
      <c r="MSZ54" s="21"/>
      <c r="MTA54" s="19"/>
      <c r="MTJ54" s="19"/>
      <c r="MTK54" s="19"/>
      <c r="MTL54" s="19"/>
      <c r="MTM54" s="19"/>
      <c r="MTN54" s="21"/>
      <c r="MTO54" s="19"/>
      <c r="MTX54" s="19"/>
      <c r="MTY54" s="19"/>
      <c r="MTZ54" s="19"/>
      <c r="MUA54" s="19"/>
      <c r="MUB54" s="21"/>
      <c r="MUC54" s="19"/>
      <c r="MUL54" s="19"/>
      <c r="MUM54" s="19"/>
      <c r="MUN54" s="19"/>
      <c r="MUO54" s="19"/>
      <c r="MUP54" s="21"/>
      <c r="MUQ54" s="19"/>
      <c r="MUZ54" s="19"/>
      <c r="MVA54" s="19"/>
      <c r="MVB54" s="19"/>
      <c r="MVC54" s="19"/>
      <c r="MVD54" s="21"/>
      <c r="MVE54" s="19"/>
      <c r="MVN54" s="19"/>
      <c r="MVO54" s="19"/>
      <c r="MVP54" s="19"/>
      <c r="MVQ54" s="19"/>
      <c r="MVR54" s="21"/>
      <c r="MVS54" s="19"/>
      <c r="MWB54" s="19"/>
      <c r="MWC54" s="19"/>
      <c r="MWD54" s="19"/>
      <c r="MWE54" s="19"/>
      <c r="MWF54" s="21"/>
      <c r="MWG54" s="19"/>
      <c r="MWP54" s="19"/>
      <c r="MWQ54" s="19"/>
      <c r="MWR54" s="19"/>
      <c r="MWS54" s="19"/>
      <c r="MWT54" s="21"/>
      <c r="MWU54" s="19"/>
      <c r="MXD54" s="19"/>
      <c r="MXE54" s="19"/>
      <c r="MXF54" s="19"/>
      <c r="MXG54" s="19"/>
      <c r="MXH54" s="21"/>
      <c r="MXI54" s="19"/>
      <c r="MXR54" s="19"/>
      <c r="MXS54" s="19"/>
      <c r="MXT54" s="19"/>
      <c r="MXU54" s="19"/>
      <c r="MXV54" s="21"/>
      <c r="MXW54" s="19"/>
      <c r="MYF54" s="19"/>
      <c r="MYG54" s="19"/>
      <c r="MYH54" s="19"/>
      <c r="MYI54" s="19"/>
      <c r="MYJ54" s="21"/>
      <c r="MYK54" s="19"/>
      <c r="MYT54" s="19"/>
      <c r="MYU54" s="19"/>
      <c r="MYV54" s="19"/>
      <c r="MYW54" s="19"/>
      <c r="MYX54" s="21"/>
      <c r="MYY54" s="19"/>
      <c r="MZH54" s="19"/>
      <c r="MZI54" s="19"/>
      <c r="MZJ54" s="19"/>
      <c r="MZK54" s="19"/>
      <c r="MZL54" s="21"/>
      <c r="MZM54" s="19"/>
      <c r="MZV54" s="19"/>
      <c r="MZW54" s="19"/>
      <c r="MZX54" s="19"/>
      <c r="MZY54" s="19"/>
      <c r="MZZ54" s="21"/>
      <c r="NAA54" s="19"/>
      <c r="NAJ54" s="19"/>
      <c r="NAK54" s="19"/>
      <c r="NAL54" s="19"/>
      <c r="NAM54" s="19"/>
      <c r="NAN54" s="21"/>
      <c r="NAO54" s="19"/>
      <c r="NAX54" s="19"/>
      <c r="NAY54" s="19"/>
      <c r="NAZ54" s="19"/>
      <c r="NBA54" s="19"/>
      <c r="NBB54" s="21"/>
      <c r="NBC54" s="19"/>
      <c r="NBL54" s="19"/>
      <c r="NBM54" s="19"/>
      <c r="NBN54" s="19"/>
      <c r="NBO54" s="19"/>
      <c r="NBP54" s="21"/>
      <c r="NBQ54" s="19"/>
      <c r="NBZ54" s="19"/>
      <c r="NCA54" s="19"/>
      <c r="NCB54" s="19"/>
      <c r="NCC54" s="19"/>
      <c r="NCD54" s="21"/>
      <c r="NCE54" s="19"/>
      <c r="NCN54" s="19"/>
      <c r="NCO54" s="19"/>
      <c r="NCP54" s="19"/>
      <c r="NCQ54" s="19"/>
      <c r="NCR54" s="21"/>
      <c r="NCS54" s="19"/>
      <c r="NDB54" s="19"/>
      <c r="NDC54" s="19"/>
      <c r="NDD54" s="19"/>
      <c r="NDE54" s="19"/>
      <c r="NDF54" s="21"/>
      <c r="NDG54" s="19"/>
      <c r="NDP54" s="19"/>
      <c r="NDQ54" s="19"/>
      <c r="NDR54" s="19"/>
      <c r="NDS54" s="19"/>
      <c r="NDT54" s="21"/>
      <c r="NDU54" s="19"/>
      <c r="NED54" s="19"/>
      <c r="NEE54" s="19"/>
      <c r="NEF54" s="19"/>
      <c r="NEG54" s="19"/>
      <c r="NEH54" s="21"/>
      <c r="NEI54" s="19"/>
      <c r="NER54" s="19"/>
      <c r="NES54" s="19"/>
      <c r="NET54" s="19"/>
      <c r="NEU54" s="19"/>
      <c r="NEV54" s="21"/>
      <c r="NEW54" s="19"/>
      <c r="NFF54" s="19"/>
      <c r="NFG54" s="19"/>
      <c r="NFH54" s="19"/>
      <c r="NFI54" s="19"/>
      <c r="NFJ54" s="21"/>
      <c r="NFK54" s="19"/>
      <c r="NFT54" s="19"/>
      <c r="NFU54" s="19"/>
      <c r="NFV54" s="19"/>
      <c r="NFW54" s="19"/>
      <c r="NFX54" s="21"/>
      <c r="NFY54" s="19"/>
      <c r="NGH54" s="19"/>
      <c r="NGI54" s="19"/>
      <c r="NGJ54" s="19"/>
      <c r="NGK54" s="19"/>
      <c r="NGL54" s="21"/>
      <c r="NGM54" s="19"/>
      <c r="NGV54" s="19"/>
      <c r="NGW54" s="19"/>
      <c r="NGX54" s="19"/>
      <c r="NGY54" s="19"/>
      <c r="NGZ54" s="21"/>
      <c r="NHA54" s="19"/>
      <c r="NHJ54" s="19"/>
      <c r="NHK54" s="19"/>
      <c r="NHL54" s="19"/>
      <c r="NHM54" s="19"/>
      <c r="NHN54" s="21"/>
      <c r="NHO54" s="19"/>
      <c r="NHX54" s="19"/>
      <c r="NHY54" s="19"/>
      <c r="NHZ54" s="19"/>
      <c r="NIA54" s="19"/>
      <c r="NIB54" s="21"/>
      <c r="NIC54" s="19"/>
      <c r="NIL54" s="19"/>
      <c r="NIM54" s="19"/>
      <c r="NIN54" s="19"/>
      <c r="NIO54" s="19"/>
      <c r="NIP54" s="21"/>
      <c r="NIQ54" s="19"/>
      <c r="NIZ54" s="19"/>
      <c r="NJA54" s="19"/>
      <c r="NJB54" s="19"/>
      <c r="NJC54" s="19"/>
      <c r="NJD54" s="21"/>
      <c r="NJE54" s="19"/>
      <c r="NJN54" s="19"/>
      <c r="NJO54" s="19"/>
      <c r="NJP54" s="19"/>
      <c r="NJQ54" s="19"/>
      <c r="NJR54" s="21"/>
      <c r="NJS54" s="19"/>
      <c r="NKB54" s="19"/>
      <c r="NKC54" s="19"/>
      <c r="NKD54" s="19"/>
      <c r="NKE54" s="19"/>
      <c r="NKF54" s="21"/>
      <c r="NKG54" s="19"/>
      <c r="NKP54" s="19"/>
      <c r="NKQ54" s="19"/>
      <c r="NKR54" s="19"/>
      <c r="NKS54" s="19"/>
      <c r="NKT54" s="21"/>
      <c r="NKU54" s="19"/>
      <c r="NLD54" s="19"/>
      <c r="NLE54" s="19"/>
      <c r="NLF54" s="19"/>
      <c r="NLG54" s="19"/>
      <c r="NLH54" s="21"/>
      <c r="NLI54" s="19"/>
      <c r="NLR54" s="19"/>
      <c r="NLS54" s="19"/>
      <c r="NLT54" s="19"/>
      <c r="NLU54" s="19"/>
      <c r="NLV54" s="21"/>
      <c r="NLW54" s="19"/>
      <c r="NMF54" s="19"/>
      <c r="NMG54" s="19"/>
      <c r="NMH54" s="19"/>
      <c r="NMI54" s="19"/>
      <c r="NMJ54" s="21"/>
      <c r="NMK54" s="19"/>
      <c r="NMT54" s="19"/>
      <c r="NMU54" s="19"/>
      <c r="NMV54" s="19"/>
      <c r="NMW54" s="19"/>
      <c r="NMX54" s="21"/>
      <c r="NMY54" s="19"/>
      <c r="NNH54" s="19"/>
      <c r="NNI54" s="19"/>
      <c r="NNJ54" s="19"/>
      <c r="NNK54" s="19"/>
      <c r="NNL54" s="21"/>
      <c r="NNM54" s="19"/>
      <c r="NNV54" s="19"/>
      <c r="NNW54" s="19"/>
      <c r="NNX54" s="19"/>
      <c r="NNY54" s="19"/>
      <c r="NNZ54" s="21"/>
      <c r="NOA54" s="19"/>
      <c r="NOJ54" s="19"/>
      <c r="NOK54" s="19"/>
      <c r="NOL54" s="19"/>
      <c r="NOM54" s="19"/>
      <c r="NON54" s="21"/>
      <c r="NOO54" s="19"/>
      <c r="NOX54" s="19"/>
      <c r="NOY54" s="19"/>
      <c r="NOZ54" s="19"/>
      <c r="NPA54" s="19"/>
      <c r="NPB54" s="21"/>
      <c r="NPC54" s="19"/>
      <c r="NPL54" s="19"/>
      <c r="NPM54" s="19"/>
      <c r="NPN54" s="19"/>
      <c r="NPO54" s="19"/>
      <c r="NPP54" s="21"/>
      <c r="NPQ54" s="19"/>
      <c r="NPZ54" s="19"/>
      <c r="NQA54" s="19"/>
      <c r="NQB54" s="19"/>
      <c r="NQC54" s="19"/>
      <c r="NQD54" s="21"/>
      <c r="NQE54" s="19"/>
      <c r="NQN54" s="19"/>
      <c r="NQO54" s="19"/>
      <c r="NQP54" s="19"/>
      <c r="NQQ54" s="19"/>
      <c r="NQR54" s="21"/>
      <c r="NQS54" s="19"/>
      <c r="NRB54" s="19"/>
      <c r="NRC54" s="19"/>
      <c r="NRD54" s="19"/>
      <c r="NRE54" s="19"/>
      <c r="NRF54" s="21"/>
      <c r="NRG54" s="19"/>
      <c r="NRP54" s="19"/>
      <c r="NRQ54" s="19"/>
      <c r="NRR54" s="19"/>
      <c r="NRS54" s="19"/>
      <c r="NRT54" s="21"/>
      <c r="NRU54" s="19"/>
      <c r="NSD54" s="19"/>
      <c r="NSE54" s="19"/>
      <c r="NSF54" s="19"/>
      <c r="NSG54" s="19"/>
      <c r="NSH54" s="21"/>
      <c r="NSI54" s="19"/>
      <c r="NSR54" s="19"/>
      <c r="NSS54" s="19"/>
      <c r="NST54" s="19"/>
      <c r="NSU54" s="19"/>
      <c r="NSV54" s="21"/>
      <c r="NSW54" s="19"/>
      <c r="NTF54" s="19"/>
      <c r="NTG54" s="19"/>
      <c r="NTH54" s="19"/>
      <c r="NTI54" s="19"/>
      <c r="NTJ54" s="21"/>
      <c r="NTK54" s="19"/>
      <c r="NTT54" s="19"/>
      <c r="NTU54" s="19"/>
      <c r="NTV54" s="19"/>
      <c r="NTW54" s="19"/>
      <c r="NTX54" s="21"/>
      <c r="NTY54" s="19"/>
      <c r="NUH54" s="19"/>
      <c r="NUI54" s="19"/>
      <c r="NUJ54" s="19"/>
      <c r="NUK54" s="19"/>
      <c r="NUL54" s="21"/>
      <c r="NUM54" s="19"/>
      <c r="NUV54" s="19"/>
      <c r="NUW54" s="19"/>
      <c r="NUX54" s="19"/>
      <c r="NUY54" s="19"/>
      <c r="NUZ54" s="21"/>
      <c r="NVA54" s="19"/>
      <c r="NVJ54" s="19"/>
      <c r="NVK54" s="19"/>
      <c r="NVL54" s="19"/>
      <c r="NVM54" s="19"/>
      <c r="NVN54" s="21"/>
      <c r="NVO54" s="19"/>
      <c r="NVX54" s="19"/>
      <c r="NVY54" s="19"/>
      <c r="NVZ54" s="19"/>
      <c r="NWA54" s="19"/>
      <c r="NWB54" s="21"/>
      <c r="NWC54" s="19"/>
      <c r="NWL54" s="19"/>
      <c r="NWM54" s="19"/>
      <c r="NWN54" s="19"/>
      <c r="NWO54" s="19"/>
      <c r="NWP54" s="21"/>
      <c r="NWQ54" s="19"/>
      <c r="NWZ54" s="19"/>
      <c r="NXA54" s="19"/>
      <c r="NXB54" s="19"/>
      <c r="NXC54" s="19"/>
      <c r="NXD54" s="21"/>
      <c r="NXE54" s="19"/>
      <c r="NXN54" s="19"/>
      <c r="NXO54" s="19"/>
      <c r="NXP54" s="19"/>
      <c r="NXQ54" s="19"/>
      <c r="NXR54" s="21"/>
      <c r="NXS54" s="19"/>
      <c r="NYB54" s="19"/>
      <c r="NYC54" s="19"/>
      <c r="NYD54" s="19"/>
      <c r="NYE54" s="19"/>
      <c r="NYF54" s="21"/>
      <c r="NYG54" s="19"/>
      <c r="NYP54" s="19"/>
      <c r="NYQ54" s="19"/>
      <c r="NYR54" s="19"/>
      <c r="NYS54" s="19"/>
      <c r="NYT54" s="21"/>
      <c r="NYU54" s="19"/>
      <c r="NZD54" s="19"/>
      <c r="NZE54" s="19"/>
      <c r="NZF54" s="19"/>
      <c r="NZG54" s="19"/>
      <c r="NZH54" s="21"/>
      <c r="NZI54" s="19"/>
      <c r="NZR54" s="19"/>
      <c r="NZS54" s="19"/>
      <c r="NZT54" s="19"/>
      <c r="NZU54" s="19"/>
      <c r="NZV54" s="21"/>
      <c r="NZW54" s="19"/>
      <c r="OAF54" s="19"/>
      <c r="OAG54" s="19"/>
      <c r="OAH54" s="19"/>
      <c r="OAI54" s="19"/>
      <c r="OAJ54" s="21"/>
      <c r="OAK54" s="19"/>
      <c r="OAT54" s="19"/>
      <c r="OAU54" s="19"/>
      <c r="OAV54" s="19"/>
      <c r="OAW54" s="19"/>
      <c r="OAX54" s="21"/>
      <c r="OAY54" s="19"/>
      <c r="OBH54" s="19"/>
      <c r="OBI54" s="19"/>
      <c r="OBJ54" s="19"/>
      <c r="OBK54" s="19"/>
      <c r="OBL54" s="21"/>
      <c r="OBM54" s="19"/>
      <c r="OBV54" s="19"/>
      <c r="OBW54" s="19"/>
      <c r="OBX54" s="19"/>
      <c r="OBY54" s="19"/>
      <c r="OBZ54" s="21"/>
      <c r="OCA54" s="19"/>
      <c r="OCJ54" s="19"/>
      <c r="OCK54" s="19"/>
      <c r="OCL54" s="19"/>
      <c r="OCM54" s="19"/>
      <c r="OCN54" s="21"/>
      <c r="OCO54" s="19"/>
      <c r="OCX54" s="19"/>
      <c r="OCY54" s="19"/>
      <c r="OCZ54" s="19"/>
      <c r="ODA54" s="19"/>
      <c r="ODB54" s="21"/>
      <c r="ODC54" s="19"/>
      <c r="ODL54" s="19"/>
      <c r="ODM54" s="19"/>
      <c r="ODN54" s="19"/>
      <c r="ODO54" s="19"/>
      <c r="ODP54" s="21"/>
      <c r="ODQ54" s="19"/>
      <c r="ODZ54" s="19"/>
      <c r="OEA54" s="19"/>
      <c r="OEB54" s="19"/>
      <c r="OEC54" s="19"/>
      <c r="OED54" s="21"/>
      <c r="OEE54" s="19"/>
      <c r="OEN54" s="19"/>
      <c r="OEO54" s="19"/>
      <c r="OEP54" s="19"/>
      <c r="OEQ54" s="19"/>
      <c r="OER54" s="21"/>
      <c r="OES54" s="19"/>
      <c r="OFB54" s="19"/>
      <c r="OFC54" s="19"/>
      <c r="OFD54" s="19"/>
      <c r="OFE54" s="19"/>
      <c r="OFF54" s="21"/>
      <c r="OFG54" s="19"/>
      <c r="OFP54" s="19"/>
      <c r="OFQ54" s="19"/>
      <c r="OFR54" s="19"/>
      <c r="OFS54" s="19"/>
      <c r="OFT54" s="21"/>
      <c r="OFU54" s="19"/>
      <c r="OGD54" s="19"/>
      <c r="OGE54" s="19"/>
      <c r="OGF54" s="19"/>
      <c r="OGG54" s="19"/>
      <c r="OGH54" s="21"/>
      <c r="OGI54" s="19"/>
      <c r="OGR54" s="19"/>
      <c r="OGS54" s="19"/>
      <c r="OGT54" s="19"/>
      <c r="OGU54" s="19"/>
      <c r="OGV54" s="21"/>
      <c r="OGW54" s="19"/>
      <c r="OHF54" s="19"/>
      <c r="OHG54" s="19"/>
      <c r="OHH54" s="19"/>
      <c r="OHI54" s="19"/>
      <c r="OHJ54" s="21"/>
      <c r="OHK54" s="19"/>
      <c r="OHT54" s="19"/>
      <c r="OHU54" s="19"/>
      <c r="OHV54" s="19"/>
      <c r="OHW54" s="19"/>
      <c r="OHX54" s="21"/>
      <c r="OHY54" s="19"/>
      <c r="OIH54" s="19"/>
      <c r="OII54" s="19"/>
      <c r="OIJ54" s="19"/>
      <c r="OIK54" s="19"/>
      <c r="OIL54" s="21"/>
      <c r="OIM54" s="19"/>
      <c r="OIV54" s="19"/>
      <c r="OIW54" s="19"/>
      <c r="OIX54" s="19"/>
      <c r="OIY54" s="19"/>
      <c r="OIZ54" s="21"/>
      <c r="OJA54" s="19"/>
      <c r="OJJ54" s="19"/>
      <c r="OJK54" s="19"/>
      <c r="OJL54" s="19"/>
      <c r="OJM54" s="19"/>
      <c r="OJN54" s="21"/>
      <c r="OJO54" s="19"/>
      <c r="OJX54" s="19"/>
      <c r="OJY54" s="19"/>
      <c r="OJZ54" s="19"/>
      <c r="OKA54" s="19"/>
      <c r="OKB54" s="21"/>
      <c r="OKC54" s="19"/>
      <c r="OKL54" s="19"/>
      <c r="OKM54" s="19"/>
      <c r="OKN54" s="19"/>
      <c r="OKO54" s="19"/>
      <c r="OKP54" s="21"/>
      <c r="OKQ54" s="19"/>
      <c r="OKZ54" s="19"/>
      <c r="OLA54" s="19"/>
      <c r="OLB54" s="19"/>
      <c r="OLC54" s="19"/>
      <c r="OLD54" s="21"/>
      <c r="OLE54" s="19"/>
      <c r="OLN54" s="19"/>
      <c r="OLO54" s="19"/>
      <c r="OLP54" s="19"/>
      <c r="OLQ54" s="19"/>
      <c r="OLR54" s="21"/>
      <c r="OLS54" s="19"/>
      <c r="OMB54" s="19"/>
      <c r="OMC54" s="19"/>
      <c r="OMD54" s="19"/>
      <c r="OME54" s="19"/>
      <c r="OMF54" s="21"/>
      <c r="OMG54" s="19"/>
      <c r="OMP54" s="19"/>
      <c r="OMQ54" s="19"/>
      <c r="OMR54" s="19"/>
      <c r="OMS54" s="19"/>
      <c r="OMT54" s="21"/>
      <c r="OMU54" s="19"/>
      <c r="OND54" s="19"/>
      <c r="ONE54" s="19"/>
      <c r="ONF54" s="19"/>
      <c r="ONG54" s="19"/>
      <c r="ONH54" s="21"/>
      <c r="ONI54" s="19"/>
      <c r="ONR54" s="19"/>
      <c r="ONS54" s="19"/>
      <c r="ONT54" s="19"/>
      <c r="ONU54" s="19"/>
      <c r="ONV54" s="21"/>
      <c r="ONW54" s="19"/>
      <c r="OOF54" s="19"/>
      <c r="OOG54" s="19"/>
      <c r="OOH54" s="19"/>
      <c r="OOI54" s="19"/>
      <c r="OOJ54" s="21"/>
      <c r="OOK54" s="19"/>
      <c r="OOT54" s="19"/>
      <c r="OOU54" s="19"/>
      <c r="OOV54" s="19"/>
      <c r="OOW54" s="19"/>
      <c r="OOX54" s="21"/>
      <c r="OOY54" s="19"/>
      <c r="OPH54" s="19"/>
      <c r="OPI54" s="19"/>
      <c r="OPJ54" s="19"/>
      <c r="OPK54" s="19"/>
      <c r="OPL54" s="21"/>
      <c r="OPM54" s="19"/>
      <c r="OPV54" s="19"/>
      <c r="OPW54" s="19"/>
      <c r="OPX54" s="19"/>
      <c r="OPY54" s="19"/>
      <c r="OPZ54" s="21"/>
      <c r="OQA54" s="19"/>
      <c r="OQJ54" s="19"/>
      <c r="OQK54" s="19"/>
      <c r="OQL54" s="19"/>
      <c r="OQM54" s="19"/>
      <c r="OQN54" s="21"/>
      <c r="OQO54" s="19"/>
      <c r="OQX54" s="19"/>
      <c r="OQY54" s="19"/>
      <c r="OQZ54" s="19"/>
      <c r="ORA54" s="19"/>
      <c r="ORB54" s="21"/>
      <c r="ORC54" s="19"/>
      <c r="ORL54" s="19"/>
      <c r="ORM54" s="19"/>
      <c r="ORN54" s="19"/>
      <c r="ORO54" s="19"/>
      <c r="ORP54" s="21"/>
      <c r="ORQ54" s="19"/>
      <c r="ORZ54" s="19"/>
      <c r="OSA54" s="19"/>
      <c r="OSB54" s="19"/>
      <c r="OSC54" s="19"/>
      <c r="OSD54" s="21"/>
      <c r="OSE54" s="19"/>
      <c r="OSN54" s="19"/>
      <c r="OSO54" s="19"/>
      <c r="OSP54" s="19"/>
      <c r="OSQ54" s="19"/>
      <c r="OSR54" s="21"/>
      <c r="OSS54" s="19"/>
      <c r="OTB54" s="19"/>
      <c r="OTC54" s="19"/>
      <c r="OTD54" s="19"/>
      <c r="OTE54" s="19"/>
      <c r="OTF54" s="21"/>
      <c r="OTG54" s="19"/>
      <c r="OTP54" s="19"/>
      <c r="OTQ54" s="19"/>
      <c r="OTR54" s="19"/>
      <c r="OTS54" s="19"/>
      <c r="OTT54" s="21"/>
      <c r="OTU54" s="19"/>
      <c r="OUD54" s="19"/>
      <c r="OUE54" s="19"/>
      <c r="OUF54" s="19"/>
      <c r="OUG54" s="19"/>
      <c r="OUH54" s="21"/>
      <c r="OUI54" s="19"/>
      <c r="OUR54" s="19"/>
      <c r="OUS54" s="19"/>
      <c r="OUT54" s="19"/>
      <c r="OUU54" s="19"/>
      <c r="OUV54" s="21"/>
      <c r="OUW54" s="19"/>
      <c r="OVF54" s="19"/>
      <c r="OVG54" s="19"/>
      <c r="OVH54" s="19"/>
      <c r="OVI54" s="19"/>
      <c r="OVJ54" s="21"/>
      <c r="OVK54" s="19"/>
      <c r="OVT54" s="19"/>
      <c r="OVU54" s="19"/>
      <c r="OVV54" s="19"/>
      <c r="OVW54" s="19"/>
      <c r="OVX54" s="21"/>
      <c r="OVY54" s="19"/>
      <c r="OWH54" s="19"/>
      <c r="OWI54" s="19"/>
      <c r="OWJ54" s="19"/>
      <c r="OWK54" s="19"/>
      <c r="OWL54" s="21"/>
      <c r="OWM54" s="19"/>
      <c r="OWV54" s="19"/>
      <c r="OWW54" s="19"/>
      <c r="OWX54" s="19"/>
      <c r="OWY54" s="19"/>
      <c r="OWZ54" s="21"/>
      <c r="OXA54" s="19"/>
      <c r="OXJ54" s="19"/>
      <c r="OXK54" s="19"/>
      <c r="OXL54" s="19"/>
      <c r="OXM54" s="19"/>
      <c r="OXN54" s="21"/>
      <c r="OXO54" s="19"/>
      <c r="OXX54" s="19"/>
      <c r="OXY54" s="19"/>
      <c r="OXZ54" s="19"/>
      <c r="OYA54" s="19"/>
      <c r="OYB54" s="21"/>
      <c r="OYC54" s="19"/>
      <c r="OYL54" s="19"/>
      <c r="OYM54" s="19"/>
      <c r="OYN54" s="19"/>
      <c r="OYO54" s="19"/>
      <c r="OYP54" s="21"/>
      <c r="OYQ54" s="19"/>
      <c r="OYZ54" s="19"/>
      <c r="OZA54" s="19"/>
      <c r="OZB54" s="19"/>
      <c r="OZC54" s="19"/>
      <c r="OZD54" s="21"/>
      <c r="OZE54" s="19"/>
      <c r="OZN54" s="19"/>
      <c r="OZO54" s="19"/>
      <c r="OZP54" s="19"/>
      <c r="OZQ54" s="19"/>
      <c r="OZR54" s="21"/>
      <c r="OZS54" s="19"/>
      <c r="PAB54" s="19"/>
      <c r="PAC54" s="19"/>
      <c r="PAD54" s="19"/>
      <c r="PAE54" s="19"/>
      <c r="PAF54" s="21"/>
      <c r="PAG54" s="19"/>
      <c r="PAP54" s="19"/>
      <c r="PAQ54" s="19"/>
      <c r="PAR54" s="19"/>
      <c r="PAS54" s="19"/>
      <c r="PAT54" s="21"/>
      <c r="PAU54" s="19"/>
      <c r="PBD54" s="19"/>
      <c r="PBE54" s="19"/>
      <c r="PBF54" s="19"/>
      <c r="PBG54" s="19"/>
      <c r="PBH54" s="21"/>
      <c r="PBI54" s="19"/>
      <c r="PBR54" s="19"/>
      <c r="PBS54" s="19"/>
      <c r="PBT54" s="19"/>
      <c r="PBU54" s="19"/>
      <c r="PBV54" s="21"/>
      <c r="PBW54" s="19"/>
      <c r="PCF54" s="19"/>
      <c r="PCG54" s="19"/>
      <c r="PCH54" s="19"/>
      <c r="PCI54" s="19"/>
      <c r="PCJ54" s="21"/>
      <c r="PCK54" s="19"/>
      <c r="PCT54" s="19"/>
      <c r="PCU54" s="19"/>
      <c r="PCV54" s="19"/>
      <c r="PCW54" s="19"/>
      <c r="PCX54" s="21"/>
      <c r="PCY54" s="19"/>
      <c r="PDH54" s="19"/>
      <c r="PDI54" s="19"/>
      <c r="PDJ54" s="19"/>
      <c r="PDK54" s="19"/>
      <c r="PDL54" s="21"/>
      <c r="PDM54" s="19"/>
      <c r="PDV54" s="19"/>
      <c r="PDW54" s="19"/>
      <c r="PDX54" s="19"/>
      <c r="PDY54" s="19"/>
      <c r="PDZ54" s="21"/>
      <c r="PEA54" s="19"/>
      <c r="PEJ54" s="19"/>
      <c r="PEK54" s="19"/>
      <c r="PEL54" s="19"/>
      <c r="PEM54" s="19"/>
      <c r="PEN54" s="21"/>
      <c r="PEO54" s="19"/>
      <c r="PEX54" s="19"/>
      <c r="PEY54" s="19"/>
      <c r="PEZ54" s="19"/>
      <c r="PFA54" s="19"/>
      <c r="PFB54" s="21"/>
      <c r="PFC54" s="19"/>
      <c r="PFL54" s="19"/>
      <c r="PFM54" s="19"/>
      <c r="PFN54" s="19"/>
      <c r="PFO54" s="19"/>
      <c r="PFP54" s="21"/>
      <c r="PFQ54" s="19"/>
      <c r="PFZ54" s="19"/>
      <c r="PGA54" s="19"/>
      <c r="PGB54" s="19"/>
      <c r="PGC54" s="19"/>
      <c r="PGD54" s="21"/>
      <c r="PGE54" s="19"/>
      <c r="PGN54" s="19"/>
      <c r="PGO54" s="19"/>
      <c r="PGP54" s="19"/>
      <c r="PGQ54" s="19"/>
      <c r="PGR54" s="21"/>
      <c r="PGS54" s="19"/>
      <c r="PHB54" s="19"/>
      <c r="PHC54" s="19"/>
      <c r="PHD54" s="19"/>
      <c r="PHE54" s="19"/>
      <c r="PHF54" s="21"/>
      <c r="PHG54" s="19"/>
      <c r="PHP54" s="19"/>
      <c r="PHQ54" s="19"/>
      <c r="PHR54" s="19"/>
      <c r="PHS54" s="19"/>
      <c r="PHT54" s="21"/>
      <c r="PHU54" s="19"/>
      <c r="PID54" s="19"/>
      <c r="PIE54" s="19"/>
      <c r="PIF54" s="19"/>
      <c r="PIG54" s="19"/>
      <c r="PIH54" s="21"/>
      <c r="PII54" s="19"/>
      <c r="PIR54" s="19"/>
      <c r="PIS54" s="19"/>
      <c r="PIT54" s="19"/>
      <c r="PIU54" s="19"/>
      <c r="PIV54" s="21"/>
      <c r="PIW54" s="19"/>
      <c r="PJF54" s="19"/>
      <c r="PJG54" s="19"/>
      <c r="PJH54" s="19"/>
      <c r="PJI54" s="19"/>
      <c r="PJJ54" s="21"/>
      <c r="PJK54" s="19"/>
      <c r="PJT54" s="19"/>
      <c r="PJU54" s="19"/>
      <c r="PJV54" s="19"/>
      <c r="PJW54" s="19"/>
      <c r="PJX54" s="21"/>
      <c r="PJY54" s="19"/>
      <c r="PKH54" s="19"/>
      <c r="PKI54" s="19"/>
      <c r="PKJ54" s="19"/>
      <c r="PKK54" s="19"/>
      <c r="PKL54" s="21"/>
      <c r="PKM54" s="19"/>
      <c r="PKV54" s="19"/>
      <c r="PKW54" s="19"/>
      <c r="PKX54" s="19"/>
      <c r="PKY54" s="19"/>
      <c r="PKZ54" s="21"/>
      <c r="PLA54" s="19"/>
      <c r="PLJ54" s="19"/>
      <c r="PLK54" s="19"/>
      <c r="PLL54" s="19"/>
      <c r="PLM54" s="19"/>
      <c r="PLN54" s="21"/>
      <c r="PLO54" s="19"/>
      <c r="PLX54" s="19"/>
      <c r="PLY54" s="19"/>
      <c r="PLZ54" s="19"/>
      <c r="PMA54" s="19"/>
      <c r="PMB54" s="21"/>
      <c r="PMC54" s="19"/>
      <c r="PML54" s="19"/>
      <c r="PMM54" s="19"/>
      <c r="PMN54" s="19"/>
      <c r="PMO54" s="19"/>
      <c r="PMP54" s="21"/>
      <c r="PMQ54" s="19"/>
      <c r="PMZ54" s="19"/>
      <c r="PNA54" s="19"/>
      <c r="PNB54" s="19"/>
      <c r="PNC54" s="19"/>
      <c r="PND54" s="21"/>
      <c r="PNE54" s="19"/>
      <c r="PNN54" s="19"/>
      <c r="PNO54" s="19"/>
      <c r="PNP54" s="19"/>
      <c r="PNQ54" s="19"/>
      <c r="PNR54" s="21"/>
      <c r="PNS54" s="19"/>
      <c r="POB54" s="19"/>
      <c r="POC54" s="19"/>
      <c r="POD54" s="19"/>
      <c r="POE54" s="19"/>
      <c r="POF54" s="21"/>
      <c r="POG54" s="19"/>
      <c r="POP54" s="19"/>
      <c r="POQ54" s="19"/>
      <c r="POR54" s="19"/>
      <c r="POS54" s="19"/>
      <c r="POT54" s="21"/>
      <c r="POU54" s="19"/>
      <c r="PPD54" s="19"/>
      <c r="PPE54" s="19"/>
      <c r="PPF54" s="19"/>
      <c r="PPG54" s="19"/>
      <c r="PPH54" s="21"/>
      <c r="PPI54" s="19"/>
      <c r="PPR54" s="19"/>
      <c r="PPS54" s="19"/>
      <c r="PPT54" s="19"/>
      <c r="PPU54" s="19"/>
      <c r="PPV54" s="21"/>
      <c r="PPW54" s="19"/>
      <c r="PQF54" s="19"/>
      <c r="PQG54" s="19"/>
      <c r="PQH54" s="19"/>
      <c r="PQI54" s="19"/>
      <c r="PQJ54" s="21"/>
      <c r="PQK54" s="19"/>
      <c r="PQT54" s="19"/>
      <c r="PQU54" s="19"/>
      <c r="PQV54" s="19"/>
      <c r="PQW54" s="19"/>
      <c r="PQX54" s="21"/>
      <c r="PQY54" s="19"/>
      <c r="PRH54" s="19"/>
      <c r="PRI54" s="19"/>
      <c r="PRJ54" s="19"/>
      <c r="PRK54" s="19"/>
      <c r="PRL54" s="21"/>
      <c r="PRM54" s="19"/>
      <c r="PRV54" s="19"/>
      <c r="PRW54" s="19"/>
      <c r="PRX54" s="19"/>
      <c r="PRY54" s="19"/>
      <c r="PRZ54" s="21"/>
      <c r="PSA54" s="19"/>
      <c r="PSJ54" s="19"/>
      <c r="PSK54" s="19"/>
      <c r="PSL54" s="19"/>
      <c r="PSM54" s="19"/>
      <c r="PSN54" s="21"/>
      <c r="PSO54" s="19"/>
      <c r="PSX54" s="19"/>
      <c r="PSY54" s="19"/>
      <c r="PSZ54" s="19"/>
      <c r="PTA54" s="19"/>
      <c r="PTB54" s="21"/>
      <c r="PTC54" s="19"/>
      <c r="PTL54" s="19"/>
      <c r="PTM54" s="19"/>
      <c r="PTN54" s="19"/>
      <c r="PTO54" s="19"/>
      <c r="PTP54" s="21"/>
      <c r="PTQ54" s="19"/>
      <c r="PTZ54" s="19"/>
      <c r="PUA54" s="19"/>
      <c r="PUB54" s="19"/>
      <c r="PUC54" s="19"/>
      <c r="PUD54" s="21"/>
      <c r="PUE54" s="19"/>
      <c r="PUN54" s="19"/>
      <c r="PUO54" s="19"/>
      <c r="PUP54" s="19"/>
      <c r="PUQ54" s="19"/>
      <c r="PUR54" s="21"/>
      <c r="PUS54" s="19"/>
      <c r="PVB54" s="19"/>
      <c r="PVC54" s="19"/>
      <c r="PVD54" s="19"/>
      <c r="PVE54" s="19"/>
      <c r="PVF54" s="21"/>
      <c r="PVG54" s="19"/>
      <c r="PVP54" s="19"/>
      <c r="PVQ54" s="19"/>
      <c r="PVR54" s="19"/>
      <c r="PVS54" s="19"/>
      <c r="PVT54" s="21"/>
      <c r="PVU54" s="19"/>
      <c r="PWD54" s="19"/>
      <c r="PWE54" s="19"/>
      <c r="PWF54" s="19"/>
      <c r="PWG54" s="19"/>
      <c r="PWH54" s="21"/>
      <c r="PWI54" s="19"/>
      <c r="PWR54" s="19"/>
      <c r="PWS54" s="19"/>
      <c r="PWT54" s="19"/>
      <c r="PWU54" s="19"/>
      <c r="PWV54" s="21"/>
      <c r="PWW54" s="19"/>
      <c r="PXF54" s="19"/>
      <c r="PXG54" s="19"/>
      <c r="PXH54" s="19"/>
      <c r="PXI54" s="19"/>
      <c r="PXJ54" s="21"/>
      <c r="PXK54" s="19"/>
      <c r="PXT54" s="19"/>
      <c r="PXU54" s="19"/>
      <c r="PXV54" s="19"/>
      <c r="PXW54" s="19"/>
      <c r="PXX54" s="21"/>
      <c r="PXY54" s="19"/>
      <c r="PYH54" s="19"/>
      <c r="PYI54" s="19"/>
      <c r="PYJ54" s="19"/>
      <c r="PYK54" s="19"/>
      <c r="PYL54" s="21"/>
      <c r="PYM54" s="19"/>
      <c r="PYV54" s="19"/>
      <c r="PYW54" s="19"/>
      <c r="PYX54" s="19"/>
      <c r="PYY54" s="19"/>
      <c r="PYZ54" s="21"/>
      <c r="PZA54" s="19"/>
      <c r="PZJ54" s="19"/>
      <c r="PZK54" s="19"/>
      <c r="PZL54" s="19"/>
      <c r="PZM54" s="19"/>
      <c r="PZN54" s="21"/>
      <c r="PZO54" s="19"/>
      <c r="PZX54" s="19"/>
      <c r="PZY54" s="19"/>
      <c r="PZZ54" s="19"/>
      <c r="QAA54" s="19"/>
      <c r="QAB54" s="21"/>
      <c r="QAC54" s="19"/>
      <c r="QAL54" s="19"/>
      <c r="QAM54" s="19"/>
      <c r="QAN54" s="19"/>
      <c r="QAO54" s="19"/>
      <c r="QAP54" s="21"/>
      <c r="QAQ54" s="19"/>
      <c r="QAZ54" s="19"/>
      <c r="QBA54" s="19"/>
      <c r="QBB54" s="19"/>
      <c r="QBC54" s="19"/>
      <c r="QBD54" s="21"/>
      <c r="QBE54" s="19"/>
      <c r="QBN54" s="19"/>
      <c r="QBO54" s="19"/>
      <c r="QBP54" s="19"/>
      <c r="QBQ54" s="19"/>
      <c r="QBR54" s="21"/>
      <c r="QBS54" s="19"/>
      <c r="QCB54" s="19"/>
      <c r="QCC54" s="19"/>
      <c r="QCD54" s="19"/>
      <c r="QCE54" s="19"/>
      <c r="QCF54" s="21"/>
      <c r="QCG54" s="19"/>
      <c r="QCP54" s="19"/>
      <c r="QCQ54" s="19"/>
      <c r="QCR54" s="19"/>
      <c r="QCS54" s="19"/>
      <c r="QCT54" s="21"/>
      <c r="QCU54" s="19"/>
      <c r="QDD54" s="19"/>
      <c r="QDE54" s="19"/>
      <c r="QDF54" s="19"/>
      <c r="QDG54" s="19"/>
      <c r="QDH54" s="21"/>
      <c r="QDI54" s="19"/>
      <c r="QDR54" s="19"/>
      <c r="QDS54" s="19"/>
      <c r="QDT54" s="19"/>
      <c r="QDU54" s="19"/>
      <c r="QDV54" s="21"/>
      <c r="QDW54" s="19"/>
      <c r="QEF54" s="19"/>
      <c r="QEG54" s="19"/>
      <c r="QEH54" s="19"/>
      <c r="QEI54" s="19"/>
      <c r="QEJ54" s="21"/>
      <c r="QEK54" s="19"/>
      <c r="QET54" s="19"/>
      <c r="QEU54" s="19"/>
      <c r="QEV54" s="19"/>
      <c r="QEW54" s="19"/>
      <c r="QEX54" s="21"/>
      <c r="QEY54" s="19"/>
      <c r="QFH54" s="19"/>
      <c r="QFI54" s="19"/>
      <c r="QFJ54" s="19"/>
      <c r="QFK54" s="19"/>
      <c r="QFL54" s="21"/>
      <c r="QFM54" s="19"/>
      <c r="QFV54" s="19"/>
      <c r="QFW54" s="19"/>
      <c r="QFX54" s="19"/>
      <c r="QFY54" s="19"/>
      <c r="QFZ54" s="21"/>
      <c r="QGA54" s="19"/>
      <c r="QGJ54" s="19"/>
      <c r="QGK54" s="19"/>
      <c r="QGL54" s="19"/>
      <c r="QGM54" s="19"/>
      <c r="QGN54" s="21"/>
      <c r="QGO54" s="19"/>
      <c r="QGX54" s="19"/>
      <c r="QGY54" s="19"/>
      <c r="QGZ54" s="19"/>
      <c r="QHA54" s="19"/>
      <c r="QHB54" s="21"/>
      <c r="QHC54" s="19"/>
      <c r="QHL54" s="19"/>
      <c r="QHM54" s="19"/>
      <c r="QHN54" s="19"/>
      <c r="QHO54" s="19"/>
      <c r="QHP54" s="21"/>
      <c r="QHQ54" s="19"/>
      <c r="QHZ54" s="19"/>
      <c r="QIA54" s="19"/>
      <c r="QIB54" s="19"/>
      <c r="QIC54" s="19"/>
      <c r="QID54" s="21"/>
      <c r="QIE54" s="19"/>
      <c r="QIN54" s="19"/>
      <c r="QIO54" s="19"/>
      <c r="QIP54" s="19"/>
      <c r="QIQ54" s="19"/>
      <c r="QIR54" s="21"/>
      <c r="QIS54" s="19"/>
      <c r="QJB54" s="19"/>
      <c r="QJC54" s="19"/>
      <c r="QJD54" s="19"/>
      <c r="QJE54" s="19"/>
      <c r="QJF54" s="21"/>
      <c r="QJG54" s="19"/>
      <c r="QJP54" s="19"/>
      <c r="QJQ54" s="19"/>
      <c r="QJR54" s="19"/>
      <c r="QJS54" s="19"/>
      <c r="QJT54" s="21"/>
      <c r="QJU54" s="19"/>
      <c r="QKD54" s="19"/>
      <c r="QKE54" s="19"/>
      <c r="QKF54" s="19"/>
      <c r="QKG54" s="19"/>
      <c r="QKH54" s="21"/>
      <c r="QKI54" s="19"/>
      <c r="QKR54" s="19"/>
      <c r="QKS54" s="19"/>
      <c r="QKT54" s="19"/>
      <c r="QKU54" s="19"/>
      <c r="QKV54" s="21"/>
      <c r="QKW54" s="19"/>
      <c r="QLF54" s="19"/>
      <c r="QLG54" s="19"/>
      <c r="QLH54" s="19"/>
      <c r="QLI54" s="19"/>
      <c r="QLJ54" s="21"/>
      <c r="QLK54" s="19"/>
      <c r="QLT54" s="19"/>
      <c r="QLU54" s="19"/>
      <c r="QLV54" s="19"/>
      <c r="QLW54" s="19"/>
      <c r="QLX54" s="21"/>
      <c r="QLY54" s="19"/>
      <c r="QMH54" s="19"/>
      <c r="QMI54" s="19"/>
      <c r="QMJ54" s="19"/>
      <c r="QMK54" s="19"/>
      <c r="QML54" s="21"/>
      <c r="QMM54" s="19"/>
      <c r="QMV54" s="19"/>
      <c r="QMW54" s="19"/>
      <c r="QMX54" s="19"/>
      <c r="QMY54" s="19"/>
      <c r="QMZ54" s="21"/>
      <c r="QNA54" s="19"/>
      <c r="QNJ54" s="19"/>
      <c r="QNK54" s="19"/>
      <c r="QNL54" s="19"/>
      <c r="QNM54" s="19"/>
      <c r="QNN54" s="21"/>
      <c r="QNO54" s="19"/>
      <c r="QNX54" s="19"/>
      <c r="QNY54" s="19"/>
      <c r="QNZ54" s="19"/>
      <c r="QOA54" s="19"/>
      <c r="QOB54" s="21"/>
      <c r="QOC54" s="19"/>
      <c r="QOL54" s="19"/>
      <c r="QOM54" s="19"/>
      <c r="QON54" s="19"/>
      <c r="QOO54" s="19"/>
      <c r="QOP54" s="21"/>
      <c r="QOQ54" s="19"/>
      <c r="QOZ54" s="19"/>
      <c r="QPA54" s="19"/>
      <c r="QPB54" s="19"/>
      <c r="QPC54" s="19"/>
      <c r="QPD54" s="21"/>
      <c r="QPE54" s="19"/>
      <c r="QPN54" s="19"/>
      <c r="QPO54" s="19"/>
      <c r="QPP54" s="19"/>
      <c r="QPQ54" s="19"/>
      <c r="QPR54" s="21"/>
      <c r="QPS54" s="19"/>
      <c r="QQB54" s="19"/>
      <c r="QQC54" s="19"/>
      <c r="QQD54" s="19"/>
      <c r="QQE54" s="19"/>
      <c r="QQF54" s="21"/>
      <c r="QQG54" s="19"/>
      <c r="QQP54" s="19"/>
      <c r="QQQ54" s="19"/>
      <c r="QQR54" s="19"/>
      <c r="QQS54" s="19"/>
      <c r="QQT54" s="21"/>
      <c r="QQU54" s="19"/>
      <c r="QRD54" s="19"/>
      <c r="QRE54" s="19"/>
      <c r="QRF54" s="19"/>
      <c r="QRG54" s="19"/>
      <c r="QRH54" s="21"/>
      <c r="QRI54" s="19"/>
      <c r="QRR54" s="19"/>
      <c r="QRS54" s="19"/>
      <c r="QRT54" s="19"/>
      <c r="QRU54" s="19"/>
      <c r="QRV54" s="21"/>
      <c r="QRW54" s="19"/>
      <c r="QSF54" s="19"/>
      <c r="QSG54" s="19"/>
      <c r="QSH54" s="19"/>
      <c r="QSI54" s="19"/>
      <c r="QSJ54" s="21"/>
      <c r="QSK54" s="19"/>
      <c r="QST54" s="19"/>
      <c r="QSU54" s="19"/>
      <c r="QSV54" s="19"/>
      <c r="QSW54" s="19"/>
      <c r="QSX54" s="21"/>
      <c r="QSY54" s="19"/>
      <c r="QTH54" s="19"/>
      <c r="QTI54" s="19"/>
      <c r="QTJ54" s="19"/>
      <c r="QTK54" s="19"/>
      <c r="QTL54" s="21"/>
      <c r="QTM54" s="19"/>
      <c r="QTV54" s="19"/>
      <c r="QTW54" s="19"/>
      <c r="QTX54" s="19"/>
      <c r="QTY54" s="19"/>
      <c r="QTZ54" s="21"/>
      <c r="QUA54" s="19"/>
      <c r="QUJ54" s="19"/>
      <c r="QUK54" s="19"/>
      <c r="QUL54" s="19"/>
      <c r="QUM54" s="19"/>
      <c r="QUN54" s="21"/>
      <c r="QUO54" s="19"/>
      <c r="QUX54" s="19"/>
      <c r="QUY54" s="19"/>
      <c r="QUZ54" s="19"/>
      <c r="QVA54" s="19"/>
      <c r="QVB54" s="21"/>
      <c r="QVC54" s="19"/>
      <c r="QVL54" s="19"/>
      <c r="QVM54" s="19"/>
      <c r="QVN54" s="19"/>
      <c r="QVO54" s="19"/>
      <c r="QVP54" s="21"/>
      <c r="QVQ54" s="19"/>
      <c r="QVZ54" s="19"/>
      <c r="QWA54" s="19"/>
      <c r="QWB54" s="19"/>
      <c r="QWC54" s="19"/>
      <c r="QWD54" s="21"/>
      <c r="QWE54" s="19"/>
      <c r="QWN54" s="19"/>
      <c r="QWO54" s="19"/>
      <c r="QWP54" s="19"/>
      <c r="QWQ54" s="19"/>
      <c r="QWR54" s="21"/>
      <c r="QWS54" s="19"/>
      <c r="QXB54" s="19"/>
      <c r="QXC54" s="19"/>
      <c r="QXD54" s="19"/>
      <c r="QXE54" s="19"/>
      <c r="QXF54" s="21"/>
      <c r="QXG54" s="19"/>
      <c r="QXP54" s="19"/>
      <c r="QXQ54" s="19"/>
      <c r="QXR54" s="19"/>
      <c r="QXS54" s="19"/>
      <c r="QXT54" s="21"/>
      <c r="QXU54" s="19"/>
      <c r="QYD54" s="19"/>
      <c r="QYE54" s="19"/>
      <c r="QYF54" s="19"/>
      <c r="QYG54" s="19"/>
      <c r="QYH54" s="21"/>
      <c r="QYI54" s="19"/>
      <c r="QYR54" s="19"/>
      <c r="QYS54" s="19"/>
      <c r="QYT54" s="19"/>
      <c r="QYU54" s="19"/>
      <c r="QYV54" s="21"/>
      <c r="QYW54" s="19"/>
      <c r="QZF54" s="19"/>
      <c r="QZG54" s="19"/>
      <c r="QZH54" s="19"/>
      <c r="QZI54" s="19"/>
      <c r="QZJ54" s="21"/>
      <c r="QZK54" s="19"/>
      <c r="QZT54" s="19"/>
      <c r="QZU54" s="19"/>
      <c r="QZV54" s="19"/>
      <c r="QZW54" s="19"/>
      <c r="QZX54" s="21"/>
      <c r="QZY54" s="19"/>
      <c r="RAH54" s="19"/>
      <c r="RAI54" s="19"/>
      <c r="RAJ54" s="19"/>
      <c r="RAK54" s="19"/>
      <c r="RAL54" s="21"/>
      <c r="RAM54" s="19"/>
      <c r="RAV54" s="19"/>
      <c r="RAW54" s="19"/>
      <c r="RAX54" s="19"/>
      <c r="RAY54" s="19"/>
      <c r="RAZ54" s="21"/>
      <c r="RBA54" s="19"/>
      <c r="RBJ54" s="19"/>
      <c r="RBK54" s="19"/>
      <c r="RBL54" s="19"/>
      <c r="RBM54" s="19"/>
      <c r="RBN54" s="21"/>
      <c r="RBO54" s="19"/>
      <c r="RBX54" s="19"/>
      <c r="RBY54" s="19"/>
      <c r="RBZ54" s="19"/>
      <c r="RCA54" s="19"/>
      <c r="RCB54" s="21"/>
      <c r="RCC54" s="19"/>
      <c r="RCL54" s="19"/>
      <c r="RCM54" s="19"/>
      <c r="RCN54" s="19"/>
      <c r="RCO54" s="19"/>
      <c r="RCP54" s="21"/>
      <c r="RCQ54" s="19"/>
      <c r="RCZ54" s="19"/>
      <c r="RDA54" s="19"/>
      <c r="RDB54" s="19"/>
      <c r="RDC54" s="19"/>
      <c r="RDD54" s="21"/>
      <c r="RDE54" s="19"/>
      <c r="RDN54" s="19"/>
      <c r="RDO54" s="19"/>
      <c r="RDP54" s="19"/>
      <c r="RDQ54" s="19"/>
      <c r="RDR54" s="21"/>
      <c r="RDS54" s="19"/>
      <c r="REB54" s="19"/>
      <c r="REC54" s="19"/>
      <c r="RED54" s="19"/>
      <c r="REE54" s="19"/>
      <c r="REF54" s="21"/>
      <c r="REG54" s="19"/>
      <c r="REP54" s="19"/>
      <c r="REQ54" s="19"/>
      <c r="RER54" s="19"/>
      <c r="RES54" s="19"/>
      <c r="RET54" s="21"/>
      <c r="REU54" s="19"/>
      <c r="RFD54" s="19"/>
      <c r="RFE54" s="19"/>
      <c r="RFF54" s="19"/>
      <c r="RFG54" s="19"/>
      <c r="RFH54" s="21"/>
      <c r="RFI54" s="19"/>
      <c r="RFR54" s="19"/>
      <c r="RFS54" s="19"/>
      <c r="RFT54" s="19"/>
      <c r="RFU54" s="19"/>
      <c r="RFV54" s="21"/>
      <c r="RFW54" s="19"/>
      <c r="RGF54" s="19"/>
      <c r="RGG54" s="19"/>
      <c r="RGH54" s="19"/>
      <c r="RGI54" s="19"/>
      <c r="RGJ54" s="21"/>
      <c r="RGK54" s="19"/>
      <c r="RGT54" s="19"/>
      <c r="RGU54" s="19"/>
      <c r="RGV54" s="19"/>
      <c r="RGW54" s="19"/>
      <c r="RGX54" s="21"/>
      <c r="RGY54" s="19"/>
      <c r="RHH54" s="19"/>
      <c r="RHI54" s="19"/>
      <c r="RHJ54" s="19"/>
      <c r="RHK54" s="19"/>
      <c r="RHL54" s="21"/>
      <c r="RHM54" s="19"/>
      <c r="RHV54" s="19"/>
      <c r="RHW54" s="19"/>
      <c r="RHX54" s="19"/>
      <c r="RHY54" s="19"/>
      <c r="RHZ54" s="21"/>
      <c r="RIA54" s="19"/>
      <c r="RIJ54" s="19"/>
      <c r="RIK54" s="19"/>
      <c r="RIL54" s="19"/>
      <c r="RIM54" s="19"/>
      <c r="RIN54" s="21"/>
      <c r="RIO54" s="19"/>
      <c r="RIX54" s="19"/>
      <c r="RIY54" s="19"/>
      <c r="RIZ54" s="19"/>
      <c r="RJA54" s="19"/>
      <c r="RJB54" s="21"/>
      <c r="RJC54" s="19"/>
      <c r="RJL54" s="19"/>
      <c r="RJM54" s="19"/>
      <c r="RJN54" s="19"/>
      <c r="RJO54" s="19"/>
      <c r="RJP54" s="21"/>
      <c r="RJQ54" s="19"/>
      <c r="RJZ54" s="19"/>
      <c r="RKA54" s="19"/>
      <c r="RKB54" s="19"/>
      <c r="RKC54" s="19"/>
      <c r="RKD54" s="21"/>
      <c r="RKE54" s="19"/>
      <c r="RKN54" s="19"/>
      <c r="RKO54" s="19"/>
      <c r="RKP54" s="19"/>
      <c r="RKQ54" s="19"/>
      <c r="RKR54" s="21"/>
      <c r="RKS54" s="19"/>
      <c r="RLB54" s="19"/>
      <c r="RLC54" s="19"/>
      <c r="RLD54" s="19"/>
      <c r="RLE54" s="19"/>
      <c r="RLF54" s="21"/>
      <c r="RLG54" s="19"/>
      <c r="RLP54" s="19"/>
      <c r="RLQ54" s="19"/>
      <c r="RLR54" s="19"/>
      <c r="RLS54" s="19"/>
      <c r="RLT54" s="21"/>
      <c r="RLU54" s="19"/>
      <c r="RMD54" s="19"/>
      <c r="RME54" s="19"/>
      <c r="RMF54" s="19"/>
      <c r="RMG54" s="19"/>
      <c r="RMH54" s="21"/>
      <c r="RMI54" s="19"/>
      <c r="RMR54" s="19"/>
      <c r="RMS54" s="19"/>
      <c r="RMT54" s="19"/>
      <c r="RMU54" s="19"/>
      <c r="RMV54" s="21"/>
      <c r="RMW54" s="19"/>
      <c r="RNF54" s="19"/>
      <c r="RNG54" s="19"/>
      <c r="RNH54" s="19"/>
      <c r="RNI54" s="19"/>
      <c r="RNJ54" s="21"/>
      <c r="RNK54" s="19"/>
      <c r="RNT54" s="19"/>
      <c r="RNU54" s="19"/>
      <c r="RNV54" s="19"/>
      <c r="RNW54" s="19"/>
      <c r="RNX54" s="21"/>
      <c r="RNY54" s="19"/>
      <c r="ROH54" s="19"/>
      <c r="ROI54" s="19"/>
      <c r="ROJ54" s="19"/>
      <c r="ROK54" s="19"/>
      <c r="ROL54" s="21"/>
      <c r="ROM54" s="19"/>
      <c r="ROV54" s="19"/>
      <c r="ROW54" s="19"/>
      <c r="ROX54" s="19"/>
      <c r="ROY54" s="19"/>
      <c r="ROZ54" s="21"/>
      <c r="RPA54" s="19"/>
      <c r="RPJ54" s="19"/>
      <c r="RPK54" s="19"/>
      <c r="RPL54" s="19"/>
      <c r="RPM54" s="19"/>
      <c r="RPN54" s="21"/>
      <c r="RPO54" s="19"/>
      <c r="RPX54" s="19"/>
      <c r="RPY54" s="19"/>
      <c r="RPZ54" s="19"/>
      <c r="RQA54" s="19"/>
      <c r="RQB54" s="21"/>
      <c r="RQC54" s="19"/>
      <c r="RQL54" s="19"/>
      <c r="RQM54" s="19"/>
      <c r="RQN54" s="19"/>
      <c r="RQO54" s="19"/>
      <c r="RQP54" s="21"/>
      <c r="RQQ54" s="19"/>
      <c r="RQZ54" s="19"/>
      <c r="RRA54" s="19"/>
      <c r="RRB54" s="19"/>
      <c r="RRC54" s="19"/>
      <c r="RRD54" s="21"/>
      <c r="RRE54" s="19"/>
      <c r="RRN54" s="19"/>
      <c r="RRO54" s="19"/>
      <c r="RRP54" s="19"/>
      <c r="RRQ54" s="19"/>
      <c r="RRR54" s="21"/>
      <c r="RRS54" s="19"/>
      <c r="RSB54" s="19"/>
      <c r="RSC54" s="19"/>
      <c r="RSD54" s="19"/>
      <c r="RSE54" s="19"/>
      <c r="RSF54" s="21"/>
      <c r="RSG54" s="19"/>
      <c r="RSP54" s="19"/>
      <c r="RSQ54" s="19"/>
      <c r="RSR54" s="19"/>
      <c r="RSS54" s="19"/>
      <c r="RST54" s="21"/>
      <c r="RSU54" s="19"/>
      <c r="RTD54" s="19"/>
      <c r="RTE54" s="19"/>
      <c r="RTF54" s="19"/>
      <c r="RTG54" s="19"/>
      <c r="RTH54" s="21"/>
      <c r="RTI54" s="19"/>
      <c r="RTR54" s="19"/>
      <c r="RTS54" s="19"/>
      <c r="RTT54" s="19"/>
      <c r="RTU54" s="19"/>
      <c r="RTV54" s="21"/>
      <c r="RTW54" s="19"/>
      <c r="RUF54" s="19"/>
      <c r="RUG54" s="19"/>
      <c r="RUH54" s="19"/>
      <c r="RUI54" s="19"/>
      <c r="RUJ54" s="21"/>
      <c r="RUK54" s="19"/>
      <c r="RUT54" s="19"/>
      <c r="RUU54" s="19"/>
      <c r="RUV54" s="19"/>
      <c r="RUW54" s="19"/>
      <c r="RUX54" s="21"/>
      <c r="RUY54" s="19"/>
      <c r="RVH54" s="19"/>
      <c r="RVI54" s="19"/>
      <c r="RVJ54" s="19"/>
      <c r="RVK54" s="19"/>
      <c r="RVL54" s="21"/>
      <c r="RVM54" s="19"/>
      <c r="RVV54" s="19"/>
      <c r="RVW54" s="19"/>
      <c r="RVX54" s="19"/>
      <c r="RVY54" s="19"/>
      <c r="RVZ54" s="21"/>
      <c r="RWA54" s="19"/>
      <c r="RWJ54" s="19"/>
      <c r="RWK54" s="19"/>
      <c r="RWL54" s="19"/>
      <c r="RWM54" s="19"/>
      <c r="RWN54" s="21"/>
      <c r="RWO54" s="19"/>
      <c r="RWX54" s="19"/>
      <c r="RWY54" s="19"/>
      <c r="RWZ54" s="19"/>
      <c r="RXA54" s="19"/>
      <c r="RXB54" s="21"/>
      <c r="RXC54" s="19"/>
      <c r="RXL54" s="19"/>
      <c r="RXM54" s="19"/>
      <c r="RXN54" s="19"/>
      <c r="RXO54" s="19"/>
      <c r="RXP54" s="21"/>
      <c r="RXQ54" s="19"/>
      <c r="RXZ54" s="19"/>
      <c r="RYA54" s="19"/>
      <c r="RYB54" s="19"/>
      <c r="RYC54" s="19"/>
      <c r="RYD54" s="21"/>
      <c r="RYE54" s="19"/>
      <c r="RYN54" s="19"/>
      <c r="RYO54" s="19"/>
      <c r="RYP54" s="19"/>
      <c r="RYQ54" s="19"/>
      <c r="RYR54" s="21"/>
      <c r="RYS54" s="19"/>
      <c r="RZB54" s="19"/>
      <c r="RZC54" s="19"/>
      <c r="RZD54" s="19"/>
      <c r="RZE54" s="19"/>
      <c r="RZF54" s="21"/>
      <c r="RZG54" s="19"/>
      <c r="RZP54" s="19"/>
      <c r="RZQ54" s="19"/>
      <c r="RZR54" s="19"/>
      <c r="RZS54" s="19"/>
      <c r="RZT54" s="21"/>
      <c r="RZU54" s="19"/>
      <c r="SAD54" s="19"/>
      <c r="SAE54" s="19"/>
      <c r="SAF54" s="19"/>
      <c r="SAG54" s="19"/>
      <c r="SAH54" s="21"/>
      <c r="SAI54" s="19"/>
      <c r="SAR54" s="19"/>
      <c r="SAS54" s="19"/>
      <c r="SAT54" s="19"/>
      <c r="SAU54" s="19"/>
      <c r="SAV54" s="21"/>
      <c r="SAW54" s="19"/>
      <c r="SBF54" s="19"/>
      <c r="SBG54" s="19"/>
      <c r="SBH54" s="19"/>
      <c r="SBI54" s="19"/>
      <c r="SBJ54" s="21"/>
      <c r="SBK54" s="19"/>
      <c r="SBT54" s="19"/>
      <c r="SBU54" s="19"/>
      <c r="SBV54" s="19"/>
      <c r="SBW54" s="19"/>
      <c r="SBX54" s="21"/>
      <c r="SBY54" s="19"/>
      <c r="SCH54" s="19"/>
      <c r="SCI54" s="19"/>
      <c r="SCJ54" s="19"/>
      <c r="SCK54" s="19"/>
      <c r="SCL54" s="21"/>
      <c r="SCM54" s="19"/>
      <c r="SCV54" s="19"/>
      <c r="SCW54" s="19"/>
      <c r="SCX54" s="19"/>
      <c r="SCY54" s="19"/>
      <c r="SCZ54" s="21"/>
      <c r="SDA54" s="19"/>
      <c r="SDJ54" s="19"/>
      <c r="SDK54" s="19"/>
      <c r="SDL54" s="19"/>
      <c r="SDM54" s="19"/>
      <c r="SDN54" s="21"/>
      <c r="SDO54" s="19"/>
      <c r="SDX54" s="19"/>
      <c r="SDY54" s="19"/>
      <c r="SDZ54" s="19"/>
      <c r="SEA54" s="19"/>
      <c r="SEB54" s="21"/>
      <c r="SEC54" s="19"/>
      <c r="SEL54" s="19"/>
      <c r="SEM54" s="19"/>
      <c r="SEN54" s="19"/>
      <c r="SEO54" s="19"/>
      <c r="SEP54" s="21"/>
      <c r="SEQ54" s="19"/>
      <c r="SEZ54" s="19"/>
      <c r="SFA54" s="19"/>
      <c r="SFB54" s="19"/>
      <c r="SFC54" s="19"/>
      <c r="SFD54" s="21"/>
      <c r="SFE54" s="19"/>
      <c r="SFN54" s="19"/>
      <c r="SFO54" s="19"/>
      <c r="SFP54" s="19"/>
      <c r="SFQ54" s="19"/>
      <c r="SFR54" s="21"/>
      <c r="SFS54" s="19"/>
      <c r="SGB54" s="19"/>
      <c r="SGC54" s="19"/>
      <c r="SGD54" s="19"/>
      <c r="SGE54" s="19"/>
      <c r="SGF54" s="21"/>
      <c r="SGG54" s="19"/>
      <c r="SGP54" s="19"/>
      <c r="SGQ54" s="19"/>
      <c r="SGR54" s="19"/>
      <c r="SGS54" s="19"/>
      <c r="SGT54" s="21"/>
      <c r="SGU54" s="19"/>
      <c r="SHD54" s="19"/>
      <c r="SHE54" s="19"/>
      <c r="SHF54" s="19"/>
      <c r="SHG54" s="19"/>
      <c r="SHH54" s="21"/>
      <c r="SHI54" s="19"/>
      <c r="SHR54" s="19"/>
      <c r="SHS54" s="19"/>
      <c r="SHT54" s="19"/>
      <c r="SHU54" s="19"/>
      <c r="SHV54" s="21"/>
      <c r="SHW54" s="19"/>
      <c r="SIF54" s="19"/>
      <c r="SIG54" s="19"/>
      <c r="SIH54" s="19"/>
      <c r="SII54" s="19"/>
      <c r="SIJ54" s="21"/>
      <c r="SIK54" s="19"/>
      <c r="SIT54" s="19"/>
      <c r="SIU54" s="19"/>
      <c r="SIV54" s="19"/>
      <c r="SIW54" s="19"/>
      <c r="SIX54" s="21"/>
      <c r="SIY54" s="19"/>
      <c r="SJH54" s="19"/>
      <c r="SJI54" s="19"/>
      <c r="SJJ54" s="19"/>
      <c r="SJK54" s="19"/>
      <c r="SJL54" s="21"/>
      <c r="SJM54" s="19"/>
      <c r="SJV54" s="19"/>
      <c r="SJW54" s="19"/>
      <c r="SJX54" s="19"/>
      <c r="SJY54" s="19"/>
      <c r="SJZ54" s="21"/>
      <c r="SKA54" s="19"/>
      <c r="SKJ54" s="19"/>
      <c r="SKK54" s="19"/>
      <c r="SKL54" s="19"/>
      <c r="SKM54" s="19"/>
      <c r="SKN54" s="21"/>
      <c r="SKO54" s="19"/>
      <c r="SKX54" s="19"/>
      <c r="SKY54" s="19"/>
      <c r="SKZ54" s="19"/>
      <c r="SLA54" s="19"/>
      <c r="SLB54" s="21"/>
      <c r="SLC54" s="19"/>
      <c r="SLL54" s="19"/>
      <c r="SLM54" s="19"/>
      <c r="SLN54" s="19"/>
      <c r="SLO54" s="19"/>
      <c r="SLP54" s="21"/>
      <c r="SLQ54" s="19"/>
      <c r="SLZ54" s="19"/>
      <c r="SMA54" s="19"/>
      <c r="SMB54" s="19"/>
      <c r="SMC54" s="19"/>
      <c r="SMD54" s="21"/>
      <c r="SME54" s="19"/>
      <c r="SMN54" s="19"/>
      <c r="SMO54" s="19"/>
      <c r="SMP54" s="19"/>
      <c r="SMQ54" s="19"/>
      <c r="SMR54" s="21"/>
      <c r="SMS54" s="19"/>
      <c r="SNB54" s="19"/>
      <c r="SNC54" s="19"/>
      <c r="SND54" s="19"/>
      <c r="SNE54" s="19"/>
      <c r="SNF54" s="21"/>
      <c r="SNG54" s="19"/>
      <c r="SNP54" s="19"/>
      <c r="SNQ54" s="19"/>
      <c r="SNR54" s="19"/>
      <c r="SNS54" s="19"/>
      <c r="SNT54" s="21"/>
      <c r="SNU54" s="19"/>
      <c r="SOD54" s="19"/>
      <c r="SOE54" s="19"/>
      <c r="SOF54" s="19"/>
      <c r="SOG54" s="19"/>
      <c r="SOH54" s="21"/>
      <c r="SOI54" s="19"/>
      <c r="SOR54" s="19"/>
      <c r="SOS54" s="19"/>
      <c r="SOT54" s="19"/>
      <c r="SOU54" s="19"/>
      <c r="SOV54" s="21"/>
      <c r="SOW54" s="19"/>
      <c r="SPF54" s="19"/>
      <c r="SPG54" s="19"/>
      <c r="SPH54" s="19"/>
      <c r="SPI54" s="19"/>
      <c r="SPJ54" s="21"/>
      <c r="SPK54" s="19"/>
      <c r="SPT54" s="19"/>
      <c r="SPU54" s="19"/>
      <c r="SPV54" s="19"/>
      <c r="SPW54" s="19"/>
      <c r="SPX54" s="21"/>
      <c r="SPY54" s="19"/>
      <c r="SQH54" s="19"/>
      <c r="SQI54" s="19"/>
      <c r="SQJ54" s="19"/>
      <c r="SQK54" s="19"/>
      <c r="SQL54" s="21"/>
      <c r="SQM54" s="19"/>
      <c r="SQV54" s="19"/>
      <c r="SQW54" s="19"/>
      <c r="SQX54" s="19"/>
      <c r="SQY54" s="19"/>
      <c r="SQZ54" s="21"/>
      <c r="SRA54" s="19"/>
      <c r="SRJ54" s="19"/>
      <c r="SRK54" s="19"/>
      <c r="SRL54" s="19"/>
      <c r="SRM54" s="19"/>
      <c r="SRN54" s="21"/>
      <c r="SRO54" s="19"/>
      <c r="SRX54" s="19"/>
      <c r="SRY54" s="19"/>
      <c r="SRZ54" s="19"/>
      <c r="SSA54" s="19"/>
      <c r="SSB54" s="21"/>
      <c r="SSC54" s="19"/>
      <c r="SSL54" s="19"/>
      <c r="SSM54" s="19"/>
      <c r="SSN54" s="19"/>
      <c r="SSO54" s="19"/>
      <c r="SSP54" s="21"/>
      <c r="SSQ54" s="19"/>
      <c r="SSZ54" s="19"/>
      <c r="STA54" s="19"/>
      <c r="STB54" s="19"/>
      <c r="STC54" s="19"/>
      <c r="STD54" s="21"/>
      <c r="STE54" s="19"/>
      <c r="STN54" s="19"/>
      <c r="STO54" s="19"/>
      <c r="STP54" s="19"/>
      <c r="STQ54" s="19"/>
      <c r="STR54" s="21"/>
      <c r="STS54" s="19"/>
      <c r="SUB54" s="19"/>
      <c r="SUC54" s="19"/>
      <c r="SUD54" s="19"/>
      <c r="SUE54" s="19"/>
      <c r="SUF54" s="21"/>
      <c r="SUG54" s="19"/>
      <c r="SUP54" s="19"/>
      <c r="SUQ54" s="19"/>
      <c r="SUR54" s="19"/>
      <c r="SUS54" s="19"/>
      <c r="SUT54" s="21"/>
      <c r="SUU54" s="19"/>
      <c r="SVD54" s="19"/>
      <c r="SVE54" s="19"/>
      <c r="SVF54" s="19"/>
      <c r="SVG54" s="19"/>
      <c r="SVH54" s="21"/>
      <c r="SVI54" s="19"/>
      <c r="SVR54" s="19"/>
      <c r="SVS54" s="19"/>
      <c r="SVT54" s="19"/>
      <c r="SVU54" s="19"/>
      <c r="SVV54" s="21"/>
      <c r="SVW54" s="19"/>
      <c r="SWF54" s="19"/>
      <c r="SWG54" s="19"/>
      <c r="SWH54" s="19"/>
      <c r="SWI54" s="19"/>
      <c r="SWJ54" s="21"/>
      <c r="SWK54" s="19"/>
      <c r="SWT54" s="19"/>
      <c r="SWU54" s="19"/>
      <c r="SWV54" s="19"/>
      <c r="SWW54" s="19"/>
      <c r="SWX54" s="21"/>
      <c r="SWY54" s="19"/>
      <c r="SXH54" s="19"/>
      <c r="SXI54" s="19"/>
      <c r="SXJ54" s="19"/>
      <c r="SXK54" s="19"/>
      <c r="SXL54" s="21"/>
      <c r="SXM54" s="19"/>
      <c r="SXV54" s="19"/>
      <c r="SXW54" s="19"/>
      <c r="SXX54" s="19"/>
      <c r="SXY54" s="19"/>
      <c r="SXZ54" s="21"/>
      <c r="SYA54" s="19"/>
      <c r="SYJ54" s="19"/>
      <c r="SYK54" s="19"/>
      <c r="SYL54" s="19"/>
      <c r="SYM54" s="19"/>
      <c r="SYN54" s="21"/>
      <c r="SYO54" s="19"/>
      <c r="SYX54" s="19"/>
      <c r="SYY54" s="19"/>
      <c r="SYZ54" s="19"/>
      <c r="SZA54" s="19"/>
      <c r="SZB54" s="21"/>
      <c r="SZC54" s="19"/>
      <c r="SZL54" s="19"/>
      <c r="SZM54" s="19"/>
      <c r="SZN54" s="19"/>
      <c r="SZO54" s="19"/>
      <c r="SZP54" s="21"/>
      <c r="SZQ54" s="19"/>
      <c r="SZZ54" s="19"/>
      <c r="TAA54" s="19"/>
      <c r="TAB54" s="19"/>
      <c r="TAC54" s="19"/>
      <c r="TAD54" s="21"/>
      <c r="TAE54" s="19"/>
      <c r="TAN54" s="19"/>
      <c r="TAO54" s="19"/>
      <c r="TAP54" s="19"/>
      <c r="TAQ54" s="19"/>
      <c r="TAR54" s="21"/>
      <c r="TAS54" s="19"/>
      <c r="TBB54" s="19"/>
      <c r="TBC54" s="19"/>
      <c r="TBD54" s="19"/>
      <c r="TBE54" s="19"/>
      <c r="TBF54" s="21"/>
      <c r="TBG54" s="19"/>
      <c r="TBP54" s="19"/>
      <c r="TBQ54" s="19"/>
      <c r="TBR54" s="19"/>
      <c r="TBS54" s="19"/>
      <c r="TBT54" s="21"/>
      <c r="TBU54" s="19"/>
      <c r="TCD54" s="19"/>
      <c r="TCE54" s="19"/>
      <c r="TCF54" s="19"/>
      <c r="TCG54" s="19"/>
      <c r="TCH54" s="21"/>
      <c r="TCI54" s="19"/>
      <c r="TCR54" s="19"/>
      <c r="TCS54" s="19"/>
      <c r="TCT54" s="19"/>
      <c r="TCU54" s="19"/>
      <c r="TCV54" s="21"/>
      <c r="TCW54" s="19"/>
      <c r="TDF54" s="19"/>
      <c r="TDG54" s="19"/>
      <c r="TDH54" s="19"/>
      <c r="TDI54" s="19"/>
      <c r="TDJ54" s="21"/>
      <c r="TDK54" s="19"/>
      <c r="TDT54" s="19"/>
      <c r="TDU54" s="19"/>
      <c r="TDV54" s="19"/>
      <c r="TDW54" s="19"/>
      <c r="TDX54" s="21"/>
      <c r="TDY54" s="19"/>
      <c r="TEH54" s="19"/>
      <c r="TEI54" s="19"/>
      <c r="TEJ54" s="19"/>
      <c r="TEK54" s="19"/>
      <c r="TEL54" s="21"/>
      <c r="TEM54" s="19"/>
      <c r="TEV54" s="19"/>
      <c r="TEW54" s="19"/>
      <c r="TEX54" s="19"/>
      <c r="TEY54" s="19"/>
      <c r="TEZ54" s="21"/>
      <c r="TFA54" s="19"/>
      <c r="TFJ54" s="19"/>
      <c r="TFK54" s="19"/>
      <c r="TFL54" s="19"/>
      <c r="TFM54" s="19"/>
      <c r="TFN54" s="21"/>
      <c r="TFO54" s="19"/>
      <c r="TFX54" s="19"/>
      <c r="TFY54" s="19"/>
      <c r="TFZ54" s="19"/>
      <c r="TGA54" s="19"/>
      <c r="TGB54" s="21"/>
      <c r="TGC54" s="19"/>
      <c r="TGL54" s="19"/>
      <c r="TGM54" s="19"/>
      <c r="TGN54" s="19"/>
      <c r="TGO54" s="19"/>
      <c r="TGP54" s="21"/>
      <c r="TGQ54" s="19"/>
      <c r="TGZ54" s="19"/>
      <c r="THA54" s="19"/>
      <c r="THB54" s="19"/>
      <c r="THC54" s="19"/>
      <c r="THD54" s="21"/>
      <c r="THE54" s="19"/>
      <c r="THN54" s="19"/>
      <c r="THO54" s="19"/>
      <c r="THP54" s="19"/>
      <c r="THQ54" s="19"/>
      <c r="THR54" s="21"/>
      <c r="THS54" s="19"/>
      <c r="TIB54" s="19"/>
      <c r="TIC54" s="19"/>
      <c r="TID54" s="19"/>
      <c r="TIE54" s="19"/>
      <c r="TIF54" s="21"/>
      <c r="TIG54" s="19"/>
      <c r="TIP54" s="19"/>
      <c r="TIQ54" s="19"/>
      <c r="TIR54" s="19"/>
      <c r="TIS54" s="19"/>
      <c r="TIT54" s="21"/>
      <c r="TIU54" s="19"/>
      <c r="TJD54" s="19"/>
      <c r="TJE54" s="19"/>
      <c r="TJF54" s="19"/>
      <c r="TJG54" s="19"/>
      <c r="TJH54" s="21"/>
      <c r="TJI54" s="19"/>
      <c r="TJR54" s="19"/>
      <c r="TJS54" s="19"/>
      <c r="TJT54" s="19"/>
      <c r="TJU54" s="19"/>
      <c r="TJV54" s="21"/>
      <c r="TJW54" s="19"/>
      <c r="TKF54" s="19"/>
      <c r="TKG54" s="19"/>
      <c r="TKH54" s="19"/>
      <c r="TKI54" s="19"/>
      <c r="TKJ54" s="21"/>
      <c r="TKK54" s="19"/>
      <c r="TKT54" s="19"/>
      <c r="TKU54" s="19"/>
      <c r="TKV54" s="19"/>
      <c r="TKW54" s="19"/>
      <c r="TKX54" s="21"/>
      <c r="TKY54" s="19"/>
      <c r="TLH54" s="19"/>
      <c r="TLI54" s="19"/>
      <c r="TLJ54" s="19"/>
      <c r="TLK54" s="19"/>
      <c r="TLL54" s="21"/>
      <c r="TLM54" s="19"/>
      <c r="TLV54" s="19"/>
      <c r="TLW54" s="19"/>
      <c r="TLX54" s="19"/>
      <c r="TLY54" s="19"/>
      <c r="TLZ54" s="21"/>
      <c r="TMA54" s="19"/>
      <c r="TMJ54" s="19"/>
      <c r="TMK54" s="19"/>
      <c r="TML54" s="19"/>
      <c r="TMM54" s="19"/>
      <c r="TMN54" s="21"/>
      <c r="TMO54" s="19"/>
      <c r="TMX54" s="19"/>
      <c r="TMY54" s="19"/>
      <c r="TMZ54" s="19"/>
      <c r="TNA54" s="19"/>
      <c r="TNB54" s="21"/>
      <c r="TNC54" s="19"/>
      <c r="TNL54" s="19"/>
      <c r="TNM54" s="19"/>
      <c r="TNN54" s="19"/>
      <c r="TNO54" s="19"/>
      <c r="TNP54" s="21"/>
      <c r="TNQ54" s="19"/>
      <c r="TNZ54" s="19"/>
      <c r="TOA54" s="19"/>
      <c r="TOB54" s="19"/>
      <c r="TOC54" s="19"/>
      <c r="TOD54" s="21"/>
      <c r="TOE54" s="19"/>
      <c r="TON54" s="19"/>
      <c r="TOO54" s="19"/>
      <c r="TOP54" s="19"/>
      <c r="TOQ54" s="19"/>
      <c r="TOR54" s="21"/>
      <c r="TOS54" s="19"/>
      <c r="TPB54" s="19"/>
      <c r="TPC54" s="19"/>
      <c r="TPD54" s="19"/>
      <c r="TPE54" s="19"/>
      <c r="TPF54" s="21"/>
      <c r="TPG54" s="19"/>
      <c r="TPP54" s="19"/>
      <c r="TPQ54" s="19"/>
      <c r="TPR54" s="19"/>
      <c r="TPS54" s="19"/>
      <c r="TPT54" s="21"/>
      <c r="TPU54" s="19"/>
      <c r="TQD54" s="19"/>
      <c r="TQE54" s="19"/>
      <c r="TQF54" s="19"/>
      <c r="TQG54" s="19"/>
      <c r="TQH54" s="21"/>
      <c r="TQI54" s="19"/>
      <c r="TQR54" s="19"/>
      <c r="TQS54" s="19"/>
      <c r="TQT54" s="19"/>
      <c r="TQU54" s="19"/>
      <c r="TQV54" s="21"/>
      <c r="TQW54" s="19"/>
      <c r="TRF54" s="19"/>
      <c r="TRG54" s="19"/>
      <c r="TRH54" s="19"/>
      <c r="TRI54" s="19"/>
      <c r="TRJ54" s="21"/>
      <c r="TRK54" s="19"/>
      <c r="TRT54" s="19"/>
      <c r="TRU54" s="19"/>
      <c r="TRV54" s="19"/>
      <c r="TRW54" s="19"/>
      <c r="TRX54" s="21"/>
      <c r="TRY54" s="19"/>
      <c r="TSH54" s="19"/>
      <c r="TSI54" s="19"/>
      <c r="TSJ54" s="19"/>
      <c r="TSK54" s="19"/>
      <c r="TSL54" s="21"/>
      <c r="TSM54" s="19"/>
      <c r="TSV54" s="19"/>
      <c r="TSW54" s="19"/>
      <c r="TSX54" s="19"/>
      <c r="TSY54" s="19"/>
      <c r="TSZ54" s="21"/>
      <c r="TTA54" s="19"/>
      <c r="TTJ54" s="19"/>
      <c r="TTK54" s="19"/>
      <c r="TTL54" s="19"/>
      <c r="TTM54" s="19"/>
      <c r="TTN54" s="21"/>
      <c r="TTO54" s="19"/>
      <c r="TTX54" s="19"/>
      <c r="TTY54" s="19"/>
      <c r="TTZ54" s="19"/>
      <c r="TUA54" s="19"/>
      <c r="TUB54" s="21"/>
      <c r="TUC54" s="19"/>
      <c r="TUL54" s="19"/>
      <c r="TUM54" s="19"/>
      <c r="TUN54" s="19"/>
      <c r="TUO54" s="19"/>
      <c r="TUP54" s="21"/>
      <c r="TUQ54" s="19"/>
      <c r="TUZ54" s="19"/>
      <c r="TVA54" s="19"/>
      <c r="TVB54" s="19"/>
      <c r="TVC54" s="19"/>
      <c r="TVD54" s="21"/>
      <c r="TVE54" s="19"/>
      <c r="TVN54" s="19"/>
      <c r="TVO54" s="19"/>
      <c r="TVP54" s="19"/>
      <c r="TVQ54" s="19"/>
      <c r="TVR54" s="21"/>
      <c r="TVS54" s="19"/>
      <c r="TWB54" s="19"/>
      <c r="TWC54" s="19"/>
      <c r="TWD54" s="19"/>
      <c r="TWE54" s="19"/>
      <c r="TWF54" s="21"/>
      <c r="TWG54" s="19"/>
      <c r="TWP54" s="19"/>
      <c r="TWQ54" s="19"/>
      <c r="TWR54" s="19"/>
      <c r="TWS54" s="19"/>
      <c r="TWT54" s="21"/>
      <c r="TWU54" s="19"/>
      <c r="TXD54" s="19"/>
      <c r="TXE54" s="19"/>
      <c r="TXF54" s="19"/>
      <c r="TXG54" s="19"/>
      <c r="TXH54" s="21"/>
      <c r="TXI54" s="19"/>
      <c r="TXR54" s="19"/>
      <c r="TXS54" s="19"/>
      <c r="TXT54" s="19"/>
      <c r="TXU54" s="19"/>
      <c r="TXV54" s="21"/>
      <c r="TXW54" s="19"/>
      <c r="TYF54" s="19"/>
      <c r="TYG54" s="19"/>
      <c r="TYH54" s="19"/>
      <c r="TYI54" s="19"/>
      <c r="TYJ54" s="21"/>
      <c r="TYK54" s="19"/>
      <c r="TYT54" s="19"/>
      <c r="TYU54" s="19"/>
      <c r="TYV54" s="19"/>
      <c r="TYW54" s="19"/>
      <c r="TYX54" s="21"/>
      <c r="TYY54" s="19"/>
      <c r="TZH54" s="19"/>
      <c r="TZI54" s="19"/>
      <c r="TZJ54" s="19"/>
      <c r="TZK54" s="19"/>
      <c r="TZL54" s="21"/>
      <c r="TZM54" s="19"/>
      <c r="TZV54" s="19"/>
      <c r="TZW54" s="19"/>
      <c r="TZX54" s="19"/>
      <c r="TZY54" s="19"/>
      <c r="TZZ54" s="21"/>
      <c r="UAA54" s="19"/>
      <c r="UAJ54" s="19"/>
      <c r="UAK54" s="19"/>
      <c r="UAL54" s="19"/>
      <c r="UAM54" s="19"/>
      <c r="UAN54" s="21"/>
      <c r="UAO54" s="19"/>
      <c r="UAX54" s="19"/>
      <c r="UAY54" s="19"/>
      <c r="UAZ54" s="19"/>
      <c r="UBA54" s="19"/>
      <c r="UBB54" s="21"/>
      <c r="UBC54" s="19"/>
      <c r="UBL54" s="19"/>
      <c r="UBM54" s="19"/>
      <c r="UBN54" s="19"/>
      <c r="UBO54" s="19"/>
      <c r="UBP54" s="21"/>
      <c r="UBQ54" s="19"/>
      <c r="UBZ54" s="19"/>
      <c r="UCA54" s="19"/>
      <c r="UCB54" s="19"/>
      <c r="UCC54" s="19"/>
      <c r="UCD54" s="21"/>
      <c r="UCE54" s="19"/>
      <c r="UCN54" s="19"/>
      <c r="UCO54" s="19"/>
      <c r="UCP54" s="19"/>
      <c r="UCQ54" s="19"/>
      <c r="UCR54" s="21"/>
      <c r="UCS54" s="19"/>
      <c r="UDB54" s="19"/>
      <c r="UDC54" s="19"/>
      <c r="UDD54" s="19"/>
      <c r="UDE54" s="19"/>
      <c r="UDF54" s="21"/>
      <c r="UDG54" s="19"/>
      <c r="UDP54" s="19"/>
      <c r="UDQ54" s="19"/>
      <c r="UDR54" s="19"/>
      <c r="UDS54" s="19"/>
      <c r="UDT54" s="21"/>
      <c r="UDU54" s="19"/>
      <c r="UED54" s="19"/>
      <c r="UEE54" s="19"/>
      <c r="UEF54" s="19"/>
      <c r="UEG54" s="19"/>
      <c r="UEH54" s="21"/>
      <c r="UEI54" s="19"/>
      <c r="UER54" s="19"/>
      <c r="UES54" s="19"/>
      <c r="UET54" s="19"/>
      <c r="UEU54" s="19"/>
      <c r="UEV54" s="21"/>
      <c r="UEW54" s="19"/>
      <c r="UFF54" s="19"/>
      <c r="UFG54" s="19"/>
      <c r="UFH54" s="19"/>
      <c r="UFI54" s="19"/>
      <c r="UFJ54" s="21"/>
      <c r="UFK54" s="19"/>
      <c r="UFT54" s="19"/>
      <c r="UFU54" s="19"/>
      <c r="UFV54" s="19"/>
      <c r="UFW54" s="19"/>
      <c r="UFX54" s="21"/>
      <c r="UFY54" s="19"/>
      <c r="UGH54" s="19"/>
      <c r="UGI54" s="19"/>
      <c r="UGJ54" s="19"/>
      <c r="UGK54" s="19"/>
      <c r="UGL54" s="21"/>
      <c r="UGM54" s="19"/>
      <c r="UGV54" s="19"/>
      <c r="UGW54" s="19"/>
      <c r="UGX54" s="19"/>
      <c r="UGY54" s="19"/>
      <c r="UGZ54" s="21"/>
      <c r="UHA54" s="19"/>
      <c r="UHJ54" s="19"/>
      <c r="UHK54" s="19"/>
      <c r="UHL54" s="19"/>
      <c r="UHM54" s="19"/>
      <c r="UHN54" s="21"/>
      <c r="UHO54" s="19"/>
      <c r="UHX54" s="19"/>
      <c r="UHY54" s="19"/>
      <c r="UHZ54" s="19"/>
      <c r="UIA54" s="19"/>
      <c r="UIB54" s="21"/>
      <c r="UIC54" s="19"/>
      <c r="UIL54" s="19"/>
      <c r="UIM54" s="19"/>
      <c r="UIN54" s="19"/>
      <c r="UIO54" s="19"/>
      <c r="UIP54" s="21"/>
      <c r="UIQ54" s="19"/>
      <c r="UIZ54" s="19"/>
      <c r="UJA54" s="19"/>
      <c r="UJB54" s="19"/>
      <c r="UJC54" s="19"/>
      <c r="UJD54" s="21"/>
      <c r="UJE54" s="19"/>
      <c r="UJN54" s="19"/>
      <c r="UJO54" s="19"/>
      <c r="UJP54" s="19"/>
      <c r="UJQ54" s="19"/>
      <c r="UJR54" s="21"/>
      <c r="UJS54" s="19"/>
      <c r="UKB54" s="19"/>
      <c r="UKC54" s="19"/>
      <c r="UKD54" s="19"/>
      <c r="UKE54" s="19"/>
      <c r="UKF54" s="21"/>
      <c r="UKG54" s="19"/>
      <c r="UKP54" s="19"/>
      <c r="UKQ54" s="19"/>
      <c r="UKR54" s="19"/>
      <c r="UKS54" s="19"/>
      <c r="UKT54" s="21"/>
      <c r="UKU54" s="19"/>
      <c r="ULD54" s="19"/>
      <c r="ULE54" s="19"/>
      <c r="ULF54" s="19"/>
      <c r="ULG54" s="19"/>
      <c r="ULH54" s="21"/>
      <c r="ULI54" s="19"/>
      <c r="ULR54" s="19"/>
      <c r="ULS54" s="19"/>
      <c r="ULT54" s="19"/>
      <c r="ULU54" s="19"/>
      <c r="ULV54" s="21"/>
      <c r="ULW54" s="19"/>
      <c r="UMF54" s="19"/>
      <c r="UMG54" s="19"/>
      <c r="UMH54" s="19"/>
      <c r="UMI54" s="19"/>
      <c r="UMJ54" s="21"/>
      <c r="UMK54" s="19"/>
      <c r="UMT54" s="19"/>
      <c r="UMU54" s="19"/>
      <c r="UMV54" s="19"/>
      <c r="UMW54" s="19"/>
      <c r="UMX54" s="21"/>
      <c r="UMY54" s="19"/>
      <c r="UNH54" s="19"/>
      <c r="UNI54" s="19"/>
      <c r="UNJ54" s="19"/>
      <c r="UNK54" s="19"/>
      <c r="UNL54" s="21"/>
      <c r="UNM54" s="19"/>
      <c r="UNV54" s="19"/>
      <c r="UNW54" s="19"/>
      <c r="UNX54" s="19"/>
      <c r="UNY54" s="19"/>
      <c r="UNZ54" s="21"/>
      <c r="UOA54" s="19"/>
      <c r="UOJ54" s="19"/>
      <c r="UOK54" s="19"/>
      <c r="UOL54" s="19"/>
      <c r="UOM54" s="19"/>
      <c r="UON54" s="21"/>
      <c r="UOO54" s="19"/>
      <c r="UOX54" s="19"/>
      <c r="UOY54" s="19"/>
      <c r="UOZ54" s="19"/>
      <c r="UPA54" s="19"/>
      <c r="UPB54" s="21"/>
      <c r="UPC54" s="19"/>
      <c r="UPL54" s="19"/>
      <c r="UPM54" s="19"/>
      <c r="UPN54" s="19"/>
      <c r="UPO54" s="19"/>
      <c r="UPP54" s="21"/>
      <c r="UPQ54" s="19"/>
      <c r="UPZ54" s="19"/>
      <c r="UQA54" s="19"/>
      <c r="UQB54" s="19"/>
      <c r="UQC54" s="19"/>
      <c r="UQD54" s="21"/>
      <c r="UQE54" s="19"/>
      <c r="UQN54" s="19"/>
      <c r="UQO54" s="19"/>
      <c r="UQP54" s="19"/>
      <c r="UQQ54" s="19"/>
      <c r="UQR54" s="21"/>
      <c r="UQS54" s="19"/>
      <c r="URB54" s="19"/>
      <c r="URC54" s="19"/>
      <c r="URD54" s="19"/>
      <c r="URE54" s="19"/>
      <c r="URF54" s="21"/>
      <c r="URG54" s="19"/>
      <c r="URP54" s="19"/>
      <c r="URQ54" s="19"/>
      <c r="URR54" s="19"/>
      <c r="URS54" s="19"/>
      <c r="URT54" s="21"/>
      <c r="URU54" s="19"/>
      <c r="USD54" s="19"/>
      <c r="USE54" s="19"/>
      <c r="USF54" s="19"/>
      <c r="USG54" s="19"/>
      <c r="USH54" s="21"/>
      <c r="USI54" s="19"/>
      <c r="USR54" s="19"/>
      <c r="USS54" s="19"/>
      <c r="UST54" s="19"/>
      <c r="USU54" s="19"/>
      <c r="USV54" s="21"/>
      <c r="USW54" s="19"/>
      <c r="UTF54" s="19"/>
      <c r="UTG54" s="19"/>
      <c r="UTH54" s="19"/>
      <c r="UTI54" s="19"/>
      <c r="UTJ54" s="21"/>
      <c r="UTK54" s="19"/>
      <c r="UTT54" s="19"/>
      <c r="UTU54" s="19"/>
      <c r="UTV54" s="19"/>
      <c r="UTW54" s="19"/>
      <c r="UTX54" s="21"/>
      <c r="UTY54" s="19"/>
      <c r="UUH54" s="19"/>
      <c r="UUI54" s="19"/>
      <c r="UUJ54" s="19"/>
      <c r="UUK54" s="19"/>
      <c r="UUL54" s="21"/>
      <c r="UUM54" s="19"/>
      <c r="UUV54" s="19"/>
      <c r="UUW54" s="19"/>
      <c r="UUX54" s="19"/>
      <c r="UUY54" s="19"/>
      <c r="UUZ54" s="21"/>
      <c r="UVA54" s="19"/>
      <c r="UVJ54" s="19"/>
      <c r="UVK54" s="19"/>
      <c r="UVL54" s="19"/>
      <c r="UVM54" s="19"/>
      <c r="UVN54" s="21"/>
      <c r="UVO54" s="19"/>
      <c r="UVX54" s="19"/>
      <c r="UVY54" s="19"/>
      <c r="UVZ54" s="19"/>
      <c r="UWA54" s="19"/>
      <c r="UWB54" s="21"/>
      <c r="UWC54" s="19"/>
      <c r="UWL54" s="19"/>
      <c r="UWM54" s="19"/>
      <c r="UWN54" s="19"/>
      <c r="UWO54" s="19"/>
      <c r="UWP54" s="21"/>
      <c r="UWQ54" s="19"/>
      <c r="UWZ54" s="19"/>
      <c r="UXA54" s="19"/>
      <c r="UXB54" s="19"/>
      <c r="UXC54" s="19"/>
      <c r="UXD54" s="21"/>
      <c r="UXE54" s="19"/>
      <c r="UXN54" s="19"/>
      <c r="UXO54" s="19"/>
      <c r="UXP54" s="19"/>
      <c r="UXQ54" s="19"/>
      <c r="UXR54" s="21"/>
      <c r="UXS54" s="19"/>
      <c r="UYB54" s="19"/>
      <c r="UYC54" s="19"/>
      <c r="UYD54" s="19"/>
      <c r="UYE54" s="19"/>
      <c r="UYF54" s="21"/>
      <c r="UYG54" s="19"/>
      <c r="UYP54" s="19"/>
      <c r="UYQ54" s="19"/>
      <c r="UYR54" s="19"/>
      <c r="UYS54" s="19"/>
      <c r="UYT54" s="21"/>
      <c r="UYU54" s="19"/>
      <c r="UZD54" s="19"/>
      <c r="UZE54" s="19"/>
      <c r="UZF54" s="19"/>
      <c r="UZG54" s="19"/>
      <c r="UZH54" s="21"/>
      <c r="UZI54" s="19"/>
      <c r="UZR54" s="19"/>
      <c r="UZS54" s="19"/>
      <c r="UZT54" s="19"/>
      <c r="UZU54" s="19"/>
      <c r="UZV54" s="21"/>
      <c r="UZW54" s="19"/>
      <c r="VAF54" s="19"/>
      <c r="VAG54" s="19"/>
      <c r="VAH54" s="19"/>
      <c r="VAI54" s="19"/>
      <c r="VAJ54" s="21"/>
      <c r="VAK54" s="19"/>
      <c r="VAT54" s="19"/>
      <c r="VAU54" s="19"/>
      <c r="VAV54" s="19"/>
      <c r="VAW54" s="19"/>
      <c r="VAX54" s="21"/>
      <c r="VAY54" s="19"/>
      <c r="VBH54" s="19"/>
      <c r="VBI54" s="19"/>
      <c r="VBJ54" s="19"/>
      <c r="VBK54" s="19"/>
      <c r="VBL54" s="21"/>
      <c r="VBM54" s="19"/>
      <c r="VBV54" s="19"/>
      <c r="VBW54" s="19"/>
      <c r="VBX54" s="19"/>
      <c r="VBY54" s="19"/>
      <c r="VBZ54" s="21"/>
      <c r="VCA54" s="19"/>
      <c r="VCJ54" s="19"/>
      <c r="VCK54" s="19"/>
      <c r="VCL54" s="19"/>
      <c r="VCM54" s="19"/>
      <c r="VCN54" s="21"/>
      <c r="VCO54" s="19"/>
      <c r="VCX54" s="19"/>
      <c r="VCY54" s="19"/>
      <c r="VCZ54" s="19"/>
      <c r="VDA54" s="19"/>
      <c r="VDB54" s="21"/>
      <c r="VDC54" s="19"/>
      <c r="VDL54" s="19"/>
      <c r="VDM54" s="19"/>
      <c r="VDN54" s="19"/>
      <c r="VDO54" s="19"/>
      <c r="VDP54" s="21"/>
      <c r="VDQ54" s="19"/>
      <c r="VDZ54" s="19"/>
      <c r="VEA54" s="19"/>
      <c r="VEB54" s="19"/>
      <c r="VEC54" s="19"/>
      <c r="VED54" s="21"/>
      <c r="VEE54" s="19"/>
      <c r="VEN54" s="19"/>
      <c r="VEO54" s="19"/>
      <c r="VEP54" s="19"/>
      <c r="VEQ54" s="19"/>
      <c r="VER54" s="21"/>
      <c r="VES54" s="19"/>
      <c r="VFB54" s="19"/>
      <c r="VFC54" s="19"/>
      <c r="VFD54" s="19"/>
      <c r="VFE54" s="19"/>
      <c r="VFF54" s="21"/>
      <c r="VFG54" s="19"/>
      <c r="VFP54" s="19"/>
      <c r="VFQ54" s="19"/>
      <c r="VFR54" s="19"/>
      <c r="VFS54" s="19"/>
      <c r="VFT54" s="21"/>
      <c r="VFU54" s="19"/>
      <c r="VGD54" s="19"/>
      <c r="VGE54" s="19"/>
      <c r="VGF54" s="19"/>
      <c r="VGG54" s="19"/>
      <c r="VGH54" s="21"/>
      <c r="VGI54" s="19"/>
      <c r="VGR54" s="19"/>
      <c r="VGS54" s="19"/>
      <c r="VGT54" s="19"/>
      <c r="VGU54" s="19"/>
      <c r="VGV54" s="21"/>
      <c r="VGW54" s="19"/>
      <c r="VHF54" s="19"/>
      <c r="VHG54" s="19"/>
      <c r="VHH54" s="19"/>
      <c r="VHI54" s="19"/>
      <c r="VHJ54" s="21"/>
      <c r="VHK54" s="19"/>
      <c r="VHT54" s="19"/>
      <c r="VHU54" s="19"/>
      <c r="VHV54" s="19"/>
      <c r="VHW54" s="19"/>
      <c r="VHX54" s="21"/>
      <c r="VHY54" s="19"/>
      <c r="VIH54" s="19"/>
      <c r="VII54" s="19"/>
      <c r="VIJ54" s="19"/>
      <c r="VIK54" s="19"/>
      <c r="VIL54" s="21"/>
      <c r="VIM54" s="19"/>
      <c r="VIV54" s="19"/>
      <c r="VIW54" s="19"/>
      <c r="VIX54" s="19"/>
      <c r="VIY54" s="19"/>
      <c r="VIZ54" s="21"/>
      <c r="VJA54" s="19"/>
      <c r="VJJ54" s="19"/>
      <c r="VJK54" s="19"/>
      <c r="VJL54" s="19"/>
      <c r="VJM54" s="19"/>
      <c r="VJN54" s="21"/>
      <c r="VJO54" s="19"/>
      <c r="VJX54" s="19"/>
      <c r="VJY54" s="19"/>
      <c r="VJZ54" s="19"/>
      <c r="VKA54" s="19"/>
      <c r="VKB54" s="21"/>
      <c r="VKC54" s="19"/>
      <c r="VKL54" s="19"/>
      <c r="VKM54" s="19"/>
      <c r="VKN54" s="19"/>
      <c r="VKO54" s="19"/>
      <c r="VKP54" s="21"/>
      <c r="VKQ54" s="19"/>
      <c r="VKZ54" s="19"/>
      <c r="VLA54" s="19"/>
      <c r="VLB54" s="19"/>
      <c r="VLC54" s="19"/>
      <c r="VLD54" s="21"/>
      <c r="VLE54" s="19"/>
      <c r="VLN54" s="19"/>
      <c r="VLO54" s="19"/>
      <c r="VLP54" s="19"/>
      <c r="VLQ54" s="19"/>
      <c r="VLR54" s="21"/>
      <c r="VLS54" s="19"/>
      <c r="VMB54" s="19"/>
      <c r="VMC54" s="19"/>
      <c r="VMD54" s="19"/>
      <c r="VME54" s="19"/>
      <c r="VMF54" s="21"/>
      <c r="VMG54" s="19"/>
      <c r="VMP54" s="19"/>
      <c r="VMQ54" s="19"/>
      <c r="VMR54" s="19"/>
      <c r="VMS54" s="19"/>
      <c r="VMT54" s="21"/>
      <c r="VMU54" s="19"/>
      <c r="VND54" s="19"/>
      <c r="VNE54" s="19"/>
      <c r="VNF54" s="19"/>
      <c r="VNG54" s="19"/>
      <c r="VNH54" s="21"/>
      <c r="VNI54" s="19"/>
      <c r="VNR54" s="19"/>
      <c r="VNS54" s="19"/>
      <c r="VNT54" s="19"/>
      <c r="VNU54" s="19"/>
      <c r="VNV54" s="21"/>
      <c r="VNW54" s="19"/>
      <c r="VOF54" s="19"/>
      <c r="VOG54" s="19"/>
      <c r="VOH54" s="19"/>
      <c r="VOI54" s="19"/>
      <c r="VOJ54" s="21"/>
      <c r="VOK54" s="19"/>
      <c r="VOT54" s="19"/>
      <c r="VOU54" s="19"/>
      <c r="VOV54" s="19"/>
      <c r="VOW54" s="19"/>
      <c r="VOX54" s="21"/>
      <c r="VOY54" s="19"/>
      <c r="VPH54" s="19"/>
      <c r="VPI54" s="19"/>
      <c r="VPJ54" s="19"/>
      <c r="VPK54" s="19"/>
      <c r="VPL54" s="21"/>
      <c r="VPM54" s="19"/>
      <c r="VPV54" s="19"/>
      <c r="VPW54" s="19"/>
      <c r="VPX54" s="19"/>
      <c r="VPY54" s="19"/>
      <c r="VPZ54" s="21"/>
      <c r="VQA54" s="19"/>
      <c r="VQJ54" s="19"/>
      <c r="VQK54" s="19"/>
      <c r="VQL54" s="19"/>
      <c r="VQM54" s="19"/>
      <c r="VQN54" s="21"/>
      <c r="VQO54" s="19"/>
      <c r="VQX54" s="19"/>
      <c r="VQY54" s="19"/>
      <c r="VQZ54" s="19"/>
      <c r="VRA54" s="19"/>
      <c r="VRB54" s="21"/>
      <c r="VRC54" s="19"/>
      <c r="VRL54" s="19"/>
      <c r="VRM54" s="19"/>
      <c r="VRN54" s="19"/>
      <c r="VRO54" s="19"/>
      <c r="VRP54" s="21"/>
      <c r="VRQ54" s="19"/>
      <c r="VRZ54" s="19"/>
      <c r="VSA54" s="19"/>
      <c r="VSB54" s="19"/>
      <c r="VSC54" s="19"/>
      <c r="VSD54" s="21"/>
      <c r="VSE54" s="19"/>
      <c r="VSN54" s="19"/>
      <c r="VSO54" s="19"/>
      <c r="VSP54" s="19"/>
      <c r="VSQ54" s="19"/>
      <c r="VSR54" s="21"/>
      <c r="VSS54" s="19"/>
      <c r="VTB54" s="19"/>
      <c r="VTC54" s="19"/>
      <c r="VTD54" s="19"/>
      <c r="VTE54" s="19"/>
      <c r="VTF54" s="21"/>
      <c r="VTG54" s="19"/>
      <c r="VTP54" s="19"/>
      <c r="VTQ54" s="19"/>
      <c r="VTR54" s="19"/>
      <c r="VTS54" s="19"/>
      <c r="VTT54" s="21"/>
      <c r="VTU54" s="19"/>
      <c r="VUD54" s="19"/>
      <c r="VUE54" s="19"/>
      <c r="VUF54" s="19"/>
      <c r="VUG54" s="19"/>
      <c r="VUH54" s="21"/>
      <c r="VUI54" s="19"/>
      <c r="VUR54" s="19"/>
      <c r="VUS54" s="19"/>
      <c r="VUT54" s="19"/>
      <c r="VUU54" s="19"/>
      <c r="VUV54" s="21"/>
      <c r="VUW54" s="19"/>
      <c r="VVF54" s="19"/>
      <c r="VVG54" s="19"/>
      <c r="VVH54" s="19"/>
      <c r="VVI54" s="19"/>
      <c r="VVJ54" s="21"/>
      <c r="VVK54" s="19"/>
      <c r="VVT54" s="19"/>
      <c r="VVU54" s="19"/>
      <c r="VVV54" s="19"/>
      <c r="VVW54" s="19"/>
      <c r="VVX54" s="21"/>
      <c r="VVY54" s="19"/>
      <c r="VWH54" s="19"/>
      <c r="VWI54" s="19"/>
      <c r="VWJ54" s="19"/>
      <c r="VWK54" s="19"/>
      <c r="VWL54" s="21"/>
      <c r="VWM54" s="19"/>
      <c r="VWV54" s="19"/>
      <c r="VWW54" s="19"/>
      <c r="VWX54" s="19"/>
      <c r="VWY54" s="19"/>
      <c r="VWZ54" s="21"/>
      <c r="VXA54" s="19"/>
      <c r="VXJ54" s="19"/>
      <c r="VXK54" s="19"/>
      <c r="VXL54" s="19"/>
      <c r="VXM54" s="19"/>
      <c r="VXN54" s="21"/>
      <c r="VXO54" s="19"/>
      <c r="VXX54" s="19"/>
      <c r="VXY54" s="19"/>
      <c r="VXZ54" s="19"/>
      <c r="VYA54" s="19"/>
      <c r="VYB54" s="21"/>
      <c r="VYC54" s="19"/>
      <c r="VYL54" s="19"/>
      <c r="VYM54" s="19"/>
      <c r="VYN54" s="19"/>
      <c r="VYO54" s="19"/>
      <c r="VYP54" s="21"/>
      <c r="VYQ54" s="19"/>
      <c r="VYZ54" s="19"/>
      <c r="VZA54" s="19"/>
      <c r="VZB54" s="19"/>
      <c r="VZC54" s="19"/>
      <c r="VZD54" s="21"/>
      <c r="VZE54" s="19"/>
      <c r="VZN54" s="19"/>
      <c r="VZO54" s="19"/>
      <c r="VZP54" s="19"/>
      <c r="VZQ54" s="19"/>
      <c r="VZR54" s="21"/>
      <c r="VZS54" s="19"/>
      <c r="WAB54" s="19"/>
      <c r="WAC54" s="19"/>
      <c r="WAD54" s="19"/>
      <c r="WAE54" s="19"/>
      <c r="WAF54" s="21"/>
      <c r="WAG54" s="19"/>
      <c r="WAP54" s="19"/>
      <c r="WAQ54" s="19"/>
      <c r="WAR54" s="19"/>
      <c r="WAS54" s="19"/>
      <c r="WAT54" s="21"/>
      <c r="WAU54" s="19"/>
      <c r="WBD54" s="19"/>
      <c r="WBE54" s="19"/>
      <c r="WBF54" s="19"/>
      <c r="WBG54" s="19"/>
      <c r="WBH54" s="21"/>
      <c r="WBI54" s="19"/>
      <c r="WBR54" s="19"/>
      <c r="WBS54" s="19"/>
      <c r="WBT54" s="19"/>
      <c r="WBU54" s="19"/>
      <c r="WBV54" s="21"/>
      <c r="WBW54" s="19"/>
      <c r="WCF54" s="19"/>
      <c r="WCG54" s="19"/>
      <c r="WCH54" s="19"/>
      <c r="WCI54" s="19"/>
      <c r="WCJ54" s="21"/>
      <c r="WCK54" s="19"/>
      <c r="WCT54" s="19"/>
      <c r="WCU54" s="19"/>
      <c r="WCV54" s="19"/>
      <c r="WCW54" s="19"/>
      <c r="WCX54" s="21"/>
      <c r="WCY54" s="19"/>
      <c r="WDH54" s="19"/>
      <c r="WDI54" s="19"/>
      <c r="WDJ54" s="19"/>
      <c r="WDK54" s="19"/>
      <c r="WDL54" s="21"/>
      <c r="WDM54" s="19"/>
      <c r="WDV54" s="19"/>
      <c r="WDW54" s="19"/>
      <c r="WDX54" s="19"/>
      <c r="WDY54" s="19"/>
      <c r="WDZ54" s="21"/>
      <c r="WEA54" s="19"/>
      <c r="WEJ54" s="19"/>
      <c r="WEK54" s="19"/>
      <c r="WEL54" s="19"/>
      <c r="WEM54" s="19"/>
      <c r="WEN54" s="21"/>
      <c r="WEO54" s="19"/>
      <c r="WEX54" s="19"/>
      <c r="WEY54" s="19"/>
      <c r="WEZ54" s="19"/>
      <c r="WFA54" s="19"/>
      <c r="WFB54" s="21"/>
      <c r="WFC54" s="19"/>
      <c r="WFL54" s="19"/>
      <c r="WFM54" s="19"/>
      <c r="WFN54" s="19"/>
      <c r="WFO54" s="19"/>
      <c r="WFP54" s="21"/>
      <c r="WFQ54" s="19"/>
      <c r="WFZ54" s="19"/>
      <c r="WGA54" s="19"/>
      <c r="WGB54" s="19"/>
      <c r="WGC54" s="19"/>
      <c r="WGD54" s="21"/>
      <c r="WGE54" s="19"/>
      <c r="WGN54" s="19"/>
      <c r="WGO54" s="19"/>
      <c r="WGP54" s="19"/>
      <c r="WGQ54" s="19"/>
      <c r="WGR54" s="21"/>
      <c r="WGS54" s="19"/>
      <c r="WHB54" s="19"/>
      <c r="WHC54" s="19"/>
      <c r="WHD54" s="19"/>
      <c r="WHE54" s="19"/>
      <c r="WHF54" s="21"/>
      <c r="WHG54" s="19"/>
      <c r="WHP54" s="19"/>
      <c r="WHQ54" s="19"/>
      <c r="WHR54" s="19"/>
      <c r="WHS54" s="19"/>
      <c r="WHT54" s="21"/>
      <c r="WHU54" s="19"/>
      <c r="WID54" s="19"/>
      <c r="WIE54" s="19"/>
      <c r="WIF54" s="19"/>
      <c r="WIG54" s="19"/>
      <c r="WIH54" s="21"/>
      <c r="WII54" s="19"/>
      <c r="WIR54" s="19"/>
      <c r="WIS54" s="19"/>
      <c r="WIT54" s="19"/>
      <c r="WIU54" s="19"/>
      <c r="WIV54" s="21"/>
      <c r="WIW54" s="19"/>
      <c r="WJF54" s="19"/>
      <c r="WJG54" s="19"/>
      <c r="WJH54" s="19"/>
      <c r="WJI54" s="19"/>
      <c r="WJJ54" s="21"/>
      <c r="WJK54" s="19"/>
      <c r="WJT54" s="19"/>
      <c r="WJU54" s="19"/>
      <c r="WJV54" s="19"/>
      <c r="WJW54" s="19"/>
      <c r="WJX54" s="21"/>
      <c r="WJY54" s="19"/>
      <c r="WKH54" s="19"/>
      <c r="WKI54" s="19"/>
      <c r="WKJ54" s="19"/>
      <c r="WKK54" s="19"/>
      <c r="WKL54" s="21"/>
      <c r="WKM54" s="19"/>
      <c r="WKV54" s="19"/>
      <c r="WKW54" s="19"/>
      <c r="WKX54" s="19"/>
      <c r="WKY54" s="19"/>
      <c r="WKZ54" s="21"/>
      <c r="WLA54" s="19"/>
      <c r="WLJ54" s="19"/>
      <c r="WLK54" s="19"/>
      <c r="WLL54" s="19"/>
      <c r="WLM54" s="19"/>
      <c r="WLN54" s="21"/>
      <c r="WLO54" s="19"/>
      <c r="WLX54" s="19"/>
      <c r="WLY54" s="19"/>
      <c r="WLZ54" s="19"/>
      <c r="WMA54" s="19"/>
      <c r="WMB54" s="21"/>
      <c r="WMC54" s="19"/>
      <c r="WML54" s="19"/>
      <c r="WMM54" s="19"/>
      <c r="WMN54" s="19"/>
      <c r="WMO54" s="19"/>
      <c r="WMP54" s="21"/>
      <c r="WMQ54" s="19"/>
      <c r="WMZ54" s="19"/>
      <c r="WNA54" s="19"/>
      <c r="WNB54" s="19"/>
      <c r="WNC54" s="19"/>
      <c r="WND54" s="21"/>
      <c r="WNE54" s="19"/>
      <c r="WNN54" s="19"/>
      <c r="WNO54" s="19"/>
      <c r="WNP54" s="19"/>
      <c r="WNQ54" s="19"/>
      <c r="WNR54" s="21"/>
      <c r="WNS54" s="19"/>
      <c r="WOB54" s="19"/>
      <c r="WOC54" s="19"/>
      <c r="WOD54" s="19"/>
      <c r="WOE54" s="19"/>
      <c r="WOF54" s="21"/>
      <c r="WOG54" s="19"/>
      <c r="WOP54" s="19"/>
      <c r="WOQ54" s="19"/>
      <c r="WOR54" s="19"/>
      <c r="WOS54" s="19"/>
      <c r="WOT54" s="21"/>
      <c r="WOU54" s="19"/>
      <c r="WPD54" s="19"/>
      <c r="WPE54" s="19"/>
      <c r="WPF54" s="19"/>
      <c r="WPG54" s="19"/>
      <c r="WPH54" s="21"/>
      <c r="WPI54" s="19"/>
      <c r="WPR54" s="19"/>
      <c r="WPS54" s="19"/>
      <c r="WPT54" s="19"/>
      <c r="WPU54" s="19"/>
      <c r="WPV54" s="21"/>
      <c r="WPW54" s="19"/>
      <c r="WQF54" s="19"/>
      <c r="WQG54" s="19"/>
      <c r="WQH54" s="19"/>
      <c r="WQI54" s="19"/>
      <c r="WQJ54" s="21"/>
      <c r="WQK54" s="19"/>
      <c r="WQT54" s="19"/>
      <c r="WQU54" s="19"/>
      <c r="WQV54" s="19"/>
      <c r="WQW54" s="19"/>
      <c r="WQX54" s="21"/>
      <c r="WQY54" s="19"/>
      <c r="WRH54" s="19"/>
      <c r="WRI54" s="19"/>
      <c r="WRJ54" s="19"/>
      <c r="WRK54" s="19"/>
      <c r="WRL54" s="21"/>
      <c r="WRM54" s="19"/>
      <c r="WRV54" s="19"/>
      <c r="WRW54" s="19"/>
      <c r="WRX54" s="19"/>
      <c r="WRY54" s="19"/>
      <c r="WRZ54" s="21"/>
      <c r="WSA54" s="19"/>
      <c r="WSJ54" s="19"/>
      <c r="WSK54" s="19"/>
      <c r="WSL54" s="19"/>
      <c r="WSM54" s="19"/>
      <c r="WSN54" s="21"/>
      <c r="WSO54" s="19"/>
      <c r="WSX54" s="19"/>
      <c r="WSY54" s="19"/>
      <c r="WSZ54" s="19"/>
      <c r="WTA54" s="19"/>
      <c r="WTB54" s="21"/>
      <c r="WTC54" s="19"/>
      <c r="WTL54" s="19"/>
      <c r="WTM54" s="19"/>
      <c r="WTN54" s="19"/>
      <c r="WTO54" s="19"/>
      <c r="WTP54" s="21"/>
      <c r="WTQ54" s="19"/>
      <c r="WTZ54" s="19"/>
      <c r="WUA54" s="19"/>
      <c r="WUB54" s="19"/>
      <c r="WUC54" s="19"/>
      <c r="WUD54" s="21"/>
      <c r="WUE54" s="19"/>
      <c r="WUN54" s="19"/>
      <c r="WUO54" s="19"/>
      <c r="WUP54" s="19"/>
      <c r="WUQ54" s="19"/>
      <c r="WUR54" s="21"/>
      <c r="WUS54" s="19"/>
      <c r="WVB54" s="19"/>
      <c r="WVC54" s="19"/>
      <c r="WVD54" s="19"/>
      <c r="WVE54" s="19"/>
      <c r="WVF54" s="21"/>
      <c r="WVG54" s="19"/>
      <c r="WVP54" s="19"/>
      <c r="WVQ54" s="19"/>
      <c r="WVR54" s="19"/>
      <c r="WVS54" s="19"/>
      <c r="WVT54" s="21"/>
      <c r="WVU54" s="19"/>
      <c r="WWD54" s="19"/>
      <c r="WWE54" s="19"/>
      <c r="WWF54" s="19"/>
      <c r="WWG54" s="19"/>
      <c r="WWH54" s="21"/>
      <c r="WWI54" s="19"/>
      <c r="WWR54" s="19"/>
      <c r="WWS54" s="19"/>
      <c r="WWT54" s="19"/>
      <c r="WWU54" s="19"/>
      <c r="WWV54" s="21"/>
      <c r="WWW54" s="19"/>
      <c r="WXF54" s="19"/>
      <c r="WXG54" s="19"/>
      <c r="WXH54" s="19"/>
      <c r="WXI54" s="19"/>
      <c r="WXJ54" s="21"/>
      <c r="WXK54" s="19"/>
      <c r="WXT54" s="19"/>
      <c r="WXU54" s="19"/>
      <c r="WXV54" s="19"/>
      <c r="WXW54" s="19"/>
      <c r="WXX54" s="21"/>
      <c r="WXY54" s="19"/>
      <c r="WYH54" s="19"/>
      <c r="WYI54" s="19"/>
      <c r="WYJ54" s="19"/>
      <c r="WYK54" s="19"/>
      <c r="WYL54" s="21"/>
      <c r="WYM54" s="19"/>
      <c r="WYV54" s="19"/>
      <c r="WYW54" s="19"/>
      <c r="WYX54" s="19"/>
      <c r="WYY54" s="19"/>
      <c r="WYZ54" s="21"/>
      <c r="WZA54" s="19"/>
      <c r="WZJ54" s="19"/>
      <c r="WZK54" s="19"/>
      <c r="WZL54" s="19"/>
      <c r="WZM54" s="19"/>
      <c r="WZN54" s="21"/>
      <c r="WZO54" s="19"/>
      <c r="WZX54" s="19"/>
      <c r="WZY54" s="19"/>
      <c r="WZZ54" s="19"/>
      <c r="XAA54" s="19"/>
      <c r="XAB54" s="21"/>
      <c r="XAC54" s="19"/>
      <c r="XAL54" s="19"/>
      <c r="XAM54" s="19"/>
      <c r="XAN54" s="19"/>
      <c r="XAO54" s="19"/>
      <c r="XAP54" s="21"/>
      <c r="XAQ54" s="19"/>
      <c r="XAZ54" s="19"/>
      <c r="XBA54" s="19"/>
      <c r="XBB54" s="19"/>
      <c r="XBC54" s="19"/>
      <c r="XBD54" s="21"/>
      <c r="XBE54" s="19"/>
      <c r="XBN54" s="19"/>
      <c r="XBO54" s="19"/>
      <c r="XBP54" s="19"/>
      <c r="XBQ54" s="19"/>
      <c r="XBR54" s="21"/>
      <c r="XBS54" s="19"/>
      <c r="XCB54" s="19"/>
      <c r="XCC54" s="19"/>
      <c r="XCD54" s="19"/>
      <c r="XCE54" s="19"/>
      <c r="XCF54" s="21"/>
      <c r="XCG54" s="19"/>
      <c r="XCP54" s="19"/>
      <c r="XCQ54" s="19"/>
      <c r="XCR54" s="19"/>
      <c r="XCS54" s="19"/>
      <c r="XCT54" s="21"/>
      <c r="XCU54" s="19"/>
      <c r="XDD54" s="19"/>
      <c r="XDE54" s="19"/>
      <c r="XDF54" s="19"/>
      <c r="XDG54" s="19"/>
      <c r="XDH54" s="21"/>
      <c r="XDI54" s="19"/>
      <c r="XDR54" s="19"/>
      <c r="XDS54" s="19"/>
      <c r="XDT54" s="19"/>
      <c r="XDU54" s="19"/>
      <c r="XDV54" s="21"/>
      <c r="XDW54" s="19"/>
      <c r="XEF54" s="19"/>
      <c r="XEG54" s="19"/>
      <c r="XEH54" s="19"/>
      <c r="XEI54" s="19"/>
      <c r="XEJ54" s="21"/>
      <c r="XEK54" s="19"/>
    </row>
    <row r="55" spans="1:1021 1030:2043 2052:3065 3074:7167 7176:8189 8198:9211 9220:10233 10242:14335 14344:15357 15366:16365">
      <c r="A55" s="19">
        <v>4</v>
      </c>
      <c r="B55" s="19">
        <v>6</v>
      </c>
      <c r="C55" s="19" t="s">
        <v>129</v>
      </c>
      <c r="D55" s="20">
        <v>7</v>
      </c>
      <c r="E55" s="20">
        <v>4</v>
      </c>
      <c r="F55" s="20">
        <v>2</v>
      </c>
      <c r="G55" s="20">
        <v>1</v>
      </c>
      <c r="H55" s="20">
        <v>1</v>
      </c>
      <c r="I55" s="20">
        <v>6</v>
      </c>
      <c r="J55" s="20">
        <v>4</v>
      </c>
      <c r="K55" s="20">
        <v>2</v>
      </c>
    </row>
    <row r="56" spans="1:1021 1030:2043 2052:3065 3074:7167 7176:8189 8198:9211 9220:10233 10242:14335 14344:15357 15366:16365">
      <c r="A56" s="19">
        <v>4</v>
      </c>
      <c r="B56" s="19">
        <v>7</v>
      </c>
      <c r="C56" s="19" t="s">
        <v>132</v>
      </c>
      <c r="D56" s="20">
        <v>7</v>
      </c>
      <c r="E56" s="20">
        <v>4</v>
      </c>
      <c r="F56" s="20">
        <v>2</v>
      </c>
      <c r="G56" s="20">
        <v>1</v>
      </c>
      <c r="H56" s="20">
        <v>1</v>
      </c>
      <c r="I56" s="20">
        <v>14</v>
      </c>
      <c r="J56" s="20">
        <v>15</v>
      </c>
      <c r="K56" s="20">
        <v>-1</v>
      </c>
    </row>
    <row r="57" spans="1:1021 1030:2043 2052:3065 3074:7167 7176:8189 8198:9211 9220:10233 10242:14335 14344:15357 15366:16365">
      <c r="A57" s="19">
        <v>4</v>
      </c>
      <c r="B57" s="19">
        <v>8</v>
      </c>
      <c r="C57" s="19" t="s">
        <v>124</v>
      </c>
      <c r="D57" s="20">
        <v>6</v>
      </c>
      <c r="E57" s="20">
        <v>4</v>
      </c>
      <c r="F57" s="20">
        <v>2</v>
      </c>
      <c r="G57" s="20">
        <v>0</v>
      </c>
      <c r="H57" s="20">
        <v>2</v>
      </c>
      <c r="I57" s="20">
        <v>9</v>
      </c>
      <c r="J57" s="20">
        <v>7</v>
      </c>
      <c r="K57" s="20">
        <v>2</v>
      </c>
    </row>
    <row r="58" spans="1:1021 1030:2043 2052:3065 3074:7167 7176:8189 8198:9211 9220:10233 10242:14335 14344:15357 15366:16365">
      <c r="A58" s="19">
        <v>4</v>
      </c>
      <c r="B58" s="19">
        <v>9</v>
      </c>
      <c r="C58" s="19" t="s">
        <v>126</v>
      </c>
      <c r="D58" s="20">
        <v>6</v>
      </c>
      <c r="E58" s="20">
        <v>4</v>
      </c>
      <c r="F58" s="20">
        <v>2</v>
      </c>
      <c r="G58" s="20">
        <v>0</v>
      </c>
      <c r="H58" s="20">
        <v>2</v>
      </c>
      <c r="I58" s="20">
        <v>7</v>
      </c>
      <c r="J58" s="20">
        <v>8</v>
      </c>
      <c r="K58" s="20">
        <v>-1</v>
      </c>
    </row>
    <row r="59" spans="1:1021 1030:2043 2052:3065 3074:7167 7176:8189 8198:9211 9220:10233 10242:14335 14344:15357 15366:16365">
      <c r="A59" s="19">
        <v>4</v>
      </c>
      <c r="B59" s="19">
        <v>10</v>
      </c>
      <c r="C59" s="19" t="s">
        <v>127</v>
      </c>
      <c r="D59" s="20">
        <v>5</v>
      </c>
      <c r="E59" s="20">
        <v>4</v>
      </c>
      <c r="F59" s="20">
        <v>1</v>
      </c>
      <c r="G59" s="20">
        <v>2</v>
      </c>
      <c r="H59" s="20">
        <v>1</v>
      </c>
      <c r="I59" s="20">
        <v>10</v>
      </c>
      <c r="J59" s="20">
        <v>8</v>
      </c>
      <c r="K59" s="20">
        <v>2</v>
      </c>
    </row>
    <row r="60" spans="1:1021 1030:2043 2052:3065 3074:7167 7176:8189 8198:9211 9220:10233 10242:14335 14344:15357 15366:16365">
      <c r="A60" s="19">
        <v>4</v>
      </c>
      <c r="B60" s="19">
        <v>11</v>
      </c>
      <c r="C60" s="19" t="s">
        <v>130</v>
      </c>
      <c r="D60" s="20">
        <v>5</v>
      </c>
      <c r="E60" s="20">
        <v>4</v>
      </c>
      <c r="F60" s="20">
        <v>1</v>
      </c>
      <c r="G60" s="20">
        <v>2</v>
      </c>
      <c r="H60" s="20">
        <v>1</v>
      </c>
      <c r="I60" s="20">
        <v>9</v>
      </c>
      <c r="J60" s="20">
        <v>7</v>
      </c>
      <c r="K60" s="20">
        <v>2</v>
      </c>
    </row>
    <row r="61" spans="1:1021 1030:2043 2052:3065 3074:7167 7176:8189 8198:9211 9220:10233 10242:14335 14344:15357 15366:16365">
      <c r="A61" s="19">
        <v>4</v>
      </c>
      <c r="B61" s="19">
        <v>12</v>
      </c>
      <c r="C61" s="19" t="s">
        <v>128</v>
      </c>
      <c r="D61" s="20">
        <v>4</v>
      </c>
      <c r="E61" s="20">
        <v>4</v>
      </c>
      <c r="F61" s="20">
        <v>1</v>
      </c>
      <c r="G61" s="20">
        <v>1</v>
      </c>
      <c r="H61" s="20">
        <v>2</v>
      </c>
      <c r="I61" s="20">
        <v>6</v>
      </c>
      <c r="J61" s="20">
        <v>7</v>
      </c>
      <c r="K61" s="20">
        <v>-1</v>
      </c>
    </row>
    <row r="62" spans="1:1021 1030:2043 2052:3065 3074:7167 7176:8189 8198:9211 9220:10233 10242:14335 14344:15357 15366:16365">
      <c r="A62" s="19">
        <v>4</v>
      </c>
      <c r="B62" s="19">
        <v>13</v>
      </c>
      <c r="C62" s="19" t="s">
        <v>133</v>
      </c>
      <c r="D62" s="20">
        <v>3</v>
      </c>
      <c r="E62" s="20">
        <v>4</v>
      </c>
      <c r="F62" s="20">
        <v>1</v>
      </c>
      <c r="G62" s="20">
        <v>0</v>
      </c>
      <c r="H62" s="20">
        <v>3</v>
      </c>
      <c r="I62" s="20">
        <v>3</v>
      </c>
      <c r="J62" s="20">
        <v>8</v>
      </c>
      <c r="K62" s="20">
        <v>-5</v>
      </c>
    </row>
    <row r="63" spans="1:1021 1030:2043 2052:3065 3074:7167 7176:8189 8198:9211 9220:10233 10242:14335 14344:15357 15366:16365">
      <c r="A63" s="19">
        <v>4</v>
      </c>
      <c r="B63" s="19">
        <v>14</v>
      </c>
      <c r="C63" s="19" t="s">
        <v>135</v>
      </c>
      <c r="D63" s="20">
        <v>3</v>
      </c>
      <c r="E63" s="20">
        <v>4</v>
      </c>
      <c r="F63" s="20">
        <v>1</v>
      </c>
      <c r="G63" s="20">
        <v>0</v>
      </c>
      <c r="H63" s="20">
        <v>3</v>
      </c>
      <c r="I63" s="20">
        <v>2</v>
      </c>
      <c r="J63" s="20">
        <v>7</v>
      </c>
      <c r="K63" s="20">
        <v>-5</v>
      </c>
    </row>
    <row r="64" spans="1:1021 1030:2043 2052:3065 3074:7167 7176:8189 8198:9211 9220:10233 10242:14335 14344:15357 15366:16365">
      <c r="A64" s="19">
        <v>4</v>
      </c>
      <c r="B64" s="19">
        <v>15</v>
      </c>
      <c r="C64" s="19" t="s">
        <v>136</v>
      </c>
      <c r="D64" s="20">
        <v>0</v>
      </c>
      <c r="E64" s="20">
        <v>4</v>
      </c>
      <c r="F64" s="20">
        <v>0</v>
      </c>
      <c r="G64" s="20">
        <v>0</v>
      </c>
      <c r="H64" s="20">
        <v>4</v>
      </c>
      <c r="I64" s="20">
        <v>2</v>
      </c>
      <c r="J64" s="20">
        <v>13</v>
      </c>
      <c r="K64" s="20">
        <v>-11</v>
      </c>
    </row>
    <row r="65" spans="1:11">
      <c r="A65" s="19">
        <v>4</v>
      </c>
      <c r="B65" s="19">
        <v>16</v>
      </c>
      <c r="C65" s="19" t="s">
        <v>131</v>
      </c>
      <c r="D65" s="20">
        <v>0</v>
      </c>
      <c r="E65" s="20">
        <v>4</v>
      </c>
      <c r="F65" s="20">
        <v>0</v>
      </c>
      <c r="G65" s="20">
        <v>0</v>
      </c>
      <c r="H65" s="20">
        <v>4</v>
      </c>
      <c r="I65" s="20">
        <v>3</v>
      </c>
      <c r="J65" s="20">
        <v>15</v>
      </c>
      <c r="K65" s="20">
        <v>-12</v>
      </c>
    </row>
    <row r="66" spans="1:11">
      <c r="A66" s="19">
        <v>5</v>
      </c>
      <c r="B66" s="19">
        <v>1</v>
      </c>
      <c r="C66" s="20" t="s">
        <v>122</v>
      </c>
      <c r="D66" s="20">
        <v>13</v>
      </c>
      <c r="E66" s="20">
        <v>5</v>
      </c>
      <c r="F66" s="20">
        <v>4</v>
      </c>
      <c r="G66" s="20">
        <v>1</v>
      </c>
      <c r="H66" s="20">
        <v>0</v>
      </c>
      <c r="I66" s="20">
        <v>16</v>
      </c>
      <c r="J66" s="19">
        <v>5</v>
      </c>
      <c r="K66" s="19">
        <v>11</v>
      </c>
    </row>
    <row r="67" spans="1:11">
      <c r="A67" s="19">
        <v>5</v>
      </c>
      <c r="B67" s="19">
        <v>2</v>
      </c>
      <c r="C67" s="20" t="s">
        <v>125</v>
      </c>
      <c r="D67" s="20">
        <v>11</v>
      </c>
      <c r="E67" s="20">
        <v>5</v>
      </c>
      <c r="F67" s="20">
        <v>3</v>
      </c>
      <c r="G67" s="20">
        <v>2</v>
      </c>
      <c r="H67" s="20">
        <v>0</v>
      </c>
      <c r="I67" s="20">
        <v>11</v>
      </c>
      <c r="J67" s="19">
        <v>4</v>
      </c>
      <c r="K67" s="19">
        <v>7</v>
      </c>
    </row>
    <row r="68" spans="1:11">
      <c r="A68" s="19">
        <v>5</v>
      </c>
      <c r="B68" s="19">
        <v>3</v>
      </c>
      <c r="C68" s="20" t="s">
        <v>132</v>
      </c>
      <c r="D68" s="20">
        <v>10</v>
      </c>
      <c r="E68" s="20">
        <v>5</v>
      </c>
      <c r="F68" s="20">
        <v>3</v>
      </c>
      <c r="G68" s="20">
        <v>1</v>
      </c>
      <c r="H68" s="20">
        <v>1</v>
      </c>
      <c r="I68" s="20">
        <v>20</v>
      </c>
      <c r="J68" s="20">
        <v>16</v>
      </c>
      <c r="K68" s="19">
        <v>4</v>
      </c>
    </row>
    <row r="69" spans="1:11">
      <c r="A69" s="19">
        <v>5</v>
      </c>
      <c r="B69" s="19">
        <v>4</v>
      </c>
      <c r="C69" s="20" t="s">
        <v>129</v>
      </c>
      <c r="D69" s="20">
        <v>10</v>
      </c>
      <c r="E69" s="20">
        <v>5</v>
      </c>
      <c r="F69" s="20">
        <v>3</v>
      </c>
      <c r="G69" s="20">
        <v>1</v>
      </c>
      <c r="H69" s="20">
        <v>1</v>
      </c>
      <c r="I69" s="20">
        <v>10</v>
      </c>
      <c r="J69" s="20">
        <v>7</v>
      </c>
      <c r="K69" s="19">
        <v>3</v>
      </c>
    </row>
    <row r="70" spans="1:11">
      <c r="A70" s="19">
        <v>5</v>
      </c>
      <c r="B70" s="19">
        <v>5</v>
      </c>
      <c r="C70" s="20" t="s">
        <v>134</v>
      </c>
      <c r="D70" s="20">
        <v>10</v>
      </c>
      <c r="E70" s="20">
        <v>5</v>
      </c>
      <c r="F70" s="20">
        <v>3</v>
      </c>
      <c r="G70" s="20">
        <v>1</v>
      </c>
      <c r="H70" s="20">
        <v>1</v>
      </c>
      <c r="I70" s="20">
        <v>5</v>
      </c>
      <c r="J70" s="20">
        <v>5</v>
      </c>
      <c r="K70" s="19">
        <v>0</v>
      </c>
    </row>
    <row r="71" spans="1:11">
      <c r="A71" s="19">
        <v>5</v>
      </c>
      <c r="B71" s="19">
        <v>6</v>
      </c>
      <c r="C71" s="20" t="s">
        <v>121</v>
      </c>
      <c r="D71" s="20">
        <v>9</v>
      </c>
      <c r="E71" s="20">
        <v>5</v>
      </c>
      <c r="F71" s="20">
        <v>3</v>
      </c>
      <c r="G71" s="20">
        <v>0</v>
      </c>
      <c r="H71" s="20">
        <v>2</v>
      </c>
      <c r="I71" s="20">
        <v>11</v>
      </c>
      <c r="J71" s="20">
        <v>6</v>
      </c>
      <c r="K71" s="19">
        <v>5</v>
      </c>
    </row>
    <row r="72" spans="1:11">
      <c r="A72" s="19">
        <v>5</v>
      </c>
      <c r="B72" s="19">
        <v>7</v>
      </c>
      <c r="C72" s="20" t="s">
        <v>123</v>
      </c>
      <c r="D72" s="20">
        <v>8</v>
      </c>
      <c r="E72" s="20">
        <v>5</v>
      </c>
      <c r="F72" s="20">
        <v>2</v>
      </c>
      <c r="G72" s="20">
        <v>2</v>
      </c>
      <c r="H72" s="20">
        <v>1</v>
      </c>
      <c r="I72" s="20">
        <v>12</v>
      </c>
      <c r="J72" s="20">
        <v>8</v>
      </c>
      <c r="K72" s="19">
        <v>4</v>
      </c>
    </row>
    <row r="73" spans="1:11">
      <c r="A73" s="19">
        <v>5</v>
      </c>
      <c r="B73" s="19">
        <v>8</v>
      </c>
      <c r="C73" s="19" t="s">
        <v>124</v>
      </c>
      <c r="D73" s="20">
        <v>7</v>
      </c>
      <c r="E73" s="20">
        <v>5</v>
      </c>
      <c r="F73" s="20">
        <v>2</v>
      </c>
      <c r="G73" s="20">
        <v>1</v>
      </c>
      <c r="H73" s="20">
        <v>2</v>
      </c>
      <c r="I73" s="20">
        <v>9</v>
      </c>
      <c r="J73" s="20">
        <v>7</v>
      </c>
      <c r="K73" s="20">
        <v>2</v>
      </c>
    </row>
    <row r="74" spans="1:11">
      <c r="A74" s="19">
        <v>5</v>
      </c>
      <c r="B74" s="19">
        <v>9</v>
      </c>
      <c r="C74" s="19" t="s">
        <v>126</v>
      </c>
      <c r="D74" s="20">
        <v>7</v>
      </c>
      <c r="E74" s="20">
        <v>5</v>
      </c>
      <c r="F74" s="20">
        <v>2</v>
      </c>
      <c r="G74" s="20">
        <v>1</v>
      </c>
      <c r="H74" s="20">
        <v>2</v>
      </c>
      <c r="I74" s="20">
        <v>9</v>
      </c>
      <c r="J74" s="20">
        <v>10</v>
      </c>
      <c r="K74" s="20">
        <v>-1</v>
      </c>
    </row>
    <row r="75" spans="1:11" ht="16" customHeight="1">
      <c r="A75" s="19">
        <v>5</v>
      </c>
      <c r="B75" s="19">
        <v>10</v>
      </c>
      <c r="C75" s="19" t="s">
        <v>130</v>
      </c>
      <c r="D75" s="20">
        <v>6</v>
      </c>
      <c r="E75" s="20">
        <v>5</v>
      </c>
      <c r="F75" s="20">
        <v>1</v>
      </c>
      <c r="G75" s="20">
        <v>3</v>
      </c>
      <c r="H75" s="20">
        <v>1</v>
      </c>
      <c r="I75" s="20">
        <v>9</v>
      </c>
      <c r="J75" s="20">
        <v>7</v>
      </c>
      <c r="K75" s="20">
        <v>2</v>
      </c>
    </row>
    <row r="76" spans="1:11" ht="16" customHeight="1">
      <c r="A76" s="19">
        <v>5</v>
      </c>
      <c r="B76" s="19">
        <v>11</v>
      </c>
      <c r="C76" s="19" t="s">
        <v>135</v>
      </c>
      <c r="D76" s="20">
        <v>6</v>
      </c>
      <c r="E76" s="20">
        <v>5</v>
      </c>
      <c r="F76" s="20">
        <v>2</v>
      </c>
      <c r="G76" s="20">
        <v>0</v>
      </c>
      <c r="H76" s="20">
        <v>3</v>
      </c>
      <c r="I76" s="20">
        <v>4</v>
      </c>
      <c r="J76" s="20">
        <v>7</v>
      </c>
      <c r="K76" s="20">
        <v>-3</v>
      </c>
    </row>
    <row r="77" spans="1:11" ht="16" customHeight="1">
      <c r="A77" s="19">
        <v>5</v>
      </c>
      <c r="B77" s="19">
        <v>12</v>
      </c>
      <c r="C77" s="19" t="s">
        <v>128</v>
      </c>
      <c r="D77" s="20">
        <v>5</v>
      </c>
      <c r="E77" s="20">
        <v>5</v>
      </c>
      <c r="F77" s="20">
        <v>1</v>
      </c>
      <c r="G77" s="20">
        <v>2</v>
      </c>
      <c r="H77" s="20">
        <v>2</v>
      </c>
      <c r="I77" s="20">
        <v>8</v>
      </c>
      <c r="J77" s="20">
        <v>9</v>
      </c>
      <c r="K77" s="20">
        <v>-1</v>
      </c>
    </row>
    <row r="78" spans="1:11">
      <c r="A78" s="19">
        <v>5</v>
      </c>
      <c r="B78" s="19">
        <v>13</v>
      </c>
      <c r="C78" s="19" t="s">
        <v>127</v>
      </c>
      <c r="D78" s="20">
        <v>5</v>
      </c>
      <c r="E78" s="20">
        <v>5</v>
      </c>
      <c r="F78" s="20">
        <v>1</v>
      </c>
      <c r="G78" s="20">
        <v>2</v>
      </c>
      <c r="H78" s="20">
        <v>2</v>
      </c>
      <c r="I78" s="20">
        <v>11</v>
      </c>
      <c r="J78" s="20">
        <v>14</v>
      </c>
      <c r="K78" s="20">
        <v>-3</v>
      </c>
    </row>
    <row r="79" spans="1:11">
      <c r="A79" s="19">
        <v>5</v>
      </c>
      <c r="B79" s="19">
        <v>14</v>
      </c>
      <c r="C79" s="19" t="s">
        <v>133</v>
      </c>
      <c r="D79" s="20">
        <v>3</v>
      </c>
      <c r="E79" s="20">
        <v>5</v>
      </c>
      <c r="F79" s="20">
        <v>1</v>
      </c>
      <c r="G79" s="20">
        <v>0</v>
      </c>
      <c r="H79" s="20">
        <v>4</v>
      </c>
      <c r="I79" s="20">
        <v>3</v>
      </c>
      <c r="J79" s="20">
        <v>9</v>
      </c>
      <c r="K79" s="20">
        <v>-6</v>
      </c>
    </row>
    <row r="80" spans="1:11" ht="16" customHeight="1">
      <c r="A80" s="19">
        <v>5</v>
      </c>
      <c r="B80" s="19">
        <v>15</v>
      </c>
      <c r="C80" s="19" t="s">
        <v>136</v>
      </c>
      <c r="D80" s="20">
        <v>1</v>
      </c>
      <c r="E80" s="20">
        <v>5</v>
      </c>
      <c r="F80" s="20">
        <v>0</v>
      </c>
      <c r="G80" s="20">
        <v>1</v>
      </c>
      <c r="H80" s="20">
        <v>4</v>
      </c>
      <c r="I80" s="20">
        <v>4</v>
      </c>
      <c r="J80" s="20">
        <v>15</v>
      </c>
      <c r="K80" s="20">
        <v>-11</v>
      </c>
    </row>
    <row r="81" spans="1:11" ht="16" customHeight="1">
      <c r="A81" s="19">
        <v>5</v>
      </c>
      <c r="B81" s="19">
        <v>16</v>
      </c>
      <c r="C81" s="19" t="s">
        <v>131</v>
      </c>
      <c r="D81" s="20">
        <v>0</v>
      </c>
      <c r="E81" s="20">
        <v>5</v>
      </c>
      <c r="F81" s="20">
        <v>0</v>
      </c>
      <c r="G81" s="20">
        <v>0</v>
      </c>
      <c r="H81" s="20">
        <v>5</v>
      </c>
      <c r="I81" s="20">
        <v>6</v>
      </c>
      <c r="J81" s="20">
        <v>19</v>
      </c>
      <c r="K81" s="20">
        <v>-13</v>
      </c>
    </row>
    <row r="82" spans="1:11" ht="16" customHeight="1">
      <c r="A82" s="19">
        <v>6</v>
      </c>
      <c r="B82" s="19">
        <v>1</v>
      </c>
      <c r="C82" s="20" t="s">
        <v>125</v>
      </c>
      <c r="D82" s="20">
        <v>14</v>
      </c>
      <c r="E82" s="20">
        <v>6</v>
      </c>
      <c r="F82" s="20">
        <v>4</v>
      </c>
      <c r="G82" s="20">
        <v>2</v>
      </c>
      <c r="H82" s="20">
        <v>0</v>
      </c>
      <c r="I82" s="20">
        <v>14</v>
      </c>
      <c r="J82" s="20">
        <v>4</v>
      </c>
      <c r="K82" s="20">
        <v>10</v>
      </c>
    </row>
    <row r="83" spans="1:11" ht="16" customHeight="1">
      <c r="A83" s="19">
        <v>6</v>
      </c>
      <c r="B83" s="19">
        <v>2</v>
      </c>
      <c r="C83" s="20" t="s">
        <v>132</v>
      </c>
      <c r="D83" s="20">
        <v>13</v>
      </c>
      <c r="E83" s="20">
        <v>6</v>
      </c>
      <c r="F83" s="20">
        <v>4</v>
      </c>
      <c r="G83" s="20">
        <v>1</v>
      </c>
      <c r="H83" s="20">
        <v>1</v>
      </c>
      <c r="I83" s="20">
        <v>25</v>
      </c>
      <c r="J83" s="20">
        <v>17</v>
      </c>
      <c r="K83" s="20">
        <v>8</v>
      </c>
    </row>
    <row r="84" spans="1:11" ht="16" customHeight="1">
      <c r="A84" s="19">
        <v>6</v>
      </c>
      <c r="B84" s="20">
        <v>3</v>
      </c>
      <c r="C84" s="20" t="s">
        <v>122</v>
      </c>
      <c r="D84" s="20">
        <v>13</v>
      </c>
      <c r="E84" s="20">
        <v>6</v>
      </c>
      <c r="F84" s="20">
        <v>4</v>
      </c>
      <c r="G84" s="20">
        <v>1</v>
      </c>
      <c r="H84" s="19">
        <v>1</v>
      </c>
      <c r="I84" s="19">
        <v>16</v>
      </c>
      <c r="J84" s="19">
        <v>9</v>
      </c>
      <c r="K84" s="19">
        <v>7</v>
      </c>
    </row>
    <row r="85" spans="1:11" ht="16" customHeight="1">
      <c r="A85" s="19">
        <v>6</v>
      </c>
      <c r="B85" s="19">
        <v>4</v>
      </c>
      <c r="C85" s="19" t="s">
        <v>134</v>
      </c>
      <c r="D85" s="19">
        <v>13</v>
      </c>
      <c r="E85" s="19">
        <v>6</v>
      </c>
      <c r="F85" s="19">
        <v>4</v>
      </c>
      <c r="G85" s="19">
        <v>1</v>
      </c>
      <c r="H85" s="19">
        <v>1</v>
      </c>
      <c r="I85" s="19">
        <v>9</v>
      </c>
      <c r="J85" s="19">
        <v>6</v>
      </c>
      <c r="K85" s="19">
        <v>3</v>
      </c>
    </row>
    <row r="86" spans="1:11" ht="16" customHeight="1">
      <c r="A86" s="19">
        <v>6</v>
      </c>
      <c r="B86" s="19">
        <v>5</v>
      </c>
      <c r="C86" s="19" t="s">
        <v>121</v>
      </c>
      <c r="D86" s="19">
        <v>12</v>
      </c>
      <c r="E86" s="19">
        <v>6</v>
      </c>
      <c r="F86" s="19">
        <v>4</v>
      </c>
      <c r="G86" s="19">
        <v>0</v>
      </c>
      <c r="H86" s="19">
        <v>2</v>
      </c>
      <c r="I86" s="19">
        <v>15</v>
      </c>
      <c r="J86" s="19">
        <v>6</v>
      </c>
      <c r="K86" s="19">
        <v>9</v>
      </c>
    </row>
    <row r="87" spans="1:11" ht="16" customHeight="1">
      <c r="A87" s="19">
        <v>6</v>
      </c>
      <c r="B87" s="19">
        <v>6</v>
      </c>
      <c r="C87" s="19" t="s">
        <v>124</v>
      </c>
      <c r="D87" s="19">
        <v>10</v>
      </c>
      <c r="E87" s="19">
        <v>6</v>
      </c>
      <c r="F87" s="19">
        <v>3</v>
      </c>
      <c r="G87" s="19">
        <v>1</v>
      </c>
      <c r="H87" s="19">
        <v>2</v>
      </c>
      <c r="I87" s="19">
        <v>16</v>
      </c>
      <c r="J87" s="19">
        <v>8</v>
      </c>
      <c r="K87" s="19">
        <v>8</v>
      </c>
    </row>
    <row r="88" spans="1:11" ht="16" customHeight="1">
      <c r="A88" s="19">
        <v>6</v>
      </c>
      <c r="B88" s="19">
        <v>7</v>
      </c>
      <c r="C88" s="19" t="s">
        <v>126</v>
      </c>
      <c r="D88" s="19">
        <v>10</v>
      </c>
      <c r="E88" s="19">
        <v>6</v>
      </c>
      <c r="F88" s="19">
        <v>3</v>
      </c>
      <c r="G88" s="19">
        <v>1</v>
      </c>
      <c r="H88" s="19">
        <v>2</v>
      </c>
      <c r="I88" s="19">
        <v>11</v>
      </c>
      <c r="J88" s="19">
        <v>10</v>
      </c>
      <c r="K88" s="19">
        <v>1</v>
      </c>
    </row>
    <row r="89" spans="1:11" ht="16" customHeight="1">
      <c r="A89" s="19">
        <v>6</v>
      </c>
      <c r="B89" s="19">
        <v>8</v>
      </c>
      <c r="C89" s="19" t="s">
        <v>129</v>
      </c>
      <c r="D89" s="20">
        <v>10</v>
      </c>
      <c r="E89" s="20">
        <v>6</v>
      </c>
      <c r="F89" s="20">
        <v>3</v>
      </c>
      <c r="G89" s="20">
        <v>1</v>
      </c>
      <c r="H89" s="20">
        <v>2</v>
      </c>
      <c r="I89" s="20">
        <v>11</v>
      </c>
      <c r="J89" s="20">
        <v>12</v>
      </c>
      <c r="K89" s="20">
        <v>-1</v>
      </c>
    </row>
    <row r="90" spans="1:11" ht="16" customHeight="1">
      <c r="A90" s="19">
        <v>6</v>
      </c>
      <c r="B90" s="19">
        <v>9</v>
      </c>
      <c r="C90" s="19" t="s">
        <v>130</v>
      </c>
      <c r="D90" s="20">
        <v>9</v>
      </c>
      <c r="E90" s="20">
        <v>6</v>
      </c>
      <c r="F90" s="20">
        <v>2</v>
      </c>
      <c r="G90" s="20">
        <v>3</v>
      </c>
      <c r="H90" s="20">
        <v>1</v>
      </c>
      <c r="I90" s="20">
        <v>12</v>
      </c>
      <c r="J90" s="20">
        <v>8</v>
      </c>
      <c r="K90" s="20">
        <v>4</v>
      </c>
    </row>
    <row r="91" spans="1:11" ht="16" customHeight="1">
      <c r="A91" s="19">
        <v>6</v>
      </c>
      <c r="B91" s="19">
        <v>10</v>
      </c>
      <c r="C91" s="19" t="s">
        <v>123</v>
      </c>
      <c r="D91" s="20">
        <v>8</v>
      </c>
      <c r="E91" s="20">
        <v>6</v>
      </c>
      <c r="F91" s="20">
        <v>2</v>
      </c>
      <c r="G91" s="20">
        <v>2</v>
      </c>
      <c r="H91" s="20">
        <v>2</v>
      </c>
      <c r="I91" s="20">
        <v>12</v>
      </c>
      <c r="J91" s="20">
        <v>10</v>
      </c>
      <c r="K91" s="20">
        <v>2</v>
      </c>
    </row>
    <row r="92" spans="1:11" ht="16" customHeight="1">
      <c r="A92" s="19">
        <v>6</v>
      </c>
      <c r="B92" s="19">
        <v>11</v>
      </c>
      <c r="C92" s="19" t="s">
        <v>135</v>
      </c>
      <c r="D92" s="20">
        <v>6</v>
      </c>
      <c r="E92" s="20">
        <v>6</v>
      </c>
      <c r="F92" s="20">
        <v>2</v>
      </c>
      <c r="G92" s="20">
        <v>0</v>
      </c>
      <c r="H92" s="20">
        <v>4</v>
      </c>
      <c r="I92" s="20">
        <v>5</v>
      </c>
      <c r="J92" s="20">
        <v>11</v>
      </c>
      <c r="K92" s="20">
        <v>-6</v>
      </c>
    </row>
    <row r="93" spans="1:11" ht="16" customHeight="1">
      <c r="A93" s="19">
        <v>6</v>
      </c>
      <c r="B93" s="19">
        <v>12</v>
      </c>
      <c r="C93" s="19" t="s">
        <v>127</v>
      </c>
      <c r="D93" s="20">
        <v>5</v>
      </c>
      <c r="E93" s="20">
        <v>6</v>
      </c>
      <c r="F93" s="20">
        <v>1</v>
      </c>
      <c r="G93" s="20">
        <v>2</v>
      </c>
      <c r="H93" s="20">
        <v>3</v>
      </c>
      <c r="I93" s="20">
        <v>11</v>
      </c>
      <c r="J93" s="20">
        <v>17</v>
      </c>
      <c r="K93" s="20">
        <v>-6</v>
      </c>
    </row>
    <row r="94" spans="1:11" ht="16" customHeight="1">
      <c r="A94" s="19">
        <v>6</v>
      </c>
      <c r="B94" s="19">
        <v>13</v>
      </c>
      <c r="C94" s="19" t="s">
        <v>128</v>
      </c>
      <c r="D94" s="20">
        <v>5</v>
      </c>
      <c r="E94" s="20">
        <v>6</v>
      </c>
      <c r="F94" s="20">
        <v>1</v>
      </c>
      <c r="G94" s="20">
        <v>2</v>
      </c>
      <c r="H94" s="20">
        <v>3</v>
      </c>
      <c r="I94" s="20">
        <v>9</v>
      </c>
      <c r="J94" s="20">
        <v>16</v>
      </c>
      <c r="K94" s="20">
        <v>-7</v>
      </c>
    </row>
    <row r="95" spans="1:11">
      <c r="A95" s="19">
        <v>6</v>
      </c>
      <c r="B95" s="19">
        <v>14</v>
      </c>
      <c r="C95" s="19" t="s">
        <v>133</v>
      </c>
      <c r="D95" s="20">
        <v>3</v>
      </c>
      <c r="E95" s="20">
        <v>6</v>
      </c>
      <c r="F95" s="20">
        <v>1</v>
      </c>
      <c r="G95" s="20">
        <v>0</v>
      </c>
      <c r="H95" s="20">
        <v>5</v>
      </c>
      <c r="I95" s="20">
        <v>3</v>
      </c>
      <c r="J95" s="20">
        <v>11</v>
      </c>
      <c r="K95" s="20">
        <v>-8</v>
      </c>
    </row>
    <row r="96" spans="1:11">
      <c r="A96" s="19">
        <v>6</v>
      </c>
      <c r="B96" s="19">
        <v>15</v>
      </c>
      <c r="C96" s="19" t="s">
        <v>131</v>
      </c>
      <c r="D96" s="20">
        <v>3</v>
      </c>
      <c r="E96" s="20">
        <v>6</v>
      </c>
      <c r="F96" s="20">
        <v>1</v>
      </c>
      <c r="G96" s="20">
        <v>0</v>
      </c>
      <c r="H96" s="20">
        <v>5</v>
      </c>
      <c r="I96" s="20">
        <v>8</v>
      </c>
      <c r="J96" s="20">
        <v>19</v>
      </c>
      <c r="K96" s="20">
        <v>-11</v>
      </c>
    </row>
    <row r="97" spans="1:11">
      <c r="A97" s="19">
        <v>6</v>
      </c>
      <c r="B97" s="19">
        <v>16</v>
      </c>
      <c r="C97" s="19" t="s">
        <v>136</v>
      </c>
      <c r="D97" s="20">
        <v>1</v>
      </c>
      <c r="E97" s="20">
        <v>6</v>
      </c>
      <c r="F97" s="20">
        <v>0</v>
      </c>
      <c r="G97" s="20">
        <v>1</v>
      </c>
      <c r="H97" s="20">
        <v>5</v>
      </c>
      <c r="I97" s="20">
        <v>5</v>
      </c>
      <c r="J97" s="20">
        <v>18</v>
      </c>
      <c r="K97" s="20">
        <v>-13</v>
      </c>
    </row>
    <row r="98" spans="1:11">
      <c r="A98" s="19">
        <v>7</v>
      </c>
      <c r="B98" s="19">
        <v>1</v>
      </c>
      <c r="C98" s="20" t="s">
        <v>125</v>
      </c>
      <c r="D98" s="20">
        <v>17</v>
      </c>
      <c r="E98" s="20">
        <v>7</v>
      </c>
      <c r="F98" s="20">
        <v>5</v>
      </c>
      <c r="G98" s="20">
        <v>2</v>
      </c>
      <c r="H98" s="20">
        <v>0</v>
      </c>
      <c r="I98" s="20">
        <v>15</v>
      </c>
      <c r="J98" s="20">
        <v>4</v>
      </c>
      <c r="K98" s="19">
        <v>11</v>
      </c>
    </row>
    <row r="99" spans="1:11">
      <c r="A99" s="19">
        <v>7</v>
      </c>
      <c r="B99" s="19">
        <v>2</v>
      </c>
      <c r="C99" s="19" t="s">
        <v>121</v>
      </c>
      <c r="D99" s="20">
        <v>15</v>
      </c>
      <c r="E99" s="20">
        <v>7</v>
      </c>
      <c r="F99" s="20">
        <v>5</v>
      </c>
      <c r="G99" s="20">
        <v>0</v>
      </c>
      <c r="H99" s="20">
        <v>2</v>
      </c>
      <c r="I99" s="20">
        <v>18</v>
      </c>
      <c r="J99" s="20">
        <v>8</v>
      </c>
      <c r="K99" s="20">
        <v>10</v>
      </c>
    </row>
    <row r="100" spans="1:11">
      <c r="A100" s="19">
        <v>7</v>
      </c>
      <c r="B100" s="19">
        <v>3</v>
      </c>
      <c r="C100" s="19" t="s">
        <v>122</v>
      </c>
      <c r="D100" s="20">
        <v>14</v>
      </c>
      <c r="E100" s="20">
        <v>7</v>
      </c>
      <c r="F100" s="20">
        <v>4</v>
      </c>
      <c r="G100" s="20">
        <v>2</v>
      </c>
      <c r="H100" s="20">
        <v>1</v>
      </c>
      <c r="I100" s="20">
        <v>17</v>
      </c>
      <c r="J100" s="20">
        <v>10</v>
      </c>
      <c r="K100" s="20">
        <v>7</v>
      </c>
    </row>
    <row r="101" spans="1:11">
      <c r="A101" s="19">
        <v>7</v>
      </c>
      <c r="B101" s="19">
        <v>4</v>
      </c>
      <c r="C101" s="19" t="s">
        <v>134</v>
      </c>
      <c r="D101" s="20">
        <v>14</v>
      </c>
      <c r="E101" s="20">
        <v>7</v>
      </c>
      <c r="F101" s="20">
        <v>4</v>
      </c>
      <c r="G101" s="20">
        <v>2</v>
      </c>
      <c r="H101" s="20">
        <v>1</v>
      </c>
      <c r="I101" s="20">
        <v>10</v>
      </c>
      <c r="J101" s="20">
        <v>7</v>
      </c>
      <c r="K101" s="20">
        <v>3</v>
      </c>
    </row>
    <row r="102" spans="1:11">
      <c r="A102" s="19">
        <v>7</v>
      </c>
      <c r="B102" s="19">
        <v>5</v>
      </c>
      <c r="C102" s="19" t="s">
        <v>132</v>
      </c>
      <c r="D102" s="20">
        <v>13</v>
      </c>
      <c r="E102" s="20">
        <v>7</v>
      </c>
      <c r="F102" s="20">
        <v>4</v>
      </c>
      <c r="G102" s="20">
        <v>1</v>
      </c>
      <c r="H102" s="20">
        <v>2</v>
      </c>
      <c r="I102" s="20">
        <v>26</v>
      </c>
      <c r="J102" s="20">
        <v>20</v>
      </c>
      <c r="K102" s="20">
        <v>6</v>
      </c>
    </row>
    <row r="103" spans="1:11">
      <c r="A103" s="19">
        <v>7</v>
      </c>
      <c r="B103" s="19">
        <v>6</v>
      </c>
      <c r="C103" s="19" t="s">
        <v>130</v>
      </c>
      <c r="D103" s="20">
        <v>12</v>
      </c>
      <c r="E103" s="20">
        <v>7</v>
      </c>
      <c r="F103" s="20">
        <v>3</v>
      </c>
      <c r="G103" s="20">
        <v>3</v>
      </c>
      <c r="H103" s="20">
        <v>1</v>
      </c>
      <c r="I103" s="20">
        <v>14</v>
      </c>
      <c r="J103" s="20">
        <v>9</v>
      </c>
      <c r="K103" s="20">
        <v>5</v>
      </c>
    </row>
    <row r="104" spans="1:11">
      <c r="A104" s="19">
        <v>7</v>
      </c>
      <c r="B104" s="19">
        <v>7</v>
      </c>
      <c r="C104" s="19" t="s">
        <v>124</v>
      </c>
      <c r="D104" s="20">
        <v>10</v>
      </c>
      <c r="E104" s="20">
        <v>7</v>
      </c>
      <c r="F104" s="20">
        <v>3</v>
      </c>
      <c r="G104" s="20">
        <v>1</v>
      </c>
      <c r="H104" s="20">
        <v>3</v>
      </c>
      <c r="I104" s="20">
        <v>18</v>
      </c>
      <c r="J104" s="20">
        <v>11</v>
      </c>
      <c r="K104" s="20">
        <v>7</v>
      </c>
    </row>
    <row r="105" spans="1:11">
      <c r="A105" s="19">
        <v>7</v>
      </c>
      <c r="B105" s="19">
        <v>8</v>
      </c>
      <c r="C105" s="19" t="s">
        <v>126</v>
      </c>
      <c r="D105" s="20">
        <v>10</v>
      </c>
      <c r="E105" s="20">
        <v>7</v>
      </c>
      <c r="F105" s="20">
        <v>3</v>
      </c>
      <c r="G105" s="20">
        <v>1</v>
      </c>
      <c r="H105" s="20">
        <v>3</v>
      </c>
      <c r="I105" s="20">
        <v>13</v>
      </c>
      <c r="J105" s="20">
        <v>13</v>
      </c>
      <c r="K105" s="20">
        <v>0</v>
      </c>
    </row>
    <row r="106" spans="1:11">
      <c r="A106" s="19">
        <v>7</v>
      </c>
      <c r="B106" s="19">
        <v>9</v>
      </c>
      <c r="C106" s="19" t="s">
        <v>129</v>
      </c>
      <c r="D106" s="20">
        <v>10</v>
      </c>
      <c r="E106" s="20">
        <v>7</v>
      </c>
      <c r="F106" s="20">
        <v>3</v>
      </c>
      <c r="G106" s="20">
        <v>1</v>
      </c>
      <c r="H106" s="20">
        <v>3</v>
      </c>
      <c r="I106" s="20">
        <v>11</v>
      </c>
      <c r="J106" s="20">
        <v>13</v>
      </c>
      <c r="K106" s="20">
        <v>-2</v>
      </c>
    </row>
    <row r="107" spans="1:11">
      <c r="A107" s="19">
        <v>7</v>
      </c>
      <c r="B107" s="19">
        <v>10</v>
      </c>
      <c r="C107" s="19" t="s">
        <v>123</v>
      </c>
      <c r="D107" s="20">
        <v>9</v>
      </c>
      <c r="E107" s="20">
        <v>7</v>
      </c>
      <c r="F107" s="20">
        <v>2</v>
      </c>
      <c r="G107" s="20">
        <v>3</v>
      </c>
      <c r="H107" s="20">
        <v>2</v>
      </c>
      <c r="I107" s="20">
        <v>13</v>
      </c>
      <c r="J107" s="20">
        <v>11</v>
      </c>
      <c r="K107" s="20">
        <v>2</v>
      </c>
    </row>
    <row r="108" spans="1:11">
      <c r="A108" s="19">
        <v>7</v>
      </c>
      <c r="B108" s="20">
        <v>11</v>
      </c>
      <c r="C108" s="19" t="s">
        <v>127</v>
      </c>
      <c r="D108" s="20">
        <v>8</v>
      </c>
      <c r="E108" s="20">
        <v>7</v>
      </c>
      <c r="F108" s="20">
        <v>2</v>
      </c>
      <c r="G108" s="20">
        <v>2</v>
      </c>
      <c r="H108" s="20">
        <v>3</v>
      </c>
      <c r="I108" s="20">
        <v>14</v>
      </c>
      <c r="J108" s="20">
        <v>19</v>
      </c>
      <c r="K108" s="20">
        <v>-5</v>
      </c>
    </row>
    <row r="109" spans="1:11">
      <c r="A109" s="19">
        <v>7</v>
      </c>
      <c r="B109" s="19">
        <v>12</v>
      </c>
      <c r="C109" s="19" t="s">
        <v>128</v>
      </c>
      <c r="D109" s="20">
        <v>8</v>
      </c>
      <c r="E109" s="20">
        <v>7</v>
      </c>
      <c r="F109" s="20">
        <v>2</v>
      </c>
      <c r="G109" s="20">
        <v>2</v>
      </c>
      <c r="H109" s="20">
        <v>3</v>
      </c>
      <c r="I109" s="20">
        <v>11</v>
      </c>
      <c r="J109" s="20">
        <v>17</v>
      </c>
      <c r="K109" s="20">
        <v>-6</v>
      </c>
    </row>
    <row r="110" spans="1:11">
      <c r="A110" s="19">
        <v>7</v>
      </c>
      <c r="B110" s="19">
        <v>13</v>
      </c>
      <c r="C110" s="19" t="s">
        <v>135</v>
      </c>
      <c r="D110" s="20">
        <v>7</v>
      </c>
      <c r="E110" s="20">
        <v>7</v>
      </c>
      <c r="F110" s="20">
        <v>2</v>
      </c>
      <c r="G110" s="20">
        <v>1</v>
      </c>
      <c r="H110" s="20">
        <v>4</v>
      </c>
      <c r="I110" s="20">
        <v>6</v>
      </c>
      <c r="J110" s="20">
        <v>12</v>
      </c>
      <c r="K110" s="20">
        <v>-6</v>
      </c>
    </row>
    <row r="111" spans="1:11">
      <c r="A111" s="19">
        <v>7</v>
      </c>
      <c r="B111" s="19">
        <v>14</v>
      </c>
      <c r="C111" s="19" t="s">
        <v>131</v>
      </c>
      <c r="D111" s="20">
        <v>6</v>
      </c>
      <c r="E111" s="20">
        <v>7</v>
      </c>
      <c r="F111" s="20">
        <v>2</v>
      </c>
      <c r="G111" s="20">
        <v>0</v>
      </c>
      <c r="H111" s="20">
        <v>5</v>
      </c>
      <c r="I111" s="20">
        <v>11</v>
      </c>
      <c r="J111" s="20">
        <v>20</v>
      </c>
      <c r="K111" s="20">
        <v>-9</v>
      </c>
    </row>
    <row r="112" spans="1:11">
      <c r="A112" s="19">
        <v>7</v>
      </c>
      <c r="B112" s="19">
        <v>15</v>
      </c>
      <c r="C112" s="19" t="s">
        <v>133</v>
      </c>
      <c r="D112" s="20">
        <v>3</v>
      </c>
      <c r="E112" s="20">
        <v>7</v>
      </c>
      <c r="F112" s="20">
        <v>1</v>
      </c>
      <c r="G112" s="20">
        <v>0</v>
      </c>
      <c r="H112" s="20">
        <v>6</v>
      </c>
      <c r="I112" s="20">
        <v>4</v>
      </c>
      <c r="J112" s="20">
        <v>13</v>
      </c>
      <c r="K112" s="20">
        <v>-9</v>
      </c>
    </row>
    <row r="113" spans="1:11">
      <c r="A113" s="19">
        <v>7</v>
      </c>
      <c r="B113" s="19">
        <v>16</v>
      </c>
      <c r="C113" s="19" t="s">
        <v>136</v>
      </c>
      <c r="D113" s="20">
        <v>1</v>
      </c>
      <c r="E113" s="20">
        <v>7</v>
      </c>
      <c r="F113" s="20">
        <v>0</v>
      </c>
      <c r="G113" s="20">
        <v>1</v>
      </c>
      <c r="H113" s="20">
        <v>6</v>
      </c>
      <c r="I113" s="20">
        <v>6</v>
      </c>
      <c r="J113" s="20">
        <v>20</v>
      </c>
      <c r="K113" s="20">
        <v>-14</v>
      </c>
    </row>
    <row r="114" spans="1:11">
      <c r="A114" s="19">
        <v>8</v>
      </c>
      <c r="B114" s="19">
        <v>1</v>
      </c>
      <c r="C114" s="20" t="s">
        <v>125</v>
      </c>
      <c r="D114" s="20">
        <v>20</v>
      </c>
      <c r="E114" s="20">
        <v>8</v>
      </c>
      <c r="F114" s="20">
        <v>6</v>
      </c>
      <c r="G114" s="20">
        <v>2</v>
      </c>
      <c r="H114" s="20">
        <v>0</v>
      </c>
      <c r="I114" s="20">
        <v>18</v>
      </c>
      <c r="J114" s="19">
        <v>6</v>
      </c>
      <c r="K114" s="19">
        <v>12</v>
      </c>
    </row>
    <row r="115" spans="1:11">
      <c r="A115" s="19">
        <v>8</v>
      </c>
      <c r="B115" s="19">
        <v>2</v>
      </c>
      <c r="C115" s="20" t="s">
        <v>122</v>
      </c>
      <c r="D115" s="20">
        <v>17</v>
      </c>
      <c r="E115" s="20">
        <v>8</v>
      </c>
      <c r="F115" s="20">
        <v>5</v>
      </c>
      <c r="G115" s="20">
        <v>2</v>
      </c>
      <c r="H115" s="20">
        <v>1</v>
      </c>
      <c r="I115" s="20">
        <v>20</v>
      </c>
      <c r="J115" s="19">
        <v>12</v>
      </c>
      <c r="K115" s="19">
        <v>8</v>
      </c>
    </row>
    <row r="116" spans="1:11">
      <c r="A116" s="19">
        <v>8</v>
      </c>
      <c r="B116" s="19">
        <v>3</v>
      </c>
      <c r="C116" s="20" t="s">
        <v>121</v>
      </c>
      <c r="D116" s="20">
        <v>16</v>
      </c>
      <c r="E116" s="20">
        <v>8</v>
      </c>
      <c r="F116" s="20">
        <v>5</v>
      </c>
      <c r="G116" s="20">
        <v>1</v>
      </c>
      <c r="H116" s="20">
        <v>2</v>
      </c>
      <c r="I116" s="20">
        <v>19</v>
      </c>
      <c r="J116" s="19">
        <v>9</v>
      </c>
      <c r="K116" s="19">
        <v>10</v>
      </c>
    </row>
    <row r="117" spans="1:11">
      <c r="A117" s="19">
        <v>8</v>
      </c>
      <c r="B117" s="19">
        <v>4</v>
      </c>
      <c r="C117" s="20" t="s">
        <v>134</v>
      </c>
      <c r="D117" s="20">
        <v>14</v>
      </c>
      <c r="E117" s="20">
        <v>8</v>
      </c>
      <c r="F117" s="20">
        <v>4</v>
      </c>
      <c r="G117" s="20">
        <v>2</v>
      </c>
      <c r="H117" s="20">
        <v>2</v>
      </c>
      <c r="I117" s="20">
        <v>11</v>
      </c>
      <c r="J117" s="19">
        <v>10</v>
      </c>
      <c r="K117" s="19">
        <v>1</v>
      </c>
    </row>
    <row r="118" spans="1:11">
      <c r="A118" s="19">
        <v>8</v>
      </c>
      <c r="B118" s="19">
        <v>5</v>
      </c>
      <c r="C118" s="20" t="s">
        <v>124</v>
      </c>
      <c r="D118" s="20">
        <v>13</v>
      </c>
      <c r="E118" s="20">
        <v>8</v>
      </c>
      <c r="F118" s="20">
        <v>4</v>
      </c>
      <c r="G118" s="20">
        <v>1</v>
      </c>
      <c r="H118" s="20">
        <v>3</v>
      </c>
      <c r="I118" s="20">
        <v>21</v>
      </c>
      <c r="J118" s="19">
        <v>12</v>
      </c>
      <c r="K118" s="19">
        <v>9</v>
      </c>
    </row>
    <row r="119" spans="1:11">
      <c r="A119" s="19">
        <v>8</v>
      </c>
      <c r="B119" s="19">
        <v>6</v>
      </c>
      <c r="C119" s="20" t="s">
        <v>132</v>
      </c>
      <c r="D119" s="20">
        <v>13</v>
      </c>
      <c r="E119" s="20">
        <v>8</v>
      </c>
      <c r="F119" s="20">
        <v>4</v>
      </c>
      <c r="G119" s="20">
        <v>1</v>
      </c>
      <c r="H119" s="20">
        <v>3</v>
      </c>
      <c r="I119" s="20">
        <v>27</v>
      </c>
      <c r="J119" s="19">
        <v>22</v>
      </c>
      <c r="K119" s="19">
        <v>5</v>
      </c>
    </row>
    <row r="120" spans="1:11">
      <c r="A120" s="19">
        <v>8</v>
      </c>
      <c r="B120" s="20">
        <v>7</v>
      </c>
      <c r="C120" s="20" t="s">
        <v>130</v>
      </c>
      <c r="D120" s="20">
        <v>13</v>
      </c>
      <c r="E120" s="20">
        <v>8</v>
      </c>
      <c r="F120" s="20">
        <v>3</v>
      </c>
      <c r="G120" s="20">
        <v>4</v>
      </c>
      <c r="H120" s="20">
        <v>1</v>
      </c>
      <c r="I120" s="19">
        <v>15</v>
      </c>
      <c r="J120" s="19">
        <v>10</v>
      </c>
      <c r="K120" s="19">
        <v>5</v>
      </c>
    </row>
    <row r="121" spans="1:11">
      <c r="A121" s="19">
        <v>8</v>
      </c>
      <c r="B121" s="20">
        <v>8</v>
      </c>
      <c r="C121" s="20" t="s">
        <v>126</v>
      </c>
      <c r="D121" s="20">
        <v>13</v>
      </c>
      <c r="E121" s="20">
        <v>8</v>
      </c>
      <c r="F121" s="20">
        <v>4</v>
      </c>
      <c r="G121" s="20">
        <v>1</v>
      </c>
      <c r="H121" s="20">
        <v>3</v>
      </c>
      <c r="I121" s="20">
        <v>16</v>
      </c>
      <c r="J121" s="20">
        <v>14</v>
      </c>
      <c r="K121" s="20">
        <v>2</v>
      </c>
    </row>
    <row r="122" spans="1:11">
      <c r="A122" s="19">
        <v>8</v>
      </c>
      <c r="B122" s="20">
        <v>9</v>
      </c>
      <c r="C122" s="20" t="s">
        <v>123</v>
      </c>
      <c r="D122" s="20">
        <v>12</v>
      </c>
      <c r="E122" s="20">
        <v>8</v>
      </c>
      <c r="F122" s="20">
        <v>3</v>
      </c>
      <c r="G122" s="20">
        <v>3</v>
      </c>
      <c r="H122" s="20">
        <v>2</v>
      </c>
      <c r="I122" s="20">
        <v>15</v>
      </c>
      <c r="J122" s="20">
        <v>12</v>
      </c>
      <c r="K122" s="20">
        <v>3</v>
      </c>
    </row>
    <row r="123" spans="1:11">
      <c r="A123" s="19">
        <v>8</v>
      </c>
      <c r="B123" s="19">
        <v>10</v>
      </c>
      <c r="C123" s="19" t="s">
        <v>128</v>
      </c>
      <c r="D123" s="20">
        <v>11</v>
      </c>
      <c r="E123" s="20">
        <v>8</v>
      </c>
      <c r="F123" s="20">
        <v>3</v>
      </c>
      <c r="G123" s="20">
        <v>2</v>
      </c>
      <c r="H123" s="20">
        <v>3</v>
      </c>
      <c r="I123" s="20">
        <v>15</v>
      </c>
      <c r="J123" s="20">
        <v>17</v>
      </c>
      <c r="K123" s="20">
        <v>-2</v>
      </c>
    </row>
    <row r="124" spans="1:11">
      <c r="A124" s="19">
        <v>8</v>
      </c>
      <c r="B124" s="19">
        <v>11</v>
      </c>
      <c r="C124" s="19" t="s">
        <v>127</v>
      </c>
      <c r="D124" s="20">
        <v>11</v>
      </c>
      <c r="E124" s="20">
        <v>8</v>
      </c>
      <c r="F124" s="20">
        <v>3</v>
      </c>
      <c r="G124" s="20">
        <v>2</v>
      </c>
      <c r="H124" s="20">
        <v>3</v>
      </c>
      <c r="I124" s="20">
        <v>16</v>
      </c>
      <c r="J124" s="20">
        <v>19</v>
      </c>
      <c r="K124" s="20">
        <v>-3</v>
      </c>
    </row>
    <row r="125" spans="1:11">
      <c r="A125" s="19">
        <v>8</v>
      </c>
      <c r="B125" s="19">
        <v>12</v>
      </c>
      <c r="C125" s="19" t="s">
        <v>129</v>
      </c>
      <c r="D125" s="20">
        <v>10</v>
      </c>
      <c r="E125" s="20">
        <v>8</v>
      </c>
      <c r="F125" s="20">
        <v>3</v>
      </c>
      <c r="G125" s="20">
        <v>1</v>
      </c>
      <c r="H125" s="20">
        <v>4</v>
      </c>
      <c r="I125" s="20">
        <v>12</v>
      </c>
      <c r="J125" s="20">
        <v>16</v>
      </c>
      <c r="K125" s="20">
        <v>-4</v>
      </c>
    </row>
    <row r="126" spans="1:11">
      <c r="A126" s="19">
        <v>8</v>
      </c>
      <c r="B126" s="19">
        <v>13</v>
      </c>
      <c r="C126" s="20" t="s">
        <v>135</v>
      </c>
      <c r="D126" s="20">
        <v>7</v>
      </c>
      <c r="E126" s="20">
        <v>8</v>
      </c>
      <c r="F126" s="20">
        <v>2</v>
      </c>
      <c r="G126" s="20">
        <v>1</v>
      </c>
      <c r="H126" s="20">
        <v>5</v>
      </c>
      <c r="I126" s="20">
        <v>8</v>
      </c>
      <c r="J126" s="20">
        <v>15</v>
      </c>
      <c r="K126" s="20">
        <v>-7</v>
      </c>
    </row>
    <row r="127" spans="1:11">
      <c r="A127" s="19">
        <v>8</v>
      </c>
      <c r="B127" s="19">
        <v>14</v>
      </c>
      <c r="C127" s="20" t="s">
        <v>131</v>
      </c>
      <c r="D127" s="20">
        <v>6</v>
      </c>
      <c r="E127" s="20">
        <v>8</v>
      </c>
      <c r="F127" s="20">
        <v>2</v>
      </c>
      <c r="G127" s="20">
        <v>0</v>
      </c>
      <c r="H127" s="20">
        <v>6</v>
      </c>
      <c r="I127" s="20">
        <v>13</v>
      </c>
      <c r="J127" s="20">
        <v>23</v>
      </c>
      <c r="K127" s="20">
        <v>-10</v>
      </c>
    </row>
    <row r="128" spans="1:11">
      <c r="A128" s="19">
        <v>8</v>
      </c>
      <c r="B128" s="19">
        <v>15</v>
      </c>
      <c r="C128" s="20" t="s">
        <v>133</v>
      </c>
      <c r="D128" s="20">
        <v>3</v>
      </c>
      <c r="E128" s="20">
        <v>8</v>
      </c>
      <c r="F128" s="20">
        <v>1</v>
      </c>
      <c r="G128" s="20">
        <v>0</v>
      </c>
      <c r="H128" s="20">
        <v>7</v>
      </c>
      <c r="I128" s="20">
        <v>4</v>
      </c>
      <c r="J128" s="20">
        <v>17</v>
      </c>
      <c r="K128" s="20">
        <v>-13</v>
      </c>
    </row>
    <row r="129" spans="1:11">
      <c r="A129" s="19">
        <v>8</v>
      </c>
      <c r="B129" s="19">
        <v>16</v>
      </c>
      <c r="C129" s="20" t="s">
        <v>136</v>
      </c>
      <c r="D129" s="20">
        <v>1</v>
      </c>
      <c r="E129" s="20">
        <v>8</v>
      </c>
      <c r="F129" s="20">
        <v>0</v>
      </c>
      <c r="G129" s="20">
        <v>1</v>
      </c>
      <c r="H129" s="20">
        <v>7</v>
      </c>
      <c r="I129" s="20">
        <v>6</v>
      </c>
      <c r="J129" s="20">
        <v>22</v>
      </c>
      <c r="K129" s="20">
        <v>-16</v>
      </c>
    </row>
    <row r="130" spans="1:11">
      <c r="A130" s="19">
        <v>9</v>
      </c>
      <c r="B130" s="19">
        <v>1</v>
      </c>
      <c r="C130" s="20" t="s">
        <v>125</v>
      </c>
      <c r="D130" s="20">
        <v>20</v>
      </c>
      <c r="E130" s="20">
        <v>9</v>
      </c>
      <c r="F130" s="20">
        <v>6</v>
      </c>
      <c r="G130" s="20">
        <v>2</v>
      </c>
      <c r="H130" s="20">
        <v>1</v>
      </c>
      <c r="I130" s="20">
        <v>19</v>
      </c>
      <c r="J130" s="19">
        <v>9</v>
      </c>
      <c r="K130" s="19">
        <v>10</v>
      </c>
    </row>
    <row r="131" spans="1:11">
      <c r="A131" s="19">
        <v>9</v>
      </c>
      <c r="B131" s="19">
        <v>2</v>
      </c>
      <c r="C131" s="20" t="s">
        <v>122</v>
      </c>
      <c r="D131" s="20">
        <v>18</v>
      </c>
      <c r="E131" s="20">
        <v>9</v>
      </c>
      <c r="F131" s="20">
        <v>5</v>
      </c>
      <c r="G131" s="20">
        <v>3</v>
      </c>
      <c r="H131" s="20">
        <v>1</v>
      </c>
      <c r="I131" s="20">
        <v>23</v>
      </c>
      <c r="J131" s="19">
        <v>15</v>
      </c>
      <c r="K131" s="19">
        <v>8</v>
      </c>
    </row>
    <row r="132" spans="1:11">
      <c r="A132" s="19">
        <v>9</v>
      </c>
      <c r="B132" s="19">
        <v>3</v>
      </c>
      <c r="C132" s="20" t="s">
        <v>124</v>
      </c>
      <c r="D132" s="20">
        <v>16</v>
      </c>
      <c r="E132" s="20">
        <v>9</v>
      </c>
      <c r="F132" s="20">
        <v>5</v>
      </c>
      <c r="G132" s="20">
        <v>1</v>
      </c>
      <c r="H132" s="20">
        <v>3</v>
      </c>
      <c r="I132" s="20">
        <v>24</v>
      </c>
      <c r="J132" s="19">
        <v>14</v>
      </c>
      <c r="K132" s="19">
        <v>10</v>
      </c>
    </row>
    <row r="133" spans="1:11">
      <c r="A133" s="19">
        <v>9</v>
      </c>
      <c r="B133" s="19">
        <v>4</v>
      </c>
      <c r="C133" s="20" t="s">
        <v>121</v>
      </c>
      <c r="D133" s="20">
        <v>16</v>
      </c>
      <c r="E133" s="20">
        <v>9</v>
      </c>
      <c r="F133" s="20">
        <v>5</v>
      </c>
      <c r="G133" s="20">
        <v>1</v>
      </c>
      <c r="H133" s="20">
        <v>3</v>
      </c>
      <c r="I133" s="20">
        <v>20</v>
      </c>
      <c r="J133" s="19">
        <v>11</v>
      </c>
      <c r="K133" s="19">
        <v>9</v>
      </c>
    </row>
    <row r="134" spans="1:11">
      <c r="A134" s="19">
        <v>9</v>
      </c>
      <c r="B134" s="19">
        <v>5</v>
      </c>
      <c r="C134" s="20" t="s">
        <v>132</v>
      </c>
      <c r="D134" s="20">
        <v>16</v>
      </c>
      <c r="E134" s="20">
        <v>9</v>
      </c>
      <c r="F134" s="20">
        <v>5</v>
      </c>
      <c r="G134" s="20">
        <v>1</v>
      </c>
      <c r="H134" s="20">
        <v>3</v>
      </c>
      <c r="I134" s="20">
        <v>30</v>
      </c>
      <c r="J134" s="19">
        <v>23</v>
      </c>
      <c r="K134" s="19">
        <v>7</v>
      </c>
    </row>
    <row r="135" spans="1:11">
      <c r="A135" s="19">
        <v>9</v>
      </c>
      <c r="B135" s="19">
        <v>6</v>
      </c>
      <c r="C135" s="20" t="s">
        <v>130</v>
      </c>
      <c r="D135" s="20">
        <v>16</v>
      </c>
      <c r="E135" s="20">
        <v>9</v>
      </c>
      <c r="F135" s="20">
        <v>4</v>
      </c>
      <c r="G135" s="20">
        <v>4</v>
      </c>
      <c r="H135" s="20">
        <v>1</v>
      </c>
      <c r="I135" s="20">
        <v>19</v>
      </c>
      <c r="J135" s="19">
        <v>12</v>
      </c>
      <c r="K135" s="19">
        <v>7</v>
      </c>
    </row>
    <row r="136" spans="1:11">
      <c r="A136" s="19">
        <v>9</v>
      </c>
      <c r="B136" s="19">
        <v>7</v>
      </c>
      <c r="C136" s="19" t="s">
        <v>126</v>
      </c>
      <c r="D136" s="19">
        <v>14</v>
      </c>
      <c r="E136" s="19">
        <v>9</v>
      </c>
      <c r="F136" s="19">
        <v>4</v>
      </c>
      <c r="G136" s="19">
        <v>2</v>
      </c>
      <c r="H136" s="19">
        <v>3</v>
      </c>
      <c r="I136" s="19">
        <v>18</v>
      </c>
      <c r="J136" s="19">
        <v>16</v>
      </c>
      <c r="K136" s="19">
        <v>2</v>
      </c>
    </row>
    <row r="137" spans="1:11">
      <c r="A137" s="19">
        <v>9</v>
      </c>
      <c r="B137" s="19">
        <v>8</v>
      </c>
      <c r="C137" s="19" t="s">
        <v>127</v>
      </c>
      <c r="D137" s="19">
        <v>14</v>
      </c>
      <c r="E137" s="19">
        <v>9</v>
      </c>
      <c r="F137" s="19">
        <v>4</v>
      </c>
      <c r="G137" s="19">
        <v>2</v>
      </c>
      <c r="H137" s="19">
        <v>3</v>
      </c>
      <c r="I137" s="19">
        <v>19</v>
      </c>
      <c r="J137" s="19">
        <v>20</v>
      </c>
      <c r="K137" s="19">
        <v>-1</v>
      </c>
    </row>
    <row r="138" spans="1:11">
      <c r="A138" s="19">
        <v>9</v>
      </c>
      <c r="B138" s="19">
        <v>9</v>
      </c>
      <c r="C138" s="19" t="s">
        <v>128</v>
      </c>
      <c r="D138" s="19">
        <v>14</v>
      </c>
      <c r="E138" s="19">
        <v>9</v>
      </c>
      <c r="F138" s="19">
        <v>4</v>
      </c>
      <c r="G138" s="19">
        <v>2</v>
      </c>
      <c r="H138" s="19">
        <v>3</v>
      </c>
      <c r="I138" s="19">
        <v>17</v>
      </c>
      <c r="J138" s="19">
        <v>18</v>
      </c>
      <c r="K138" s="19">
        <v>-1</v>
      </c>
    </row>
    <row r="139" spans="1:11">
      <c r="A139" s="19">
        <v>9</v>
      </c>
      <c r="B139" s="19">
        <v>10</v>
      </c>
      <c r="C139" s="19" t="s">
        <v>134</v>
      </c>
      <c r="D139" s="20">
        <v>14</v>
      </c>
      <c r="E139" s="20">
        <v>9</v>
      </c>
      <c r="F139" s="20">
        <v>4</v>
      </c>
      <c r="G139" s="20">
        <v>2</v>
      </c>
      <c r="H139" s="20">
        <v>3</v>
      </c>
      <c r="I139" s="20">
        <v>13</v>
      </c>
      <c r="J139" s="20">
        <v>14</v>
      </c>
      <c r="K139" s="20">
        <v>-1</v>
      </c>
    </row>
    <row r="140" spans="1:11">
      <c r="A140" s="19">
        <v>9</v>
      </c>
      <c r="B140" s="19">
        <v>11</v>
      </c>
      <c r="C140" s="19" t="s">
        <v>123</v>
      </c>
      <c r="D140" s="20">
        <v>13</v>
      </c>
      <c r="E140" s="20">
        <v>9</v>
      </c>
      <c r="F140" s="20">
        <v>3</v>
      </c>
      <c r="G140" s="20">
        <v>4</v>
      </c>
      <c r="H140" s="20">
        <v>2</v>
      </c>
      <c r="I140" s="20">
        <v>18</v>
      </c>
      <c r="J140" s="20">
        <v>15</v>
      </c>
      <c r="K140" s="20">
        <v>3</v>
      </c>
    </row>
    <row r="141" spans="1:11">
      <c r="A141" s="19">
        <v>9</v>
      </c>
      <c r="B141" s="19">
        <v>12</v>
      </c>
      <c r="C141" s="19" t="s">
        <v>129</v>
      </c>
      <c r="D141" s="20">
        <v>13</v>
      </c>
      <c r="E141" s="20">
        <v>9</v>
      </c>
      <c r="F141" s="20">
        <v>4</v>
      </c>
      <c r="G141" s="20">
        <v>1</v>
      </c>
      <c r="H141" s="20">
        <v>4</v>
      </c>
      <c r="I141" s="20">
        <v>16</v>
      </c>
      <c r="J141" s="20">
        <v>17</v>
      </c>
      <c r="K141" s="20">
        <v>-1</v>
      </c>
    </row>
    <row r="142" spans="1:11">
      <c r="A142" s="19">
        <v>9</v>
      </c>
      <c r="B142" s="19">
        <v>13</v>
      </c>
      <c r="C142" s="19" t="s">
        <v>135</v>
      </c>
      <c r="D142" s="20">
        <v>8</v>
      </c>
      <c r="E142" s="20">
        <v>9</v>
      </c>
      <c r="F142" s="20">
        <v>2</v>
      </c>
      <c r="G142" s="20">
        <v>2</v>
      </c>
      <c r="H142" s="20">
        <v>5</v>
      </c>
      <c r="I142" s="20">
        <v>10</v>
      </c>
      <c r="J142" s="20">
        <v>17</v>
      </c>
      <c r="K142" s="20">
        <v>-7</v>
      </c>
    </row>
    <row r="143" spans="1:11">
      <c r="A143" s="19">
        <v>9</v>
      </c>
      <c r="B143" s="19">
        <v>14</v>
      </c>
      <c r="C143" s="19" t="s">
        <v>131</v>
      </c>
      <c r="D143" s="20">
        <v>6</v>
      </c>
      <c r="E143" s="20">
        <v>9</v>
      </c>
      <c r="F143" s="20">
        <v>2</v>
      </c>
      <c r="G143" s="20">
        <v>0</v>
      </c>
      <c r="H143" s="20">
        <v>7</v>
      </c>
      <c r="I143" s="20">
        <v>15</v>
      </c>
      <c r="J143" s="20">
        <v>26</v>
      </c>
      <c r="K143" s="20">
        <v>-11</v>
      </c>
    </row>
    <row r="144" spans="1:11">
      <c r="A144" s="19">
        <v>9</v>
      </c>
      <c r="B144" s="19">
        <v>15</v>
      </c>
      <c r="C144" s="19" t="s">
        <v>133</v>
      </c>
      <c r="D144" s="20">
        <v>3</v>
      </c>
      <c r="E144" s="20">
        <v>9</v>
      </c>
      <c r="F144" s="20">
        <v>1</v>
      </c>
      <c r="G144" s="20">
        <v>0</v>
      </c>
      <c r="H144" s="20">
        <v>8</v>
      </c>
      <c r="I144" s="20">
        <v>5</v>
      </c>
      <c r="J144" s="20">
        <v>20</v>
      </c>
      <c r="K144" s="20">
        <v>-15</v>
      </c>
    </row>
    <row r="145" spans="1:11">
      <c r="A145" s="19">
        <v>9</v>
      </c>
      <c r="B145" s="19">
        <v>16</v>
      </c>
      <c r="C145" s="19" t="s">
        <v>136</v>
      </c>
      <c r="D145" s="20">
        <v>1</v>
      </c>
      <c r="E145" s="20">
        <v>9</v>
      </c>
      <c r="F145" s="20">
        <v>0</v>
      </c>
      <c r="G145" s="20">
        <v>1</v>
      </c>
      <c r="H145" s="20">
        <v>8</v>
      </c>
      <c r="I145" s="20">
        <v>7</v>
      </c>
      <c r="J145" s="20">
        <v>26</v>
      </c>
      <c r="K145" s="20">
        <v>-19</v>
      </c>
    </row>
    <row r="146" spans="1:11">
      <c r="A146" s="19">
        <v>10</v>
      </c>
      <c r="B146" s="19">
        <v>1</v>
      </c>
      <c r="C146" s="20" t="s">
        <v>125</v>
      </c>
      <c r="D146" s="20">
        <v>23</v>
      </c>
      <c r="E146" s="20">
        <v>10</v>
      </c>
      <c r="F146" s="20">
        <v>7</v>
      </c>
      <c r="G146" s="20">
        <v>2</v>
      </c>
      <c r="H146" s="20">
        <v>1</v>
      </c>
      <c r="I146" s="20">
        <v>22</v>
      </c>
      <c r="J146" s="20">
        <v>10</v>
      </c>
      <c r="K146" s="19">
        <v>12</v>
      </c>
    </row>
    <row r="147" spans="1:11">
      <c r="A147" s="19">
        <v>10</v>
      </c>
      <c r="B147" s="19">
        <v>2</v>
      </c>
      <c r="C147" s="19" t="s">
        <v>122</v>
      </c>
      <c r="D147" s="20">
        <v>21</v>
      </c>
      <c r="E147" s="20">
        <v>10</v>
      </c>
      <c r="F147" s="20">
        <v>6</v>
      </c>
      <c r="G147" s="20">
        <v>3</v>
      </c>
      <c r="H147" s="20">
        <v>1</v>
      </c>
      <c r="I147" s="20">
        <v>26</v>
      </c>
      <c r="J147" s="20">
        <v>17</v>
      </c>
      <c r="K147" s="20">
        <v>9</v>
      </c>
    </row>
    <row r="148" spans="1:11">
      <c r="A148" s="19">
        <v>10</v>
      </c>
      <c r="B148" s="19">
        <v>3</v>
      </c>
      <c r="C148" s="19" t="s">
        <v>124</v>
      </c>
      <c r="D148" s="20">
        <v>19</v>
      </c>
      <c r="E148" s="20">
        <v>10</v>
      </c>
      <c r="F148" s="20">
        <v>6</v>
      </c>
      <c r="G148" s="20">
        <v>1</v>
      </c>
      <c r="H148" s="20">
        <v>3</v>
      </c>
      <c r="I148" s="20">
        <v>28</v>
      </c>
      <c r="J148" s="20">
        <v>16</v>
      </c>
      <c r="K148" s="20">
        <v>12</v>
      </c>
    </row>
    <row r="149" spans="1:11">
      <c r="A149" s="19">
        <v>10</v>
      </c>
      <c r="B149" s="19">
        <v>4</v>
      </c>
      <c r="C149" s="19" t="s">
        <v>121</v>
      </c>
      <c r="D149" s="20">
        <v>19</v>
      </c>
      <c r="E149" s="20">
        <v>10</v>
      </c>
      <c r="F149" s="20">
        <v>6</v>
      </c>
      <c r="G149" s="20">
        <v>1</v>
      </c>
      <c r="H149" s="20">
        <v>3</v>
      </c>
      <c r="I149" s="20">
        <v>25</v>
      </c>
      <c r="J149" s="20">
        <v>13</v>
      </c>
      <c r="K149" s="20">
        <v>12</v>
      </c>
    </row>
    <row r="150" spans="1:11">
      <c r="A150" s="19">
        <v>10</v>
      </c>
      <c r="B150" s="19">
        <v>5</v>
      </c>
      <c r="C150" s="19" t="s">
        <v>130</v>
      </c>
      <c r="D150" s="20">
        <v>19</v>
      </c>
      <c r="E150" s="20">
        <v>10</v>
      </c>
      <c r="F150" s="20">
        <v>5</v>
      </c>
      <c r="G150" s="20">
        <v>4</v>
      </c>
      <c r="H150" s="20">
        <v>1</v>
      </c>
      <c r="I150" s="20">
        <v>22</v>
      </c>
      <c r="J150" s="20">
        <v>12</v>
      </c>
      <c r="K150" s="20">
        <v>10</v>
      </c>
    </row>
    <row r="151" spans="1:11">
      <c r="A151" s="19">
        <v>10</v>
      </c>
      <c r="B151" s="19">
        <v>6</v>
      </c>
      <c r="C151" s="19" t="s">
        <v>132</v>
      </c>
      <c r="D151" s="20">
        <v>16</v>
      </c>
      <c r="E151" s="20">
        <v>10</v>
      </c>
      <c r="F151" s="20">
        <v>5</v>
      </c>
      <c r="G151" s="20">
        <v>1</v>
      </c>
      <c r="H151" s="20">
        <v>4</v>
      </c>
      <c r="I151" s="20">
        <v>32</v>
      </c>
      <c r="J151" s="20">
        <v>27</v>
      </c>
      <c r="K151" s="20">
        <v>5</v>
      </c>
    </row>
    <row r="152" spans="1:11">
      <c r="A152" s="19">
        <v>10</v>
      </c>
      <c r="B152" s="19">
        <v>7</v>
      </c>
      <c r="C152" s="19" t="s">
        <v>128</v>
      </c>
      <c r="D152" s="20">
        <v>15</v>
      </c>
      <c r="E152" s="20">
        <v>10</v>
      </c>
      <c r="F152" s="20">
        <v>4</v>
      </c>
      <c r="G152" s="20">
        <v>3</v>
      </c>
      <c r="H152" s="20">
        <v>3</v>
      </c>
      <c r="I152" s="20">
        <v>21</v>
      </c>
      <c r="J152" s="20">
        <v>22</v>
      </c>
      <c r="K152" s="20">
        <v>-1</v>
      </c>
    </row>
    <row r="153" spans="1:11">
      <c r="A153" s="19">
        <v>10</v>
      </c>
      <c r="B153" s="19">
        <v>8</v>
      </c>
      <c r="C153" s="19" t="s">
        <v>134</v>
      </c>
      <c r="D153" s="20">
        <v>15</v>
      </c>
      <c r="E153" s="20">
        <v>10</v>
      </c>
      <c r="F153" s="20">
        <v>4</v>
      </c>
      <c r="G153" s="20">
        <v>3</v>
      </c>
      <c r="H153" s="20">
        <v>3</v>
      </c>
      <c r="I153" s="20">
        <v>17</v>
      </c>
      <c r="J153" s="20">
        <v>18</v>
      </c>
      <c r="K153" s="20">
        <v>-1</v>
      </c>
    </row>
    <row r="154" spans="1:11">
      <c r="A154" s="19">
        <v>10</v>
      </c>
      <c r="B154" s="19">
        <v>9</v>
      </c>
      <c r="C154" s="19" t="s">
        <v>126</v>
      </c>
      <c r="D154" s="20">
        <v>14</v>
      </c>
      <c r="E154" s="20">
        <v>10</v>
      </c>
      <c r="F154" s="20">
        <v>4</v>
      </c>
      <c r="G154" s="20">
        <v>2</v>
      </c>
      <c r="H154" s="20">
        <v>4</v>
      </c>
      <c r="I154" s="20">
        <v>20</v>
      </c>
      <c r="J154" s="20">
        <v>19</v>
      </c>
      <c r="K154" s="20">
        <v>1</v>
      </c>
    </row>
    <row r="155" spans="1:11">
      <c r="A155" s="19">
        <v>10</v>
      </c>
      <c r="B155" s="19">
        <v>10</v>
      </c>
      <c r="C155" s="19" t="s">
        <v>127</v>
      </c>
      <c r="D155" s="20">
        <v>14</v>
      </c>
      <c r="E155" s="20">
        <v>10</v>
      </c>
      <c r="F155" s="20">
        <v>4</v>
      </c>
      <c r="G155" s="20">
        <v>2</v>
      </c>
      <c r="H155" s="20">
        <v>4</v>
      </c>
      <c r="I155" s="20">
        <v>21</v>
      </c>
      <c r="J155" s="20">
        <v>25</v>
      </c>
      <c r="K155" s="20">
        <v>-4</v>
      </c>
    </row>
    <row r="156" spans="1:11">
      <c r="A156" s="19">
        <v>10</v>
      </c>
      <c r="B156" s="19">
        <v>11</v>
      </c>
      <c r="C156" s="19" t="s">
        <v>123</v>
      </c>
      <c r="D156" s="20">
        <v>13</v>
      </c>
      <c r="E156" s="20">
        <v>10</v>
      </c>
      <c r="F156" s="20">
        <v>3</v>
      </c>
      <c r="G156" s="20">
        <v>4</v>
      </c>
      <c r="H156" s="20">
        <v>3</v>
      </c>
      <c r="I156" s="20">
        <v>19</v>
      </c>
      <c r="J156" s="20">
        <v>18</v>
      </c>
      <c r="K156" s="20">
        <v>1</v>
      </c>
    </row>
    <row r="157" spans="1:11">
      <c r="A157" s="19">
        <v>10</v>
      </c>
      <c r="B157" s="19">
        <v>12</v>
      </c>
      <c r="C157" s="19" t="s">
        <v>129</v>
      </c>
      <c r="D157" s="20">
        <v>13</v>
      </c>
      <c r="E157" s="20">
        <v>10</v>
      </c>
      <c r="F157" s="20">
        <v>4</v>
      </c>
      <c r="G157" s="20">
        <v>1</v>
      </c>
      <c r="H157" s="20">
        <v>5</v>
      </c>
      <c r="I157" s="20">
        <v>17</v>
      </c>
      <c r="J157" s="20">
        <v>19</v>
      </c>
      <c r="K157" s="20">
        <v>-2</v>
      </c>
    </row>
    <row r="158" spans="1:11">
      <c r="A158" s="19">
        <v>10</v>
      </c>
      <c r="B158" s="19">
        <v>13</v>
      </c>
      <c r="C158" s="19" t="s">
        <v>135</v>
      </c>
      <c r="D158" s="20">
        <v>8</v>
      </c>
      <c r="E158" s="20">
        <v>10</v>
      </c>
      <c r="F158" s="20">
        <v>2</v>
      </c>
      <c r="G158" s="20">
        <v>2</v>
      </c>
      <c r="H158" s="20">
        <v>6</v>
      </c>
      <c r="I158" s="20">
        <v>10</v>
      </c>
      <c r="J158" s="20">
        <v>20</v>
      </c>
      <c r="K158" s="20">
        <v>-10</v>
      </c>
    </row>
    <row r="159" spans="1:11">
      <c r="A159" s="19">
        <v>10</v>
      </c>
      <c r="B159" s="19">
        <v>14</v>
      </c>
      <c r="C159" s="19" t="s">
        <v>131</v>
      </c>
      <c r="D159" s="20">
        <v>7</v>
      </c>
      <c r="E159" s="20">
        <v>10</v>
      </c>
      <c r="F159" s="20">
        <v>2</v>
      </c>
      <c r="G159" s="20">
        <v>1</v>
      </c>
      <c r="H159" s="20">
        <v>7</v>
      </c>
      <c r="I159" s="20">
        <v>18</v>
      </c>
      <c r="J159" s="20">
        <v>29</v>
      </c>
      <c r="K159" s="20">
        <v>-11</v>
      </c>
    </row>
    <row r="160" spans="1:11">
      <c r="A160" s="19">
        <v>10</v>
      </c>
      <c r="B160" s="19">
        <v>15</v>
      </c>
      <c r="C160" s="19" t="s">
        <v>133</v>
      </c>
      <c r="D160" s="20">
        <v>6</v>
      </c>
      <c r="E160" s="20">
        <v>10</v>
      </c>
      <c r="F160" s="20">
        <v>2</v>
      </c>
      <c r="G160" s="20">
        <v>0</v>
      </c>
      <c r="H160" s="20">
        <v>8</v>
      </c>
      <c r="I160" s="20">
        <v>7</v>
      </c>
      <c r="J160" s="20">
        <v>21</v>
      </c>
      <c r="K160" s="20">
        <v>-14</v>
      </c>
    </row>
    <row r="161" spans="1:11">
      <c r="A161" s="19">
        <v>10</v>
      </c>
      <c r="B161" s="19">
        <v>16</v>
      </c>
      <c r="C161" s="19" t="s">
        <v>136</v>
      </c>
      <c r="D161" s="20">
        <v>2</v>
      </c>
      <c r="E161" s="20">
        <v>10</v>
      </c>
      <c r="F161" s="20">
        <v>0</v>
      </c>
      <c r="G161" s="20">
        <v>2</v>
      </c>
      <c r="H161" s="20">
        <v>8</v>
      </c>
      <c r="I161" s="20">
        <v>10</v>
      </c>
      <c r="J161" s="20">
        <v>29</v>
      </c>
      <c r="K161" s="20">
        <v>-19</v>
      </c>
    </row>
    <row r="162" spans="1:11">
      <c r="A162" s="19">
        <v>11</v>
      </c>
      <c r="B162" s="19">
        <v>1</v>
      </c>
      <c r="C162" s="19" t="s">
        <v>125</v>
      </c>
      <c r="D162" s="19">
        <v>24</v>
      </c>
      <c r="E162" s="19">
        <v>11</v>
      </c>
      <c r="F162" s="19">
        <v>7</v>
      </c>
      <c r="G162" s="19">
        <v>3</v>
      </c>
      <c r="H162" s="19">
        <v>1</v>
      </c>
      <c r="I162" s="19">
        <v>25</v>
      </c>
      <c r="J162" s="19">
        <v>13</v>
      </c>
      <c r="K162" s="19">
        <v>12</v>
      </c>
    </row>
    <row r="163" spans="1:11">
      <c r="A163" s="19">
        <v>11</v>
      </c>
      <c r="B163" s="19">
        <v>2</v>
      </c>
      <c r="C163" s="19" t="s">
        <v>122</v>
      </c>
      <c r="D163" s="19">
        <v>22</v>
      </c>
      <c r="E163" s="19">
        <v>11</v>
      </c>
      <c r="F163" s="19">
        <v>6</v>
      </c>
      <c r="G163" s="19">
        <v>4</v>
      </c>
      <c r="H163" s="19">
        <v>1</v>
      </c>
      <c r="I163" s="19">
        <v>28</v>
      </c>
      <c r="J163" s="19">
        <v>19</v>
      </c>
      <c r="K163" s="19">
        <v>9</v>
      </c>
    </row>
    <row r="164" spans="1:11">
      <c r="A164" s="19">
        <v>11</v>
      </c>
      <c r="B164" s="19">
        <v>3</v>
      </c>
      <c r="C164" s="19" t="s">
        <v>124</v>
      </c>
      <c r="D164" s="19">
        <v>20</v>
      </c>
      <c r="E164" s="19">
        <v>11</v>
      </c>
      <c r="F164" s="19">
        <v>6</v>
      </c>
      <c r="G164" s="19">
        <v>2</v>
      </c>
      <c r="H164" s="19">
        <v>3</v>
      </c>
      <c r="I164" s="19">
        <v>31</v>
      </c>
      <c r="J164" s="19">
        <v>19</v>
      </c>
      <c r="K164" s="19">
        <v>12</v>
      </c>
    </row>
    <row r="165" spans="1:11">
      <c r="A165" s="19">
        <v>11</v>
      </c>
      <c r="B165" s="19">
        <v>4</v>
      </c>
      <c r="C165" s="19" t="s">
        <v>121</v>
      </c>
      <c r="D165" s="19">
        <v>20</v>
      </c>
      <c r="E165" s="19">
        <v>11</v>
      </c>
      <c r="F165" s="19">
        <v>6</v>
      </c>
      <c r="G165" s="19">
        <v>2</v>
      </c>
      <c r="H165" s="19">
        <v>3</v>
      </c>
      <c r="I165" s="19">
        <v>26</v>
      </c>
      <c r="J165" s="19">
        <v>14</v>
      </c>
      <c r="K165" s="19">
        <v>12</v>
      </c>
    </row>
    <row r="166" spans="1:11">
      <c r="A166" s="19">
        <v>11</v>
      </c>
      <c r="B166" s="19">
        <v>5</v>
      </c>
      <c r="C166" s="19" t="s">
        <v>130</v>
      </c>
      <c r="D166" s="19">
        <v>20</v>
      </c>
      <c r="E166" s="19">
        <v>11</v>
      </c>
      <c r="F166" s="19">
        <v>5</v>
      </c>
      <c r="G166" s="19">
        <v>5</v>
      </c>
      <c r="H166" s="19">
        <v>1</v>
      </c>
      <c r="I166" s="19">
        <v>24</v>
      </c>
      <c r="J166" s="19">
        <v>14</v>
      </c>
      <c r="K166" s="19">
        <v>10</v>
      </c>
    </row>
    <row r="167" spans="1:11">
      <c r="A167" s="19">
        <v>11</v>
      </c>
      <c r="B167" s="19">
        <v>6</v>
      </c>
      <c r="C167" s="19" t="s">
        <v>132</v>
      </c>
      <c r="D167" s="20">
        <v>19</v>
      </c>
      <c r="E167" s="20">
        <v>11</v>
      </c>
      <c r="F167" s="20">
        <v>6</v>
      </c>
      <c r="G167" s="20">
        <v>1</v>
      </c>
      <c r="H167" s="20">
        <v>4</v>
      </c>
      <c r="I167" s="20">
        <v>38</v>
      </c>
      <c r="J167" s="20">
        <v>27</v>
      </c>
      <c r="K167" s="20">
        <v>11</v>
      </c>
    </row>
    <row r="168" spans="1:11">
      <c r="A168" s="19">
        <v>11</v>
      </c>
      <c r="B168" s="19">
        <v>7</v>
      </c>
      <c r="C168" s="19" t="s">
        <v>127</v>
      </c>
      <c r="D168" s="20">
        <v>17</v>
      </c>
      <c r="E168" s="20">
        <v>11</v>
      </c>
      <c r="F168" s="20">
        <v>5</v>
      </c>
      <c r="G168" s="20">
        <v>2</v>
      </c>
      <c r="H168" s="20">
        <v>4</v>
      </c>
      <c r="I168" s="20">
        <v>26</v>
      </c>
      <c r="J168" s="20">
        <v>26</v>
      </c>
      <c r="K168" s="20">
        <v>0</v>
      </c>
    </row>
    <row r="169" spans="1:11">
      <c r="A169" s="19">
        <v>11</v>
      </c>
      <c r="B169" s="19">
        <v>8</v>
      </c>
      <c r="C169" s="20" t="s">
        <v>123</v>
      </c>
      <c r="D169" s="20">
        <v>16</v>
      </c>
      <c r="E169" s="20">
        <v>11</v>
      </c>
      <c r="F169" s="20">
        <v>4</v>
      </c>
      <c r="G169" s="20">
        <v>4</v>
      </c>
      <c r="H169" s="20">
        <v>3</v>
      </c>
      <c r="I169" s="20">
        <v>21</v>
      </c>
      <c r="J169" s="20">
        <v>18</v>
      </c>
      <c r="K169" s="20">
        <v>3</v>
      </c>
    </row>
    <row r="170" spans="1:11">
      <c r="A170" s="19">
        <v>11</v>
      </c>
      <c r="B170" s="19">
        <v>9</v>
      </c>
      <c r="C170" s="20" t="s">
        <v>128</v>
      </c>
      <c r="D170" s="20">
        <v>15</v>
      </c>
      <c r="E170" s="20">
        <v>11</v>
      </c>
      <c r="F170" s="20">
        <v>4</v>
      </c>
      <c r="G170" s="20">
        <v>3</v>
      </c>
      <c r="H170" s="20">
        <v>4</v>
      </c>
      <c r="I170" s="20">
        <v>22</v>
      </c>
      <c r="J170" s="20">
        <v>25</v>
      </c>
      <c r="K170" s="20">
        <v>-3</v>
      </c>
    </row>
    <row r="171" spans="1:11">
      <c r="A171" s="19">
        <v>11</v>
      </c>
      <c r="B171" s="19">
        <v>10</v>
      </c>
      <c r="C171" s="20" t="s">
        <v>134</v>
      </c>
      <c r="D171" s="20">
        <v>15</v>
      </c>
      <c r="E171" s="20">
        <v>11</v>
      </c>
      <c r="F171" s="20">
        <v>4</v>
      </c>
      <c r="G171" s="20">
        <v>3</v>
      </c>
      <c r="H171" s="20">
        <v>4</v>
      </c>
      <c r="I171" s="20">
        <v>18</v>
      </c>
      <c r="J171" s="20">
        <v>23</v>
      </c>
      <c r="K171" s="20">
        <v>-5</v>
      </c>
    </row>
    <row r="172" spans="1:11">
      <c r="A172" s="19">
        <v>11</v>
      </c>
      <c r="B172" s="19">
        <v>11</v>
      </c>
      <c r="C172" s="20" t="s">
        <v>126</v>
      </c>
      <c r="D172" s="20">
        <v>14</v>
      </c>
      <c r="E172" s="20">
        <v>11</v>
      </c>
      <c r="F172" s="20">
        <v>4</v>
      </c>
      <c r="G172" s="20">
        <v>2</v>
      </c>
      <c r="H172" s="20">
        <v>5</v>
      </c>
      <c r="I172" s="20">
        <v>20</v>
      </c>
      <c r="J172" s="20">
        <v>21</v>
      </c>
      <c r="K172" s="20">
        <v>-1</v>
      </c>
    </row>
    <row r="173" spans="1:11">
      <c r="A173" s="19">
        <v>11</v>
      </c>
      <c r="B173" s="19">
        <v>12</v>
      </c>
      <c r="C173" s="20" t="s">
        <v>129</v>
      </c>
      <c r="D173" s="20">
        <v>14</v>
      </c>
      <c r="E173" s="20">
        <v>11</v>
      </c>
      <c r="F173" s="20">
        <v>4</v>
      </c>
      <c r="G173" s="20">
        <v>2</v>
      </c>
      <c r="H173" s="20">
        <v>5</v>
      </c>
      <c r="I173" s="20">
        <v>18</v>
      </c>
      <c r="J173" s="20">
        <v>20</v>
      </c>
      <c r="K173" s="20">
        <v>-2</v>
      </c>
    </row>
    <row r="174" spans="1:11">
      <c r="A174" s="19">
        <v>11</v>
      </c>
      <c r="B174" s="19">
        <v>13</v>
      </c>
      <c r="C174" s="20" t="s">
        <v>135</v>
      </c>
      <c r="D174" s="20">
        <v>11</v>
      </c>
      <c r="E174" s="20">
        <v>11</v>
      </c>
      <c r="F174" s="20">
        <v>3</v>
      </c>
      <c r="G174" s="20">
        <v>2</v>
      </c>
      <c r="H174" s="20">
        <v>6</v>
      </c>
      <c r="I174" s="20">
        <v>13</v>
      </c>
      <c r="J174" s="20">
        <v>21</v>
      </c>
      <c r="K174" s="20">
        <v>-8</v>
      </c>
    </row>
    <row r="175" spans="1:11">
      <c r="A175" s="19">
        <v>11</v>
      </c>
      <c r="B175" s="19">
        <v>14</v>
      </c>
      <c r="C175" s="20" t="s">
        <v>131</v>
      </c>
      <c r="D175" s="20">
        <v>10</v>
      </c>
      <c r="E175" s="20">
        <v>11</v>
      </c>
      <c r="F175" s="20">
        <v>3</v>
      </c>
      <c r="G175" s="20">
        <v>1</v>
      </c>
      <c r="H175" s="20">
        <v>7</v>
      </c>
      <c r="I175" s="20">
        <v>26</v>
      </c>
      <c r="J175" s="20">
        <v>29</v>
      </c>
      <c r="K175" s="20">
        <v>-3</v>
      </c>
    </row>
    <row r="176" spans="1:11">
      <c r="A176" s="19">
        <v>11</v>
      </c>
      <c r="B176" s="20">
        <v>15</v>
      </c>
      <c r="C176" s="20" t="s">
        <v>133</v>
      </c>
      <c r="D176" s="20">
        <v>6</v>
      </c>
      <c r="E176" s="20">
        <v>11</v>
      </c>
      <c r="F176" s="20">
        <v>2</v>
      </c>
      <c r="G176" s="20">
        <v>0</v>
      </c>
      <c r="H176" s="20">
        <v>9</v>
      </c>
      <c r="I176" s="20">
        <v>7</v>
      </c>
      <c r="J176" s="20">
        <v>29</v>
      </c>
      <c r="K176" s="20">
        <v>-22</v>
      </c>
    </row>
    <row r="177" spans="1:11">
      <c r="A177" s="19">
        <v>11</v>
      </c>
      <c r="B177" s="20">
        <v>16</v>
      </c>
      <c r="C177" s="20" t="s">
        <v>136</v>
      </c>
      <c r="D177" s="20">
        <v>2</v>
      </c>
      <c r="E177" s="20">
        <v>11</v>
      </c>
      <c r="F177" s="20">
        <v>0</v>
      </c>
      <c r="G177" s="20">
        <v>2</v>
      </c>
      <c r="H177" s="20">
        <v>9</v>
      </c>
      <c r="I177" s="20">
        <v>10</v>
      </c>
      <c r="J177" s="20">
        <v>35</v>
      </c>
      <c r="K177" s="20">
        <v>-25</v>
      </c>
    </row>
    <row r="178" spans="1:11">
      <c r="A178" s="19">
        <v>12</v>
      </c>
      <c r="B178" s="19">
        <v>1</v>
      </c>
      <c r="C178" s="20" t="s">
        <v>125</v>
      </c>
      <c r="D178" s="20">
        <v>27</v>
      </c>
      <c r="E178" s="20">
        <v>12</v>
      </c>
      <c r="F178" s="20">
        <v>8</v>
      </c>
      <c r="G178" s="20">
        <v>3</v>
      </c>
      <c r="H178" s="20">
        <v>1</v>
      </c>
      <c r="I178" s="20">
        <v>28</v>
      </c>
      <c r="J178" s="20">
        <v>13</v>
      </c>
      <c r="K178" s="19">
        <v>15</v>
      </c>
    </row>
    <row r="179" spans="1:11">
      <c r="A179" s="19">
        <v>12</v>
      </c>
      <c r="B179" s="19">
        <v>2</v>
      </c>
      <c r="C179" s="19" t="s">
        <v>122</v>
      </c>
      <c r="D179" s="20">
        <v>25</v>
      </c>
      <c r="E179" s="20">
        <v>12</v>
      </c>
      <c r="F179" s="20">
        <v>7</v>
      </c>
      <c r="G179" s="20">
        <v>4</v>
      </c>
      <c r="H179" s="20">
        <v>1</v>
      </c>
      <c r="I179" s="20">
        <v>30</v>
      </c>
      <c r="J179" s="20">
        <v>19</v>
      </c>
      <c r="K179" s="20">
        <v>11</v>
      </c>
    </row>
    <row r="180" spans="1:11">
      <c r="A180" s="19">
        <v>12</v>
      </c>
      <c r="B180" s="19">
        <v>3</v>
      </c>
      <c r="C180" s="19" t="s">
        <v>121</v>
      </c>
      <c r="D180" s="20">
        <v>23</v>
      </c>
      <c r="E180" s="20">
        <v>12</v>
      </c>
      <c r="F180" s="20">
        <v>7</v>
      </c>
      <c r="G180" s="20">
        <v>2</v>
      </c>
      <c r="H180" s="20">
        <v>3</v>
      </c>
      <c r="I180" s="20">
        <v>31</v>
      </c>
      <c r="J180" s="20">
        <v>15</v>
      </c>
      <c r="K180" s="20">
        <v>16</v>
      </c>
    </row>
    <row r="181" spans="1:11">
      <c r="A181" s="19">
        <v>12</v>
      </c>
      <c r="B181" s="19">
        <v>4</v>
      </c>
      <c r="C181" s="19" t="s">
        <v>124</v>
      </c>
      <c r="D181" s="20">
        <v>23</v>
      </c>
      <c r="E181" s="20">
        <v>12</v>
      </c>
      <c r="F181" s="20">
        <v>7</v>
      </c>
      <c r="G181" s="20">
        <v>2</v>
      </c>
      <c r="H181" s="20">
        <v>3</v>
      </c>
      <c r="I181" s="20">
        <v>33</v>
      </c>
      <c r="J181" s="20">
        <v>20</v>
      </c>
      <c r="K181" s="20">
        <v>13</v>
      </c>
    </row>
    <row r="182" spans="1:11">
      <c r="A182" s="19">
        <v>12</v>
      </c>
      <c r="B182" s="19">
        <v>5</v>
      </c>
      <c r="C182" s="19" t="s">
        <v>130</v>
      </c>
      <c r="D182" s="20">
        <v>23</v>
      </c>
      <c r="E182" s="20">
        <v>12</v>
      </c>
      <c r="F182" s="20">
        <v>6</v>
      </c>
      <c r="G182" s="20">
        <v>5</v>
      </c>
      <c r="H182" s="20">
        <v>1</v>
      </c>
      <c r="I182" s="20">
        <v>26</v>
      </c>
      <c r="J182" s="20">
        <v>14</v>
      </c>
      <c r="K182" s="20">
        <v>12</v>
      </c>
    </row>
    <row r="183" spans="1:11">
      <c r="A183" s="19">
        <v>12</v>
      </c>
      <c r="B183" s="19">
        <v>6</v>
      </c>
      <c r="C183" s="19" t="s">
        <v>132</v>
      </c>
      <c r="D183" s="20">
        <v>22</v>
      </c>
      <c r="E183" s="20">
        <v>12</v>
      </c>
      <c r="F183" s="20">
        <v>7</v>
      </c>
      <c r="G183" s="20">
        <v>1</v>
      </c>
      <c r="H183" s="20">
        <v>4</v>
      </c>
      <c r="I183" s="20">
        <v>42</v>
      </c>
      <c r="J183" s="20">
        <v>28</v>
      </c>
      <c r="K183" s="20">
        <v>14</v>
      </c>
    </row>
    <row r="184" spans="1:11">
      <c r="A184" s="19">
        <v>12</v>
      </c>
      <c r="B184" s="19">
        <v>7</v>
      </c>
      <c r="C184" s="19" t="s">
        <v>129</v>
      </c>
      <c r="D184" s="20">
        <v>17</v>
      </c>
      <c r="E184" s="20">
        <v>12</v>
      </c>
      <c r="F184" s="20">
        <v>5</v>
      </c>
      <c r="G184" s="20">
        <v>2</v>
      </c>
      <c r="H184" s="20">
        <v>5</v>
      </c>
      <c r="I184" s="20">
        <v>22</v>
      </c>
      <c r="J184" s="20">
        <v>22</v>
      </c>
      <c r="K184" s="20">
        <v>0</v>
      </c>
    </row>
    <row r="185" spans="1:11">
      <c r="A185" s="19">
        <v>12</v>
      </c>
      <c r="B185" s="19">
        <v>8</v>
      </c>
      <c r="C185" s="19" t="s">
        <v>127</v>
      </c>
      <c r="D185" s="20">
        <v>17</v>
      </c>
      <c r="E185" s="20">
        <v>12</v>
      </c>
      <c r="F185" s="20">
        <v>5</v>
      </c>
      <c r="G185" s="20">
        <v>2</v>
      </c>
      <c r="H185" s="20">
        <v>5</v>
      </c>
      <c r="I185" s="20">
        <v>27</v>
      </c>
      <c r="J185" s="20">
        <v>28</v>
      </c>
      <c r="K185" s="20">
        <v>-1</v>
      </c>
    </row>
    <row r="186" spans="1:11">
      <c r="A186" s="19">
        <v>12</v>
      </c>
      <c r="B186" s="19">
        <v>9</v>
      </c>
      <c r="C186" s="19" t="s">
        <v>123</v>
      </c>
      <c r="D186" s="20">
        <v>16</v>
      </c>
      <c r="E186" s="20">
        <v>12</v>
      </c>
      <c r="F186" s="20">
        <v>4</v>
      </c>
      <c r="G186" s="20">
        <v>4</v>
      </c>
      <c r="H186" s="20">
        <v>4</v>
      </c>
      <c r="I186" s="20">
        <v>22</v>
      </c>
      <c r="J186" s="20">
        <v>20</v>
      </c>
      <c r="K186" s="20">
        <v>2</v>
      </c>
    </row>
    <row r="187" spans="1:11">
      <c r="A187" s="19">
        <v>12</v>
      </c>
      <c r="B187" s="19">
        <v>10</v>
      </c>
      <c r="C187" s="19" t="s">
        <v>128</v>
      </c>
      <c r="D187" s="20">
        <v>15</v>
      </c>
      <c r="E187" s="20">
        <v>12</v>
      </c>
      <c r="F187" s="20">
        <v>4</v>
      </c>
      <c r="G187" s="20">
        <v>3</v>
      </c>
      <c r="H187" s="20">
        <v>5</v>
      </c>
      <c r="I187" s="20">
        <v>22</v>
      </c>
      <c r="J187" s="20">
        <v>27</v>
      </c>
      <c r="K187" s="20">
        <v>-5</v>
      </c>
    </row>
    <row r="188" spans="1:11">
      <c r="A188" s="19">
        <v>12</v>
      </c>
      <c r="B188" s="19">
        <v>11</v>
      </c>
      <c r="C188" s="19" t="s">
        <v>134</v>
      </c>
      <c r="D188" s="20">
        <v>15</v>
      </c>
      <c r="E188" s="20">
        <v>12</v>
      </c>
      <c r="F188" s="20">
        <v>4</v>
      </c>
      <c r="G188" s="20">
        <v>3</v>
      </c>
      <c r="H188" s="20">
        <v>5</v>
      </c>
      <c r="I188" s="20">
        <v>20</v>
      </c>
      <c r="J188" s="20">
        <v>27</v>
      </c>
      <c r="K188" s="20">
        <v>-7</v>
      </c>
    </row>
    <row r="189" spans="1:11">
      <c r="A189" s="19">
        <v>12</v>
      </c>
      <c r="B189" s="19">
        <v>12</v>
      </c>
      <c r="C189" s="19" t="s">
        <v>126</v>
      </c>
      <c r="D189" s="20">
        <v>14</v>
      </c>
      <c r="E189" s="20">
        <v>12</v>
      </c>
      <c r="F189" s="20">
        <v>4</v>
      </c>
      <c r="G189" s="20">
        <v>2</v>
      </c>
      <c r="H189" s="20">
        <v>6</v>
      </c>
      <c r="I189" s="20">
        <v>20</v>
      </c>
      <c r="J189" s="20">
        <v>23</v>
      </c>
      <c r="K189" s="20">
        <v>-3</v>
      </c>
    </row>
    <row r="190" spans="1:11">
      <c r="A190" s="19">
        <v>12</v>
      </c>
      <c r="B190" s="19">
        <v>13</v>
      </c>
      <c r="C190" s="19" t="s">
        <v>135</v>
      </c>
      <c r="D190" s="20">
        <v>14</v>
      </c>
      <c r="E190" s="20">
        <v>12</v>
      </c>
      <c r="F190" s="20">
        <v>4</v>
      </c>
      <c r="G190" s="20">
        <v>2</v>
      </c>
      <c r="H190" s="20">
        <v>6</v>
      </c>
      <c r="I190" s="20">
        <v>15</v>
      </c>
      <c r="J190" s="20">
        <v>22</v>
      </c>
      <c r="K190" s="20">
        <v>-7</v>
      </c>
    </row>
    <row r="191" spans="1:11">
      <c r="A191" s="19">
        <v>12</v>
      </c>
      <c r="B191" s="19">
        <v>14</v>
      </c>
      <c r="C191" s="19" t="s">
        <v>131</v>
      </c>
      <c r="D191" s="20">
        <v>10</v>
      </c>
      <c r="E191" s="20">
        <v>12</v>
      </c>
      <c r="F191" s="20">
        <v>3</v>
      </c>
      <c r="G191" s="20">
        <v>1</v>
      </c>
      <c r="H191" s="20">
        <v>8</v>
      </c>
      <c r="I191" s="20">
        <v>27</v>
      </c>
      <c r="J191" s="20">
        <v>34</v>
      </c>
      <c r="K191" s="20">
        <v>-7</v>
      </c>
    </row>
    <row r="192" spans="1:11">
      <c r="A192" s="19">
        <v>12</v>
      </c>
      <c r="B192" s="19">
        <v>15</v>
      </c>
      <c r="C192" s="19" t="s">
        <v>133</v>
      </c>
      <c r="D192" s="20">
        <v>6</v>
      </c>
      <c r="E192" s="20">
        <v>12</v>
      </c>
      <c r="F192" s="20">
        <v>2</v>
      </c>
      <c r="G192" s="20">
        <v>0</v>
      </c>
      <c r="H192" s="20">
        <v>10</v>
      </c>
      <c r="I192" s="20">
        <v>8</v>
      </c>
      <c r="J192" s="20">
        <v>33</v>
      </c>
      <c r="K192" s="20">
        <v>-25</v>
      </c>
    </row>
    <row r="193" spans="1:11">
      <c r="A193" s="19">
        <v>12</v>
      </c>
      <c r="B193" s="19">
        <v>16</v>
      </c>
      <c r="C193" s="19" t="s">
        <v>136</v>
      </c>
      <c r="D193" s="20">
        <v>2</v>
      </c>
      <c r="E193" s="20">
        <v>12</v>
      </c>
      <c r="F193" s="20">
        <v>0</v>
      </c>
      <c r="G193" s="20">
        <v>2</v>
      </c>
      <c r="H193" s="20">
        <v>10</v>
      </c>
      <c r="I193" s="20">
        <v>10</v>
      </c>
      <c r="J193" s="20">
        <v>38</v>
      </c>
      <c r="K193" s="20">
        <v>-28</v>
      </c>
    </row>
    <row r="194" spans="1:11">
      <c r="A194" s="19">
        <v>13</v>
      </c>
      <c r="B194" s="19">
        <v>1</v>
      </c>
      <c r="C194" s="19" t="s">
        <v>125</v>
      </c>
      <c r="D194" s="19">
        <v>30</v>
      </c>
      <c r="E194" s="19">
        <v>13</v>
      </c>
      <c r="F194" s="19">
        <v>9</v>
      </c>
      <c r="G194" s="19">
        <v>3</v>
      </c>
      <c r="H194" s="19">
        <v>1</v>
      </c>
      <c r="I194" s="19">
        <v>32</v>
      </c>
      <c r="J194" s="19">
        <v>13</v>
      </c>
      <c r="K194" s="19">
        <v>19</v>
      </c>
    </row>
    <row r="195" spans="1:11">
      <c r="A195" s="19">
        <v>13</v>
      </c>
      <c r="B195" s="19">
        <v>2</v>
      </c>
      <c r="C195" s="19" t="s">
        <v>132</v>
      </c>
      <c r="D195" s="19">
        <v>25</v>
      </c>
      <c r="E195" s="19">
        <v>13</v>
      </c>
      <c r="F195" s="19">
        <v>8</v>
      </c>
      <c r="G195" s="19">
        <v>1</v>
      </c>
      <c r="H195" s="19">
        <v>4</v>
      </c>
      <c r="I195" s="19">
        <v>43</v>
      </c>
      <c r="J195" s="19">
        <v>28</v>
      </c>
      <c r="K195" s="19">
        <v>15</v>
      </c>
    </row>
    <row r="196" spans="1:11">
      <c r="A196" s="19">
        <v>13</v>
      </c>
      <c r="B196" s="19">
        <v>3</v>
      </c>
      <c r="C196" s="19" t="s">
        <v>122</v>
      </c>
      <c r="D196" s="19">
        <v>25</v>
      </c>
      <c r="E196" s="19">
        <v>13</v>
      </c>
      <c r="F196" s="19">
        <v>7</v>
      </c>
      <c r="G196" s="19">
        <v>4</v>
      </c>
      <c r="H196" s="19">
        <v>2</v>
      </c>
      <c r="I196" s="19">
        <v>30</v>
      </c>
      <c r="J196" s="19">
        <v>21</v>
      </c>
      <c r="K196" s="19">
        <v>9</v>
      </c>
    </row>
    <row r="197" spans="1:11">
      <c r="A197" s="19">
        <v>13</v>
      </c>
      <c r="B197" s="19">
        <v>4</v>
      </c>
      <c r="C197" s="19" t="s">
        <v>124</v>
      </c>
      <c r="D197" s="19">
        <v>24</v>
      </c>
      <c r="E197" s="19">
        <v>13</v>
      </c>
      <c r="F197" s="19">
        <v>7</v>
      </c>
      <c r="G197" s="19">
        <v>3</v>
      </c>
      <c r="H197" s="19">
        <v>3</v>
      </c>
      <c r="I197" s="19">
        <v>34</v>
      </c>
      <c r="J197" s="19">
        <v>21</v>
      </c>
      <c r="K197" s="19">
        <v>13</v>
      </c>
    </row>
    <row r="198" spans="1:11">
      <c r="A198" s="19">
        <v>13</v>
      </c>
      <c r="B198" s="19">
        <v>5</v>
      </c>
      <c r="C198" s="19" t="s">
        <v>121</v>
      </c>
      <c r="D198" s="19">
        <v>23</v>
      </c>
      <c r="E198" s="19">
        <v>13</v>
      </c>
      <c r="F198" s="19">
        <v>7</v>
      </c>
      <c r="G198" s="19">
        <v>2</v>
      </c>
      <c r="H198" s="19">
        <v>4</v>
      </c>
      <c r="I198" s="19">
        <v>31</v>
      </c>
      <c r="J198" s="19">
        <v>16</v>
      </c>
      <c r="K198" s="19">
        <v>15</v>
      </c>
    </row>
    <row r="199" spans="1:11">
      <c r="A199" s="19">
        <v>13</v>
      </c>
      <c r="B199" s="19">
        <v>6</v>
      </c>
      <c r="C199" s="19" t="s">
        <v>130</v>
      </c>
      <c r="D199" s="19">
        <v>23</v>
      </c>
      <c r="E199" s="19">
        <v>13</v>
      </c>
      <c r="F199" s="19">
        <v>6</v>
      </c>
      <c r="G199" s="19">
        <v>5</v>
      </c>
      <c r="H199" s="19">
        <v>2</v>
      </c>
      <c r="I199" s="19">
        <v>26</v>
      </c>
      <c r="J199" s="19">
        <v>18</v>
      </c>
      <c r="K199" s="19">
        <v>8</v>
      </c>
    </row>
    <row r="200" spans="1:11">
      <c r="A200" s="19">
        <v>13</v>
      </c>
      <c r="B200" s="19">
        <v>7</v>
      </c>
      <c r="C200" s="20" t="s">
        <v>129</v>
      </c>
      <c r="D200" s="20">
        <v>20</v>
      </c>
      <c r="E200" s="20">
        <v>13</v>
      </c>
      <c r="F200" s="20">
        <v>6</v>
      </c>
      <c r="G200" s="20">
        <v>2</v>
      </c>
      <c r="H200" s="20">
        <v>5</v>
      </c>
      <c r="I200" s="20">
        <v>24</v>
      </c>
      <c r="J200" s="20">
        <v>22</v>
      </c>
      <c r="K200" s="20">
        <v>2</v>
      </c>
    </row>
    <row r="201" spans="1:11">
      <c r="A201" s="19">
        <v>13</v>
      </c>
      <c r="B201" s="19">
        <v>8</v>
      </c>
      <c r="C201" s="20" t="s">
        <v>127</v>
      </c>
      <c r="D201" s="20">
        <v>20</v>
      </c>
      <c r="E201" s="20">
        <v>13</v>
      </c>
      <c r="F201" s="20">
        <v>6</v>
      </c>
      <c r="G201" s="20">
        <v>2</v>
      </c>
      <c r="H201" s="20">
        <v>5</v>
      </c>
      <c r="I201" s="20">
        <v>29</v>
      </c>
      <c r="J201" s="20">
        <v>28</v>
      </c>
      <c r="K201" s="20">
        <v>1</v>
      </c>
    </row>
    <row r="202" spans="1:11">
      <c r="A202" s="19">
        <v>13</v>
      </c>
      <c r="B202" s="19">
        <v>9</v>
      </c>
      <c r="C202" s="20" t="s">
        <v>123</v>
      </c>
      <c r="D202" s="20">
        <v>19</v>
      </c>
      <c r="E202" s="20">
        <v>13</v>
      </c>
      <c r="F202" s="20">
        <v>5</v>
      </c>
      <c r="G202" s="20">
        <v>4</v>
      </c>
      <c r="H202" s="20">
        <v>4</v>
      </c>
      <c r="I202" s="20">
        <v>26</v>
      </c>
      <c r="J202" s="20">
        <v>20</v>
      </c>
      <c r="K202" s="20">
        <v>6</v>
      </c>
    </row>
    <row r="203" spans="1:11">
      <c r="A203" s="19">
        <v>13</v>
      </c>
      <c r="B203" s="19">
        <v>10</v>
      </c>
      <c r="C203" s="20" t="s">
        <v>128</v>
      </c>
      <c r="D203" s="20">
        <v>16</v>
      </c>
      <c r="E203" s="20">
        <v>13</v>
      </c>
      <c r="F203" s="20">
        <v>4</v>
      </c>
      <c r="G203" s="20">
        <v>4</v>
      </c>
      <c r="H203" s="20">
        <v>5</v>
      </c>
      <c r="I203" s="20">
        <v>22</v>
      </c>
      <c r="J203" s="20">
        <v>27</v>
      </c>
      <c r="K203" s="20">
        <v>-5</v>
      </c>
    </row>
    <row r="204" spans="1:11">
      <c r="A204" s="19">
        <v>13</v>
      </c>
      <c r="B204" s="19">
        <v>11</v>
      </c>
      <c r="C204" s="20" t="s">
        <v>126</v>
      </c>
      <c r="D204" s="20">
        <v>15</v>
      </c>
      <c r="E204" s="20">
        <v>13</v>
      </c>
      <c r="F204" s="20">
        <v>4</v>
      </c>
      <c r="G204" s="20">
        <v>3</v>
      </c>
      <c r="H204" s="20">
        <v>6</v>
      </c>
      <c r="I204" s="20">
        <v>20</v>
      </c>
      <c r="J204" s="20">
        <v>23</v>
      </c>
      <c r="K204" s="20">
        <v>-3</v>
      </c>
    </row>
    <row r="205" spans="1:11">
      <c r="A205" s="19">
        <v>13</v>
      </c>
      <c r="B205" s="19">
        <v>12</v>
      </c>
      <c r="C205" s="20" t="s">
        <v>134</v>
      </c>
      <c r="D205" s="20">
        <v>15</v>
      </c>
      <c r="E205" s="20">
        <v>13</v>
      </c>
      <c r="F205" s="20">
        <v>4</v>
      </c>
      <c r="G205" s="20">
        <v>3</v>
      </c>
      <c r="H205" s="20">
        <v>6</v>
      </c>
      <c r="I205" s="20">
        <v>22</v>
      </c>
      <c r="J205" s="20">
        <v>30</v>
      </c>
      <c r="K205" s="20">
        <v>-8</v>
      </c>
    </row>
    <row r="206" spans="1:11">
      <c r="A206" s="19">
        <v>13</v>
      </c>
      <c r="B206" s="19">
        <v>13</v>
      </c>
      <c r="C206" s="20" t="s">
        <v>135</v>
      </c>
      <c r="D206" s="20">
        <v>14</v>
      </c>
      <c r="E206" s="20">
        <v>13</v>
      </c>
      <c r="F206" s="20">
        <v>4</v>
      </c>
      <c r="G206" s="20">
        <v>2</v>
      </c>
      <c r="H206" s="20">
        <v>7</v>
      </c>
      <c r="I206" s="20">
        <v>15</v>
      </c>
      <c r="J206" s="20">
        <v>24</v>
      </c>
      <c r="K206" s="20">
        <v>-9</v>
      </c>
    </row>
    <row r="207" spans="1:11">
      <c r="A207" s="19">
        <v>13</v>
      </c>
      <c r="B207" s="19">
        <v>14</v>
      </c>
      <c r="C207" s="20" t="s">
        <v>131</v>
      </c>
      <c r="D207" s="20">
        <v>13</v>
      </c>
      <c r="E207" s="20">
        <v>13</v>
      </c>
      <c r="F207" s="20">
        <v>4</v>
      </c>
      <c r="G207" s="20">
        <v>1</v>
      </c>
      <c r="H207" s="20">
        <v>8</v>
      </c>
      <c r="I207" s="20">
        <v>30</v>
      </c>
      <c r="J207" s="20">
        <v>36</v>
      </c>
      <c r="K207" s="20">
        <v>-6</v>
      </c>
    </row>
    <row r="208" spans="1:11">
      <c r="A208" s="19">
        <v>13</v>
      </c>
      <c r="B208" s="19">
        <v>15</v>
      </c>
      <c r="C208" s="20" t="s">
        <v>133</v>
      </c>
      <c r="D208" s="20">
        <v>6</v>
      </c>
      <c r="E208" s="20">
        <v>13</v>
      </c>
      <c r="F208" s="20">
        <v>2</v>
      </c>
      <c r="G208" s="20">
        <v>0</v>
      </c>
      <c r="H208" s="20">
        <v>11</v>
      </c>
      <c r="I208" s="20">
        <v>8</v>
      </c>
      <c r="J208" s="20">
        <v>37</v>
      </c>
      <c r="K208" s="20">
        <v>-29</v>
      </c>
    </row>
    <row r="209" spans="1:11">
      <c r="A209" s="19">
        <v>13</v>
      </c>
      <c r="B209" s="19">
        <v>16</v>
      </c>
      <c r="C209" s="20" t="s">
        <v>136</v>
      </c>
      <c r="D209" s="20">
        <v>3</v>
      </c>
      <c r="E209" s="20">
        <v>13</v>
      </c>
      <c r="F209" s="20">
        <v>0</v>
      </c>
      <c r="G209" s="20">
        <v>3</v>
      </c>
      <c r="H209" s="20">
        <v>10</v>
      </c>
      <c r="I209" s="20">
        <v>11</v>
      </c>
      <c r="J209" s="20">
        <v>39</v>
      </c>
      <c r="K209" s="20">
        <v>-28</v>
      </c>
    </row>
    <row r="210" spans="1:11">
      <c r="A210" s="19">
        <v>14</v>
      </c>
      <c r="B210" s="19">
        <v>1</v>
      </c>
      <c r="C210" s="20" t="s">
        <v>125</v>
      </c>
      <c r="D210" s="20">
        <v>33</v>
      </c>
      <c r="E210" s="20">
        <v>14</v>
      </c>
      <c r="F210" s="20">
        <v>10</v>
      </c>
      <c r="G210" s="20">
        <v>3</v>
      </c>
      <c r="H210" s="20">
        <v>1</v>
      </c>
      <c r="I210" s="20">
        <v>34</v>
      </c>
      <c r="J210" s="20">
        <v>14</v>
      </c>
      <c r="K210" s="19">
        <v>20</v>
      </c>
    </row>
    <row r="211" spans="1:11">
      <c r="A211" s="19">
        <v>14</v>
      </c>
      <c r="B211" s="19">
        <v>2</v>
      </c>
      <c r="C211" s="19" t="s">
        <v>132</v>
      </c>
      <c r="D211" s="20">
        <v>28</v>
      </c>
      <c r="E211" s="20">
        <v>14</v>
      </c>
      <c r="F211" s="20">
        <v>9</v>
      </c>
      <c r="G211" s="20">
        <v>1</v>
      </c>
      <c r="H211" s="20">
        <v>4</v>
      </c>
      <c r="I211" s="20">
        <v>45</v>
      </c>
      <c r="J211" s="20">
        <v>28</v>
      </c>
      <c r="K211" s="20">
        <v>17</v>
      </c>
    </row>
    <row r="212" spans="1:11">
      <c r="A212" s="19">
        <v>14</v>
      </c>
      <c r="B212" s="19">
        <v>3</v>
      </c>
      <c r="C212" s="19" t="s">
        <v>122</v>
      </c>
      <c r="D212" s="20">
        <v>28</v>
      </c>
      <c r="E212" s="20">
        <v>14</v>
      </c>
      <c r="F212" s="20">
        <v>8</v>
      </c>
      <c r="G212" s="20">
        <v>4</v>
      </c>
      <c r="H212" s="20">
        <v>2</v>
      </c>
      <c r="I212" s="20">
        <v>31</v>
      </c>
      <c r="J212" s="20">
        <v>21</v>
      </c>
      <c r="K212" s="20">
        <v>10</v>
      </c>
    </row>
    <row r="213" spans="1:11">
      <c r="A213" s="19">
        <v>14</v>
      </c>
      <c r="B213" s="19">
        <v>4</v>
      </c>
      <c r="C213" s="19" t="s">
        <v>124</v>
      </c>
      <c r="D213" s="20">
        <v>27</v>
      </c>
      <c r="E213" s="20">
        <v>14</v>
      </c>
      <c r="F213" s="20">
        <v>8</v>
      </c>
      <c r="G213" s="20">
        <v>3</v>
      </c>
      <c r="H213" s="20">
        <v>3</v>
      </c>
      <c r="I213" s="20">
        <v>37</v>
      </c>
      <c r="J213" s="20">
        <v>22</v>
      </c>
      <c r="K213" s="20">
        <v>15</v>
      </c>
    </row>
    <row r="214" spans="1:11">
      <c r="A214" s="19">
        <v>14</v>
      </c>
      <c r="B214" s="19">
        <v>5</v>
      </c>
      <c r="C214" s="19" t="s">
        <v>130</v>
      </c>
      <c r="D214" s="20">
        <v>26</v>
      </c>
      <c r="E214" s="20">
        <v>14</v>
      </c>
      <c r="F214" s="20">
        <v>7</v>
      </c>
      <c r="G214" s="20">
        <v>5</v>
      </c>
      <c r="H214" s="20">
        <v>2</v>
      </c>
      <c r="I214" s="20">
        <v>31</v>
      </c>
      <c r="J214" s="20">
        <v>20</v>
      </c>
      <c r="K214" s="20">
        <v>11</v>
      </c>
    </row>
    <row r="215" spans="1:11">
      <c r="A215" s="19">
        <v>14</v>
      </c>
      <c r="B215" s="19">
        <v>6</v>
      </c>
      <c r="C215" s="19" t="s">
        <v>121</v>
      </c>
      <c r="D215" s="20">
        <v>23</v>
      </c>
      <c r="E215" s="20">
        <v>14</v>
      </c>
      <c r="F215" s="20">
        <v>7</v>
      </c>
      <c r="G215" s="20">
        <v>2</v>
      </c>
      <c r="H215" s="20">
        <v>5</v>
      </c>
      <c r="I215" s="20">
        <v>32</v>
      </c>
      <c r="J215" s="20">
        <v>18</v>
      </c>
      <c r="K215" s="20">
        <v>14</v>
      </c>
    </row>
    <row r="216" spans="1:11">
      <c r="A216" s="19">
        <v>14</v>
      </c>
      <c r="B216" s="19">
        <v>7</v>
      </c>
      <c r="C216" s="19" t="s">
        <v>127</v>
      </c>
      <c r="D216" s="20">
        <v>23</v>
      </c>
      <c r="E216" s="20">
        <v>14</v>
      </c>
      <c r="F216" s="20">
        <v>7</v>
      </c>
      <c r="G216" s="20">
        <v>2</v>
      </c>
      <c r="H216" s="20">
        <v>5</v>
      </c>
      <c r="I216" s="20">
        <v>35</v>
      </c>
      <c r="J216" s="20">
        <v>33</v>
      </c>
      <c r="K216" s="20">
        <v>2</v>
      </c>
    </row>
    <row r="217" spans="1:11">
      <c r="A217" s="19">
        <v>14</v>
      </c>
      <c r="B217" s="19">
        <v>8</v>
      </c>
      <c r="C217" s="19" t="s">
        <v>123</v>
      </c>
      <c r="D217" s="20">
        <v>22</v>
      </c>
      <c r="E217" s="20">
        <v>14</v>
      </c>
      <c r="F217" s="20">
        <v>6</v>
      </c>
      <c r="G217" s="20">
        <v>4</v>
      </c>
      <c r="H217" s="20">
        <v>4</v>
      </c>
      <c r="I217" s="20">
        <v>28</v>
      </c>
      <c r="J217" s="20">
        <v>20</v>
      </c>
      <c r="K217" s="20">
        <v>8</v>
      </c>
    </row>
    <row r="218" spans="1:11">
      <c r="A218" s="19">
        <v>14</v>
      </c>
      <c r="B218" s="19">
        <v>9</v>
      </c>
      <c r="C218" s="19" t="s">
        <v>129</v>
      </c>
      <c r="D218" s="20">
        <v>20</v>
      </c>
      <c r="E218" s="20">
        <v>14</v>
      </c>
      <c r="F218" s="20">
        <v>6</v>
      </c>
      <c r="G218" s="20">
        <v>2</v>
      </c>
      <c r="H218" s="20">
        <v>6</v>
      </c>
      <c r="I218" s="20">
        <v>24</v>
      </c>
      <c r="J218" s="20">
        <v>23</v>
      </c>
      <c r="K218" s="20">
        <v>1</v>
      </c>
    </row>
    <row r="219" spans="1:11">
      <c r="A219" s="19">
        <v>14</v>
      </c>
      <c r="B219" s="19">
        <v>10</v>
      </c>
      <c r="C219" s="19" t="s">
        <v>131</v>
      </c>
      <c r="D219" s="20">
        <v>16</v>
      </c>
      <c r="E219" s="20">
        <v>14</v>
      </c>
      <c r="F219" s="20">
        <v>5</v>
      </c>
      <c r="G219" s="20">
        <v>1</v>
      </c>
      <c r="H219" s="20">
        <v>8</v>
      </c>
      <c r="I219" s="20">
        <v>32</v>
      </c>
      <c r="J219" s="20">
        <v>37</v>
      </c>
      <c r="K219" s="20">
        <v>-5</v>
      </c>
    </row>
    <row r="220" spans="1:11">
      <c r="A220" s="19">
        <v>14</v>
      </c>
      <c r="B220" s="19">
        <v>11</v>
      </c>
      <c r="C220" s="19" t="s">
        <v>128</v>
      </c>
      <c r="D220" s="20">
        <v>16</v>
      </c>
      <c r="E220" s="20">
        <v>14</v>
      </c>
      <c r="F220" s="20">
        <v>4</v>
      </c>
      <c r="G220" s="20">
        <v>4</v>
      </c>
      <c r="H220" s="20">
        <v>6</v>
      </c>
      <c r="I220" s="20">
        <v>24</v>
      </c>
      <c r="J220" s="20">
        <v>32</v>
      </c>
      <c r="K220" s="20">
        <v>-8</v>
      </c>
    </row>
    <row r="221" spans="1:11">
      <c r="A221" s="19">
        <v>14</v>
      </c>
      <c r="B221" s="19">
        <v>12</v>
      </c>
      <c r="C221" s="19" t="s">
        <v>126</v>
      </c>
      <c r="D221" s="20">
        <v>15</v>
      </c>
      <c r="E221" s="20">
        <v>14</v>
      </c>
      <c r="F221" s="20">
        <v>4</v>
      </c>
      <c r="G221" s="20">
        <v>3</v>
      </c>
      <c r="H221" s="20">
        <v>7</v>
      </c>
      <c r="I221" s="20">
        <v>25</v>
      </c>
      <c r="J221" s="20">
        <v>29</v>
      </c>
      <c r="K221" s="20">
        <v>-4</v>
      </c>
    </row>
    <row r="222" spans="1:11">
      <c r="A222" s="19">
        <v>14</v>
      </c>
      <c r="B222" s="19">
        <v>13</v>
      </c>
      <c r="C222" s="19" t="s">
        <v>134</v>
      </c>
      <c r="D222" s="20">
        <v>15</v>
      </c>
      <c r="E222" s="20">
        <v>14</v>
      </c>
      <c r="F222" s="20">
        <v>4</v>
      </c>
      <c r="G222" s="20">
        <v>3</v>
      </c>
      <c r="H222" s="20">
        <v>7</v>
      </c>
      <c r="I222" s="20">
        <v>22</v>
      </c>
      <c r="J222" s="20">
        <v>32</v>
      </c>
      <c r="K222" s="20">
        <v>-10</v>
      </c>
    </row>
    <row r="223" spans="1:11">
      <c r="A223" s="19">
        <v>14</v>
      </c>
      <c r="B223" s="19">
        <v>14</v>
      </c>
      <c r="C223" s="19" t="s">
        <v>135</v>
      </c>
      <c r="D223" s="20">
        <v>14</v>
      </c>
      <c r="E223" s="20">
        <v>14</v>
      </c>
      <c r="F223" s="20">
        <v>4</v>
      </c>
      <c r="G223" s="20">
        <v>2</v>
      </c>
      <c r="H223" s="20">
        <v>8</v>
      </c>
      <c r="I223" s="20">
        <v>16</v>
      </c>
      <c r="J223" s="20">
        <v>26</v>
      </c>
      <c r="K223" s="20">
        <v>-10</v>
      </c>
    </row>
    <row r="224" spans="1:11">
      <c r="A224" s="19">
        <v>14</v>
      </c>
      <c r="B224" s="19">
        <v>15</v>
      </c>
      <c r="C224" s="19" t="s">
        <v>133</v>
      </c>
      <c r="D224" s="20">
        <v>6</v>
      </c>
      <c r="E224" s="20">
        <v>14</v>
      </c>
      <c r="F224" s="20">
        <v>2</v>
      </c>
      <c r="G224" s="20">
        <v>0</v>
      </c>
      <c r="H224" s="20">
        <v>12</v>
      </c>
      <c r="I224" s="20">
        <v>9</v>
      </c>
      <c r="J224" s="20">
        <v>40</v>
      </c>
      <c r="K224" s="20">
        <v>-31</v>
      </c>
    </row>
    <row r="225" spans="1:11">
      <c r="A225" s="19">
        <v>14</v>
      </c>
      <c r="B225" s="19">
        <v>16</v>
      </c>
      <c r="C225" s="19" t="s">
        <v>136</v>
      </c>
      <c r="D225" s="20">
        <v>3</v>
      </c>
      <c r="E225" s="20">
        <v>14</v>
      </c>
      <c r="F225" s="20">
        <v>0</v>
      </c>
      <c r="G225" s="20">
        <v>3</v>
      </c>
      <c r="H225" s="20">
        <v>11</v>
      </c>
      <c r="I225" s="20">
        <v>11</v>
      </c>
      <c r="J225" s="20">
        <v>41</v>
      </c>
      <c r="K225" s="20">
        <v>-30</v>
      </c>
    </row>
    <row r="226" spans="1:11">
      <c r="A226" s="19">
        <v>15</v>
      </c>
      <c r="B226" s="19">
        <v>1</v>
      </c>
      <c r="C226" s="20" t="s">
        <v>125</v>
      </c>
      <c r="D226" s="20">
        <v>36</v>
      </c>
      <c r="E226" s="20">
        <v>15</v>
      </c>
      <c r="F226" s="20">
        <v>11</v>
      </c>
      <c r="G226" s="20">
        <v>3</v>
      </c>
      <c r="H226" s="20">
        <v>1</v>
      </c>
      <c r="I226" s="20">
        <v>38</v>
      </c>
      <c r="J226" s="20">
        <v>15</v>
      </c>
      <c r="K226" s="19">
        <v>23</v>
      </c>
    </row>
    <row r="227" spans="1:11">
      <c r="A227" s="19">
        <v>15</v>
      </c>
      <c r="B227" s="19">
        <v>2</v>
      </c>
      <c r="C227" s="19" t="s">
        <v>132</v>
      </c>
      <c r="D227" s="20">
        <v>31</v>
      </c>
      <c r="E227" s="20">
        <v>15</v>
      </c>
      <c r="F227" s="20">
        <v>10</v>
      </c>
      <c r="G227" s="20">
        <v>1</v>
      </c>
      <c r="H227" s="20">
        <v>4</v>
      </c>
      <c r="I227" s="20">
        <v>48</v>
      </c>
      <c r="J227" s="20">
        <v>29</v>
      </c>
      <c r="K227" s="20">
        <v>19</v>
      </c>
    </row>
    <row r="228" spans="1:11">
      <c r="A228" s="19">
        <v>15</v>
      </c>
      <c r="B228" s="19">
        <v>3</v>
      </c>
      <c r="C228" s="19" t="s">
        <v>124</v>
      </c>
      <c r="D228" s="20">
        <v>28</v>
      </c>
      <c r="E228" s="20">
        <v>15</v>
      </c>
      <c r="F228" s="20">
        <v>8</v>
      </c>
      <c r="G228" s="20">
        <v>4</v>
      </c>
      <c r="H228" s="20">
        <v>3</v>
      </c>
      <c r="I228" s="20">
        <v>38</v>
      </c>
      <c r="J228" s="20">
        <v>23</v>
      </c>
      <c r="K228" s="20">
        <v>15</v>
      </c>
    </row>
    <row r="229" spans="1:11">
      <c r="A229" s="19">
        <v>15</v>
      </c>
      <c r="B229" s="19">
        <v>4</v>
      </c>
      <c r="C229" s="19" t="s">
        <v>122</v>
      </c>
      <c r="D229" s="20">
        <v>28</v>
      </c>
      <c r="E229" s="20">
        <v>15</v>
      </c>
      <c r="F229" s="20">
        <v>8</v>
      </c>
      <c r="G229" s="20">
        <v>4</v>
      </c>
      <c r="H229" s="20">
        <v>3</v>
      </c>
      <c r="I229" s="20">
        <v>31</v>
      </c>
      <c r="J229" s="20">
        <v>28</v>
      </c>
      <c r="K229" s="20">
        <v>3</v>
      </c>
    </row>
    <row r="230" spans="1:11">
      <c r="A230" s="19">
        <v>15</v>
      </c>
      <c r="B230" s="19">
        <v>5</v>
      </c>
      <c r="C230" s="19" t="s">
        <v>130</v>
      </c>
      <c r="D230" s="20">
        <v>26</v>
      </c>
      <c r="E230" s="20">
        <v>15</v>
      </c>
      <c r="F230" s="20">
        <v>7</v>
      </c>
      <c r="G230" s="20">
        <v>5</v>
      </c>
      <c r="H230" s="20">
        <v>3</v>
      </c>
      <c r="I230" s="20">
        <v>32</v>
      </c>
      <c r="J230" s="20">
        <v>22</v>
      </c>
      <c r="K230" s="20">
        <v>10</v>
      </c>
    </row>
    <row r="231" spans="1:11">
      <c r="A231" s="19">
        <v>15</v>
      </c>
      <c r="B231" s="19">
        <v>6</v>
      </c>
      <c r="C231" s="19" t="s">
        <v>127</v>
      </c>
      <c r="D231" s="20">
        <v>26</v>
      </c>
      <c r="E231" s="20">
        <v>15</v>
      </c>
      <c r="F231" s="20">
        <v>8</v>
      </c>
      <c r="G231" s="20">
        <v>2</v>
      </c>
      <c r="H231" s="20">
        <v>5</v>
      </c>
      <c r="I231" s="20">
        <v>37</v>
      </c>
      <c r="J231" s="20">
        <v>34</v>
      </c>
      <c r="K231" s="20">
        <v>3</v>
      </c>
    </row>
    <row r="232" spans="1:11">
      <c r="A232" s="19">
        <v>15</v>
      </c>
      <c r="B232" s="19">
        <v>7</v>
      </c>
      <c r="C232" s="19" t="s">
        <v>123</v>
      </c>
      <c r="D232" s="20">
        <v>25</v>
      </c>
      <c r="E232" s="20">
        <v>15</v>
      </c>
      <c r="F232" s="20">
        <v>7</v>
      </c>
      <c r="G232" s="20">
        <v>4</v>
      </c>
      <c r="H232" s="20">
        <v>4</v>
      </c>
      <c r="I232" s="20">
        <v>29</v>
      </c>
      <c r="J232" s="20">
        <v>20</v>
      </c>
      <c r="K232" s="20">
        <v>9</v>
      </c>
    </row>
    <row r="233" spans="1:11">
      <c r="A233" s="19">
        <v>15</v>
      </c>
      <c r="B233" s="19">
        <v>8</v>
      </c>
      <c r="C233" s="19" t="s">
        <v>121</v>
      </c>
      <c r="D233" s="20">
        <v>24</v>
      </c>
      <c r="E233" s="20">
        <v>15</v>
      </c>
      <c r="F233" s="20">
        <v>7</v>
      </c>
      <c r="G233" s="20">
        <v>3</v>
      </c>
      <c r="H233" s="20">
        <v>5</v>
      </c>
      <c r="I233" s="20">
        <v>33</v>
      </c>
      <c r="J233" s="20">
        <v>19</v>
      </c>
      <c r="K233" s="20">
        <v>14</v>
      </c>
    </row>
    <row r="234" spans="1:11">
      <c r="A234" s="19">
        <v>15</v>
      </c>
      <c r="B234" s="19">
        <v>9</v>
      </c>
      <c r="C234" s="19" t="s">
        <v>129</v>
      </c>
      <c r="D234" s="20">
        <v>20</v>
      </c>
      <c r="E234" s="20">
        <v>15</v>
      </c>
      <c r="F234" s="20">
        <v>6</v>
      </c>
      <c r="G234" s="20">
        <v>2</v>
      </c>
      <c r="H234" s="20">
        <v>7</v>
      </c>
      <c r="I234" s="20">
        <v>25</v>
      </c>
      <c r="J234" s="20">
        <v>25</v>
      </c>
      <c r="K234" s="20">
        <v>0</v>
      </c>
    </row>
    <row r="235" spans="1:11">
      <c r="A235" s="19">
        <v>15</v>
      </c>
      <c r="B235" s="19">
        <v>10</v>
      </c>
      <c r="C235" s="19" t="s">
        <v>131</v>
      </c>
      <c r="D235" s="20">
        <v>19</v>
      </c>
      <c r="E235" s="20">
        <v>15</v>
      </c>
      <c r="F235" s="20">
        <v>6</v>
      </c>
      <c r="G235" s="20">
        <v>1</v>
      </c>
      <c r="H235" s="20">
        <v>8</v>
      </c>
      <c r="I235" s="20">
        <v>39</v>
      </c>
      <c r="J235" s="20">
        <v>37</v>
      </c>
      <c r="K235" s="20">
        <v>2</v>
      </c>
    </row>
    <row r="236" spans="1:11">
      <c r="A236" s="19">
        <v>15</v>
      </c>
      <c r="B236" s="19">
        <v>11</v>
      </c>
      <c r="C236" s="19" t="s">
        <v>126</v>
      </c>
      <c r="D236" s="20">
        <v>18</v>
      </c>
      <c r="E236" s="20">
        <v>15</v>
      </c>
      <c r="F236" s="20">
        <v>5</v>
      </c>
      <c r="G236" s="20">
        <v>3</v>
      </c>
      <c r="H236" s="20">
        <v>7</v>
      </c>
      <c r="I236" s="20">
        <v>27</v>
      </c>
      <c r="J236" s="20">
        <v>30</v>
      </c>
      <c r="K236" s="20">
        <v>-3</v>
      </c>
    </row>
    <row r="237" spans="1:11">
      <c r="A237" s="19">
        <v>15</v>
      </c>
      <c r="B237" s="19">
        <v>12</v>
      </c>
      <c r="C237" s="19" t="s">
        <v>128</v>
      </c>
      <c r="D237" s="20">
        <v>16</v>
      </c>
      <c r="E237" s="20">
        <v>15</v>
      </c>
      <c r="F237" s="20">
        <v>4</v>
      </c>
      <c r="G237" s="20">
        <v>4</v>
      </c>
      <c r="H237" s="20">
        <v>7</v>
      </c>
      <c r="I237" s="20">
        <v>24</v>
      </c>
      <c r="J237" s="20">
        <v>33</v>
      </c>
      <c r="K237" s="20">
        <v>-9</v>
      </c>
    </row>
    <row r="238" spans="1:11">
      <c r="A238" s="19">
        <v>15</v>
      </c>
      <c r="B238" s="19">
        <v>13</v>
      </c>
      <c r="C238" s="19" t="s">
        <v>134</v>
      </c>
      <c r="D238" s="20">
        <v>15</v>
      </c>
      <c r="E238" s="20">
        <v>15</v>
      </c>
      <c r="F238" s="20">
        <v>4</v>
      </c>
      <c r="G238" s="20">
        <v>3</v>
      </c>
      <c r="H238" s="20">
        <v>8</v>
      </c>
      <c r="I238" s="20">
        <v>23</v>
      </c>
      <c r="J238" s="20">
        <v>36</v>
      </c>
      <c r="K238" s="20">
        <v>-13</v>
      </c>
    </row>
    <row r="239" spans="1:11">
      <c r="A239" s="19">
        <v>15</v>
      </c>
      <c r="B239" s="19">
        <v>14</v>
      </c>
      <c r="C239" s="19" t="s">
        <v>135</v>
      </c>
      <c r="D239" s="20">
        <v>14</v>
      </c>
      <c r="E239" s="20">
        <v>15</v>
      </c>
      <c r="F239" s="20">
        <v>4</v>
      </c>
      <c r="G239" s="20">
        <v>2</v>
      </c>
      <c r="H239" s="20">
        <v>9</v>
      </c>
      <c r="I239" s="20">
        <v>17</v>
      </c>
      <c r="J239" s="20">
        <v>29</v>
      </c>
      <c r="K239" s="20">
        <v>-12</v>
      </c>
    </row>
    <row r="240" spans="1:11">
      <c r="A240" s="19">
        <v>15</v>
      </c>
      <c r="B240" s="19">
        <v>15</v>
      </c>
      <c r="C240" s="19" t="s">
        <v>136</v>
      </c>
      <c r="D240" s="20">
        <v>6</v>
      </c>
      <c r="E240" s="20">
        <v>15</v>
      </c>
      <c r="F240" s="20">
        <v>1</v>
      </c>
      <c r="G240" s="20">
        <v>3</v>
      </c>
      <c r="H240" s="20">
        <v>11</v>
      </c>
      <c r="I240" s="20">
        <v>12</v>
      </c>
      <c r="J240" s="20">
        <v>41</v>
      </c>
      <c r="K240" s="20">
        <v>-29</v>
      </c>
    </row>
    <row r="241" spans="1:11">
      <c r="A241" s="19">
        <v>15</v>
      </c>
      <c r="B241" s="19">
        <v>16</v>
      </c>
      <c r="C241" s="19" t="s">
        <v>133</v>
      </c>
      <c r="D241" s="20">
        <v>6</v>
      </c>
      <c r="E241" s="20">
        <v>15</v>
      </c>
      <c r="F241" s="20">
        <v>2</v>
      </c>
      <c r="G241" s="20">
        <v>0</v>
      </c>
      <c r="H241" s="20">
        <v>13</v>
      </c>
      <c r="I241" s="20">
        <v>9</v>
      </c>
      <c r="J241" s="20">
        <v>41</v>
      </c>
      <c r="K241" s="20">
        <v>-32</v>
      </c>
    </row>
    <row r="242" spans="1:11">
      <c r="A242" s="19">
        <v>16</v>
      </c>
      <c r="B242" s="19">
        <v>1</v>
      </c>
      <c r="C242" s="20" t="s">
        <v>125</v>
      </c>
      <c r="D242" s="20">
        <v>39</v>
      </c>
      <c r="E242" s="20">
        <v>16</v>
      </c>
      <c r="F242" s="20">
        <v>12</v>
      </c>
      <c r="G242" s="20">
        <v>3</v>
      </c>
      <c r="H242" s="20">
        <v>1</v>
      </c>
      <c r="I242" s="20">
        <v>42</v>
      </c>
      <c r="J242" s="19">
        <v>17</v>
      </c>
      <c r="K242" s="19">
        <v>25</v>
      </c>
    </row>
    <row r="243" spans="1:11">
      <c r="A243" s="19">
        <v>16</v>
      </c>
      <c r="B243" s="19">
        <v>2</v>
      </c>
      <c r="C243" s="20" t="s">
        <v>132</v>
      </c>
      <c r="D243" s="20">
        <v>34</v>
      </c>
      <c r="E243" s="20">
        <v>16</v>
      </c>
      <c r="F243" s="20">
        <v>11</v>
      </c>
      <c r="G243" s="20">
        <v>1</v>
      </c>
      <c r="H243" s="20">
        <v>4</v>
      </c>
      <c r="I243" s="20">
        <v>54</v>
      </c>
      <c r="J243" s="19">
        <v>30</v>
      </c>
      <c r="K243" s="19">
        <v>24</v>
      </c>
    </row>
    <row r="244" spans="1:11">
      <c r="A244" s="19">
        <v>16</v>
      </c>
      <c r="B244" s="19">
        <v>3</v>
      </c>
      <c r="C244" s="20" t="s">
        <v>124</v>
      </c>
      <c r="D244" s="20">
        <v>29</v>
      </c>
      <c r="E244" s="20">
        <v>16</v>
      </c>
      <c r="F244" s="20">
        <v>8</v>
      </c>
      <c r="G244" s="20">
        <v>5</v>
      </c>
      <c r="H244" s="20">
        <v>3</v>
      </c>
      <c r="I244" s="20">
        <v>39</v>
      </c>
      <c r="J244" s="19">
        <v>24</v>
      </c>
      <c r="K244" s="19">
        <v>15</v>
      </c>
    </row>
    <row r="245" spans="1:11">
      <c r="A245" s="19">
        <v>16</v>
      </c>
      <c r="B245" s="19">
        <v>4</v>
      </c>
      <c r="C245" s="20" t="s">
        <v>122</v>
      </c>
      <c r="D245" s="20">
        <v>28</v>
      </c>
      <c r="E245" s="20">
        <v>16</v>
      </c>
      <c r="F245" s="20">
        <v>8</v>
      </c>
      <c r="G245" s="20">
        <v>4</v>
      </c>
      <c r="H245" s="20">
        <v>4</v>
      </c>
      <c r="I245" s="20">
        <v>32</v>
      </c>
      <c r="J245" s="19">
        <v>34</v>
      </c>
      <c r="K245" s="19">
        <v>-2</v>
      </c>
    </row>
    <row r="246" spans="1:11">
      <c r="A246" s="19">
        <v>16</v>
      </c>
      <c r="B246" s="19">
        <v>5</v>
      </c>
      <c r="C246" s="20" t="s">
        <v>130</v>
      </c>
      <c r="D246" s="20">
        <v>26</v>
      </c>
      <c r="E246" s="20">
        <v>15</v>
      </c>
      <c r="F246" s="20">
        <v>7</v>
      </c>
      <c r="G246" s="20">
        <v>5</v>
      </c>
      <c r="H246" s="20">
        <v>3</v>
      </c>
      <c r="I246" s="20">
        <v>32</v>
      </c>
      <c r="J246" s="20">
        <v>22</v>
      </c>
      <c r="K246" s="20">
        <v>10</v>
      </c>
    </row>
    <row r="247" spans="1:11">
      <c r="A247" s="19">
        <v>16</v>
      </c>
      <c r="B247" s="19">
        <v>6</v>
      </c>
      <c r="C247" s="20" t="s">
        <v>123</v>
      </c>
      <c r="D247" s="20">
        <v>26</v>
      </c>
      <c r="E247" s="20">
        <v>16</v>
      </c>
      <c r="F247" s="20">
        <v>7</v>
      </c>
      <c r="G247" s="20">
        <v>5</v>
      </c>
      <c r="H247" s="20">
        <v>4</v>
      </c>
      <c r="I247" s="20">
        <v>31</v>
      </c>
      <c r="J247" s="20">
        <v>22</v>
      </c>
      <c r="K247" s="20">
        <v>9</v>
      </c>
    </row>
    <row r="248" spans="1:11">
      <c r="A248" s="19">
        <v>16</v>
      </c>
      <c r="B248" s="19">
        <v>7</v>
      </c>
      <c r="C248" s="20" t="s">
        <v>127</v>
      </c>
      <c r="D248" s="20">
        <v>26</v>
      </c>
      <c r="E248" s="20">
        <v>15</v>
      </c>
      <c r="F248" s="20">
        <v>8</v>
      </c>
      <c r="G248" s="20">
        <v>2</v>
      </c>
      <c r="H248" s="20">
        <v>5</v>
      </c>
      <c r="I248" s="20">
        <v>37</v>
      </c>
      <c r="J248" s="20">
        <v>34</v>
      </c>
      <c r="K248" s="20">
        <v>3</v>
      </c>
    </row>
    <row r="249" spans="1:11">
      <c r="A249" s="19">
        <v>16</v>
      </c>
      <c r="B249" s="20">
        <v>8</v>
      </c>
      <c r="C249" s="20" t="s">
        <v>121</v>
      </c>
      <c r="D249" s="20">
        <v>25</v>
      </c>
      <c r="E249" s="20">
        <v>16</v>
      </c>
      <c r="F249" s="20">
        <v>7</v>
      </c>
      <c r="G249" s="20">
        <v>4</v>
      </c>
      <c r="H249" s="20">
        <v>5</v>
      </c>
      <c r="I249" s="20">
        <v>35</v>
      </c>
      <c r="J249" s="20">
        <v>21</v>
      </c>
      <c r="K249" s="20">
        <v>14</v>
      </c>
    </row>
    <row r="250" spans="1:11">
      <c r="A250" s="19">
        <v>16</v>
      </c>
      <c r="B250" s="19">
        <v>9</v>
      </c>
      <c r="C250" s="19" t="s">
        <v>126</v>
      </c>
      <c r="D250" s="20">
        <v>21</v>
      </c>
      <c r="E250" s="20">
        <v>16</v>
      </c>
      <c r="F250" s="20">
        <v>6</v>
      </c>
      <c r="G250" s="20">
        <v>3</v>
      </c>
      <c r="H250" s="20">
        <v>7</v>
      </c>
      <c r="I250" s="20">
        <v>32</v>
      </c>
      <c r="J250" s="20">
        <v>33</v>
      </c>
      <c r="K250" s="20">
        <v>-1</v>
      </c>
    </row>
    <row r="251" spans="1:11">
      <c r="A251" s="19">
        <v>16</v>
      </c>
      <c r="B251" s="19">
        <v>10</v>
      </c>
      <c r="C251" s="19" t="s">
        <v>129</v>
      </c>
      <c r="D251" s="20">
        <v>20</v>
      </c>
      <c r="E251" s="20">
        <v>15</v>
      </c>
      <c r="F251" s="20">
        <v>6</v>
      </c>
      <c r="G251" s="20">
        <v>2</v>
      </c>
      <c r="H251" s="20">
        <v>7</v>
      </c>
      <c r="I251" s="20">
        <v>25</v>
      </c>
      <c r="J251" s="20">
        <v>25</v>
      </c>
      <c r="K251" s="20">
        <v>0</v>
      </c>
    </row>
    <row r="252" spans="1:11">
      <c r="A252" s="19">
        <v>16</v>
      </c>
      <c r="B252" s="19">
        <v>11</v>
      </c>
      <c r="C252" s="19" t="s">
        <v>131</v>
      </c>
      <c r="D252" s="20">
        <v>19</v>
      </c>
      <c r="E252" s="20">
        <v>16</v>
      </c>
      <c r="F252" s="20">
        <v>6</v>
      </c>
      <c r="G252" s="20">
        <v>1</v>
      </c>
      <c r="H252" s="20">
        <v>9</v>
      </c>
      <c r="I252" s="20">
        <v>42</v>
      </c>
      <c r="J252" s="20">
        <v>42</v>
      </c>
      <c r="K252" s="20">
        <v>0</v>
      </c>
    </row>
    <row r="253" spans="1:11">
      <c r="A253" s="19">
        <v>16</v>
      </c>
      <c r="B253" s="19">
        <v>12</v>
      </c>
      <c r="C253" s="20" t="s">
        <v>128</v>
      </c>
      <c r="D253" s="20">
        <v>16</v>
      </c>
      <c r="E253" s="20">
        <v>15</v>
      </c>
      <c r="F253" s="20">
        <v>4</v>
      </c>
      <c r="G253" s="20">
        <v>4</v>
      </c>
      <c r="H253" s="20">
        <v>7</v>
      </c>
      <c r="I253" s="20">
        <v>24</v>
      </c>
      <c r="J253" s="20">
        <v>33</v>
      </c>
      <c r="K253" s="20">
        <v>-9</v>
      </c>
    </row>
    <row r="254" spans="1:11">
      <c r="A254" s="19">
        <v>16</v>
      </c>
      <c r="B254" s="19">
        <v>13</v>
      </c>
      <c r="C254" s="20" t="s">
        <v>134</v>
      </c>
      <c r="D254" s="20">
        <v>16</v>
      </c>
      <c r="E254" s="20">
        <v>16</v>
      </c>
      <c r="F254" s="20">
        <v>4</v>
      </c>
      <c r="G254" s="20">
        <v>4</v>
      </c>
      <c r="H254" s="20">
        <v>8</v>
      </c>
      <c r="I254" s="20">
        <v>24</v>
      </c>
      <c r="J254" s="20">
        <v>37</v>
      </c>
      <c r="K254" s="20">
        <v>-13</v>
      </c>
    </row>
    <row r="255" spans="1:11">
      <c r="A255" s="19">
        <v>16</v>
      </c>
      <c r="B255" s="19">
        <v>14</v>
      </c>
      <c r="C255" s="20" t="s">
        <v>135</v>
      </c>
      <c r="D255" s="20">
        <v>14</v>
      </c>
      <c r="E255" s="20">
        <v>16</v>
      </c>
      <c r="F255" s="20">
        <v>4</v>
      </c>
      <c r="G255" s="20">
        <v>2</v>
      </c>
      <c r="H255" s="20">
        <v>10</v>
      </c>
      <c r="I255" s="20">
        <v>19</v>
      </c>
      <c r="J255" s="20">
        <v>33</v>
      </c>
      <c r="K255" s="20">
        <v>-14</v>
      </c>
    </row>
    <row r="256" spans="1:11">
      <c r="A256" s="19">
        <v>16</v>
      </c>
      <c r="B256" s="19">
        <v>15</v>
      </c>
      <c r="C256" s="20" t="s">
        <v>136</v>
      </c>
      <c r="D256" s="20">
        <v>7</v>
      </c>
      <c r="E256" s="20">
        <v>16</v>
      </c>
      <c r="F256" s="20">
        <v>1</v>
      </c>
      <c r="G256" s="20">
        <v>4</v>
      </c>
      <c r="H256" s="20">
        <v>11</v>
      </c>
      <c r="I256" s="20">
        <v>14</v>
      </c>
      <c r="J256" s="20">
        <v>43</v>
      </c>
      <c r="K256" s="20">
        <v>-29</v>
      </c>
    </row>
    <row r="257" spans="1:11">
      <c r="A257" s="19">
        <v>16</v>
      </c>
      <c r="B257" s="19">
        <v>16</v>
      </c>
      <c r="C257" s="20" t="s">
        <v>133</v>
      </c>
      <c r="D257" s="20">
        <v>7</v>
      </c>
      <c r="E257" s="20">
        <v>16</v>
      </c>
      <c r="F257" s="20">
        <v>2</v>
      </c>
      <c r="G257" s="20">
        <v>1</v>
      </c>
      <c r="H257" s="20">
        <v>13</v>
      </c>
      <c r="I257" s="20">
        <v>11</v>
      </c>
      <c r="J257" s="20">
        <v>43</v>
      </c>
      <c r="K257" s="20">
        <v>-32</v>
      </c>
    </row>
    <row r="258" spans="1:11">
      <c r="A258" s="19">
        <v>17</v>
      </c>
      <c r="B258" s="19">
        <v>1</v>
      </c>
      <c r="C258" s="20" t="s">
        <v>125</v>
      </c>
      <c r="D258" s="20">
        <v>40</v>
      </c>
      <c r="E258" s="20">
        <v>17</v>
      </c>
      <c r="F258" s="20">
        <v>12</v>
      </c>
      <c r="G258" s="20">
        <v>4</v>
      </c>
      <c r="H258" s="20">
        <v>1</v>
      </c>
      <c r="I258" s="20">
        <v>44</v>
      </c>
      <c r="J258" s="20">
        <v>19</v>
      </c>
      <c r="K258" s="19">
        <v>25</v>
      </c>
    </row>
    <row r="259" spans="1:11">
      <c r="A259" s="19">
        <v>17</v>
      </c>
      <c r="B259" s="19">
        <v>2</v>
      </c>
      <c r="C259" s="20" t="s">
        <v>132</v>
      </c>
      <c r="D259" s="20">
        <v>37</v>
      </c>
      <c r="E259" s="20">
        <v>17</v>
      </c>
      <c r="F259" s="20">
        <v>12</v>
      </c>
      <c r="G259" s="20">
        <v>1</v>
      </c>
      <c r="H259" s="20">
        <v>4</v>
      </c>
      <c r="I259" s="20">
        <v>60</v>
      </c>
      <c r="J259" s="20">
        <v>30</v>
      </c>
      <c r="K259" s="19">
        <v>30</v>
      </c>
    </row>
    <row r="260" spans="1:11">
      <c r="A260" s="19">
        <v>17</v>
      </c>
      <c r="B260" s="19">
        <v>3</v>
      </c>
      <c r="C260" s="20" t="s">
        <v>124</v>
      </c>
      <c r="D260" s="20">
        <v>29</v>
      </c>
      <c r="E260" s="20">
        <v>17</v>
      </c>
      <c r="F260" s="20">
        <v>8</v>
      </c>
      <c r="G260" s="20">
        <v>5</v>
      </c>
      <c r="H260" s="20">
        <v>4</v>
      </c>
      <c r="I260" s="20">
        <v>40</v>
      </c>
      <c r="J260" s="20">
        <v>28</v>
      </c>
      <c r="K260" s="19">
        <v>12</v>
      </c>
    </row>
    <row r="261" spans="1:11">
      <c r="A261" s="19">
        <v>17</v>
      </c>
      <c r="B261" s="19">
        <v>4</v>
      </c>
      <c r="C261" s="20" t="s">
        <v>130</v>
      </c>
      <c r="D261" s="20">
        <v>29</v>
      </c>
      <c r="E261" s="20">
        <v>16</v>
      </c>
      <c r="F261" s="20">
        <v>8</v>
      </c>
      <c r="G261" s="20">
        <v>5</v>
      </c>
      <c r="H261" s="20">
        <v>3</v>
      </c>
      <c r="I261" s="20">
        <v>34</v>
      </c>
      <c r="J261" s="20">
        <v>23</v>
      </c>
      <c r="K261" s="19">
        <v>11</v>
      </c>
    </row>
    <row r="262" spans="1:11">
      <c r="A262" s="19">
        <v>17</v>
      </c>
      <c r="B262" s="19">
        <v>5</v>
      </c>
      <c r="C262" s="19" t="s">
        <v>123</v>
      </c>
      <c r="D262" s="20">
        <v>29</v>
      </c>
      <c r="E262" s="20">
        <v>17</v>
      </c>
      <c r="F262" s="20">
        <v>8</v>
      </c>
      <c r="G262" s="20">
        <v>5</v>
      </c>
      <c r="H262" s="20">
        <v>4</v>
      </c>
      <c r="I262" s="20">
        <v>34</v>
      </c>
      <c r="J262" s="20">
        <v>24</v>
      </c>
      <c r="K262" s="20">
        <v>10</v>
      </c>
    </row>
    <row r="263" spans="1:11">
      <c r="A263" s="19">
        <v>17</v>
      </c>
      <c r="B263" s="19">
        <v>6</v>
      </c>
      <c r="C263" s="19" t="s">
        <v>122</v>
      </c>
      <c r="D263" s="20">
        <v>29</v>
      </c>
      <c r="E263" s="20">
        <v>17</v>
      </c>
      <c r="F263" s="20">
        <v>8</v>
      </c>
      <c r="G263" s="20">
        <v>5</v>
      </c>
      <c r="H263" s="20">
        <v>4</v>
      </c>
      <c r="I263" s="20">
        <v>34</v>
      </c>
      <c r="J263" s="20">
        <v>36</v>
      </c>
      <c r="K263" s="20">
        <v>-2</v>
      </c>
    </row>
    <row r="264" spans="1:11">
      <c r="A264" s="19">
        <v>17</v>
      </c>
      <c r="B264" s="19">
        <v>7</v>
      </c>
      <c r="C264" s="19" t="s">
        <v>121</v>
      </c>
      <c r="D264" s="20">
        <v>28</v>
      </c>
      <c r="E264" s="20">
        <v>17</v>
      </c>
      <c r="F264" s="20">
        <v>8</v>
      </c>
      <c r="G264" s="20">
        <v>4</v>
      </c>
      <c r="H264" s="20">
        <v>5</v>
      </c>
      <c r="I264" s="20">
        <v>36</v>
      </c>
      <c r="J264" s="20">
        <v>21</v>
      </c>
      <c r="K264" s="20">
        <v>15</v>
      </c>
    </row>
    <row r="265" spans="1:11">
      <c r="A265" s="19">
        <v>17</v>
      </c>
      <c r="B265" s="19">
        <v>8</v>
      </c>
      <c r="C265" s="19" t="s">
        <v>127</v>
      </c>
      <c r="D265" s="20">
        <v>26</v>
      </c>
      <c r="E265" s="20">
        <v>16</v>
      </c>
      <c r="F265" s="20">
        <v>8</v>
      </c>
      <c r="G265" s="20">
        <v>2</v>
      </c>
      <c r="H265" s="20">
        <v>6</v>
      </c>
      <c r="I265" s="20">
        <v>39</v>
      </c>
      <c r="J265" s="20">
        <v>37</v>
      </c>
      <c r="K265" s="20">
        <v>2</v>
      </c>
    </row>
    <row r="266" spans="1:11">
      <c r="A266" s="19">
        <v>17</v>
      </c>
      <c r="B266" s="19">
        <v>9</v>
      </c>
      <c r="C266" s="19" t="s">
        <v>129</v>
      </c>
      <c r="D266" s="20">
        <v>21</v>
      </c>
      <c r="E266" s="20">
        <v>16</v>
      </c>
      <c r="F266" s="20">
        <v>6</v>
      </c>
      <c r="G266" s="20">
        <v>3</v>
      </c>
      <c r="H266" s="20">
        <v>7</v>
      </c>
      <c r="I266" s="20">
        <v>26</v>
      </c>
      <c r="J266" s="20">
        <v>26</v>
      </c>
      <c r="K266" s="20">
        <v>0</v>
      </c>
    </row>
    <row r="267" spans="1:11">
      <c r="A267" s="19">
        <v>17</v>
      </c>
      <c r="B267" s="19">
        <v>10</v>
      </c>
      <c r="C267" s="19" t="s">
        <v>126</v>
      </c>
      <c r="D267" s="20">
        <v>21</v>
      </c>
      <c r="E267" s="20">
        <v>17</v>
      </c>
      <c r="F267" s="20">
        <v>6</v>
      </c>
      <c r="G267" s="20">
        <v>3</v>
      </c>
      <c r="H267" s="20">
        <v>8</v>
      </c>
      <c r="I267" s="20">
        <v>32</v>
      </c>
      <c r="J267" s="20">
        <v>39</v>
      </c>
      <c r="K267" s="20">
        <v>-7</v>
      </c>
    </row>
    <row r="268" spans="1:11">
      <c r="A268" s="19">
        <v>17</v>
      </c>
      <c r="B268" s="19">
        <v>11</v>
      </c>
      <c r="C268" s="19" t="s">
        <v>131</v>
      </c>
      <c r="D268" s="20">
        <v>19</v>
      </c>
      <c r="E268" s="20">
        <v>17</v>
      </c>
      <c r="F268" s="20">
        <v>6</v>
      </c>
      <c r="G268" s="20">
        <v>1</v>
      </c>
      <c r="H268" s="20">
        <v>10</v>
      </c>
      <c r="I268" s="20">
        <v>43</v>
      </c>
      <c r="J268" s="20">
        <v>44</v>
      </c>
      <c r="K268" s="20">
        <v>-1</v>
      </c>
    </row>
    <row r="269" spans="1:11">
      <c r="A269" s="19">
        <v>17</v>
      </c>
      <c r="B269" s="19">
        <v>12</v>
      </c>
      <c r="C269" s="19" t="s">
        <v>134</v>
      </c>
      <c r="D269" s="20">
        <v>19</v>
      </c>
      <c r="E269" s="20">
        <v>17</v>
      </c>
      <c r="F269" s="20">
        <v>5</v>
      </c>
      <c r="G269" s="20">
        <v>4</v>
      </c>
      <c r="H269" s="20">
        <v>8</v>
      </c>
      <c r="I269" s="20">
        <v>26</v>
      </c>
      <c r="J269" s="20">
        <v>38</v>
      </c>
      <c r="K269" s="20">
        <v>-12</v>
      </c>
    </row>
    <row r="270" spans="1:11">
      <c r="A270" s="19">
        <v>17</v>
      </c>
      <c r="B270" s="19">
        <v>13</v>
      </c>
      <c r="C270" s="19" t="s">
        <v>128</v>
      </c>
      <c r="D270" s="20">
        <v>17</v>
      </c>
      <c r="E270" s="20">
        <v>16</v>
      </c>
      <c r="F270" s="20">
        <v>4</v>
      </c>
      <c r="G270" s="20">
        <v>5</v>
      </c>
      <c r="H270" s="20">
        <v>7</v>
      </c>
      <c r="I270" s="20">
        <v>25</v>
      </c>
      <c r="J270" s="20">
        <v>34</v>
      </c>
      <c r="K270" s="20">
        <v>-9</v>
      </c>
    </row>
    <row r="271" spans="1:11">
      <c r="A271" s="19">
        <v>17</v>
      </c>
      <c r="B271" s="19">
        <v>14</v>
      </c>
      <c r="C271" s="19" t="s">
        <v>135</v>
      </c>
      <c r="D271" s="20">
        <v>17</v>
      </c>
      <c r="E271" s="20">
        <v>17</v>
      </c>
      <c r="F271" s="20">
        <v>5</v>
      </c>
      <c r="G271" s="20">
        <v>2</v>
      </c>
      <c r="H271" s="20">
        <v>10</v>
      </c>
      <c r="I271" s="20">
        <v>23</v>
      </c>
      <c r="J271" s="20">
        <v>34</v>
      </c>
      <c r="K271" s="20">
        <v>-11</v>
      </c>
    </row>
    <row r="272" spans="1:11">
      <c r="A272" s="19">
        <v>17</v>
      </c>
      <c r="B272" s="19">
        <v>15</v>
      </c>
      <c r="C272" s="19" t="s">
        <v>136</v>
      </c>
      <c r="D272" s="20">
        <v>7</v>
      </c>
      <c r="E272" s="20">
        <v>17</v>
      </c>
      <c r="F272" s="20">
        <v>1</v>
      </c>
      <c r="G272" s="20">
        <v>4</v>
      </c>
      <c r="H272" s="20">
        <v>12</v>
      </c>
      <c r="I272" s="20">
        <v>15</v>
      </c>
      <c r="J272" s="20">
        <v>45</v>
      </c>
      <c r="K272" s="20">
        <v>-30</v>
      </c>
    </row>
    <row r="273" spans="1:11">
      <c r="A273" s="19">
        <v>17</v>
      </c>
      <c r="B273" s="19">
        <v>16</v>
      </c>
      <c r="C273" s="19" t="s">
        <v>133</v>
      </c>
      <c r="D273" s="20">
        <v>7</v>
      </c>
      <c r="E273" s="20">
        <v>17</v>
      </c>
      <c r="F273" s="20">
        <v>2</v>
      </c>
      <c r="G273" s="20">
        <v>1</v>
      </c>
      <c r="H273" s="20">
        <v>14</v>
      </c>
      <c r="I273" s="20">
        <v>11</v>
      </c>
      <c r="J273" s="20">
        <v>44</v>
      </c>
      <c r="K273" s="20">
        <v>-33</v>
      </c>
    </row>
    <row r="274" spans="1:11">
      <c r="A274" s="19">
        <v>18</v>
      </c>
      <c r="B274" s="19">
        <v>1</v>
      </c>
      <c r="C274" s="20" t="s">
        <v>125</v>
      </c>
      <c r="D274" s="20">
        <v>41</v>
      </c>
      <c r="E274" s="20">
        <v>18</v>
      </c>
      <c r="F274" s="20">
        <v>12</v>
      </c>
      <c r="G274" s="20">
        <v>5</v>
      </c>
      <c r="H274" s="20">
        <v>1</v>
      </c>
      <c r="I274" s="20">
        <v>47</v>
      </c>
      <c r="J274" s="19">
        <v>22</v>
      </c>
      <c r="K274" s="19">
        <v>25</v>
      </c>
    </row>
    <row r="275" spans="1:11">
      <c r="A275" s="19">
        <v>18</v>
      </c>
      <c r="B275" s="19">
        <v>2</v>
      </c>
      <c r="C275" s="20" t="s">
        <v>132</v>
      </c>
      <c r="D275" s="20">
        <v>40</v>
      </c>
      <c r="E275" s="20">
        <v>18</v>
      </c>
      <c r="F275" s="20">
        <v>13</v>
      </c>
      <c r="G275" s="20">
        <v>1</v>
      </c>
      <c r="H275" s="20">
        <v>4</v>
      </c>
      <c r="I275" s="20">
        <v>65</v>
      </c>
      <c r="J275" s="19">
        <v>31</v>
      </c>
      <c r="K275" s="19">
        <v>34</v>
      </c>
    </row>
    <row r="276" spans="1:11">
      <c r="A276" s="19">
        <v>18</v>
      </c>
      <c r="B276" s="19">
        <v>3</v>
      </c>
      <c r="C276" s="20" t="s">
        <v>124</v>
      </c>
      <c r="D276" s="20">
        <v>32</v>
      </c>
      <c r="E276" s="20">
        <v>18</v>
      </c>
      <c r="F276" s="20">
        <v>9</v>
      </c>
      <c r="G276" s="20">
        <v>5</v>
      </c>
      <c r="H276" s="20">
        <v>4</v>
      </c>
      <c r="I276" s="20">
        <v>44</v>
      </c>
      <c r="J276" s="19">
        <v>29</v>
      </c>
      <c r="K276" s="19">
        <v>15</v>
      </c>
    </row>
    <row r="277" spans="1:11">
      <c r="A277" s="19">
        <v>18</v>
      </c>
      <c r="B277" s="19">
        <v>4</v>
      </c>
      <c r="C277" s="20" t="s">
        <v>121</v>
      </c>
      <c r="D277" s="20">
        <v>31</v>
      </c>
      <c r="E277" s="20">
        <v>18</v>
      </c>
      <c r="F277" s="20">
        <v>9</v>
      </c>
      <c r="G277" s="20">
        <v>4</v>
      </c>
      <c r="H277" s="20">
        <v>5</v>
      </c>
      <c r="I277" s="20">
        <v>39</v>
      </c>
      <c r="J277" s="19">
        <v>21</v>
      </c>
      <c r="K277" s="19">
        <v>18</v>
      </c>
    </row>
    <row r="278" spans="1:11">
      <c r="A278" s="19">
        <v>18</v>
      </c>
      <c r="B278" s="19">
        <v>5</v>
      </c>
      <c r="C278" s="20" t="s">
        <v>130</v>
      </c>
      <c r="D278" s="20">
        <v>29</v>
      </c>
      <c r="E278" s="20">
        <v>17</v>
      </c>
      <c r="F278" s="20">
        <v>8</v>
      </c>
      <c r="G278" s="20">
        <v>5</v>
      </c>
      <c r="H278" s="20">
        <v>4</v>
      </c>
      <c r="I278" s="20">
        <v>35</v>
      </c>
      <c r="J278" s="19">
        <v>28</v>
      </c>
      <c r="K278" s="19">
        <v>7</v>
      </c>
    </row>
    <row r="279" spans="1:11">
      <c r="A279" s="19">
        <v>18</v>
      </c>
      <c r="B279" s="19">
        <v>6</v>
      </c>
      <c r="C279" s="20" t="s">
        <v>123</v>
      </c>
      <c r="D279" s="20">
        <v>29</v>
      </c>
      <c r="E279" s="20">
        <v>18</v>
      </c>
      <c r="F279" s="20">
        <v>8</v>
      </c>
      <c r="G279" s="20">
        <v>5</v>
      </c>
      <c r="H279" s="20">
        <v>5</v>
      </c>
      <c r="I279" s="20">
        <v>34</v>
      </c>
      <c r="J279" s="19">
        <v>27</v>
      </c>
      <c r="K279" s="19">
        <v>7</v>
      </c>
    </row>
    <row r="280" spans="1:11">
      <c r="A280" s="19">
        <v>18</v>
      </c>
      <c r="B280" s="19">
        <v>7</v>
      </c>
      <c r="C280" s="20" t="s">
        <v>122</v>
      </c>
      <c r="D280" s="20">
        <v>29</v>
      </c>
      <c r="E280" s="20">
        <v>18</v>
      </c>
      <c r="F280" s="20">
        <v>8</v>
      </c>
      <c r="G280" s="20">
        <v>5</v>
      </c>
      <c r="H280" s="20">
        <v>5</v>
      </c>
      <c r="I280" s="20">
        <v>35</v>
      </c>
      <c r="J280" s="20">
        <v>40</v>
      </c>
      <c r="K280" s="20">
        <v>-5</v>
      </c>
    </row>
    <row r="281" spans="1:11">
      <c r="A281" s="19">
        <v>18</v>
      </c>
      <c r="B281" s="19">
        <v>8</v>
      </c>
      <c r="C281" s="20" t="s">
        <v>127</v>
      </c>
      <c r="D281" s="20">
        <v>27</v>
      </c>
      <c r="E281" s="20">
        <v>17</v>
      </c>
      <c r="F281" s="20">
        <v>8</v>
      </c>
      <c r="G281" s="20">
        <v>3</v>
      </c>
      <c r="H281" s="20">
        <v>6</v>
      </c>
      <c r="I281" s="20">
        <v>40</v>
      </c>
      <c r="J281" s="20">
        <v>38</v>
      </c>
      <c r="K281" s="20">
        <v>2</v>
      </c>
    </row>
    <row r="282" spans="1:11">
      <c r="A282" s="19">
        <v>18</v>
      </c>
      <c r="B282" s="19">
        <v>9</v>
      </c>
      <c r="C282" s="20" t="s">
        <v>131</v>
      </c>
      <c r="D282" s="20">
        <v>22</v>
      </c>
      <c r="E282" s="20">
        <v>18</v>
      </c>
      <c r="F282" s="20">
        <v>7</v>
      </c>
      <c r="G282" s="20">
        <v>1</v>
      </c>
      <c r="H282" s="20">
        <v>10</v>
      </c>
      <c r="I282" s="20">
        <v>47</v>
      </c>
      <c r="J282" s="20">
        <v>46</v>
      </c>
      <c r="K282" s="20">
        <v>1</v>
      </c>
    </row>
    <row r="283" spans="1:11">
      <c r="A283" s="19">
        <v>18</v>
      </c>
      <c r="B283" s="19">
        <v>10</v>
      </c>
      <c r="C283" s="20" t="s">
        <v>129</v>
      </c>
      <c r="D283" s="20">
        <v>22</v>
      </c>
      <c r="E283" s="20">
        <v>17</v>
      </c>
      <c r="F283" s="20">
        <v>6</v>
      </c>
      <c r="G283" s="20">
        <v>4</v>
      </c>
      <c r="H283" s="20">
        <v>7</v>
      </c>
      <c r="I283" s="20">
        <v>27</v>
      </c>
      <c r="J283" s="20">
        <v>27</v>
      </c>
      <c r="K283" s="20">
        <v>0</v>
      </c>
    </row>
    <row r="284" spans="1:11">
      <c r="A284" s="19">
        <v>18</v>
      </c>
      <c r="B284" s="19">
        <v>11</v>
      </c>
      <c r="C284" s="20" t="s">
        <v>126</v>
      </c>
      <c r="D284" s="20">
        <v>22</v>
      </c>
      <c r="E284" s="20">
        <v>18</v>
      </c>
      <c r="F284" s="20">
        <v>6</v>
      </c>
      <c r="G284" s="20">
        <v>4</v>
      </c>
      <c r="H284" s="20">
        <v>8</v>
      </c>
      <c r="I284" s="20">
        <v>35</v>
      </c>
      <c r="J284" s="20">
        <v>42</v>
      </c>
      <c r="K284" s="20">
        <v>-7</v>
      </c>
    </row>
    <row r="285" spans="1:11">
      <c r="A285" s="19">
        <v>18</v>
      </c>
      <c r="B285" s="19">
        <v>12</v>
      </c>
      <c r="C285" s="20" t="s">
        <v>134</v>
      </c>
      <c r="D285" s="20">
        <v>22</v>
      </c>
      <c r="E285" s="20">
        <v>18</v>
      </c>
      <c r="F285" s="20">
        <v>6</v>
      </c>
      <c r="G285" s="20">
        <v>4</v>
      </c>
      <c r="H285" s="20">
        <v>8</v>
      </c>
      <c r="I285" s="20">
        <v>28</v>
      </c>
      <c r="J285" s="20">
        <v>39</v>
      </c>
      <c r="K285" s="20">
        <v>-11</v>
      </c>
    </row>
    <row r="286" spans="1:11">
      <c r="A286" s="19">
        <v>18</v>
      </c>
      <c r="B286" s="19">
        <v>13</v>
      </c>
      <c r="C286" s="20" t="s">
        <v>135</v>
      </c>
      <c r="D286" s="20">
        <v>20</v>
      </c>
      <c r="E286" s="20">
        <v>18</v>
      </c>
      <c r="F286" s="20">
        <v>6</v>
      </c>
      <c r="G286" s="20">
        <v>2</v>
      </c>
      <c r="H286" s="20">
        <v>10</v>
      </c>
      <c r="I286" s="20">
        <v>26</v>
      </c>
      <c r="J286" s="20">
        <v>34</v>
      </c>
      <c r="K286" s="20">
        <v>-8</v>
      </c>
    </row>
    <row r="287" spans="1:11">
      <c r="A287" s="19">
        <v>18</v>
      </c>
      <c r="B287" s="19">
        <v>14</v>
      </c>
      <c r="C287" s="20" t="s">
        <v>128</v>
      </c>
      <c r="D287" s="20">
        <v>17</v>
      </c>
      <c r="E287" s="20">
        <v>17</v>
      </c>
      <c r="F287" s="20">
        <v>4</v>
      </c>
      <c r="G287" s="20">
        <v>5</v>
      </c>
      <c r="H287" s="20">
        <v>8</v>
      </c>
      <c r="I287" s="20">
        <v>27</v>
      </c>
      <c r="J287" s="20">
        <v>38</v>
      </c>
      <c r="K287" s="20">
        <v>-11</v>
      </c>
    </row>
    <row r="288" spans="1:11">
      <c r="A288" s="19">
        <v>18</v>
      </c>
      <c r="B288" s="19">
        <v>15</v>
      </c>
      <c r="C288" s="20" t="s">
        <v>136</v>
      </c>
      <c r="D288" s="20">
        <v>7</v>
      </c>
      <c r="E288" s="20">
        <v>18</v>
      </c>
      <c r="F288" s="20">
        <v>1</v>
      </c>
      <c r="G288" s="20">
        <v>4</v>
      </c>
      <c r="H288" s="20">
        <v>13</v>
      </c>
      <c r="I288" s="20">
        <v>15</v>
      </c>
      <c r="J288" s="20">
        <v>48</v>
      </c>
      <c r="K288" s="20">
        <v>-33</v>
      </c>
    </row>
    <row r="289" spans="1:11">
      <c r="A289" s="19">
        <v>18</v>
      </c>
      <c r="B289" s="19">
        <v>16</v>
      </c>
      <c r="C289" s="20" t="s">
        <v>133</v>
      </c>
      <c r="D289" s="20">
        <v>7</v>
      </c>
      <c r="E289" s="20">
        <v>18</v>
      </c>
      <c r="F289" s="20">
        <v>2</v>
      </c>
      <c r="G289" s="20">
        <v>1</v>
      </c>
      <c r="H289" s="20">
        <v>15</v>
      </c>
      <c r="I289" s="20">
        <v>12</v>
      </c>
      <c r="J289" s="20">
        <v>46</v>
      </c>
      <c r="K289" s="20">
        <v>-34</v>
      </c>
    </row>
    <row r="290" spans="1:11">
      <c r="A290" s="19">
        <v>19</v>
      </c>
      <c r="B290" s="19">
        <v>1</v>
      </c>
      <c r="C290" s="20" t="s">
        <v>132</v>
      </c>
      <c r="D290" s="20">
        <v>43</v>
      </c>
      <c r="E290" s="20">
        <v>19</v>
      </c>
      <c r="F290" s="20">
        <v>14</v>
      </c>
      <c r="G290" s="20">
        <v>1</v>
      </c>
      <c r="H290" s="20">
        <v>4</v>
      </c>
      <c r="I290" s="20">
        <v>67</v>
      </c>
      <c r="J290" s="20">
        <v>32</v>
      </c>
      <c r="K290" s="19">
        <v>35</v>
      </c>
    </row>
    <row r="291" spans="1:11">
      <c r="A291" s="19">
        <v>19</v>
      </c>
      <c r="B291" s="19">
        <v>2</v>
      </c>
      <c r="C291" s="19" t="s">
        <v>125</v>
      </c>
      <c r="D291" s="20">
        <v>41</v>
      </c>
      <c r="E291" s="20">
        <v>19</v>
      </c>
      <c r="F291" s="20">
        <v>12</v>
      </c>
      <c r="G291" s="20">
        <v>5</v>
      </c>
      <c r="H291" s="20">
        <v>2</v>
      </c>
      <c r="I291" s="20">
        <v>47</v>
      </c>
      <c r="J291" s="20">
        <v>24</v>
      </c>
      <c r="K291" s="20">
        <v>23</v>
      </c>
    </row>
    <row r="292" spans="1:11">
      <c r="A292" s="19">
        <v>19</v>
      </c>
      <c r="B292" s="19">
        <v>3</v>
      </c>
      <c r="C292" s="19" t="s">
        <v>121</v>
      </c>
      <c r="D292" s="20">
        <v>34</v>
      </c>
      <c r="E292" s="20">
        <v>19</v>
      </c>
      <c r="F292" s="20">
        <v>10</v>
      </c>
      <c r="G292" s="20">
        <v>4</v>
      </c>
      <c r="H292" s="20">
        <v>5</v>
      </c>
      <c r="I292" s="20">
        <v>42</v>
      </c>
      <c r="J292" s="20">
        <v>22</v>
      </c>
      <c r="K292" s="20">
        <v>20</v>
      </c>
    </row>
    <row r="293" spans="1:11">
      <c r="A293" s="19">
        <v>19</v>
      </c>
      <c r="B293" s="19">
        <v>4</v>
      </c>
      <c r="C293" s="19" t="s">
        <v>124</v>
      </c>
      <c r="D293" s="20">
        <v>32</v>
      </c>
      <c r="E293" s="20">
        <v>19</v>
      </c>
      <c r="F293" s="20">
        <v>9</v>
      </c>
      <c r="G293" s="20">
        <v>5</v>
      </c>
      <c r="H293" s="20">
        <v>5</v>
      </c>
      <c r="I293" s="20">
        <v>44</v>
      </c>
      <c r="J293" s="20">
        <v>31</v>
      </c>
      <c r="K293" s="20">
        <v>13</v>
      </c>
    </row>
    <row r="294" spans="1:11">
      <c r="A294" s="19">
        <v>19</v>
      </c>
      <c r="B294" s="19">
        <v>5</v>
      </c>
      <c r="C294" s="19" t="s">
        <v>130</v>
      </c>
      <c r="D294" s="20">
        <v>32</v>
      </c>
      <c r="E294" s="20">
        <v>18</v>
      </c>
      <c r="F294" s="20">
        <v>9</v>
      </c>
      <c r="G294" s="20">
        <v>5</v>
      </c>
      <c r="H294" s="20">
        <v>4</v>
      </c>
      <c r="I294" s="20">
        <v>37</v>
      </c>
      <c r="J294" s="20">
        <v>28</v>
      </c>
      <c r="K294" s="20">
        <v>9</v>
      </c>
    </row>
    <row r="295" spans="1:11">
      <c r="A295" s="19">
        <v>19</v>
      </c>
      <c r="B295" s="19">
        <v>6</v>
      </c>
      <c r="C295" s="19" t="s">
        <v>123</v>
      </c>
      <c r="D295" s="20">
        <v>32</v>
      </c>
      <c r="E295" s="20">
        <v>19</v>
      </c>
      <c r="F295" s="20">
        <v>9</v>
      </c>
      <c r="G295" s="20">
        <v>5</v>
      </c>
      <c r="H295" s="20">
        <v>5</v>
      </c>
      <c r="I295" s="20">
        <v>36</v>
      </c>
      <c r="J295" s="20">
        <v>28</v>
      </c>
      <c r="K295" s="20">
        <v>8</v>
      </c>
    </row>
    <row r="296" spans="1:11">
      <c r="A296" s="19">
        <v>19</v>
      </c>
      <c r="B296" s="19">
        <v>7</v>
      </c>
      <c r="C296" s="19" t="s">
        <v>122</v>
      </c>
      <c r="D296" s="20">
        <v>32</v>
      </c>
      <c r="E296" s="20">
        <v>19</v>
      </c>
      <c r="F296" s="20">
        <v>9</v>
      </c>
      <c r="G296" s="20">
        <v>5</v>
      </c>
      <c r="H296" s="20">
        <v>5</v>
      </c>
      <c r="I296" s="20">
        <v>38</v>
      </c>
      <c r="J296" s="20">
        <v>40</v>
      </c>
      <c r="K296" s="20">
        <v>-2</v>
      </c>
    </row>
    <row r="297" spans="1:11">
      <c r="A297" s="19">
        <v>19</v>
      </c>
      <c r="B297" s="19">
        <v>8</v>
      </c>
      <c r="C297" s="19" t="s">
        <v>127</v>
      </c>
      <c r="D297" s="20">
        <v>30</v>
      </c>
      <c r="E297" s="20">
        <v>18</v>
      </c>
      <c r="F297" s="20">
        <v>9</v>
      </c>
      <c r="G297" s="20">
        <v>3</v>
      </c>
      <c r="H297" s="20">
        <v>6</v>
      </c>
      <c r="I297" s="20">
        <v>45</v>
      </c>
      <c r="J297" s="20">
        <v>41</v>
      </c>
      <c r="K297" s="20">
        <v>4</v>
      </c>
    </row>
    <row r="298" spans="1:11">
      <c r="A298" s="19">
        <v>19</v>
      </c>
      <c r="B298" s="19">
        <v>9</v>
      </c>
      <c r="C298" s="19" t="s">
        <v>126</v>
      </c>
      <c r="D298" s="20">
        <v>25</v>
      </c>
      <c r="E298" s="20">
        <v>19</v>
      </c>
      <c r="F298" s="20">
        <v>7</v>
      </c>
      <c r="G298" s="20">
        <v>4</v>
      </c>
      <c r="H298" s="20">
        <v>8</v>
      </c>
      <c r="I298" s="20">
        <v>37</v>
      </c>
      <c r="J298" s="20">
        <v>42</v>
      </c>
      <c r="K298" s="20">
        <v>-5</v>
      </c>
    </row>
    <row r="299" spans="1:11">
      <c r="A299" s="19">
        <v>19</v>
      </c>
      <c r="B299" s="19">
        <v>10</v>
      </c>
      <c r="C299" s="19" t="s">
        <v>135</v>
      </c>
      <c r="D299" s="20">
        <v>23</v>
      </c>
      <c r="E299" s="20">
        <v>19</v>
      </c>
      <c r="F299" s="20">
        <v>7</v>
      </c>
      <c r="G299" s="20">
        <v>2</v>
      </c>
      <c r="H299" s="20">
        <v>10</v>
      </c>
      <c r="I299" s="20">
        <v>29</v>
      </c>
      <c r="J299" s="20">
        <v>34</v>
      </c>
      <c r="K299" s="20">
        <v>-5</v>
      </c>
    </row>
    <row r="300" spans="1:11">
      <c r="A300" s="19">
        <v>19</v>
      </c>
      <c r="B300" s="19">
        <v>11</v>
      </c>
      <c r="C300" s="19" t="s">
        <v>131</v>
      </c>
      <c r="D300" s="20">
        <v>22</v>
      </c>
      <c r="E300" s="20">
        <v>19</v>
      </c>
      <c r="F300" s="20">
        <v>7</v>
      </c>
      <c r="G300" s="20">
        <v>1</v>
      </c>
      <c r="H300" s="20">
        <v>11</v>
      </c>
      <c r="I300" s="20">
        <v>50</v>
      </c>
      <c r="J300" s="20">
        <v>51</v>
      </c>
      <c r="K300" s="20">
        <v>-1</v>
      </c>
    </row>
    <row r="301" spans="1:11">
      <c r="A301" s="19">
        <v>19</v>
      </c>
      <c r="B301" s="19">
        <v>12</v>
      </c>
      <c r="C301" s="19" t="s">
        <v>129</v>
      </c>
      <c r="D301" s="20">
        <v>22</v>
      </c>
      <c r="E301" s="20">
        <v>18</v>
      </c>
      <c r="F301" s="20">
        <v>6</v>
      </c>
      <c r="G301" s="20">
        <v>4</v>
      </c>
      <c r="H301" s="20">
        <v>8</v>
      </c>
      <c r="I301" s="20">
        <v>28</v>
      </c>
      <c r="J301" s="20">
        <v>29</v>
      </c>
      <c r="K301" s="20">
        <v>-1</v>
      </c>
    </row>
    <row r="302" spans="1:11">
      <c r="A302" s="19">
        <v>19</v>
      </c>
      <c r="B302" s="19">
        <v>13</v>
      </c>
      <c r="C302" s="19" t="s">
        <v>134</v>
      </c>
      <c r="D302" s="20">
        <v>22</v>
      </c>
      <c r="E302" s="20">
        <v>19</v>
      </c>
      <c r="F302" s="20">
        <v>6</v>
      </c>
      <c r="G302" s="20">
        <v>4</v>
      </c>
      <c r="H302" s="20">
        <v>9</v>
      </c>
      <c r="I302" s="20">
        <v>29</v>
      </c>
      <c r="J302" s="20">
        <v>42</v>
      </c>
      <c r="K302" s="20">
        <v>-13</v>
      </c>
    </row>
    <row r="303" spans="1:11">
      <c r="A303" s="19">
        <v>19</v>
      </c>
      <c r="B303" s="19">
        <v>14</v>
      </c>
      <c r="C303" s="19" t="s">
        <v>128</v>
      </c>
      <c r="D303" s="20">
        <v>17</v>
      </c>
      <c r="E303" s="20">
        <v>18</v>
      </c>
      <c r="F303" s="20">
        <v>4</v>
      </c>
      <c r="G303" s="20">
        <v>5</v>
      </c>
      <c r="H303" s="20">
        <v>9</v>
      </c>
      <c r="I303" s="20">
        <v>28</v>
      </c>
      <c r="J303" s="20">
        <v>40</v>
      </c>
      <c r="K303" s="20">
        <v>-12</v>
      </c>
    </row>
    <row r="304" spans="1:11">
      <c r="A304" s="19">
        <v>19</v>
      </c>
      <c r="B304" s="19">
        <v>15</v>
      </c>
      <c r="C304" s="19" t="s">
        <v>136</v>
      </c>
      <c r="D304" s="20">
        <v>7</v>
      </c>
      <c r="E304" s="20">
        <v>19</v>
      </c>
      <c r="F304" s="20">
        <v>1</v>
      </c>
      <c r="G304" s="20">
        <v>4</v>
      </c>
      <c r="H304" s="20">
        <v>14</v>
      </c>
      <c r="I304" s="20">
        <v>15</v>
      </c>
      <c r="J304" s="20">
        <v>51</v>
      </c>
      <c r="K304" s="20">
        <v>-36</v>
      </c>
    </row>
    <row r="305" spans="1:11">
      <c r="A305" s="19">
        <v>19</v>
      </c>
      <c r="B305" s="19">
        <v>16</v>
      </c>
      <c r="C305" s="19" t="s">
        <v>133</v>
      </c>
      <c r="D305" s="20">
        <v>7</v>
      </c>
      <c r="E305" s="20">
        <v>19</v>
      </c>
      <c r="F305" s="20">
        <v>2</v>
      </c>
      <c r="G305" s="20">
        <v>1</v>
      </c>
      <c r="H305" s="20">
        <v>16</v>
      </c>
      <c r="I305" s="20">
        <v>12</v>
      </c>
      <c r="J305" s="20">
        <v>49</v>
      </c>
      <c r="K305" s="20">
        <v>-37</v>
      </c>
    </row>
    <row r="306" spans="1:11">
      <c r="A306" s="19">
        <v>20</v>
      </c>
      <c r="B306" s="19">
        <v>1</v>
      </c>
      <c r="C306" s="20" t="s">
        <v>132</v>
      </c>
      <c r="D306" s="20">
        <v>44</v>
      </c>
      <c r="E306" s="20">
        <v>20</v>
      </c>
      <c r="F306" s="20">
        <v>14</v>
      </c>
      <c r="G306" s="20">
        <v>2</v>
      </c>
      <c r="H306" s="20">
        <v>4</v>
      </c>
      <c r="I306" s="20">
        <v>68</v>
      </c>
      <c r="J306" s="20">
        <v>33</v>
      </c>
      <c r="K306" s="19">
        <v>35</v>
      </c>
    </row>
    <row r="307" spans="1:11">
      <c r="A307" s="19">
        <v>20</v>
      </c>
      <c r="B307" s="19">
        <v>2</v>
      </c>
      <c r="C307" s="19" t="s">
        <v>125</v>
      </c>
      <c r="D307" s="20">
        <v>44</v>
      </c>
      <c r="E307" s="20">
        <v>20</v>
      </c>
      <c r="F307" s="20">
        <v>13</v>
      </c>
      <c r="G307" s="20">
        <v>5</v>
      </c>
      <c r="H307" s="20">
        <v>2</v>
      </c>
      <c r="I307" s="20">
        <v>48</v>
      </c>
      <c r="J307" s="20">
        <v>24</v>
      </c>
      <c r="K307" s="20">
        <v>24</v>
      </c>
    </row>
    <row r="308" spans="1:11">
      <c r="A308" s="19">
        <v>20</v>
      </c>
      <c r="B308" s="19">
        <v>3</v>
      </c>
      <c r="C308" s="19" t="s">
        <v>121</v>
      </c>
      <c r="D308" s="20">
        <v>37</v>
      </c>
      <c r="E308" s="20">
        <v>20</v>
      </c>
      <c r="F308" s="20">
        <v>11</v>
      </c>
      <c r="G308" s="20">
        <v>4</v>
      </c>
      <c r="H308" s="20">
        <v>5</v>
      </c>
      <c r="I308" s="20">
        <v>44</v>
      </c>
      <c r="J308" s="20">
        <v>23</v>
      </c>
      <c r="K308" s="20">
        <v>21</v>
      </c>
    </row>
    <row r="309" spans="1:11">
      <c r="A309" s="19">
        <v>20</v>
      </c>
      <c r="B309" s="19">
        <v>4</v>
      </c>
      <c r="C309" s="19" t="s">
        <v>123</v>
      </c>
      <c r="D309" s="20">
        <v>35</v>
      </c>
      <c r="E309" s="20">
        <v>20</v>
      </c>
      <c r="F309" s="20">
        <v>10</v>
      </c>
      <c r="G309" s="20">
        <v>5</v>
      </c>
      <c r="H309" s="20">
        <v>5</v>
      </c>
      <c r="I309" s="20">
        <v>39</v>
      </c>
      <c r="J309" s="20">
        <v>28</v>
      </c>
      <c r="K309" s="20">
        <v>11</v>
      </c>
    </row>
    <row r="310" spans="1:11">
      <c r="A310" s="19">
        <v>20</v>
      </c>
      <c r="B310" s="19">
        <v>5</v>
      </c>
      <c r="C310" s="19" t="s">
        <v>124</v>
      </c>
      <c r="D310" s="20">
        <v>33</v>
      </c>
      <c r="E310" s="20">
        <v>20</v>
      </c>
      <c r="F310" s="20">
        <v>9</v>
      </c>
      <c r="G310" s="20">
        <v>6</v>
      </c>
      <c r="H310" s="20">
        <v>5</v>
      </c>
      <c r="I310" s="20">
        <v>46</v>
      </c>
      <c r="J310" s="20">
        <v>33</v>
      </c>
      <c r="K310" s="20">
        <v>13</v>
      </c>
    </row>
    <row r="311" spans="1:11">
      <c r="A311" s="19">
        <v>20</v>
      </c>
      <c r="B311" s="19">
        <v>6</v>
      </c>
      <c r="C311" s="19" t="s">
        <v>130</v>
      </c>
      <c r="D311" s="20">
        <v>33</v>
      </c>
      <c r="E311" s="20">
        <v>19</v>
      </c>
      <c r="F311" s="20">
        <v>9</v>
      </c>
      <c r="G311" s="20">
        <v>6</v>
      </c>
      <c r="H311" s="20">
        <v>4</v>
      </c>
      <c r="I311" s="20">
        <v>39</v>
      </c>
      <c r="J311" s="20">
        <v>30</v>
      </c>
      <c r="K311" s="20">
        <v>9</v>
      </c>
    </row>
    <row r="312" spans="1:11">
      <c r="A312" s="19">
        <v>20</v>
      </c>
      <c r="B312" s="19">
        <v>7</v>
      </c>
      <c r="C312" s="19" t="s">
        <v>122</v>
      </c>
      <c r="D312" s="20">
        <v>32</v>
      </c>
      <c r="E312" s="20">
        <v>20</v>
      </c>
      <c r="F312" s="20">
        <v>9</v>
      </c>
      <c r="G312" s="20">
        <v>5</v>
      </c>
      <c r="H312" s="20">
        <v>6</v>
      </c>
      <c r="I312" s="20">
        <v>38</v>
      </c>
      <c r="J312" s="20">
        <v>41</v>
      </c>
      <c r="K312" s="20">
        <v>-3</v>
      </c>
    </row>
    <row r="313" spans="1:11">
      <c r="A313" s="19">
        <v>20</v>
      </c>
      <c r="B313" s="19">
        <v>8</v>
      </c>
      <c r="C313" s="19" t="s">
        <v>127</v>
      </c>
      <c r="D313" s="20">
        <v>31</v>
      </c>
      <c r="E313" s="20">
        <v>19</v>
      </c>
      <c r="F313" s="20">
        <v>9</v>
      </c>
      <c r="G313" s="20">
        <v>4</v>
      </c>
      <c r="H313" s="20">
        <v>6</v>
      </c>
      <c r="I313" s="20">
        <v>46</v>
      </c>
      <c r="J313" s="20">
        <v>42</v>
      </c>
      <c r="K313" s="20">
        <v>4</v>
      </c>
    </row>
    <row r="314" spans="1:11">
      <c r="A314" s="19">
        <v>20</v>
      </c>
      <c r="B314" s="19">
        <v>9</v>
      </c>
      <c r="C314" s="19" t="s">
        <v>126</v>
      </c>
      <c r="D314" s="20">
        <v>28</v>
      </c>
      <c r="E314" s="20">
        <v>20</v>
      </c>
      <c r="F314" s="20">
        <v>8</v>
      </c>
      <c r="G314" s="20">
        <v>4</v>
      </c>
      <c r="H314" s="20">
        <v>8</v>
      </c>
      <c r="I314" s="20">
        <v>40</v>
      </c>
      <c r="J314" s="20">
        <v>42</v>
      </c>
      <c r="K314" s="20">
        <v>-2</v>
      </c>
    </row>
    <row r="315" spans="1:11">
      <c r="A315" s="19">
        <v>20</v>
      </c>
      <c r="B315" s="19">
        <v>10</v>
      </c>
      <c r="C315" s="19" t="s">
        <v>131</v>
      </c>
      <c r="D315" s="20">
        <v>23</v>
      </c>
      <c r="E315" s="20">
        <v>20</v>
      </c>
      <c r="F315" s="20">
        <v>7</v>
      </c>
      <c r="G315" s="20">
        <v>2</v>
      </c>
      <c r="H315" s="20">
        <v>11</v>
      </c>
      <c r="I315" s="20">
        <v>52</v>
      </c>
      <c r="J315" s="20">
        <v>53</v>
      </c>
      <c r="K315" s="20">
        <v>-1</v>
      </c>
    </row>
    <row r="316" spans="1:11">
      <c r="A316" s="19">
        <v>20</v>
      </c>
      <c r="B316" s="19">
        <v>11</v>
      </c>
      <c r="C316" s="19" t="s">
        <v>129</v>
      </c>
      <c r="D316" s="20">
        <v>23</v>
      </c>
      <c r="E316" s="20">
        <v>19</v>
      </c>
      <c r="F316" s="20">
        <v>6</v>
      </c>
      <c r="G316" s="20">
        <v>5</v>
      </c>
      <c r="H316" s="20">
        <v>8</v>
      </c>
      <c r="I316" s="20">
        <v>30</v>
      </c>
      <c r="J316" s="20">
        <v>31</v>
      </c>
      <c r="K316" s="20">
        <v>-1</v>
      </c>
    </row>
    <row r="317" spans="1:11">
      <c r="A317" s="19">
        <v>20</v>
      </c>
      <c r="B317" s="19">
        <v>12</v>
      </c>
      <c r="C317" s="19" t="s">
        <v>135</v>
      </c>
      <c r="D317" s="20">
        <v>23</v>
      </c>
      <c r="E317" s="20">
        <v>20</v>
      </c>
      <c r="F317" s="20">
        <v>7</v>
      </c>
      <c r="G317" s="20">
        <v>2</v>
      </c>
      <c r="H317" s="20">
        <v>11</v>
      </c>
      <c r="I317" s="20">
        <v>30</v>
      </c>
      <c r="J317" s="20">
        <v>36</v>
      </c>
      <c r="K317" s="20">
        <v>-6</v>
      </c>
    </row>
    <row r="318" spans="1:11">
      <c r="A318" s="19">
        <v>20</v>
      </c>
      <c r="B318" s="19">
        <v>13</v>
      </c>
      <c r="C318" s="19" t="s">
        <v>134</v>
      </c>
      <c r="D318" s="20">
        <v>22</v>
      </c>
      <c r="E318" s="20">
        <v>20</v>
      </c>
      <c r="F318" s="20">
        <v>6</v>
      </c>
      <c r="G318" s="20">
        <v>4</v>
      </c>
      <c r="H318" s="20">
        <v>10</v>
      </c>
      <c r="I318" s="20">
        <v>29</v>
      </c>
      <c r="J318" s="20">
        <v>45</v>
      </c>
      <c r="K318" s="20">
        <v>-16</v>
      </c>
    </row>
    <row r="319" spans="1:11">
      <c r="A319" s="19">
        <v>20</v>
      </c>
      <c r="B319" s="19">
        <v>14</v>
      </c>
      <c r="C319" s="19" t="s">
        <v>128</v>
      </c>
      <c r="D319" s="20">
        <v>17</v>
      </c>
      <c r="E319" s="20">
        <v>19</v>
      </c>
      <c r="F319" s="20">
        <v>4</v>
      </c>
      <c r="G319" s="20">
        <v>5</v>
      </c>
      <c r="H319" s="20">
        <v>10</v>
      </c>
      <c r="I319" s="20">
        <v>28</v>
      </c>
      <c r="J319" s="20">
        <v>41</v>
      </c>
      <c r="K319" s="20">
        <v>-13</v>
      </c>
    </row>
    <row r="320" spans="1:11">
      <c r="A320" s="19">
        <v>20</v>
      </c>
      <c r="B320" s="19">
        <v>15</v>
      </c>
      <c r="C320" s="19" t="s">
        <v>133</v>
      </c>
      <c r="D320" s="20">
        <v>10</v>
      </c>
      <c r="E320" s="20">
        <v>20</v>
      </c>
      <c r="F320" s="20">
        <v>3</v>
      </c>
      <c r="G320" s="20">
        <v>1</v>
      </c>
      <c r="H320" s="20">
        <v>16</v>
      </c>
      <c r="I320" s="20">
        <v>13</v>
      </c>
      <c r="J320" s="20">
        <v>49</v>
      </c>
      <c r="K320" s="20">
        <v>-36</v>
      </c>
    </row>
    <row r="321" spans="1:11">
      <c r="A321" s="19">
        <v>20</v>
      </c>
      <c r="B321" s="19">
        <v>16</v>
      </c>
      <c r="C321" s="19" t="s">
        <v>136</v>
      </c>
      <c r="D321" s="20">
        <v>7</v>
      </c>
      <c r="E321" s="20">
        <v>20</v>
      </c>
      <c r="F321" s="20">
        <v>1</v>
      </c>
      <c r="G321" s="20">
        <v>4</v>
      </c>
      <c r="H321" s="20">
        <v>15</v>
      </c>
      <c r="I321" s="20">
        <v>15</v>
      </c>
      <c r="J321" s="20">
        <v>54</v>
      </c>
      <c r="K321" s="20">
        <v>-39</v>
      </c>
    </row>
    <row r="322" spans="1:11">
      <c r="A322" s="19">
        <v>21</v>
      </c>
      <c r="B322" s="19">
        <v>1</v>
      </c>
      <c r="C322" s="20" t="s">
        <v>132</v>
      </c>
      <c r="D322" s="20">
        <v>47</v>
      </c>
      <c r="E322" s="20">
        <v>21</v>
      </c>
      <c r="F322" s="20">
        <v>15</v>
      </c>
      <c r="G322" s="20">
        <v>2</v>
      </c>
      <c r="H322" s="20">
        <v>4</v>
      </c>
      <c r="I322" s="20">
        <v>73</v>
      </c>
      <c r="J322" s="19">
        <v>34</v>
      </c>
      <c r="K322" s="19">
        <v>39</v>
      </c>
    </row>
    <row r="323" spans="1:11">
      <c r="A323" s="19">
        <v>21</v>
      </c>
      <c r="B323" s="19">
        <v>2</v>
      </c>
      <c r="C323" s="20" t="s">
        <v>125</v>
      </c>
      <c r="D323" s="20">
        <v>47</v>
      </c>
      <c r="E323" s="20">
        <v>21</v>
      </c>
      <c r="F323" s="20">
        <v>14</v>
      </c>
      <c r="G323" s="20">
        <v>5</v>
      </c>
      <c r="H323" s="20">
        <v>2</v>
      </c>
      <c r="I323" s="20">
        <v>52</v>
      </c>
      <c r="J323" s="19">
        <v>24</v>
      </c>
      <c r="K323" s="19">
        <v>28</v>
      </c>
    </row>
    <row r="324" spans="1:11">
      <c r="A324" s="19">
        <v>21</v>
      </c>
      <c r="B324" s="19">
        <v>3</v>
      </c>
      <c r="C324" s="20" t="s">
        <v>123</v>
      </c>
      <c r="D324" s="20">
        <v>38</v>
      </c>
      <c r="E324" s="20">
        <v>21</v>
      </c>
      <c r="F324" s="20">
        <v>11</v>
      </c>
      <c r="G324" s="20">
        <v>5</v>
      </c>
      <c r="H324" s="20">
        <v>5</v>
      </c>
      <c r="I324" s="20">
        <v>41</v>
      </c>
      <c r="J324" s="19">
        <v>29</v>
      </c>
      <c r="K324" s="19">
        <v>12</v>
      </c>
    </row>
    <row r="325" spans="1:11">
      <c r="A325" s="19">
        <v>21</v>
      </c>
      <c r="B325" s="19">
        <v>4</v>
      </c>
      <c r="C325" s="20" t="s">
        <v>121</v>
      </c>
      <c r="D325" s="20">
        <v>37</v>
      </c>
      <c r="E325" s="20">
        <v>21</v>
      </c>
      <c r="F325" s="20">
        <v>11</v>
      </c>
      <c r="G325" s="20">
        <v>4</v>
      </c>
      <c r="H325" s="20">
        <v>6</v>
      </c>
      <c r="I325" s="20">
        <v>46</v>
      </c>
      <c r="J325" s="19">
        <v>26</v>
      </c>
      <c r="K325" s="19">
        <v>20</v>
      </c>
    </row>
    <row r="326" spans="1:11">
      <c r="A326" s="19">
        <v>21</v>
      </c>
      <c r="B326" s="19">
        <v>5</v>
      </c>
      <c r="C326" s="20" t="s">
        <v>130</v>
      </c>
      <c r="D326" s="20">
        <v>36</v>
      </c>
      <c r="E326" s="20">
        <v>20</v>
      </c>
      <c r="F326" s="20">
        <v>10</v>
      </c>
      <c r="G326" s="20">
        <v>6</v>
      </c>
      <c r="H326" s="20">
        <v>4</v>
      </c>
      <c r="I326" s="20">
        <v>46</v>
      </c>
      <c r="J326" s="19">
        <v>30</v>
      </c>
      <c r="K326" s="19">
        <v>16</v>
      </c>
    </row>
    <row r="327" spans="1:11">
      <c r="A327" s="19">
        <v>21</v>
      </c>
      <c r="B327" s="19">
        <v>6</v>
      </c>
      <c r="C327" s="20" t="s">
        <v>122</v>
      </c>
      <c r="D327" s="20">
        <v>35</v>
      </c>
      <c r="E327" s="20">
        <v>21</v>
      </c>
      <c r="F327" s="20">
        <v>10</v>
      </c>
      <c r="G327" s="20">
        <v>5</v>
      </c>
      <c r="H327" s="20">
        <v>6</v>
      </c>
      <c r="I327" s="20">
        <v>41</v>
      </c>
      <c r="J327" s="19">
        <v>43</v>
      </c>
      <c r="K327" s="19">
        <v>-2</v>
      </c>
    </row>
    <row r="328" spans="1:11">
      <c r="A328" s="19">
        <v>21</v>
      </c>
      <c r="B328" s="19">
        <v>7</v>
      </c>
      <c r="C328" s="20" t="s">
        <v>124</v>
      </c>
      <c r="D328" s="20">
        <v>34</v>
      </c>
      <c r="E328" s="20">
        <v>21</v>
      </c>
      <c r="F328" s="20">
        <v>9</v>
      </c>
      <c r="G328" s="20">
        <v>7</v>
      </c>
      <c r="H328" s="20">
        <v>5</v>
      </c>
      <c r="I328" s="20">
        <v>45</v>
      </c>
      <c r="J328" s="20">
        <v>30</v>
      </c>
      <c r="K328" s="20">
        <v>15</v>
      </c>
    </row>
    <row r="329" spans="1:11">
      <c r="A329" s="19">
        <v>21</v>
      </c>
      <c r="B329" s="19">
        <v>8</v>
      </c>
      <c r="C329" s="20" t="s">
        <v>127</v>
      </c>
      <c r="D329" s="20">
        <v>32</v>
      </c>
      <c r="E329" s="20">
        <v>21</v>
      </c>
      <c r="F329" s="20">
        <v>9</v>
      </c>
      <c r="G329" s="20">
        <v>5</v>
      </c>
      <c r="H329" s="20">
        <v>7</v>
      </c>
      <c r="I329" s="20">
        <v>47</v>
      </c>
      <c r="J329" s="20">
        <v>47</v>
      </c>
      <c r="K329" s="20">
        <v>0</v>
      </c>
    </row>
    <row r="330" spans="1:11">
      <c r="A330" s="19">
        <v>21</v>
      </c>
      <c r="B330" s="19">
        <v>9</v>
      </c>
      <c r="C330" s="20" t="s">
        <v>126</v>
      </c>
      <c r="D330" s="20">
        <v>31</v>
      </c>
      <c r="E330" s="20">
        <v>21</v>
      </c>
      <c r="F330" s="20">
        <v>9</v>
      </c>
      <c r="G330" s="20">
        <v>4</v>
      </c>
      <c r="H330" s="20">
        <v>8</v>
      </c>
      <c r="I330" s="20">
        <v>46</v>
      </c>
      <c r="J330" s="20">
        <v>45</v>
      </c>
      <c r="K330" s="20">
        <v>1</v>
      </c>
    </row>
    <row r="331" spans="1:11">
      <c r="A331" s="19">
        <v>21</v>
      </c>
      <c r="B331" s="19">
        <v>10</v>
      </c>
      <c r="C331" s="20" t="s">
        <v>135</v>
      </c>
      <c r="D331" s="20">
        <v>24</v>
      </c>
      <c r="E331" s="20">
        <v>21</v>
      </c>
      <c r="F331" s="20">
        <v>7</v>
      </c>
      <c r="G331" s="20">
        <v>3</v>
      </c>
      <c r="H331" s="20">
        <v>11</v>
      </c>
      <c r="I331" s="20">
        <v>29</v>
      </c>
      <c r="J331" s="20">
        <v>36</v>
      </c>
      <c r="K331" s="20">
        <v>-7</v>
      </c>
    </row>
    <row r="332" spans="1:11">
      <c r="A332" s="19">
        <v>21</v>
      </c>
      <c r="B332" s="19">
        <v>11</v>
      </c>
      <c r="C332" s="20" t="s">
        <v>129</v>
      </c>
      <c r="D332" s="20">
        <v>23</v>
      </c>
      <c r="E332" s="20">
        <v>20</v>
      </c>
      <c r="F332" s="20">
        <v>6</v>
      </c>
      <c r="G332" s="20">
        <v>5</v>
      </c>
      <c r="H332" s="20">
        <v>9</v>
      </c>
      <c r="I332" s="20">
        <v>31</v>
      </c>
      <c r="J332" s="20">
        <v>36</v>
      </c>
      <c r="K332" s="20">
        <v>-5</v>
      </c>
    </row>
    <row r="333" spans="1:11">
      <c r="A333" s="19">
        <v>21</v>
      </c>
      <c r="B333" s="19">
        <v>12</v>
      </c>
      <c r="C333" s="20" t="s">
        <v>131</v>
      </c>
      <c r="D333" s="20">
        <v>23</v>
      </c>
      <c r="E333" s="20">
        <v>21</v>
      </c>
      <c r="F333" s="20">
        <v>7</v>
      </c>
      <c r="G333" s="20">
        <v>2</v>
      </c>
      <c r="H333" s="20">
        <v>12</v>
      </c>
      <c r="I333" s="20">
        <v>53</v>
      </c>
      <c r="J333" s="20">
        <v>55</v>
      </c>
      <c r="K333" s="20">
        <v>-2</v>
      </c>
    </row>
    <row r="334" spans="1:11">
      <c r="A334" s="19">
        <v>21</v>
      </c>
      <c r="B334" s="19">
        <v>13</v>
      </c>
      <c r="C334" s="20" t="s">
        <v>134</v>
      </c>
      <c r="D334" s="20">
        <v>22</v>
      </c>
      <c r="E334" s="20">
        <v>21</v>
      </c>
      <c r="F334" s="20">
        <v>6</v>
      </c>
      <c r="G334" s="20">
        <v>4</v>
      </c>
      <c r="H334" s="20">
        <v>11</v>
      </c>
      <c r="I334" s="20">
        <v>30</v>
      </c>
      <c r="J334" s="20">
        <v>48</v>
      </c>
      <c r="K334" s="20">
        <v>-18</v>
      </c>
    </row>
    <row r="335" spans="1:11">
      <c r="A335" s="19">
        <v>21</v>
      </c>
      <c r="B335" s="19">
        <v>14</v>
      </c>
      <c r="C335" s="20" t="s">
        <v>128</v>
      </c>
      <c r="D335" s="20">
        <v>21</v>
      </c>
      <c r="E335" s="20">
        <v>21</v>
      </c>
      <c r="F335" s="20">
        <v>5</v>
      </c>
      <c r="G335" s="20">
        <v>6</v>
      </c>
      <c r="H335" s="20">
        <v>10</v>
      </c>
      <c r="I335" s="20">
        <v>30</v>
      </c>
      <c r="J335" s="20">
        <v>42</v>
      </c>
      <c r="K335" s="20">
        <v>-12</v>
      </c>
    </row>
    <row r="336" spans="1:11">
      <c r="A336" s="19">
        <v>21</v>
      </c>
      <c r="B336" s="19">
        <v>15</v>
      </c>
      <c r="C336" s="20" t="s">
        <v>133</v>
      </c>
      <c r="D336" s="20">
        <v>10</v>
      </c>
      <c r="E336" s="20">
        <v>21</v>
      </c>
      <c r="F336" s="20">
        <v>3</v>
      </c>
      <c r="G336" s="20">
        <v>1</v>
      </c>
      <c r="H336" s="20">
        <v>17</v>
      </c>
      <c r="I336" s="20">
        <v>16</v>
      </c>
      <c r="J336" s="20">
        <v>55</v>
      </c>
      <c r="K336" s="20">
        <v>-39</v>
      </c>
    </row>
    <row r="337" spans="1:11">
      <c r="A337" s="19">
        <v>21</v>
      </c>
      <c r="B337" s="19">
        <v>16</v>
      </c>
      <c r="C337" s="20" t="s">
        <v>136</v>
      </c>
      <c r="D337" s="20">
        <v>7</v>
      </c>
      <c r="E337" s="20">
        <v>21</v>
      </c>
      <c r="F337" s="20">
        <v>1</v>
      </c>
      <c r="G337" s="20">
        <v>4</v>
      </c>
      <c r="H337" s="20">
        <v>16</v>
      </c>
      <c r="I337" s="20">
        <v>15</v>
      </c>
      <c r="J337" s="20">
        <v>61</v>
      </c>
      <c r="K337" s="20">
        <v>-46</v>
      </c>
    </row>
    <row r="338" spans="1:11">
      <c r="A338" s="19">
        <v>22</v>
      </c>
      <c r="B338" s="19">
        <v>1</v>
      </c>
      <c r="C338" s="20" t="s">
        <v>125</v>
      </c>
      <c r="D338" s="20">
        <v>50</v>
      </c>
      <c r="E338" s="20">
        <v>22</v>
      </c>
      <c r="F338" s="20">
        <v>15</v>
      </c>
      <c r="G338" s="20">
        <v>5</v>
      </c>
      <c r="H338" s="20">
        <v>2</v>
      </c>
      <c r="I338" s="20">
        <v>56</v>
      </c>
      <c r="J338" s="20">
        <v>24</v>
      </c>
      <c r="K338" s="19">
        <v>32</v>
      </c>
    </row>
    <row r="339" spans="1:11">
      <c r="A339" s="19">
        <v>22</v>
      </c>
      <c r="B339" s="19">
        <v>2</v>
      </c>
      <c r="C339" s="20" t="s">
        <v>132</v>
      </c>
      <c r="D339" s="20">
        <v>48</v>
      </c>
      <c r="E339" s="20">
        <v>22</v>
      </c>
      <c r="F339" s="20">
        <v>15</v>
      </c>
      <c r="G339" s="20">
        <v>3</v>
      </c>
      <c r="H339" s="20">
        <v>4</v>
      </c>
      <c r="I339" s="20">
        <v>74</v>
      </c>
      <c r="J339" s="20">
        <v>35</v>
      </c>
      <c r="K339" s="20">
        <v>39</v>
      </c>
    </row>
    <row r="340" spans="1:11">
      <c r="A340" s="19">
        <v>22</v>
      </c>
      <c r="B340" s="19">
        <v>3</v>
      </c>
      <c r="C340" s="20" t="s">
        <v>121</v>
      </c>
      <c r="D340" s="20">
        <v>40</v>
      </c>
      <c r="E340" s="20">
        <v>22</v>
      </c>
      <c r="F340" s="20">
        <v>12</v>
      </c>
      <c r="G340" s="20">
        <v>4</v>
      </c>
      <c r="H340" s="20">
        <v>6</v>
      </c>
      <c r="I340" s="20">
        <v>49</v>
      </c>
      <c r="J340" s="20">
        <v>26</v>
      </c>
      <c r="K340" s="20">
        <v>23</v>
      </c>
    </row>
    <row r="341" spans="1:11">
      <c r="A341" s="19">
        <v>22</v>
      </c>
      <c r="B341" s="19">
        <v>4</v>
      </c>
      <c r="C341" s="20" t="s">
        <v>123</v>
      </c>
      <c r="D341" s="20">
        <v>38</v>
      </c>
      <c r="E341" s="20">
        <v>22</v>
      </c>
      <c r="F341" s="20">
        <v>11</v>
      </c>
      <c r="G341" s="20">
        <v>5</v>
      </c>
      <c r="H341" s="20">
        <v>6</v>
      </c>
      <c r="I341" s="20">
        <v>41</v>
      </c>
      <c r="J341" s="20">
        <v>30</v>
      </c>
      <c r="K341" s="20">
        <v>11</v>
      </c>
    </row>
    <row r="342" spans="1:11">
      <c r="A342" s="19">
        <v>22</v>
      </c>
      <c r="B342" s="19">
        <v>5</v>
      </c>
      <c r="C342" s="20" t="s">
        <v>130</v>
      </c>
      <c r="D342" s="20">
        <v>36</v>
      </c>
      <c r="E342" s="20">
        <v>21</v>
      </c>
      <c r="F342" s="20">
        <v>10</v>
      </c>
      <c r="G342" s="20">
        <v>6</v>
      </c>
      <c r="H342" s="20">
        <v>5</v>
      </c>
      <c r="I342" s="20">
        <v>46</v>
      </c>
      <c r="J342" s="20">
        <v>32</v>
      </c>
      <c r="K342" s="20">
        <v>14</v>
      </c>
    </row>
    <row r="343" spans="1:11">
      <c r="A343" s="19">
        <v>22</v>
      </c>
      <c r="B343" s="19">
        <v>6</v>
      </c>
      <c r="C343" s="20" t="s">
        <v>127</v>
      </c>
      <c r="D343" s="20">
        <v>35</v>
      </c>
      <c r="E343" s="20">
        <v>22</v>
      </c>
      <c r="F343" s="20">
        <v>10</v>
      </c>
      <c r="G343" s="20">
        <v>5</v>
      </c>
      <c r="H343" s="20">
        <v>7</v>
      </c>
      <c r="I343" s="20">
        <v>50</v>
      </c>
      <c r="J343" s="20">
        <v>49</v>
      </c>
      <c r="K343" s="20">
        <v>1</v>
      </c>
    </row>
    <row r="344" spans="1:11">
      <c r="A344" s="19">
        <v>22</v>
      </c>
      <c r="B344" s="19">
        <v>7</v>
      </c>
      <c r="C344" s="20" t="s">
        <v>122</v>
      </c>
      <c r="D344" s="20">
        <v>35</v>
      </c>
      <c r="E344" s="20">
        <v>22</v>
      </c>
      <c r="F344" s="20">
        <v>10</v>
      </c>
      <c r="G344" s="20">
        <v>5</v>
      </c>
      <c r="H344" s="20">
        <v>7</v>
      </c>
      <c r="I344" s="20">
        <v>41</v>
      </c>
      <c r="J344" s="20">
        <v>44</v>
      </c>
      <c r="K344" s="20">
        <v>-3</v>
      </c>
    </row>
    <row r="345" spans="1:11">
      <c r="A345" s="19">
        <v>22</v>
      </c>
      <c r="B345" s="19">
        <v>8</v>
      </c>
      <c r="C345" s="20" t="s">
        <v>124</v>
      </c>
      <c r="D345" s="20">
        <v>34</v>
      </c>
      <c r="E345" s="20">
        <v>22</v>
      </c>
      <c r="F345" s="20">
        <v>9</v>
      </c>
      <c r="G345" s="20">
        <v>7</v>
      </c>
      <c r="H345" s="20">
        <v>6</v>
      </c>
      <c r="I345" s="20">
        <v>47</v>
      </c>
      <c r="J345" s="20">
        <v>33</v>
      </c>
      <c r="K345" s="20">
        <v>14</v>
      </c>
    </row>
    <row r="346" spans="1:11">
      <c r="A346" s="19">
        <v>22</v>
      </c>
      <c r="B346" s="19">
        <v>9</v>
      </c>
      <c r="C346" s="20" t="s">
        <v>126</v>
      </c>
      <c r="D346" s="20">
        <v>31</v>
      </c>
      <c r="E346" s="20">
        <v>22</v>
      </c>
      <c r="F346" s="20">
        <v>9</v>
      </c>
      <c r="G346" s="20">
        <v>4</v>
      </c>
      <c r="H346" s="20">
        <v>9</v>
      </c>
      <c r="I346" s="20">
        <v>46</v>
      </c>
      <c r="J346" s="20">
        <v>48</v>
      </c>
      <c r="K346" s="20">
        <v>-2</v>
      </c>
    </row>
    <row r="347" spans="1:11">
      <c r="A347" s="19">
        <v>22</v>
      </c>
      <c r="B347" s="19">
        <v>10</v>
      </c>
      <c r="C347" s="20" t="s">
        <v>135</v>
      </c>
      <c r="D347" s="20">
        <v>27</v>
      </c>
      <c r="E347" s="20">
        <v>22</v>
      </c>
      <c r="F347" s="20">
        <v>8</v>
      </c>
      <c r="G347" s="20">
        <v>3</v>
      </c>
      <c r="H347" s="20">
        <v>11</v>
      </c>
      <c r="I347" s="20">
        <v>30</v>
      </c>
      <c r="J347" s="20">
        <v>36</v>
      </c>
      <c r="K347" s="20">
        <v>-6</v>
      </c>
    </row>
    <row r="348" spans="1:11">
      <c r="A348" s="19">
        <v>22</v>
      </c>
      <c r="B348" s="19">
        <v>11</v>
      </c>
      <c r="C348" s="20" t="s">
        <v>134</v>
      </c>
      <c r="D348" s="20">
        <v>25</v>
      </c>
      <c r="E348" s="20">
        <v>22</v>
      </c>
      <c r="F348" s="20">
        <v>7</v>
      </c>
      <c r="G348" s="20">
        <v>4</v>
      </c>
      <c r="H348" s="20">
        <v>11</v>
      </c>
      <c r="I348" s="20">
        <v>31</v>
      </c>
      <c r="J348" s="20">
        <v>48</v>
      </c>
      <c r="K348" s="20">
        <v>-17</v>
      </c>
    </row>
    <row r="349" spans="1:11">
      <c r="A349" s="19">
        <v>22</v>
      </c>
      <c r="B349" s="19">
        <v>12</v>
      </c>
      <c r="C349" s="20" t="s">
        <v>131</v>
      </c>
      <c r="D349" s="20">
        <v>24</v>
      </c>
      <c r="E349" s="20">
        <v>22</v>
      </c>
      <c r="F349" s="20">
        <v>7</v>
      </c>
      <c r="G349" s="20">
        <v>3</v>
      </c>
      <c r="H349" s="20">
        <v>12</v>
      </c>
      <c r="I349" s="20">
        <v>54</v>
      </c>
      <c r="J349" s="20">
        <v>56</v>
      </c>
      <c r="K349" s="20">
        <v>-2</v>
      </c>
    </row>
    <row r="350" spans="1:11">
      <c r="A350" s="19">
        <v>22</v>
      </c>
      <c r="B350" s="19">
        <v>13</v>
      </c>
      <c r="C350" s="20" t="s">
        <v>129</v>
      </c>
      <c r="D350" s="20">
        <v>23</v>
      </c>
      <c r="E350" s="20">
        <v>21</v>
      </c>
      <c r="F350" s="20">
        <v>6</v>
      </c>
      <c r="G350" s="20">
        <v>5</v>
      </c>
      <c r="H350" s="20">
        <v>10</v>
      </c>
      <c r="I350" s="20">
        <v>31</v>
      </c>
      <c r="J350" s="20">
        <v>40</v>
      </c>
      <c r="K350" s="20">
        <v>-9</v>
      </c>
    </row>
    <row r="351" spans="1:11">
      <c r="A351" s="19">
        <v>22</v>
      </c>
      <c r="B351" s="19">
        <v>14</v>
      </c>
      <c r="C351" s="20" t="s">
        <v>128</v>
      </c>
      <c r="D351" s="20">
        <v>21</v>
      </c>
      <c r="E351" s="20">
        <v>22</v>
      </c>
      <c r="F351" s="20">
        <v>5</v>
      </c>
      <c r="G351" s="20">
        <v>6</v>
      </c>
      <c r="H351" s="20">
        <v>11</v>
      </c>
      <c r="I351" s="20">
        <v>30</v>
      </c>
      <c r="J351" s="20">
        <v>43</v>
      </c>
      <c r="K351" s="20">
        <v>-13</v>
      </c>
    </row>
    <row r="352" spans="1:11">
      <c r="A352" s="19">
        <v>22</v>
      </c>
      <c r="B352" s="19">
        <v>15</v>
      </c>
      <c r="C352" s="20" t="s">
        <v>133</v>
      </c>
      <c r="D352" s="20">
        <v>13</v>
      </c>
      <c r="E352" s="20">
        <v>22</v>
      </c>
      <c r="F352" s="20">
        <v>4</v>
      </c>
      <c r="G352" s="20">
        <v>1</v>
      </c>
      <c r="H352" s="20">
        <v>17</v>
      </c>
      <c r="I352" s="20">
        <v>18</v>
      </c>
      <c r="J352" s="20">
        <v>55</v>
      </c>
      <c r="K352" s="20">
        <v>-37</v>
      </c>
    </row>
    <row r="353" spans="1:11">
      <c r="A353" s="19">
        <v>22</v>
      </c>
      <c r="B353" s="19">
        <v>16</v>
      </c>
      <c r="C353" s="20" t="s">
        <v>136</v>
      </c>
      <c r="D353" s="20">
        <v>10</v>
      </c>
      <c r="E353" s="20">
        <v>22</v>
      </c>
      <c r="F353" s="20">
        <v>2</v>
      </c>
      <c r="G353" s="20">
        <v>4</v>
      </c>
      <c r="H353" s="20">
        <v>16</v>
      </c>
      <c r="I353" s="20">
        <v>16</v>
      </c>
      <c r="J353" s="20">
        <v>61</v>
      </c>
      <c r="K353" s="20">
        <v>-45</v>
      </c>
    </row>
    <row r="354" spans="1:11">
      <c r="A354" s="19">
        <v>23</v>
      </c>
      <c r="B354" s="19">
        <v>1</v>
      </c>
      <c r="C354" s="19" t="s">
        <v>125</v>
      </c>
      <c r="D354" s="19">
        <v>53</v>
      </c>
      <c r="E354" s="19">
        <v>23</v>
      </c>
      <c r="F354" s="19">
        <v>16</v>
      </c>
      <c r="G354" s="19">
        <v>5</v>
      </c>
      <c r="H354" s="19">
        <v>2</v>
      </c>
      <c r="I354" s="19">
        <v>59</v>
      </c>
      <c r="J354" s="19">
        <v>24</v>
      </c>
      <c r="K354" s="19">
        <v>35</v>
      </c>
    </row>
    <row r="355" spans="1:11">
      <c r="A355" s="19">
        <v>23</v>
      </c>
      <c r="B355" s="19">
        <v>2</v>
      </c>
      <c r="C355" s="19" t="s">
        <v>132</v>
      </c>
      <c r="D355" s="19">
        <v>48</v>
      </c>
      <c r="E355" s="19">
        <v>23</v>
      </c>
      <c r="F355" s="19">
        <v>15</v>
      </c>
      <c r="G355" s="19">
        <v>3</v>
      </c>
      <c r="H355" s="19">
        <v>5</v>
      </c>
      <c r="I355" s="19">
        <v>75</v>
      </c>
      <c r="J355" s="19">
        <v>37</v>
      </c>
      <c r="K355" s="19">
        <v>38</v>
      </c>
    </row>
    <row r="356" spans="1:11">
      <c r="A356" s="19">
        <v>23</v>
      </c>
      <c r="B356" s="19">
        <v>3</v>
      </c>
      <c r="C356" s="19" t="s">
        <v>121</v>
      </c>
      <c r="D356" s="19">
        <v>41</v>
      </c>
      <c r="E356" s="19">
        <v>23</v>
      </c>
      <c r="F356" s="19">
        <v>12</v>
      </c>
      <c r="G356" s="19">
        <v>5</v>
      </c>
      <c r="H356" s="19">
        <v>6</v>
      </c>
      <c r="I356" s="19">
        <v>51</v>
      </c>
      <c r="J356" s="19">
        <v>28</v>
      </c>
      <c r="K356" s="19">
        <v>23</v>
      </c>
    </row>
    <row r="357" spans="1:11">
      <c r="A357" s="19">
        <v>23</v>
      </c>
      <c r="B357" s="19">
        <v>4</v>
      </c>
      <c r="C357" s="19" t="s">
        <v>123</v>
      </c>
      <c r="D357" s="19">
        <v>41</v>
      </c>
      <c r="E357" s="19">
        <v>23</v>
      </c>
      <c r="F357" s="19">
        <v>12</v>
      </c>
      <c r="G357" s="19">
        <v>5</v>
      </c>
      <c r="H357" s="19">
        <v>6</v>
      </c>
      <c r="I357" s="19">
        <v>43</v>
      </c>
      <c r="J357" s="19">
        <v>31</v>
      </c>
      <c r="K357" s="19">
        <v>12</v>
      </c>
    </row>
    <row r="358" spans="1:11">
      <c r="A358" s="19">
        <v>23</v>
      </c>
      <c r="B358" s="19">
        <v>5</v>
      </c>
      <c r="C358" s="19" t="s">
        <v>127</v>
      </c>
      <c r="D358" s="19">
        <v>38</v>
      </c>
      <c r="E358" s="19">
        <v>23</v>
      </c>
      <c r="F358" s="19">
        <v>11</v>
      </c>
      <c r="G358" s="19">
        <v>5</v>
      </c>
      <c r="H358" s="19">
        <v>7</v>
      </c>
      <c r="I358" s="19">
        <v>51</v>
      </c>
      <c r="J358" s="19">
        <v>49</v>
      </c>
      <c r="K358" s="19">
        <v>2</v>
      </c>
    </row>
    <row r="359" spans="1:11">
      <c r="A359" s="19">
        <v>23</v>
      </c>
      <c r="B359" s="19">
        <v>6</v>
      </c>
      <c r="C359" s="19" t="s">
        <v>130</v>
      </c>
      <c r="D359" s="19">
        <v>37</v>
      </c>
      <c r="E359" s="19">
        <v>22</v>
      </c>
      <c r="F359" s="19">
        <v>10</v>
      </c>
      <c r="G359" s="19">
        <v>7</v>
      </c>
      <c r="H359" s="19">
        <v>5</v>
      </c>
      <c r="I359" s="19">
        <v>48</v>
      </c>
      <c r="J359" s="19">
        <v>34</v>
      </c>
      <c r="K359" s="19">
        <v>14</v>
      </c>
    </row>
    <row r="360" spans="1:11">
      <c r="A360" s="19">
        <v>23</v>
      </c>
      <c r="B360" s="19">
        <v>7</v>
      </c>
      <c r="C360" s="19" t="s">
        <v>122</v>
      </c>
      <c r="D360" s="19">
        <v>36</v>
      </c>
      <c r="E360" s="19">
        <v>23</v>
      </c>
      <c r="F360" s="19">
        <v>10</v>
      </c>
      <c r="G360" s="19">
        <v>6</v>
      </c>
      <c r="H360" s="19">
        <v>7</v>
      </c>
      <c r="I360" s="19">
        <v>42</v>
      </c>
      <c r="J360" s="19">
        <v>45</v>
      </c>
      <c r="K360" s="19">
        <v>-3</v>
      </c>
    </row>
    <row r="361" spans="1:11">
      <c r="A361" s="19">
        <v>23</v>
      </c>
      <c r="B361" s="19">
        <v>8</v>
      </c>
      <c r="C361" s="19" t="s">
        <v>126</v>
      </c>
      <c r="D361" s="19">
        <v>34</v>
      </c>
      <c r="E361" s="19">
        <v>23</v>
      </c>
      <c r="F361" s="19">
        <v>10</v>
      </c>
      <c r="G361" s="19">
        <v>4</v>
      </c>
      <c r="H361" s="19">
        <v>9</v>
      </c>
      <c r="I361" s="19">
        <v>50</v>
      </c>
      <c r="J361" s="19">
        <v>51</v>
      </c>
      <c r="K361" s="19">
        <v>-1</v>
      </c>
    </row>
    <row r="362" spans="1:11">
      <c r="A362" s="19">
        <v>23</v>
      </c>
      <c r="B362" s="19">
        <v>9</v>
      </c>
      <c r="C362" s="19" t="s">
        <v>124</v>
      </c>
      <c r="D362" s="19">
        <v>34</v>
      </c>
      <c r="E362" s="19">
        <v>23</v>
      </c>
      <c r="F362" s="19">
        <v>9</v>
      </c>
      <c r="G362" s="19">
        <v>7</v>
      </c>
      <c r="H362" s="19">
        <v>7</v>
      </c>
      <c r="I362" s="19">
        <v>50</v>
      </c>
      <c r="J362" s="19">
        <v>37</v>
      </c>
      <c r="K362" s="19">
        <v>13</v>
      </c>
    </row>
    <row r="363" spans="1:11">
      <c r="A363" s="19">
        <v>23</v>
      </c>
      <c r="B363" s="19">
        <v>10</v>
      </c>
      <c r="C363" s="19" t="s">
        <v>135</v>
      </c>
      <c r="D363" s="19">
        <v>28</v>
      </c>
      <c r="E363" s="19">
        <v>23</v>
      </c>
      <c r="F363" s="19">
        <v>8</v>
      </c>
      <c r="G363" s="19">
        <v>4</v>
      </c>
      <c r="H363" s="19">
        <v>11</v>
      </c>
      <c r="I363" s="19">
        <v>31</v>
      </c>
      <c r="J363" s="19">
        <v>37</v>
      </c>
      <c r="K363" s="19">
        <v>-6</v>
      </c>
    </row>
    <row r="364" spans="1:11">
      <c r="A364" s="19">
        <v>23</v>
      </c>
      <c r="B364" s="19">
        <v>11</v>
      </c>
      <c r="C364" s="19" t="s">
        <v>129</v>
      </c>
      <c r="D364" s="19">
        <v>26</v>
      </c>
      <c r="E364" s="19">
        <v>22</v>
      </c>
      <c r="F364" s="19">
        <v>7</v>
      </c>
      <c r="G364" s="19">
        <v>5</v>
      </c>
      <c r="H364" s="19">
        <v>10</v>
      </c>
      <c r="I364" s="19">
        <v>35</v>
      </c>
      <c r="J364" s="19">
        <v>43</v>
      </c>
      <c r="K364" s="19">
        <v>-8</v>
      </c>
    </row>
    <row r="365" spans="1:11">
      <c r="A365" s="19">
        <v>23</v>
      </c>
      <c r="B365" s="19">
        <v>12</v>
      </c>
      <c r="C365" s="19" t="s">
        <v>134</v>
      </c>
      <c r="D365" s="19">
        <v>25</v>
      </c>
      <c r="E365" s="19">
        <v>23</v>
      </c>
      <c r="F365" s="19">
        <v>7</v>
      </c>
      <c r="G365" s="19">
        <v>4</v>
      </c>
      <c r="H365" s="19">
        <v>12</v>
      </c>
      <c r="I365" s="19">
        <v>34</v>
      </c>
      <c r="J365" s="19">
        <v>52</v>
      </c>
      <c r="K365" s="19">
        <v>-18</v>
      </c>
    </row>
    <row r="366" spans="1:11">
      <c r="A366" s="19">
        <v>23</v>
      </c>
      <c r="B366" s="19">
        <v>13</v>
      </c>
      <c r="C366" s="19" t="s">
        <v>131</v>
      </c>
      <c r="D366" s="19">
        <v>24</v>
      </c>
      <c r="E366" s="19">
        <v>23</v>
      </c>
      <c r="F366" s="19">
        <v>7</v>
      </c>
      <c r="G366" s="19">
        <v>3</v>
      </c>
      <c r="H366" s="19">
        <v>13</v>
      </c>
      <c r="I366" s="19">
        <v>54</v>
      </c>
      <c r="J366" s="19">
        <v>59</v>
      </c>
      <c r="K366" s="19">
        <v>-5</v>
      </c>
    </row>
    <row r="367" spans="1:11">
      <c r="A367" s="19">
        <v>23</v>
      </c>
      <c r="B367" s="19">
        <v>14</v>
      </c>
      <c r="C367" s="19" t="s">
        <v>128</v>
      </c>
      <c r="D367" s="19">
        <v>24</v>
      </c>
      <c r="E367" s="19">
        <v>23</v>
      </c>
      <c r="F367" s="19">
        <v>6</v>
      </c>
      <c r="G367" s="19">
        <v>6</v>
      </c>
      <c r="H367" s="19">
        <v>11</v>
      </c>
      <c r="I367" s="19">
        <v>32</v>
      </c>
      <c r="J367" s="19">
        <v>43</v>
      </c>
      <c r="K367" s="19">
        <v>-11</v>
      </c>
    </row>
    <row r="368" spans="1:11">
      <c r="A368" s="19">
        <v>23</v>
      </c>
      <c r="B368" s="19">
        <v>15</v>
      </c>
      <c r="C368" s="19" t="s">
        <v>133</v>
      </c>
      <c r="D368" s="19">
        <v>13</v>
      </c>
      <c r="E368" s="19">
        <v>23</v>
      </c>
      <c r="F368" s="19">
        <v>4</v>
      </c>
      <c r="G368" s="19">
        <v>1</v>
      </c>
      <c r="H368" s="19">
        <v>18</v>
      </c>
      <c r="I368" s="19">
        <v>18</v>
      </c>
      <c r="J368" s="19">
        <v>57</v>
      </c>
      <c r="K368" s="19">
        <v>-39</v>
      </c>
    </row>
    <row r="369" spans="1:11">
      <c r="A369" s="19">
        <v>23</v>
      </c>
      <c r="B369" s="19">
        <v>16</v>
      </c>
      <c r="C369" s="19" t="s">
        <v>136</v>
      </c>
      <c r="D369" s="19">
        <v>10</v>
      </c>
      <c r="E369" s="19">
        <v>23</v>
      </c>
      <c r="F369" s="19">
        <v>2</v>
      </c>
      <c r="G369" s="19">
        <v>4</v>
      </c>
      <c r="H369" s="19">
        <v>17</v>
      </c>
      <c r="I369" s="19">
        <v>16</v>
      </c>
      <c r="J369" s="19">
        <v>62</v>
      </c>
      <c r="K369" s="19">
        <v>-46</v>
      </c>
    </row>
    <row r="370" spans="1:11">
      <c r="A370" s="19">
        <v>24</v>
      </c>
      <c r="B370" s="19">
        <v>1</v>
      </c>
      <c r="C370" s="19" t="s">
        <v>125</v>
      </c>
      <c r="D370" s="19">
        <v>53</v>
      </c>
      <c r="E370" s="19">
        <v>24</v>
      </c>
      <c r="F370" s="19">
        <v>16</v>
      </c>
      <c r="G370" s="19">
        <v>5</v>
      </c>
      <c r="H370" s="19">
        <v>3</v>
      </c>
      <c r="I370" s="19">
        <v>61</v>
      </c>
      <c r="J370" s="19">
        <v>27</v>
      </c>
      <c r="K370" s="19">
        <v>34</v>
      </c>
    </row>
    <row r="371" spans="1:11">
      <c r="A371" s="19">
        <v>24</v>
      </c>
      <c r="B371" s="19">
        <v>2</v>
      </c>
      <c r="C371" s="19" t="s">
        <v>132</v>
      </c>
      <c r="D371" s="19">
        <v>51</v>
      </c>
      <c r="E371" s="19">
        <v>24</v>
      </c>
      <c r="F371" s="19">
        <v>16</v>
      </c>
      <c r="G371" s="19">
        <v>3</v>
      </c>
      <c r="H371" s="19">
        <v>5</v>
      </c>
      <c r="I371" s="19">
        <v>78</v>
      </c>
      <c r="J371" s="19">
        <v>39</v>
      </c>
      <c r="K371" s="19">
        <v>39</v>
      </c>
    </row>
    <row r="372" spans="1:11">
      <c r="A372" s="19">
        <v>24</v>
      </c>
      <c r="B372" s="19">
        <v>3</v>
      </c>
      <c r="C372" s="19" t="s">
        <v>121</v>
      </c>
      <c r="D372" s="19">
        <v>44</v>
      </c>
      <c r="E372" s="19">
        <v>24</v>
      </c>
      <c r="F372" s="19">
        <v>13</v>
      </c>
      <c r="G372" s="19">
        <v>5</v>
      </c>
      <c r="H372" s="19">
        <v>6</v>
      </c>
      <c r="I372" s="19">
        <v>52</v>
      </c>
      <c r="J372" s="19">
        <v>28</v>
      </c>
      <c r="K372" s="19">
        <v>24</v>
      </c>
    </row>
    <row r="373" spans="1:11">
      <c r="A373" s="19">
        <v>24</v>
      </c>
      <c r="B373" s="19">
        <v>4</v>
      </c>
      <c r="C373" s="19" t="s">
        <v>123</v>
      </c>
      <c r="D373" s="19">
        <v>41</v>
      </c>
      <c r="E373" s="19">
        <v>24</v>
      </c>
      <c r="F373" s="19">
        <v>12</v>
      </c>
      <c r="G373" s="19">
        <v>5</v>
      </c>
      <c r="H373" s="19">
        <v>7</v>
      </c>
      <c r="I373" s="19">
        <v>44</v>
      </c>
      <c r="J373" s="19">
        <v>36</v>
      </c>
      <c r="K373" s="19">
        <v>8</v>
      </c>
    </row>
    <row r="374" spans="1:11">
      <c r="A374" s="19">
        <v>24</v>
      </c>
      <c r="B374" s="19">
        <v>5</v>
      </c>
      <c r="C374" s="19" t="s">
        <v>127</v>
      </c>
      <c r="D374" s="19">
        <v>41</v>
      </c>
      <c r="E374" s="19">
        <v>24</v>
      </c>
      <c r="F374" s="19">
        <v>12</v>
      </c>
      <c r="G374" s="19">
        <v>5</v>
      </c>
      <c r="H374" s="19">
        <v>7</v>
      </c>
      <c r="I374" s="19">
        <v>55</v>
      </c>
      <c r="J374" s="19">
        <v>50</v>
      </c>
      <c r="K374" s="19">
        <v>5</v>
      </c>
    </row>
    <row r="375" spans="1:11">
      <c r="A375" s="19">
        <v>24</v>
      </c>
      <c r="B375" s="19">
        <v>6</v>
      </c>
      <c r="C375" s="19" t="s">
        <v>130</v>
      </c>
      <c r="D375" s="19">
        <v>40</v>
      </c>
      <c r="E375" s="19">
        <v>23</v>
      </c>
      <c r="F375" s="19">
        <v>11</v>
      </c>
      <c r="G375" s="19">
        <v>7</v>
      </c>
      <c r="H375" s="19">
        <v>5</v>
      </c>
      <c r="I375" s="19">
        <v>53</v>
      </c>
      <c r="J375" s="19">
        <v>35</v>
      </c>
      <c r="K375" s="19">
        <v>18</v>
      </c>
    </row>
    <row r="376" spans="1:11">
      <c r="A376" s="19">
        <v>24</v>
      </c>
      <c r="B376" s="19">
        <v>7</v>
      </c>
      <c r="C376" s="19" t="s">
        <v>122</v>
      </c>
      <c r="D376" s="19">
        <v>39</v>
      </c>
      <c r="E376" s="19">
        <v>24</v>
      </c>
      <c r="F376" s="19">
        <v>11</v>
      </c>
      <c r="G376" s="19">
        <v>6</v>
      </c>
      <c r="H376" s="19">
        <v>7</v>
      </c>
      <c r="I376" s="19">
        <v>47</v>
      </c>
      <c r="J376" s="19">
        <v>46</v>
      </c>
      <c r="K376" s="19">
        <v>1</v>
      </c>
    </row>
    <row r="377" spans="1:11">
      <c r="A377" s="19">
        <v>24</v>
      </c>
      <c r="B377" s="19">
        <v>8</v>
      </c>
      <c r="C377" s="19" t="s">
        <v>124</v>
      </c>
      <c r="D377" s="19">
        <v>37</v>
      </c>
      <c r="E377" s="19">
        <v>24</v>
      </c>
      <c r="F377" s="19">
        <v>10</v>
      </c>
      <c r="G377" s="19">
        <v>7</v>
      </c>
      <c r="H377" s="19">
        <v>7</v>
      </c>
      <c r="I377" s="19">
        <v>55</v>
      </c>
      <c r="J377" s="19">
        <v>38</v>
      </c>
      <c r="K377" s="19">
        <v>17</v>
      </c>
    </row>
    <row r="378" spans="1:11">
      <c r="A378" s="19">
        <v>24</v>
      </c>
      <c r="B378" s="19">
        <v>9</v>
      </c>
      <c r="C378" s="19" t="s">
        <v>126</v>
      </c>
      <c r="D378" s="19">
        <v>34</v>
      </c>
      <c r="E378" s="19">
        <v>24</v>
      </c>
      <c r="F378" s="19">
        <v>10</v>
      </c>
      <c r="G378" s="19">
        <v>4</v>
      </c>
      <c r="H378" s="19">
        <v>10</v>
      </c>
      <c r="I378" s="19">
        <v>51</v>
      </c>
      <c r="J378" s="19">
        <v>54</v>
      </c>
      <c r="K378" s="19">
        <v>-3</v>
      </c>
    </row>
    <row r="379" spans="1:11">
      <c r="A379" s="19">
        <v>24</v>
      </c>
      <c r="B379" s="19">
        <v>10</v>
      </c>
      <c r="C379" s="19" t="s">
        <v>135</v>
      </c>
      <c r="D379" s="19">
        <v>31</v>
      </c>
      <c r="E379" s="19">
        <v>24</v>
      </c>
      <c r="F379" s="19">
        <v>9</v>
      </c>
      <c r="G379" s="19">
        <v>4</v>
      </c>
      <c r="H379" s="19">
        <v>11</v>
      </c>
      <c r="I379" s="19">
        <v>34</v>
      </c>
      <c r="J379" s="19">
        <v>38</v>
      </c>
      <c r="K379" s="19">
        <v>-4</v>
      </c>
    </row>
    <row r="380" spans="1:11">
      <c r="A380" s="19">
        <v>24</v>
      </c>
      <c r="B380" s="19">
        <v>11</v>
      </c>
      <c r="C380" s="19" t="s">
        <v>129</v>
      </c>
      <c r="D380" s="19">
        <v>29</v>
      </c>
      <c r="E380" s="19">
        <v>23</v>
      </c>
      <c r="F380" s="19">
        <v>8</v>
      </c>
      <c r="G380" s="19">
        <v>5</v>
      </c>
      <c r="H380" s="19">
        <v>10</v>
      </c>
      <c r="I380" s="19">
        <v>36</v>
      </c>
      <c r="J380" s="19">
        <v>43</v>
      </c>
      <c r="K380" s="19">
        <v>-7</v>
      </c>
    </row>
    <row r="381" spans="1:11">
      <c r="A381" s="19">
        <v>24</v>
      </c>
      <c r="B381" s="19">
        <v>12</v>
      </c>
      <c r="C381" s="19" t="s">
        <v>134</v>
      </c>
      <c r="D381" s="19">
        <v>25</v>
      </c>
      <c r="E381" s="19">
        <v>24</v>
      </c>
      <c r="F381" s="19">
        <v>7</v>
      </c>
      <c r="G381" s="19">
        <v>4</v>
      </c>
      <c r="H381" s="19">
        <v>13</v>
      </c>
      <c r="I381" s="19">
        <v>35</v>
      </c>
      <c r="J381" s="19">
        <v>57</v>
      </c>
      <c r="K381" s="19">
        <v>-22</v>
      </c>
    </row>
    <row r="382" spans="1:11">
      <c r="A382" s="19">
        <v>24</v>
      </c>
      <c r="B382" s="19">
        <v>13</v>
      </c>
      <c r="C382" s="19" t="s">
        <v>131</v>
      </c>
      <c r="D382" s="19">
        <v>24</v>
      </c>
      <c r="E382" s="19">
        <v>24</v>
      </c>
      <c r="F382" s="19">
        <v>7</v>
      </c>
      <c r="G382" s="19">
        <v>3</v>
      </c>
      <c r="H382" s="19">
        <v>14</v>
      </c>
      <c r="I382" s="19">
        <v>55</v>
      </c>
      <c r="J382" s="19">
        <v>64</v>
      </c>
      <c r="K382" s="19">
        <v>-9</v>
      </c>
    </row>
    <row r="383" spans="1:11">
      <c r="A383" s="19">
        <v>24</v>
      </c>
      <c r="B383" s="19">
        <v>14</v>
      </c>
      <c r="C383" s="19" t="s">
        <v>128</v>
      </c>
      <c r="D383" s="19">
        <v>24</v>
      </c>
      <c r="E383" s="19">
        <v>24</v>
      </c>
      <c r="F383" s="19">
        <v>6</v>
      </c>
      <c r="G383" s="19">
        <v>6</v>
      </c>
      <c r="H383" s="19">
        <v>12</v>
      </c>
      <c r="I383" s="19">
        <v>32</v>
      </c>
      <c r="J383" s="19">
        <v>44</v>
      </c>
      <c r="K383" s="19">
        <v>-12</v>
      </c>
    </row>
    <row r="384" spans="1:11">
      <c r="A384" s="19">
        <v>24</v>
      </c>
      <c r="B384" s="19">
        <v>15</v>
      </c>
      <c r="C384" s="19" t="s">
        <v>133</v>
      </c>
      <c r="D384" s="19">
        <v>13</v>
      </c>
      <c r="E384" s="19">
        <v>24</v>
      </c>
      <c r="F384" s="19">
        <v>4</v>
      </c>
      <c r="G384" s="19">
        <v>1</v>
      </c>
      <c r="H384" s="19">
        <v>19</v>
      </c>
      <c r="I384" s="19">
        <v>19</v>
      </c>
      <c r="J384" s="19">
        <v>61</v>
      </c>
      <c r="K384" s="19">
        <v>-42</v>
      </c>
    </row>
    <row r="385" spans="1:11">
      <c r="A385" s="19">
        <v>24</v>
      </c>
      <c r="B385" s="19">
        <v>16</v>
      </c>
      <c r="C385" s="19" t="s">
        <v>136</v>
      </c>
      <c r="D385" s="19">
        <v>10</v>
      </c>
      <c r="E385" s="19">
        <v>24</v>
      </c>
      <c r="F385" s="19">
        <v>2</v>
      </c>
      <c r="G385" s="19">
        <v>4</v>
      </c>
      <c r="H385" s="19">
        <v>18</v>
      </c>
      <c r="I385" s="19">
        <v>16</v>
      </c>
      <c r="J385" s="19">
        <v>63</v>
      </c>
      <c r="K385" s="19">
        <v>-47</v>
      </c>
    </row>
    <row r="386" spans="1:11">
      <c r="A386" s="19">
        <v>25</v>
      </c>
      <c r="B386" s="19">
        <v>1</v>
      </c>
      <c r="C386" s="19" t="s">
        <v>132</v>
      </c>
      <c r="D386" s="19">
        <v>54</v>
      </c>
      <c r="E386" s="19">
        <v>25</v>
      </c>
      <c r="F386" s="19">
        <v>17</v>
      </c>
      <c r="G386" s="19">
        <v>3</v>
      </c>
      <c r="H386" s="19">
        <v>5</v>
      </c>
      <c r="I386" s="19">
        <v>84</v>
      </c>
      <c r="J386" s="19">
        <v>42</v>
      </c>
      <c r="K386" s="19">
        <v>42</v>
      </c>
    </row>
    <row r="387" spans="1:11">
      <c r="A387" s="19">
        <v>25</v>
      </c>
      <c r="B387" s="19">
        <v>2</v>
      </c>
      <c r="C387" s="19" t="s">
        <v>125</v>
      </c>
      <c r="D387" s="19">
        <v>54</v>
      </c>
      <c r="E387" s="19">
        <v>25</v>
      </c>
      <c r="F387" s="19">
        <v>16</v>
      </c>
      <c r="G387" s="19">
        <v>6</v>
      </c>
      <c r="H387" s="19">
        <v>3</v>
      </c>
      <c r="I387" s="19">
        <v>62</v>
      </c>
      <c r="J387" s="19">
        <v>28</v>
      </c>
      <c r="K387" s="19">
        <v>34</v>
      </c>
    </row>
    <row r="388" spans="1:11">
      <c r="A388" s="19">
        <v>25</v>
      </c>
      <c r="B388" s="19">
        <v>3</v>
      </c>
      <c r="C388" s="19" t="s">
        <v>121</v>
      </c>
      <c r="D388" s="19">
        <v>47</v>
      </c>
      <c r="E388" s="19">
        <v>25</v>
      </c>
      <c r="F388" s="19">
        <v>14</v>
      </c>
      <c r="G388" s="19">
        <v>5</v>
      </c>
      <c r="H388" s="19">
        <v>6</v>
      </c>
      <c r="I388" s="19">
        <v>55</v>
      </c>
      <c r="J388" s="19">
        <v>28</v>
      </c>
      <c r="K388" s="19">
        <v>27</v>
      </c>
    </row>
    <row r="389" spans="1:11">
      <c r="A389" s="19">
        <v>25</v>
      </c>
      <c r="B389" s="19">
        <v>4</v>
      </c>
      <c r="C389" s="19" t="s">
        <v>130</v>
      </c>
      <c r="D389" s="19">
        <v>43</v>
      </c>
      <c r="E389" s="19">
        <v>24</v>
      </c>
      <c r="F389" s="19">
        <v>12</v>
      </c>
      <c r="G389" s="19">
        <v>7</v>
      </c>
      <c r="H389" s="19">
        <v>5</v>
      </c>
      <c r="I389" s="19">
        <v>61</v>
      </c>
      <c r="J389" s="19">
        <v>36</v>
      </c>
      <c r="K389" s="19">
        <v>25</v>
      </c>
    </row>
    <row r="390" spans="1:11">
      <c r="A390" s="19">
        <v>25</v>
      </c>
      <c r="B390" s="19">
        <v>5</v>
      </c>
      <c r="C390" s="19" t="s">
        <v>122</v>
      </c>
      <c r="D390" s="19">
        <v>42</v>
      </c>
      <c r="E390" s="19">
        <v>25</v>
      </c>
      <c r="F390" s="19">
        <v>12</v>
      </c>
      <c r="G390" s="19">
        <v>6</v>
      </c>
      <c r="H390" s="19">
        <v>7</v>
      </c>
      <c r="I390" s="19">
        <v>49</v>
      </c>
      <c r="J390" s="19">
        <v>46</v>
      </c>
      <c r="K390" s="19">
        <v>3</v>
      </c>
    </row>
    <row r="391" spans="1:11">
      <c r="A391" s="19">
        <v>25</v>
      </c>
      <c r="B391" s="19">
        <v>6</v>
      </c>
      <c r="C391" s="19" t="s">
        <v>123</v>
      </c>
      <c r="D391" s="19">
        <v>42</v>
      </c>
      <c r="E391" s="19">
        <v>25</v>
      </c>
      <c r="F391" s="19">
        <v>12</v>
      </c>
      <c r="G391" s="19">
        <v>6</v>
      </c>
      <c r="H391" s="19">
        <v>7</v>
      </c>
      <c r="I391" s="19">
        <v>45</v>
      </c>
      <c r="J391" s="19">
        <v>37</v>
      </c>
      <c r="K391" s="19">
        <v>8</v>
      </c>
    </row>
    <row r="392" spans="1:11">
      <c r="A392" s="19">
        <v>25</v>
      </c>
      <c r="B392" s="19">
        <v>7</v>
      </c>
      <c r="C392" s="19" t="s">
        <v>127</v>
      </c>
      <c r="D392" s="19">
        <v>41</v>
      </c>
      <c r="E392" s="19">
        <v>25</v>
      </c>
      <c r="F392" s="19">
        <v>12</v>
      </c>
      <c r="G392" s="19">
        <v>5</v>
      </c>
      <c r="H392" s="19">
        <v>8</v>
      </c>
      <c r="I392" s="19">
        <v>55</v>
      </c>
      <c r="J392" s="19">
        <v>53</v>
      </c>
      <c r="K392" s="19">
        <v>2</v>
      </c>
    </row>
    <row r="393" spans="1:11">
      <c r="A393" s="19">
        <v>25</v>
      </c>
      <c r="B393" s="19">
        <v>8</v>
      </c>
      <c r="C393" s="19" t="s">
        <v>124</v>
      </c>
      <c r="D393" s="19">
        <v>37</v>
      </c>
      <c r="E393" s="19">
        <v>25</v>
      </c>
      <c r="F393" s="19">
        <v>10</v>
      </c>
      <c r="G393" s="19">
        <v>7</v>
      </c>
      <c r="H393" s="19">
        <v>8</v>
      </c>
      <c r="I393" s="19">
        <v>58</v>
      </c>
      <c r="J393" s="19">
        <v>44</v>
      </c>
      <c r="K393" s="19">
        <v>14</v>
      </c>
    </row>
    <row r="394" spans="1:11">
      <c r="A394" s="19">
        <v>25</v>
      </c>
      <c r="B394" s="19">
        <v>9</v>
      </c>
      <c r="C394" s="19" t="s">
        <v>126</v>
      </c>
      <c r="D394" s="19">
        <v>34</v>
      </c>
      <c r="E394" s="19">
        <v>25</v>
      </c>
      <c r="F394" s="19">
        <v>10</v>
      </c>
      <c r="G394" s="19">
        <v>4</v>
      </c>
      <c r="H394" s="19">
        <v>11</v>
      </c>
      <c r="I394" s="19">
        <v>51</v>
      </c>
      <c r="J394" s="19">
        <v>56</v>
      </c>
      <c r="K394" s="19">
        <v>-5</v>
      </c>
    </row>
    <row r="395" spans="1:11">
      <c r="A395" s="19">
        <v>25</v>
      </c>
      <c r="B395" s="19">
        <v>10</v>
      </c>
      <c r="C395" s="19" t="s">
        <v>129</v>
      </c>
      <c r="D395" s="19">
        <v>32</v>
      </c>
      <c r="E395" s="19">
        <v>24</v>
      </c>
      <c r="F395" s="19">
        <v>9</v>
      </c>
      <c r="G395" s="19">
        <v>5</v>
      </c>
      <c r="H395" s="19">
        <v>10</v>
      </c>
      <c r="I395" s="19">
        <v>39</v>
      </c>
      <c r="J395" s="19">
        <v>44</v>
      </c>
      <c r="K395" s="19">
        <v>-5</v>
      </c>
    </row>
    <row r="396" spans="1:11">
      <c r="A396" s="19">
        <v>25</v>
      </c>
      <c r="B396" s="19">
        <v>11</v>
      </c>
      <c r="C396" s="19" t="s">
        <v>135</v>
      </c>
      <c r="D396" s="19">
        <v>31</v>
      </c>
      <c r="E396" s="19">
        <v>25</v>
      </c>
      <c r="F396" s="19">
        <v>9</v>
      </c>
      <c r="G396" s="19">
        <v>4</v>
      </c>
      <c r="H396" s="19">
        <v>12</v>
      </c>
      <c r="I396" s="19">
        <v>35</v>
      </c>
      <c r="J396" s="19">
        <v>46</v>
      </c>
      <c r="K396" s="19">
        <v>-11</v>
      </c>
    </row>
    <row r="397" spans="1:11">
      <c r="A397" s="19">
        <v>25</v>
      </c>
      <c r="B397" s="19">
        <v>12</v>
      </c>
      <c r="C397" s="19" t="s">
        <v>131</v>
      </c>
      <c r="D397" s="19">
        <v>27</v>
      </c>
      <c r="E397" s="19">
        <v>25</v>
      </c>
      <c r="F397" s="19">
        <v>8</v>
      </c>
      <c r="G397" s="19">
        <v>3</v>
      </c>
      <c r="H397" s="19">
        <v>14</v>
      </c>
      <c r="I397" s="19">
        <v>58</v>
      </c>
      <c r="J397" s="19">
        <v>65</v>
      </c>
      <c r="K397" s="19">
        <v>-7</v>
      </c>
    </row>
    <row r="398" spans="1:11">
      <c r="A398" s="19">
        <v>25</v>
      </c>
      <c r="B398" s="19">
        <v>13</v>
      </c>
      <c r="C398" s="19" t="s">
        <v>128</v>
      </c>
      <c r="D398" s="19">
        <v>27</v>
      </c>
      <c r="E398" s="19">
        <v>25</v>
      </c>
      <c r="F398" s="19">
        <v>7</v>
      </c>
      <c r="G398" s="19">
        <v>6</v>
      </c>
      <c r="H398" s="19">
        <v>12</v>
      </c>
      <c r="I398" s="19">
        <v>34</v>
      </c>
      <c r="J398" s="19">
        <v>44</v>
      </c>
      <c r="K398" s="19">
        <v>-10</v>
      </c>
    </row>
    <row r="399" spans="1:11">
      <c r="A399" s="19">
        <v>25</v>
      </c>
      <c r="B399" s="19">
        <v>14</v>
      </c>
      <c r="C399" s="19" t="s">
        <v>134</v>
      </c>
      <c r="D399" s="19">
        <v>25</v>
      </c>
      <c r="E399" s="19">
        <v>25</v>
      </c>
      <c r="F399" s="19">
        <v>7</v>
      </c>
      <c r="G399" s="19">
        <v>4</v>
      </c>
      <c r="H399" s="19">
        <v>14</v>
      </c>
      <c r="I399" s="19">
        <v>35</v>
      </c>
      <c r="J399" s="19">
        <v>59</v>
      </c>
      <c r="K399" s="19">
        <v>-24</v>
      </c>
    </row>
    <row r="400" spans="1:11">
      <c r="A400" s="19">
        <v>25</v>
      </c>
      <c r="B400" s="19">
        <v>15</v>
      </c>
      <c r="C400" s="19" t="s">
        <v>133</v>
      </c>
      <c r="D400" s="19">
        <v>13</v>
      </c>
      <c r="E400" s="19">
        <v>25</v>
      </c>
      <c r="F400" s="19">
        <v>4</v>
      </c>
      <c r="G400" s="19">
        <v>1</v>
      </c>
      <c r="H400" s="19">
        <v>20</v>
      </c>
      <c r="I400" s="19">
        <v>20</v>
      </c>
      <c r="J400" s="19">
        <v>64</v>
      </c>
      <c r="K400" s="19">
        <v>-44</v>
      </c>
    </row>
    <row r="401" spans="1:11">
      <c r="A401" s="19">
        <v>25</v>
      </c>
      <c r="B401" s="19">
        <v>16</v>
      </c>
      <c r="C401" s="19" t="s">
        <v>136</v>
      </c>
      <c r="D401" s="19">
        <v>10</v>
      </c>
      <c r="E401" s="19">
        <v>25</v>
      </c>
      <c r="F401" s="19">
        <v>2</v>
      </c>
      <c r="G401" s="19">
        <v>4</v>
      </c>
      <c r="H401" s="19">
        <v>19</v>
      </c>
      <c r="I401" s="19">
        <v>17</v>
      </c>
      <c r="J401" s="19">
        <v>66</v>
      </c>
      <c r="K401" s="19">
        <v>-49</v>
      </c>
    </row>
    <row r="402" spans="1:11">
      <c r="A402" s="19">
        <v>26</v>
      </c>
      <c r="B402" s="19">
        <v>1</v>
      </c>
      <c r="C402" s="19" t="s">
        <v>132</v>
      </c>
      <c r="D402" s="19">
        <v>57</v>
      </c>
      <c r="E402" s="19">
        <v>26</v>
      </c>
      <c r="F402" s="19">
        <v>18</v>
      </c>
      <c r="G402" s="19">
        <v>3</v>
      </c>
      <c r="H402" s="19">
        <v>5</v>
      </c>
      <c r="I402" s="19">
        <v>91</v>
      </c>
      <c r="J402" s="19">
        <v>46</v>
      </c>
      <c r="K402" s="19">
        <v>45</v>
      </c>
    </row>
    <row r="403" spans="1:11">
      <c r="A403" s="19">
        <v>26</v>
      </c>
      <c r="B403" s="19">
        <v>2</v>
      </c>
      <c r="C403" s="19" t="s">
        <v>125</v>
      </c>
      <c r="D403" s="19">
        <v>54</v>
      </c>
      <c r="E403" s="19">
        <v>26</v>
      </c>
      <c r="F403" s="19">
        <v>16</v>
      </c>
      <c r="G403" s="19">
        <v>6</v>
      </c>
      <c r="H403" s="19">
        <v>4</v>
      </c>
      <c r="I403" s="19">
        <v>62</v>
      </c>
      <c r="J403" s="19">
        <v>29</v>
      </c>
      <c r="K403" s="19">
        <v>33</v>
      </c>
    </row>
    <row r="404" spans="1:11">
      <c r="A404" s="19">
        <v>26</v>
      </c>
      <c r="B404" s="19">
        <v>3</v>
      </c>
      <c r="C404" s="19" t="s">
        <v>121</v>
      </c>
      <c r="D404" s="19">
        <v>50</v>
      </c>
      <c r="E404" s="19">
        <v>26</v>
      </c>
      <c r="F404" s="19">
        <v>15</v>
      </c>
      <c r="G404" s="19">
        <v>5</v>
      </c>
      <c r="H404" s="19">
        <v>6</v>
      </c>
      <c r="I404" s="19">
        <v>59</v>
      </c>
      <c r="J404" s="19">
        <v>30</v>
      </c>
      <c r="K404" s="19">
        <v>29</v>
      </c>
    </row>
    <row r="405" spans="1:11">
      <c r="A405" s="19">
        <v>26</v>
      </c>
      <c r="B405" s="19">
        <v>4</v>
      </c>
      <c r="C405" s="19" t="s">
        <v>130</v>
      </c>
      <c r="D405" s="19">
        <v>46</v>
      </c>
      <c r="E405" s="19">
        <v>25</v>
      </c>
      <c r="F405" s="19">
        <v>13</v>
      </c>
      <c r="G405" s="19">
        <v>7</v>
      </c>
      <c r="H405" s="19">
        <v>5</v>
      </c>
      <c r="I405" s="19">
        <v>65</v>
      </c>
      <c r="J405" s="19">
        <v>38</v>
      </c>
      <c r="K405" s="19">
        <v>27</v>
      </c>
    </row>
    <row r="406" spans="1:11">
      <c r="A406" s="19">
        <v>26</v>
      </c>
      <c r="B406" s="19">
        <v>5</v>
      </c>
      <c r="C406" s="19" t="s">
        <v>123</v>
      </c>
      <c r="D406" s="19">
        <v>45</v>
      </c>
      <c r="E406" s="19">
        <v>26</v>
      </c>
      <c r="F406" s="19">
        <v>13</v>
      </c>
      <c r="G406" s="19">
        <v>6</v>
      </c>
      <c r="H406" s="19">
        <v>7</v>
      </c>
      <c r="I406" s="19">
        <v>48</v>
      </c>
      <c r="J406" s="19">
        <v>39</v>
      </c>
      <c r="K406" s="19">
        <v>9</v>
      </c>
    </row>
    <row r="407" spans="1:11">
      <c r="A407" s="19">
        <v>26</v>
      </c>
      <c r="B407" s="19">
        <v>6</v>
      </c>
      <c r="C407" s="19" t="s">
        <v>127</v>
      </c>
      <c r="D407" s="19">
        <v>42</v>
      </c>
      <c r="E407" s="19">
        <v>26</v>
      </c>
      <c r="F407" s="19">
        <v>12</v>
      </c>
      <c r="G407" s="19">
        <v>6</v>
      </c>
      <c r="H407" s="19">
        <v>8</v>
      </c>
      <c r="I407" s="19">
        <v>57</v>
      </c>
      <c r="J407" s="19">
        <v>55</v>
      </c>
      <c r="K407" s="19">
        <v>2</v>
      </c>
    </row>
    <row r="408" spans="1:11">
      <c r="A408" s="19">
        <v>26</v>
      </c>
      <c r="B408" s="19">
        <v>7</v>
      </c>
      <c r="C408" s="19" t="s">
        <v>122</v>
      </c>
      <c r="D408" s="19">
        <v>42</v>
      </c>
      <c r="E408" s="19">
        <v>26</v>
      </c>
      <c r="F408" s="19">
        <v>12</v>
      </c>
      <c r="G408" s="19">
        <v>6</v>
      </c>
      <c r="H408" s="19">
        <v>8</v>
      </c>
      <c r="I408" s="19">
        <v>51</v>
      </c>
      <c r="J408" s="19">
        <v>50</v>
      </c>
      <c r="K408" s="19">
        <v>1</v>
      </c>
    </row>
    <row r="409" spans="1:11">
      <c r="A409" s="19">
        <v>26</v>
      </c>
      <c r="B409" s="19">
        <v>8</v>
      </c>
      <c r="C409" s="19" t="s">
        <v>124</v>
      </c>
      <c r="D409" s="19">
        <v>40</v>
      </c>
      <c r="E409" s="19">
        <v>26</v>
      </c>
      <c r="F409" s="19">
        <v>11</v>
      </c>
      <c r="G409" s="19">
        <v>7</v>
      </c>
      <c r="H409" s="19">
        <v>8</v>
      </c>
      <c r="I409" s="19">
        <v>59</v>
      </c>
      <c r="J409" s="19">
        <v>44</v>
      </c>
      <c r="K409" s="19">
        <v>15</v>
      </c>
    </row>
    <row r="410" spans="1:11">
      <c r="A410" s="19">
        <v>26</v>
      </c>
      <c r="B410" s="19">
        <v>9</v>
      </c>
      <c r="C410" s="19" t="s">
        <v>126</v>
      </c>
      <c r="D410" s="19">
        <v>34</v>
      </c>
      <c r="E410" s="19">
        <v>26</v>
      </c>
      <c r="F410" s="19">
        <v>10</v>
      </c>
      <c r="G410" s="19">
        <v>4</v>
      </c>
      <c r="H410" s="19">
        <v>12</v>
      </c>
      <c r="I410" s="19">
        <v>53</v>
      </c>
      <c r="J410" s="19">
        <v>59</v>
      </c>
      <c r="K410" s="19">
        <v>-6</v>
      </c>
    </row>
    <row r="411" spans="1:11">
      <c r="A411" s="19">
        <v>26</v>
      </c>
      <c r="B411" s="19">
        <v>10</v>
      </c>
      <c r="C411" s="19" t="s">
        <v>129</v>
      </c>
      <c r="D411" s="19">
        <v>32</v>
      </c>
      <c r="E411" s="19">
        <v>25</v>
      </c>
      <c r="F411" s="19">
        <v>9</v>
      </c>
      <c r="G411" s="19">
        <v>5</v>
      </c>
      <c r="H411" s="19">
        <v>11</v>
      </c>
      <c r="I411" s="19">
        <v>41</v>
      </c>
      <c r="J411" s="19">
        <v>48</v>
      </c>
      <c r="K411" s="19">
        <v>-7</v>
      </c>
    </row>
    <row r="412" spans="1:11">
      <c r="A412" s="19">
        <v>26</v>
      </c>
      <c r="B412" s="19">
        <v>11</v>
      </c>
      <c r="C412" s="19" t="s">
        <v>135</v>
      </c>
      <c r="D412" s="19">
        <v>32</v>
      </c>
      <c r="E412" s="19">
        <v>26</v>
      </c>
      <c r="F412" s="19">
        <v>9</v>
      </c>
      <c r="G412" s="19">
        <v>5</v>
      </c>
      <c r="H412" s="19">
        <v>12</v>
      </c>
      <c r="I412" s="19">
        <v>36</v>
      </c>
      <c r="J412" s="19">
        <v>47</v>
      </c>
      <c r="K412" s="19">
        <v>-11</v>
      </c>
    </row>
    <row r="413" spans="1:11">
      <c r="A413" s="19">
        <v>26</v>
      </c>
      <c r="B413" s="19">
        <v>12</v>
      </c>
      <c r="C413" s="19" t="s">
        <v>128</v>
      </c>
      <c r="D413" s="19">
        <v>28</v>
      </c>
      <c r="E413" s="19">
        <v>26</v>
      </c>
      <c r="F413" s="19">
        <v>7</v>
      </c>
      <c r="G413" s="19">
        <v>7</v>
      </c>
      <c r="H413" s="19">
        <v>12</v>
      </c>
      <c r="I413" s="19">
        <v>35</v>
      </c>
      <c r="J413" s="19">
        <v>45</v>
      </c>
      <c r="K413" s="19">
        <v>-10</v>
      </c>
    </row>
    <row r="414" spans="1:11">
      <c r="A414" s="19">
        <v>26</v>
      </c>
      <c r="B414" s="19">
        <v>13</v>
      </c>
      <c r="C414" s="19" t="s">
        <v>131</v>
      </c>
      <c r="D414" s="19">
        <v>27</v>
      </c>
      <c r="E414" s="19">
        <v>26</v>
      </c>
      <c r="F414" s="19">
        <v>8</v>
      </c>
      <c r="G414" s="19">
        <v>3</v>
      </c>
      <c r="H414" s="19">
        <v>15</v>
      </c>
      <c r="I414" s="19">
        <v>60</v>
      </c>
      <c r="J414" s="19">
        <v>68</v>
      </c>
      <c r="K414" s="19">
        <v>-8</v>
      </c>
    </row>
    <row r="415" spans="1:11">
      <c r="A415" s="19">
        <v>26</v>
      </c>
      <c r="B415" s="19">
        <v>14</v>
      </c>
      <c r="C415" s="19" t="s">
        <v>134</v>
      </c>
      <c r="D415" s="19">
        <v>26</v>
      </c>
      <c r="E415" s="19">
        <v>26</v>
      </c>
      <c r="F415" s="19">
        <v>7</v>
      </c>
      <c r="G415" s="19">
        <v>5</v>
      </c>
      <c r="H415" s="19">
        <v>14</v>
      </c>
      <c r="I415" s="19">
        <v>37</v>
      </c>
      <c r="J415" s="19">
        <v>61</v>
      </c>
      <c r="K415" s="19">
        <v>-24</v>
      </c>
    </row>
    <row r="416" spans="1:11">
      <c r="A416" s="19">
        <v>26</v>
      </c>
      <c r="B416" s="19">
        <v>15</v>
      </c>
      <c r="C416" s="19" t="s">
        <v>133</v>
      </c>
      <c r="D416" s="19">
        <v>16</v>
      </c>
      <c r="E416" s="19">
        <v>26</v>
      </c>
      <c r="F416" s="19">
        <v>5</v>
      </c>
      <c r="G416" s="19">
        <v>1</v>
      </c>
      <c r="H416" s="19">
        <v>20</v>
      </c>
      <c r="I416" s="19">
        <v>23</v>
      </c>
      <c r="J416" s="19">
        <v>66</v>
      </c>
      <c r="K416" s="19">
        <v>-43</v>
      </c>
    </row>
    <row r="417" spans="1:11">
      <c r="A417" s="19">
        <v>26</v>
      </c>
      <c r="B417" s="19">
        <v>16</v>
      </c>
      <c r="C417" s="19" t="s">
        <v>136</v>
      </c>
      <c r="D417" s="19">
        <v>10</v>
      </c>
      <c r="E417" s="19">
        <v>26</v>
      </c>
      <c r="F417" s="19">
        <v>2</v>
      </c>
      <c r="G417" s="19">
        <v>4</v>
      </c>
      <c r="H417" s="19">
        <v>20</v>
      </c>
      <c r="I417" s="19">
        <v>21</v>
      </c>
      <c r="J417" s="19">
        <v>73</v>
      </c>
      <c r="K417" s="19">
        <v>-52</v>
      </c>
    </row>
    <row r="418" spans="1:11">
      <c r="A418" s="19">
        <v>27</v>
      </c>
      <c r="B418" s="19">
        <v>1</v>
      </c>
      <c r="C418" s="19" t="s">
        <v>132</v>
      </c>
      <c r="D418" s="19">
        <v>60</v>
      </c>
      <c r="E418" s="19">
        <v>27</v>
      </c>
      <c r="F418" s="19">
        <v>19</v>
      </c>
      <c r="G418" s="19">
        <v>3</v>
      </c>
      <c r="H418" s="19">
        <v>5</v>
      </c>
      <c r="I418" s="19">
        <v>93</v>
      </c>
      <c r="J418" s="19">
        <v>46</v>
      </c>
      <c r="K418" s="19">
        <v>47</v>
      </c>
    </row>
    <row r="419" spans="1:11">
      <c r="A419" s="19">
        <v>27</v>
      </c>
      <c r="B419" s="19">
        <v>2</v>
      </c>
      <c r="C419" s="19" t="s">
        <v>125</v>
      </c>
      <c r="D419" s="19">
        <v>57</v>
      </c>
      <c r="E419" s="19">
        <v>27</v>
      </c>
      <c r="F419" s="19">
        <v>17</v>
      </c>
      <c r="G419" s="19">
        <v>6</v>
      </c>
      <c r="H419" s="19">
        <v>4</v>
      </c>
      <c r="I419" s="19">
        <v>66</v>
      </c>
      <c r="J419" s="19">
        <v>29</v>
      </c>
      <c r="K419" s="19">
        <v>37</v>
      </c>
    </row>
    <row r="420" spans="1:11">
      <c r="A420" s="19">
        <v>27</v>
      </c>
      <c r="B420" s="19">
        <v>3</v>
      </c>
      <c r="C420" s="19" t="s">
        <v>121</v>
      </c>
      <c r="D420" s="19">
        <v>50</v>
      </c>
      <c r="E420" s="19">
        <v>27</v>
      </c>
      <c r="F420" s="19">
        <v>15</v>
      </c>
      <c r="G420" s="19">
        <v>5</v>
      </c>
      <c r="H420" s="19">
        <v>7</v>
      </c>
      <c r="I420" s="19">
        <v>61</v>
      </c>
      <c r="J420" s="19">
        <v>33</v>
      </c>
      <c r="K420" s="19">
        <v>28</v>
      </c>
    </row>
    <row r="421" spans="1:11">
      <c r="A421" s="19">
        <v>27</v>
      </c>
      <c r="B421" s="19">
        <v>4</v>
      </c>
      <c r="C421" s="19" t="s">
        <v>130</v>
      </c>
      <c r="D421" s="19">
        <v>49</v>
      </c>
      <c r="E421" s="19">
        <v>26</v>
      </c>
      <c r="F421" s="19">
        <v>14</v>
      </c>
      <c r="G421" s="19">
        <v>7</v>
      </c>
      <c r="H421" s="19">
        <v>5</v>
      </c>
      <c r="I421" s="19">
        <v>67</v>
      </c>
      <c r="J421" s="19">
        <v>38</v>
      </c>
      <c r="K421" s="19">
        <v>29</v>
      </c>
    </row>
    <row r="422" spans="1:11">
      <c r="A422" s="19">
        <v>27</v>
      </c>
      <c r="B422" s="19">
        <v>5</v>
      </c>
      <c r="C422" s="19" t="s">
        <v>123</v>
      </c>
      <c r="D422" s="19">
        <v>48</v>
      </c>
      <c r="E422" s="19">
        <v>27</v>
      </c>
      <c r="F422" s="19">
        <v>14</v>
      </c>
      <c r="G422" s="19">
        <v>6</v>
      </c>
      <c r="H422" s="19">
        <v>7</v>
      </c>
      <c r="I422" s="19">
        <v>51</v>
      </c>
      <c r="J422" s="19">
        <v>41</v>
      </c>
      <c r="K422" s="19">
        <v>10</v>
      </c>
    </row>
    <row r="423" spans="1:11">
      <c r="A423" s="19">
        <v>27</v>
      </c>
      <c r="B423" s="19">
        <v>6</v>
      </c>
      <c r="C423" s="19" t="s">
        <v>122</v>
      </c>
      <c r="D423" s="19">
        <v>45</v>
      </c>
      <c r="E423" s="19">
        <v>27</v>
      </c>
      <c r="F423" s="19">
        <v>13</v>
      </c>
      <c r="G423" s="19">
        <v>6</v>
      </c>
      <c r="H423" s="19">
        <v>8</v>
      </c>
      <c r="I423" s="19">
        <v>52</v>
      </c>
      <c r="J423" s="19">
        <v>50</v>
      </c>
      <c r="K423" s="19">
        <v>2</v>
      </c>
    </row>
    <row r="424" spans="1:11">
      <c r="A424" s="19">
        <v>27</v>
      </c>
      <c r="B424" s="19">
        <v>7</v>
      </c>
      <c r="C424" s="19" t="s">
        <v>127</v>
      </c>
      <c r="D424" s="19">
        <v>42</v>
      </c>
      <c r="E424" s="19">
        <v>27</v>
      </c>
      <c r="F424" s="19">
        <v>12</v>
      </c>
      <c r="G424" s="19">
        <v>6</v>
      </c>
      <c r="H424" s="19">
        <v>9</v>
      </c>
      <c r="I424" s="19">
        <v>57</v>
      </c>
      <c r="J424" s="19">
        <v>57</v>
      </c>
      <c r="K424" s="19">
        <v>0</v>
      </c>
    </row>
    <row r="425" spans="1:11">
      <c r="A425" s="19">
        <v>27</v>
      </c>
      <c r="B425" s="19">
        <v>8</v>
      </c>
      <c r="C425" s="19" t="s">
        <v>124</v>
      </c>
      <c r="D425" s="19">
        <v>40</v>
      </c>
      <c r="E425" s="19">
        <v>27</v>
      </c>
      <c r="F425" s="19">
        <v>11</v>
      </c>
      <c r="G425" s="19">
        <v>7</v>
      </c>
      <c r="H425" s="19">
        <v>9</v>
      </c>
      <c r="I425" s="19">
        <v>61</v>
      </c>
      <c r="J425" s="19">
        <v>47</v>
      </c>
      <c r="K425" s="19">
        <v>14</v>
      </c>
    </row>
    <row r="426" spans="1:11">
      <c r="A426" s="19">
        <v>27</v>
      </c>
      <c r="B426" s="19">
        <v>9</v>
      </c>
      <c r="C426" s="19" t="s">
        <v>129</v>
      </c>
      <c r="D426" s="19">
        <v>35</v>
      </c>
      <c r="E426" s="19">
        <v>26</v>
      </c>
      <c r="F426" s="19">
        <v>10</v>
      </c>
      <c r="G426" s="19">
        <v>5</v>
      </c>
      <c r="H426" s="19">
        <v>11</v>
      </c>
      <c r="I426" s="19">
        <v>45</v>
      </c>
      <c r="J426" s="19">
        <v>51</v>
      </c>
      <c r="K426" s="19">
        <v>-6</v>
      </c>
    </row>
    <row r="427" spans="1:11">
      <c r="A427" s="19">
        <v>27</v>
      </c>
      <c r="B427" s="19">
        <v>10</v>
      </c>
      <c r="C427" s="19" t="s">
        <v>135</v>
      </c>
      <c r="D427" s="19">
        <v>35</v>
      </c>
      <c r="E427" s="19">
        <v>27</v>
      </c>
      <c r="F427" s="19">
        <v>10</v>
      </c>
      <c r="G427" s="19">
        <v>5</v>
      </c>
      <c r="H427" s="19">
        <v>12</v>
      </c>
      <c r="I427" s="19">
        <v>38</v>
      </c>
      <c r="J427" s="19">
        <v>47</v>
      </c>
      <c r="K427" s="19">
        <v>-9</v>
      </c>
    </row>
    <row r="428" spans="1:11">
      <c r="A428" s="19">
        <v>27</v>
      </c>
      <c r="B428" s="19">
        <v>11</v>
      </c>
      <c r="C428" s="19" t="s">
        <v>126</v>
      </c>
      <c r="D428" s="19">
        <v>34</v>
      </c>
      <c r="E428" s="19">
        <v>27</v>
      </c>
      <c r="F428" s="19">
        <v>10</v>
      </c>
      <c r="G428" s="19">
        <v>4</v>
      </c>
      <c r="H428" s="19">
        <v>13</v>
      </c>
      <c r="I428" s="19">
        <v>53</v>
      </c>
      <c r="J428" s="19">
        <v>61</v>
      </c>
      <c r="K428" s="19">
        <v>-8</v>
      </c>
    </row>
    <row r="429" spans="1:11">
      <c r="A429" s="19">
        <v>27</v>
      </c>
      <c r="B429" s="19">
        <v>12</v>
      </c>
      <c r="C429" s="19" t="s">
        <v>131</v>
      </c>
      <c r="D429" s="19">
        <v>30</v>
      </c>
      <c r="E429" s="19">
        <v>27</v>
      </c>
      <c r="F429" s="19">
        <v>9</v>
      </c>
      <c r="G429" s="19">
        <v>3</v>
      </c>
      <c r="H429" s="19">
        <v>15</v>
      </c>
      <c r="I429" s="19">
        <v>63</v>
      </c>
      <c r="J429" s="19">
        <v>70</v>
      </c>
      <c r="K429" s="19">
        <v>-7</v>
      </c>
    </row>
    <row r="430" spans="1:11">
      <c r="A430" s="19">
        <v>27</v>
      </c>
      <c r="B430" s="19">
        <v>13</v>
      </c>
      <c r="C430" s="19" t="s">
        <v>128</v>
      </c>
      <c r="D430" s="19">
        <v>28</v>
      </c>
      <c r="E430" s="19">
        <v>27</v>
      </c>
      <c r="F430" s="19">
        <v>7</v>
      </c>
      <c r="G430" s="19">
        <v>7</v>
      </c>
      <c r="H430" s="19">
        <v>13</v>
      </c>
      <c r="I430" s="19">
        <v>35</v>
      </c>
      <c r="J430" s="19">
        <v>46</v>
      </c>
      <c r="K430" s="19">
        <v>-11</v>
      </c>
    </row>
    <row r="431" spans="1:11">
      <c r="A431" s="19">
        <v>27</v>
      </c>
      <c r="B431" s="19">
        <v>14</v>
      </c>
      <c r="C431" s="19" t="s">
        <v>134</v>
      </c>
      <c r="D431" s="19">
        <v>26</v>
      </c>
      <c r="E431" s="19">
        <v>27</v>
      </c>
      <c r="F431" s="19">
        <v>7</v>
      </c>
      <c r="G431" s="19">
        <v>5</v>
      </c>
      <c r="H431" s="19">
        <v>15</v>
      </c>
      <c r="I431" s="19">
        <v>40</v>
      </c>
      <c r="J431" s="19">
        <v>65</v>
      </c>
      <c r="K431" s="19">
        <v>-25</v>
      </c>
    </row>
    <row r="432" spans="1:11">
      <c r="A432" s="19">
        <v>27</v>
      </c>
      <c r="B432" s="19">
        <v>15</v>
      </c>
      <c r="C432" s="19" t="s">
        <v>133</v>
      </c>
      <c r="D432" s="19">
        <v>16</v>
      </c>
      <c r="E432" s="19">
        <v>27</v>
      </c>
      <c r="F432" s="19">
        <v>5</v>
      </c>
      <c r="G432" s="19">
        <v>1</v>
      </c>
      <c r="H432" s="19">
        <v>21</v>
      </c>
      <c r="I432" s="19">
        <v>23</v>
      </c>
      <c r="J432" s="19">
        <v>68</v>
      </c>
      <c r="K432" s="19">
        <v>-45</v>
      </c>
    </row>
    <row r="433" spans="1:11">
      <c r="A433" s="19">
        <v>27</v>
      </c>
      <c r="B433" s="19">
        <v>16</v>
      </c>
      <c r="C433" s="19" t="s">
        <v>136</v>
      </c>
      <c r="D433" s="19">
        <v>10</v>
      </c>
      <c r="E433" s="19">
        <v>27</v>
      </c>
      <c r="F433" s="19">
        <v>2</v>
      </c>
      <c r="G433" s="19">
        <v>4</v>
      </c>
      <c r="H433" s="19">
        <v>21</v>
      </c>
      <c r="I433" s="19">
        <v>21</v>
      </c>
      <c r="J433" s="19">
        <v>77</v>
      </c>
      <c r="K433" s="19">
        <v>-56</v>
      </c>
    </row>
    <row r="434" spans="1:11">
      <c r="A434" s="19">
        <v>28</v>
      </c>
      <c r="B434" s="19">
        <v>1</v>
      </c>
      <c r="C434" s="19" t="s">
        <v>132</v>
      </c>
      <c r="D434" s="19">
        <v>63</v>
      </c>
      <c r="E434" s="19">
        <v>28</v>
      </c>
      <c r="F434" s="19">
        <v>20</v>
      </c>
      <c r="G434" s="19">
        <v>3</v>
      </c>
      <c r="H434" s="19">
        <v>5</v>
      </c>
      <c r="I434" s="19">
        <v>95</v>
      </c>
      <c r="J434" s="19">
        <v>46</v>
      </c>
      <c r="K434" s="19">
        <v>49</v>
      </c>
    </row>
    <row r="435" spans="1:11">
      <c r="A435" s="19">
        <v>28</v>
      </c>
      <c r="B435" s="19">
        <v>2</v>
      </c>
      <c r="C435" s="19" t="s">
        <v>125</v>
      </c>
      <c r="D435" s="19">
        <v>60</v>
      </c>
      <c r="E435" s="19">
        <v>28</v>
      </c>
      <c r="F435" s="19">
        <v>18</v>
      </c>
      <c r="G435" s="19">
        <v>6</v>
      </c>
      <c r="H435" s="19">
        <v>4</v>
      </c>
      <c r="I435" s="19">
        <v>69</v>
      </c>
      <c r="J435" s="19">
        <v>29</v>
      </c>
      <c r="K435" s="19">
        <v>40</v>
      </c>
    </row>
    <row r="436" spans="1:11">
      <c r="A436" s="19">
        <v>28</v>
      </c>
      <c r="B436" s="19">
        <v>3</v>
      </c>
      <c r="C436" s="19" t="s">
        <v>130</v>
      </c>
      <c r="D436" s="19">
        <v>52</v>
      </c>
      <c r="E436" s="19">
        <v>27</v>
      </c>
      <c r="F436" s="19">
        <v>15</v>
      </c>
      <c r="G436" s="19">
        <v>7</v>
      </c>
      <c r="H436" s="19">
        <v>5</v>
      </c>
      <c r="I436" s="19">
        <v>69</v>
      </c>
      <c r="J436" s="19">
        <v>38</v>
      </c>
      <c r="K436" s="19">
        <v>31</v>
      </c>
    </row>
    <row r="437" spans="1:11">
      <c r="A437" s="19">
        <v>28</v>
      </c>
      <c r="B437" s="19">
        <v>4</v>
      </c>
      <c r="C437" s="19" t="s">
        <v>121</v>
      </c>
      <c r="D437" s="19">
        <v>50</v>
      </c>
      <c r="E437" s="19">
        <v>28</v>
      </c>
      <c r="F437" s="19">
        <v>15</v>
      </c>
      <c r="G437" s="19">
        <v>5</v>
      </c>
      <c r="H437" s="19">
        <v>8</v>
      </c>
      <c r="I437" s="19">
        <v>61</v>
      </c>
      <c r="J437" s="19">
        <v>35</v>
      </c>
      <c r="K437" s="19">
        <v>26</v>
      </c>
    </row>
    <row r="438" spans="1:11">
      <c r="A438" s="19">
        <v>28</v>
      </c>
      <c r="B438" s="19">
        <v>5</v>
      </c>
      <c r="C438" s="19" t="s">
        <v>122</v>
      </c>
      <c r="D438" s="19">
        <v>48</v>
      </c>
      <c r="E438" s="19">
        <v>28</v>
      </c>
      <c r="F438" s="19">
        <v>14</v>
      </c>
      <c r="G438" s="19">
        <v>6</v>
      </c>
      <c r="H438" s="19">
        <v>8</v>
      </c>
      <c r="I438" s="19">
        <v>55</v>
      </c>
      <c r="J438" s="19">
        <v>51</v>
      </c>
      <c r="K438" s="19">
        <v>4</v>
      </c>
    </row>
    <row r="439" spans="1:11">
      <c r="A439" s="19">
        <v>28</v>
      </c>
      <c r="B439" s="19">
        <v>6</v>
      </c>
      <c r="C439" s="19" t="s">
        <v>123</v>
      </c>
      <c r="D439" s="19">
        <v>48</v>
      </c>
      <c r="E439" s="19">
        <v>28</v>
      </c>
      <c r="F439" s="19">
        <v>14</v>
      </c>
      <c r="G439" s="19">
        <v>6</v>
      </c>
      <c r="H439" s="19">
        <v>8</v>
      </c>
      <c r="I439" s="19">
        <v>51</v>
      </c>
      <c r="J439" s="19">
        <v>43</v>
      </c>
      <c r="K439" s="19">
        <v>8</v>
      </c>
    </row>
    <row r="440" spans="1:11">
      <c r="A440" s="19">
        <v>28</v>
      </c>
      <c r="B440" s="19">
        <v>7</v>
      </c>
      <c r="C440" s="19" t="s">
        <v>124</v>
      </c>
      <c r="D440" s="19">
        <v>43</v>
      </c>
      <c r="E440" s="19">
        <v>28</v>
      </c>
      <c r="F440" s="19">
        <v>12</v>
      </c>
      <c r="G440" s="19">
        <v>7</v>
      </c>
      <c r="H440" s="19">
        <v>9</v>
      </c>
      <c r="I440" s="19">
        <v>64</v>
      </c>
      <c r="J440" s="19">
        <v>47</v>
      </c>
      <c r="K440" s="19">
        <v>17</v>
      </c>
    </row>
    <row r="441" spans="1:11">
      <c r="A441" s="19">
        <v>28</v>
      </c>
      <c r="B441" s="19">
        <v>8</v>
      </c>
      <c r="C441" s="19" t="s">
        <v>127</v>
      </c>
      <c r="D441" s="19">
        <v>42</v>
      </c>
      <c r="E441" s="19">
        <v>28</v>
      </c>
      <c r="F441" s="19">
        <v>12</v>
      </c>
      <c r="G441" s="19">
        <v>6</v>
      </c>
      <c r="H441" s="19">
        <v>10</v>
      </c>
      <c r="I441" s="19">
        <v>58</v>
      </c>
      <c r="J441" s="19">
        <v>60</v>
      </c>
      <c r="K441" s="19">
        <v>-2</v>
      </c>
    </row>
    <row r="442" spans="1:11">
      <c r="A442" s="19">
        <v>28</v>
      </c>
      <c r="B442" s="19">
        <v>9</v>
      </c>
      <c r="C442" s="19" t="s">
        <v>129</v>
      </c>
      <c r="D442" s="19">
        <v>36</v>
      </c>
      <c r="E442" s="19">
        <v>27</v>
      </c>
      <c r="F442" s="19">
        <v>10</v>
      </c>
      <c r="G442" s="19">
        <v>6</v>
      </c>
      <c r="H442" s="19">
        <v>11</v>
      </c>
      <c r="I442" s="19">
        <v>45</v>
      </c>
      <c r="J442" s="19">
        <v>51</v>
      </c>
      <c r="K442" s="19">
        <v>-6</v>
      </c>
    </row>
    <row r="443" spans="1:11">
      <c r="A443" s="19">
        <v>28</v>
      </c>
      <c r="B443" s="19">
        <v>10</v>
      </c>
      <c r="C443" s="19" t="s">
        <v>135</v>
      </c>
      <c r="D443" s="19">
        <v>36</v>
      </c>
      <c r="E443" s="19">
        <v>28</v>
      </c>
      <c r="F443" s="19">
        <v>10</v>
      </c>
      <c r="G443" s="19">
        <v>6</v>
      </c>
      <c r="H443" s="19">
        <v>12</v>
      </c>
      <c r="I443" s="19">
        <v>38</v>
      </c>
      <c r="J443" s="19">
        <v>47</v>
      </c>
      <c r="K443" s="19">
        <v>-9</v>
      </c>
    </row>
    <row r="444" spans="1:11">
      <c r="A444" s="19">
        <v>28</v>
      </c>
      <c r="B444" s="19">
        <v>11</v>
      </c>
      <c r="C444" s="19" t="s">
        <v>126</v>
      </c>
      <c r="D444" s="19">
        <v>34</v>
      </c>
      <c r="E444" s="19">
        <v>28</v>
      </c>
      <c r="F444" s="19">
        <v>10</v>
      </c>
      <c r="G444" s="19">
        <v>4</v>
      </c>
      <c r="H444" s="19">
        <v>14</v>
      </c>
      <c r="I444" s="19">
        <v>54</v>
      </c>
      <c r="J444" s="19">
        <v>63</v>
      </c>
      <c r="K444" s="19">
        <v>-9</v>
      </c>
    </row>
    <row r="445" spans="1:11">
      <c r="A445" s="19">
        <v>28</v>
      </c>
      <c r="B445" s="19">
        <v>12</v>
      </c>
      <c r="C445" s="19" t="s">
        <v>128</v>
      </c>
      <c r="D445" s="19">
        <v>31</v>
      </c>
      <c r="E445" s="19">
        <v>28</v>
      </c>
      <c r="F445" s="19">
        <v>8</v>
      </c>
      <c r="G445" s="19">
        <v>7</v>
      </c>
      <c r="H445" s="19">
        <v>13</v>
      </c>
      <c r="I445" s="19">
        <v>37</v>
      </c>
      <c r="J445" s="19">
        <v>47</v>
      </c>
      <c r="K445" s="19">
        <v>-10</v>
      </c>
    </row>
    <row r="446" spans="1:11">
      <c r="A446" s="19">
        <v>28</v>
      </c>
      <c r="B446" s="19">
        <v>13</v>
      </c>
      <c r="C446" s="19" t="s">
        <v>131</v>
      </c>
      <c r="D446" s="19">
        <v>30</v>
      </c>
      <c r="E446" s="19">
        <v>28</v>
      </c>
      <c r="F446" s="19">
        <v>9</v>
      </c>
      <c r="G446" s="19">
        <v>3</v>
      </c>
      <c r="H446" s="19">
        <v>16</v>
      </c>
      <c r="I446" s="19">
        <v>64</v>
      </c>
      <c r="J446" s="19">
        <v>73</v>
      </c>
      <c r="K446" s="19">
        <v>-9</v>
      </c>
    </row>
    <row r="447" spans="1:11">
      <c r="A447" s="19">
        <v>28</v>
      </c>
      <c r="B447" s="19">
        <v>14</v>
      </c>
      <c r="C447" s="19" t="s">
        <v>134</v>
      </c>
      <c r="D447" s="19">
        <v>29</v>
      </c>
      <c r="E447" s="19">
        <v>28</v>
      </c>
      <c r="F447" s="19">
        <v>8</v>
      </c>
      <c r="G447" s="19">
        <v>5</v>
      </c>
      <c r="H447" s="19">
        <v>15</v>
      </c>
      <c r="I447" s="19">
        <v>43</v>
      </c>
      <c r="J447" s="19">
        <v>66</v>
      </c>
      <c r="K447" s="19">
        <v>-23</v>
      </c>
    </row>
    <row r="448" spans="1:11">
      <c r="A448" s="19">
        <v>28</v>
      </c>
      <c r="B448" s="19">
        <v>15</v>
      </c>
      <c r="C448" s="19" t="s">
        <v>133</v>
      </c>
      <c r="D448" s="19">
        <v>16</v>
      </c>
      <c r="E448" s="19">
        <v>28</v>
      </c>
      <c r="F448" s="19">
        <v>5</v>
      </c>
      <c r="G448" s="19">
        <v>1</v>
      </c>
      <c r="H448" s="19">
        <v>22</v>
      </c>
      <c r="I448" s="19">
        <v>23</v>
      </c>
      <c r="J448" s="19">
        <v>71</v>
      </c>
      <c r="K448" s="19">
        <v>-48</v>
      </c>
    </row>
    <row r="449" spans="1:11">
      <c r="A449" s="19">
        <v>28</v>
      </c>
      <c r="B449" s="19">
        <v>16</v>
      </c>
      <c r="C449" s="19" t="s">
        <v>136</v>
      </c>
      <c r="D449" s="19">
        <v>10</v>
      </c>
      <c r="E449" s="19">
        <v>28</v>
      </c>
      <c r="F449" s="19">
        <v>2</v>
      </c>
      <c r="G449" s="19">
        <v>4</v>
      </c>
      <c r="H449" s="19">
        <v>22</v>
      </c>
      <c r="I449" s="19">
        <v>21</v>
      </c>
      <c r="J449" s="19">
        <v>80</v>
      </c>
      <c r="K449" s="19">
        <v>-59</v>
      </c>
    </row>
    <row r="450" spans="1:11">
      <c r="A450" s="19">
        <v>29</v>
      </c>
      <c r="B450" s="19">
        <v>1</v>
      </c>
      <c r="C450" s="19" t="s">
        <v>132</v>
      </c>
      <c r="D450" s="19">
        <v>64</v>
      </c>
      <c r="E450" s="19">
        <v>29</v>
      </c>
      <c r="F450" s="19">
        <v>20</v>
      </c>
      <c r="G450" s="19">
        <v>4</v>
      </c>
      <c r="H450" s="19">
        <v>5</v>
      </c>
      <c r="I450" s="19">
        <v>97</v>
      </c>
      <c r="J450" s="19">
        <v>48</v>
      </c>
      <c r="K450" s="19">
        <v>49</v>
      </c>
    </row>
    <row r="451" spans="1:11">
      <c r="A451" s="19">
        <v>29</v>
      </c>
      <c r="B451" s="19">
        <v>2</v>
      </c>
      <c r="C451" s="19" t="s">
        <v>125</v>
      </c>
      <c r="D451" s="19">
        <v>63</v>
      </c>
      <c r="E451" s="19">
        <v>29</v>
      </c>
      <c r="F451" s="19">
        <v>19</v>
      </c>
      <c r="G451" s="19">
        <v>6</v>
      </c>
      <c r="H451" s="19">
        <v>4</v>
      </c>
      <c r="I451" s="19">
        <v>70</v>
      </c>
      <c r="J451" s="19">
        <v>29</v>
      </c>
      <c r="K451" s="19">
        <v>41</v>
      </c>
    </row>
    <row r="452" spans="1:11">
      <c r="A452" s="19">
        <v>29</v>
      </c>
      <c r="B452" s="19">
        <v>3</v>
      </c>
      <c r="C452" s="19" t="s">
        <v>130</v>
      </c>
      <c r="D452" s="19">
        <v>52</v>
      </c>
      <c r="E452" s="19">
        <v>28</v>
      </c>
      <c r="F452" s="19">
        <v>15</v>
      </c>
      <c r="G452" s="19">
        <v>7</v>
      </c>
      <c r="H452" s="19">
        <v>6</v>
      </c>
      <c r="I452" s="19">
        <v>69</v>
      </c>
      <c r="J452" s="19">
        <v>39</v>
      </c>
      <c r="K452" s="19">
        <v>30</v>
      </c>
    </row>
    <row r="453" spans="1:11">
      <c r="A453" s="19">
        <v>29</v>
      </c>
      <c r="B453" s="19">
        <v>4</v>
      </c>
      <c r="C453" s="19" t="s">
        <v>122</v>
      </c>
      <c r="D453" s="19">
        <v>51</v>
      </c>
      <c r="E453" s="19">
        <v>29</v>
      </c>
      <c r="F453" s="19">
        <v>15</v>
      </c>
      <c r="G453" s="19">
        <v>6</v>
      </c>
      <c r="H453" s="19">
        <v>8</v>
      </c>
      <c r="I453" s="19">
        <v>57</v>
      </c>
      <c r="J453" s="19">
        <v>51</v>
      </c>
      <c r="K453" s="19">
        <v>6</v>
      </c>
    </row>
    <row r="454" spans="1:11">
      <c r="A454" s="19">
        <v>29</v>
      </c>
      <c r="B454" s="19">
        <v>5</v>
      </c>
      <c r="C454" s="19" t="s">
        <v>123</v>
      </c>
      <c r="D454" s="19">
        <v>51</v>
      </c>
      <c r="E454" s="19">
        <v>29</v>
      </c>
      <c r="F454" s="19">
        <v>15</v>
      </c>
      <c r="G454" s="19">
        <v>6</v>
      </c>
      <c r="H454" s="19">
        <v>8</v>
      </c>
      <c r="I454" s="19">
        <v>53</v>
      </c>
      <c r="J454" s="19">
        <v>44</v>
      </c>
      <c r="K454" s="19">
        <v>9</v>
      </c>
    </row>
    <row r="455" spans="1:11">
      <c r="A455" s="19">
        <v>29</v>
      </c>
      <c r="B455" s="19">
        <v>6</v>
      </c>
      <c r="C455" s="19" t="s">
        <v>121</v>
      </c>
      <c r="D455" s="19">
        <v>50</v>
      </c>
      <c r="E455" s="19">
        <v>29</v>
      </c>
      <c r="F455" s="19">
        <v>15</v>
      </c>
      <c r="G455" s="19">
        <v>5</v>
      </c>
      <c r="H455" s="19">
        <v>9</v>
      </c>
      <c r="I455" s="19">
        <v>61</v>
      </c>
      <c r="J455" s="19">
        <v>36</v>
      </c>
      <c r="K455" s="19">
        <v>25</v>
      </c>
    </row>
    <row r="456" spans="1:11">
      <c r="A456" s="19">
        <v>29</v>
      </c>
      <c r="B456" s="19">
        <v>7</v>
      </c>
      <c r="C456" s="19" t="s">
        <v>124</v>
      </c>
      <c r="D456" s="19">
        <v>43</v>
      </c>
      <c r="E456" s="19">
        <v>29</v>
      </c>
      <c r="F456" s="19">
        <v>12</v>
      </c>
      <c r="G456" s="19">
        <v>7</v>
      </c>
      <c r="H456" s="19">
        <v>10</v>
      </c>
      <c r="I456" s="19">
        <v>66</v>
      </c>
      <c r="J456" s="19">
        <v>52</v>
      </c>
      <c r="K456" s="19">
        <v>14</v>
      </c>
    </row>
    <row r="457" spans="1:11">
      <c r="A457" s="19">
        <v>29</v>
      </c>
      <c r="B457" s="19">
        <v>8</v>
      </c>
      <c r="C457" s="19" t="s">
        <v>127</v>
      </c>
      <c r="D457" s="19">
        <v>42</v>
      </c>
      <c r="E457" s="19">
        <v>29</v>
      </c>
      <c r="F457" s="19">
        <v>12</v>
      </c>
      <c r="G457" s="19">
        <v>6</v>
      </c>
      <c r="H457" s="19">
        <v>11</v>
      </c>
      <c r="I457" s="19">
        <v>59</v>
      </c>
      <c r="J457" s="19">
        <v>63</v>
      </c>
      <c r="K457" s="19">
        <v>-4</v>
      </c>
    </row>
    <row r="458" spans="1:11">
      <c r="A458" s="19">
        <v>29</v>
      </c>
      <c r="B458" s="19">
        <v>9</v>
      </c>
      <c r="C458" s="19" t="s">
        <v>135</v>
      </c>
      <c r="D458" s="19">
        <v>37</v>
      </c>
      <c r="E458" s="19">
        <v>29</v>
      </c>
      <c r="F458" s="19">
        <v>10</v>
      </c>
      <c r="G458" s="19">
        <v>7</v>
      </c>
      <c r="H458" s="19">
        <v>12</v>
      </c>
      <c r="I458" s="19">
        <v>39</v>
      </c>
      <c r="J458" s="19">
        <v>48</v>
      </c>
      <c r="K458" s="19">
        <v>-9</v>
      </c>
    </row>
    <row r="459" spans="1:11">
      <c r="A459" s="19">
        <v>29</v>
      </c>
      <c r="B459" s="19">
        <v>10</v>
      </c>
      <c r="C459" s="19" t="s">
        <v>126</v>
      </c>
      <c r="D459" s="19">
        <v>37</v>
      </c>
      <c r="E459" s="19">
        <v>29</v>
      </c>
      <c r="F459" s="19">
        <v>11</v>
      </c>
      <c r="G459" s="19">
        <v>4</v>
      </c>
      <c r="H459" s="19">
        <v>14</v>
      </c>
      <c r="I459" s="19">
        <v>57</v>
      </c>
      <c r="J459" s="19">
        <v>64</v>
      </c>
      <c r="K459" s="19">
        <v>-7</v>
      </c>
    </row>
    <row r="460" spans="1:11">
      <c r="A460" s="19">
        <v>29</v>
      </c>
      <c r="B460" s="19">
        <v>11</v>
      </c>
      <c r="C460" s="19" t="s">
        <v>129</v>
      </c>
      <c r="D460" s="19">
        <v>36</v>
      </c>
      <c r="E460" s="19">
        <v>28</v>
      </c>
      <c r="F460" s="19">
        <v>10</v>
      </c>
      <c r="G460" s="19">
        <v>6</v>
      </c>
      <c r="H460" s="19">
        <v>12</v>
      </c>
      <c r="I460" s="19">
        <v>45</v>
      </c>
      <c r="J460" s="19">
        <v>53</v>
      </c>
      <c r="K460" s="19">
        <v>-8</v>
      </c>
    </row>
    <row r="461" spans="1:11">
      <c r="A461" s="19">
        <v>29</v>
      </c>
      <c r="B461" s="19">
        <v>12</v>
      </c>
      <c r="C461" s="19" t="s">
        <v>128</v>
      </c>
      <c r="D461" s="19">
        <v>34</v>
      </c>
      <c r="E461" s="19">
        <v>29</v>
      </c>
      <c r="F461" s="19">
        <v>9</v>
      </c>
      <c r="G461" s="19">
        <v>7</v>
      </c>
      <c r="H461" s="19">
        <v>13</v>
      </c>
      <c r="I461" s="19">
        <v>38</v>
      </c>
      <c r="J461" s="19">
        <v>47</v>
      </c>
      <c r="K461" s="19">
        <v>-9</v>
      </c>
    </row>
    <row r="462" spans="1:11">
      <c r="A462" s="19">
        <v>29</v>
      </c>
      <c r="B462" s="19">
        <v>13</v>
      </c>
      <c r="C462" s="19" t="s">
        <v>131</v>
      </c>
      <c r="D462" s="19">
        <v>31</v>
      </c>
      <c r="E462" s="19">
        <v>29</v>
      </c>
      <c r="F462" s="19">
        <v>9</v>
      </c>
      <c r="G462" s="19">
        <v>4</v>
      </c>
      <c r="H462" s="19">
        <v>16</v>
      </c>
      <c r="I462" s="19">
        <v>65</v>
      </c>
      <c r="J462" s="19">
        <v>74</v>
      </c>
      <c r="K462" s="19">
        <v>-9</v>
      </c>
    </row>
    <row r="463" spans="1:11">
      <c r="A463" s="19">
        <v>29</v>
      </c>
      <c r="B463" s="19">
        <v>14</v>
      </c>
      <c r="C463" s="19" t="s">
        <v>134</v>
      </c>
      <c r="D463" s="19">
        <v>30</v>
      </c>
      <c r="E463" s="19">
        <v>29</v>
      </c>
      <c r="F463" s="19">
        <v>8</v>
      </c>
      <c r="G463" s="19">
        <v>6</v>
      </c>
      <c r="H463" s="19">
        <v>15</v>
      </c>
      <c r="I463" s="19">
        <v>45</v>
      </c>
      <c r="J463" s="19">
        <v>68</v>
      </c>
      <c r="K463" s="19">
        <v>-23</v>
      </c>
    </row>
    <row r="464" spans="1:11">
      <c r="A464" s="19">
        <v>29</v>
      </c>
      <c r="B464" s="19">
        <v>15</v>
      </c>
      <c r="C464" s="19" t="s">
        <v>133</v>
      </c>
      <c r="D464" s="19">
        <v>19</v>
      </c>
      <c r="E464" s="19">
        <v>29</v>
      </c>
      <c r="F464" s="19">
        <v>6</v>
      </c>
      <c r="G464" s="19">
        <v>1</v>
      </c>
      <c r="H464" s="19">
        <v>22</v>
      </c>
      <c r="I464" s="19">
        <v>28</v>
      </c>
      <c r="J464" s="19">
        <v>73</v>
      </c>
      <c r="K464" s="19">
        <v>-45</v>
      </c>
    </row>
    <row r="465" spans="1:11">
      <c r="A465" s="19">
        <v>29</v>
      </c>
      <c r="B465" s="19">
        <v>16</v>
      </c>
      <c r="C465" s="19" t="s">
        <v>136</v>
      </c>
      <c r="D465" s="19">
        <v>10</v>
      </c>
      <c r="E465" s="19">
        <v>29</v>
      </c>
      <c r="F465" s="19">
        <v>2</v>
      </c>
      <c r="G465" s="19">
        <v>4</v>
      </c>
      <c r="H465" s="19">
        <v>23</v>
      </c>
      <c r="I465" s="19">
        <v>22</v>
      </c>
      <c r="J465" s="19">
        <v>82</v>
      </c>
      <c r="K465" s="19">
        <v>-60</v>
      </c>
    </row>
    <row r="466" spans="1:11">
      <c r="A466" s="19">
        <v>30</v>
      </c>
      <c r="B466" s="19">
        <v>1</v>
      </c>
      <c r="C466" s="19" t="s">
        <v>132</v>
      </c>
      <c r="D466" s="19">
        <v>67</v>
      </c>
      <c r="E466" s="19">
        <v>30</v>
      </c>
      <c r="F466" s="19">
        <v>21</v>
      </c>
      <c r="G466" s="19">
        <v>4</v>
      </c>
      <c r="H466" s="19">
        <v>5</v>
      </c>
      <c r="I466" s="19">
        <v>100</v>
      </c>
      <c r="J466" s="19">
        <v>49</v>
      </c>
      <c r="K466" s="19">
        <v>51</v>
      </c>
    </row>
    <row r="467" spans="1:11">
      <c r="A467" s="19">
        <v>30</v>
      </c>
      <c r="B467" s="19">
        <v>2</v>
      </c>
      <c r="C467" s="19" t="s">
        <v>125</v>
      </c>
      <c r="D467" s="19">
        <v>66</v>
      </c>
      <c r="E467" s="19">
        <v>30</v>
      </c>
      <c r="F467" s="19">
        <v>20</v>
      </c>
      <c r="G467" s="19">
        <v>6</v>
      </c>
      <c r="H467" s="19">
        <v>4</v>
      </c>
      <c r="I467" s="19">
        <v>71</v>
      </c>
      <c r="J467" s="19">
        <v>29</v>
      </c>
      <c r="K467" s="19">
        <v>42</v>
      </c>
    </row>
    <row r="468" spans="1:11">
      <c r="A468" s="19">
        <v>30</v>
      </c>
      <c r="B468" s="19">
        <v>3</v>
      </c>
      <c r="C468" s="19" t="s">
        <v>130</v>
      </c>
      <c r="D468" s="19">
        <v>55</v>
      </c>
      <c r="E468" s="19">
        <v>29</v>
      </c>
      <c r="F468" s="19">
        <v>16</v>
      </c>
      <c r="G468" s="19">
        <v>7</v>
      </c>
      <c r="H468" s="19">
        <v>6</v>
      </c>
      <c r="I468" s="19">
        <v>71</v>
      </c>
      <c r="J468" s="19">
        <v>39</v>
      </c>
      <c r="K468" s="19">
        <v>32</v>
      </c>
    </row>
    <row r="469" spans="1:11">
      <c r="A469" s="19">
        <v>30</v>
      </c>
      <c r="B469" s="19">
        <v>4</v>
      </c>
      <c r="C469" s="19" t="s">
        <v>122</v>
      </c>
      <c r="D469" s="19">
        <v>51</v>
      </c>
      <c r="E469" s="19">
        <v>30</v>
      </c>
      <c r="F469" s="19">
        <v>15</v>
      </c>
      <c r="G469" s="19">
        <v>6</v>
      </c>
      <c r="H469" s="19">
        <v>9</v>
      </c>
      <c r="I469" s="19">
        <v>59</v>
      </c>
      <c r="J469" s="19">
        <v>54</v>
      </c>
      <c r="K469" s="19">
        <v>5</v>
      </c>
    </row>
    <row r="470" spans="1:11">
      <c r="A470" s="19">
        <v>30</v>
      </c>
      <c r="B470" s="19">
        <v>5</v>
      </c>
      <c r="C470" s="19" t="s">
        <v>123</v>
      </c>
      <c r="D470" s="19">
        <v>51</v>
      </c>
      <c r="E470" s="19">
        <v>30</v>
      </c>
      <c r="F470" s="19">
        <v>15</v>
      </c>
      <c r="G470" s="19">
        <v>6</v>
      </c>
      <c r="H470" s="19">
        <v>9</v>
      </c>
      <c r="I470" s="19">
        <v>53</v>
      </c>
      <c r="J470" s="19">
        <v>45</v>
      </c>
      <c r="K470" s="19">
        <v>8</v>
      </c>
    </row>
    <row r="471" spans="1:11">
      <c r="A471" s="19">
        <v>30</v>
      </c>
      <c r="B471" s="19">
        <v>6</v>
      </c>
      <c r="C471" s="19" t="s">
        <v>121</v>
      </c>
      <c r="D471" s="19">
        <v>50</v>
      </c>
      <c r="E471" s="19">
        <v>30</v>
      </c>
      <c r="F471" s="19">
        <v>15</v>
      </c>
      <c r="G471" s="19">
        <v>5</v>
      </c>
      <c r="H471" s="19">
        <v>10</v>
      </c>
      <c r="I471" s="19">
        <v>63</v>
      </c>
      <c r="J471" s="19">
        <v>39</v>
      </c>
      <c r="K471" s="19">
        <v>24</v>
      </c>
    </row>
    <row r="472" spans="1:11">
      <c r="A472" s="19">
        <v>30</v>
      </c>
      <c r="B472" s="19">
        <v>7</v>
      </c>
      <c r="C472" s="19" t="s">
        <v>124</v>
      </c>
      <c r="D472" s="19">
        <v>46</v>
      </c>
      <c r="E472" s="19">
        <v>30</v>
      </c>
      <c r="F472" s="19">
        <v>13</v>
      </c>
      <c r="G472" s="19">
        <v>7</v>
      </c>
      <c r="H472" s="19">
        <v>10</v>
      </c>
      <c r="I472" s="19">
        <v>69</v>
      </c>
      <c r="J472" s="19">
        <v>54</v>
      </c>
      <c r="K472" s="19">
        <v>15</v>
      </c>
    </row>
    <row r="473" spans="1:11">
      <c r="A473" s="19">
        <v>30</v>
      </c>
      <c r="B473" s="19">
        <v>8</v>
      </c>
      <c r="C473" s="19" t="s">
        <v>127</v>
      </c>
      <c r="D473" s="19">
        <v>42</v>
      </c>
      <c r="E473" s="19">
        <v>30</v>
      </c>
      <c r="F473" s="19">
        <v>12</v>
      </c>
      <c r="G473" s="19">
        <v>6</v>
      </c>
      <c r="H473" s="19">
        <v>12</v>
      </c>
      <c r="I473" s="19">
        <v>59</v>
      </c>
      <c r="J473" s="19">
        <v>65</v>
      </c>
      <c r="K473" s="19">
        <v>-6</v>
      </c>
    </row>
    <row r="474" spans="1:11">
      <c r="A474" s="19">
        <v>30</v>
      </c>
      <c r="B474" s="19">
        <v>9</v>
      </c>
      <c r="C474" s="19" t="s">
        <v>126</v>
      </c>
      <c r="D474" s="19">
        <v>38</v>
      </c>
      <c r="E474" s="19">
        <v>30</v>
      </c>
      <c r="F474" s="19">
        <v>11</v>
      </c>
      <c r="G474" s="19">
        <v>5</v>
      </c>
      <c r="H474" s="19">
        <v>14</v>
      </c>
      <c r="I474" s="19">
        <v>59</v>
      </c>
      <c r="J474" s="19">
        <v>66</v>
      </c>
      <c r="K474" s="19">
        <v>-7</v>
      </c>
    </row>
    <row r="475" spans="1:11">
      <c r="A475" s="19">
        <v>30</v>
      </c>
      <c r="B475" s="19">
        <v>10</v>
      </c>
      <c r="C475" s="19" t="s">
        <v>129</v>
      </c>
      <c r="D475" s="19">
        <v>37</v>
      </c>
      <c r="E475" s="19">
        <v>29</v>
      </c>
      <c r="F475" s="19">
        <v>10</v>
      </c>
      <c r="G475" s="19">
        <v>7</v>
      </c>
      <c r="H475" s="19">
        <v>12</v>
      </c>
      <c r="I475" s="19">
        <v>47</v>
      </c>
      <c r="J475" s="19">
        <v>55</v>
      </c>
      <c r="K475" s="19">
        <v>-8</v>
      </c>
    </row>
    <row r="476" spans="1:11">
      <c r="A476" s="19">
        <v>30</v>
      </c>
      <c r="B476" s="19">
        <v>11</v>
      </c>
      <c r="C476" s="19" t="s">
        <v>135</v>
      </c>
      <c r="D476" s="19">
        <v>37</v>
      </c>
      <c r="E476" s="19">
        <v>30</v>
      </c>
      <c r="F476" s="19">
        <v>10</v>
      </c>
      <c r="G476" s="19">
        <v>7</v>
      </c>
      <c r="H476" s="19">
        <v>13</v>
      </c>
      <c r="I476" s="19">
        <v>40</v>
      </c>
      <c r="J476" s="19">
        <v>51</v>
      </c>
      <c r="K476" s="19">
        <v>-11</v>
      </c>
    </row>
    <row r="477" spans="1:11">
      <c r="A477" s="19">
        <v>30</v>
      </c>
      <c r="B477" s="19">
        <v>12</v>
      </c>
      <c r="C477" s="19" t="s">
        <v>128</v>
      </c>
      <c r="D477" s="19">
        <v>37</v>
      </c>
      <c r="E477" s="19">
        <v>30</v>
      </c>
      <c r="F477" s="19">
        <v>10</v>
      </c>
      <c r="G477" s="19">
        <v>7</v>
      </c>
      <c r="H477" s="19">
        <v>13</v>
      </c>
      <c r="I477" s="19">
        <v>39</v>
      </c>
      <c r="J477" s="19">
        <v>47</v>
      </c>
      <c r="K477" s="19">
        <v>-8</v>
      </c>
    </row>
    <row r="478" spans="1:11">
      <c r="A478" s="19">
        <v>30</v>
      </c>
      <c r="B478" s="19">
        <v>13</v>
      </c>
      <c r="C478" s="19" t="s">
        <v>131</v>
      </c>
      <c r="D478" s="19">
        <v>34</v>
      </c>
      <c r="E478" s="19">
        <v>30</v>
      </c>
      <c r="F478" s="19">
        <v>10</v>
      </c>
      <c r="G478" s="19">
        <v>4</v>
      </c>
      <c r="H478" s="19">
        <v>16</v>
      </c>
      <c r="I478" s="19">
        <v>68</v>
      </c>
      <c r="J478" s="19">
        <v>76</v>
      </c>
      <c r="K478" s="19">
        <v>-8</v>
      </c>
    </row>
    <row r="479" spans="1:11">
      <c r="A479" s="19">
        <v>30</v>
      </c>
      <c r="B479" s="19">
        <v>14</v>
      </c>
      <c r="C479" s="19" t="s">
        <v>134</v>
      </c>
      <c r="D479" s="19">
        <v>30</v>
      </c>
      <c r="E479" s="19">
        <v>30</v>
      </c>
      <c r="F479" s="19">
        <v>8</v>
      </c>
      <c r="G479" s="19">
        <v>6</v>
      </c>
      <c r="H479" s="19">
        <v>16</v>
      </c>
      <c r="I479" s="19">
        <v>45</v>
      </c>
      <c r="J479" s="19">
        <v>69</v>
      </c>
      <c r="K479" s="19">
        <v>-24</v>
      </c>
    </row>
    <row r="480" spans="1:11">
      <c r="A480" s="19">
        <v>30</v>
      </c>
      <c r="B480" s="19">
        <v>15</v>
      </c>
      <c r="C480" s="19" t="s">
        <v>133</v>
      </c>
      <c r="D480" s="19">
        <v>22</v>
      </c>
      <c r="E480" s="19">
        <v>30</v>
      </c>
      <c r="F480" s="19">
        <v>7</v>
      </c>
      <c r="G480" s="19">
        <v>1</v>
      </c>
      <c r="H480" s="19">
        <v>22</v>
      </c>
      <c r="I480" s="19">
        <v>35</v>
      </c>
      <c r="J480" s="19">
        <v>75</v>
      </c>
      <c r="K480" s="19">
        <v>-40</v>
      </c>
    </row>
    <row r="481" spans="1:11">
      <c r="A481" s="19">
        <v>30</v>
      </c>
      <c r="B481" s="19">
        <v>16</v>
      </c>
      <c r="C481" s="19" t="s">
        <v>136</v>
      </c>
      <c r="D481" s="19">
        <v>10</v>
      </c>
      <c r="E481" s="19">
        <v>30</v>
      </c>
      <c r="F481" s="19">
        <v>2</v>
      </c>
      <c r="G481" s="19">
        <v>4</v>
      </c>
      <c r="H481" s="19">
        <v>24</v>
      </c>
      <c r="I481" s="19">
        <v>24</v>
      </c>
      <c r="J481" s="19">
        <v>89</v>
      </c>
      <c r="K481" s="19">
        <v>-65</v>
      </c>
    </row>
  </sheetData>
  <sortState xmlns:xlrd2="http://schemas.microsoft.com/office/spreadsheetml/2017/richdata2" ref="E22:E23">
    <sortCondition ref="E21:E23"/>
  </sortState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4993-FDF3-5347-A548-E155AEA76AC9}">
  <dimension ref="A1:N74"/>
  <sheetViews>
    <sheetView topLeftCell="A8" workbookViewId="0">
      <selection activeCell="T23" sqref="T23"/>
    </sheetView>
  </sheetViews>
  <sheetFormatPr baseColWidth="10" defaultRowHeight="16"/>
  <cols>
    <col min="1" max="1" width="16.83203125" bestFit="1" customWidth="1"/>
    <col min="2" max="2" width="17.83203125" bestFit="1" customWidth="1"/>
    <col min="3" max="3" width="20.6640625" bestFit="1" customWidth="1"/>
    <col min="4" max="4" width="13.6640625" bestFit="1" customWidth="1"/>
    <col min="5" max="5" width="14.6640625" bestFit="1" customWidth="1"/>
    <col min="6" max="6" width="13.33203125" bestFit="1" customWidth="1"/>
    <col min="7" max="7" width="12.83203125" bestFit="1" customWidth="1"/>
    <col min="8" max="8" width="6.6640625" bestFit="1" customWidth="1"/>
    <col min="9" max="9" width="19.1640625" bestFit="1" customWidth="1"/>
    <col min="10" max="10" width="12.83203125" bestFit="1" customWidth="1"/>
    <col min="11" max="11" width="20.33203125" bestFit="1" customWidth="1"/>
    <col min="12" max="13" width="14.6640625" bestFit="1" customWidth="1"/>
    <col min="14" max="14" width="22" bestFit="1" customWidth="1"/>
    <col min="15" max="15" width="20.33203125" bestFit="1" customWidth="1"/>
    <col min="16" max="16" width="14.6640625" bestFit="1" customWidth="1"/>
    <col min="17" max="17" width="32.5" bestFit="1" customWidth="1"/>
    <col min="18" max="19" width="29" bestFit="1" customWidth="1"/>
    <col min="20" max="20" width="18.33203125" bestFit="1" customWidth="1"/>
  </cols>
  <sheetData>
    <row r="1" spans="1:12">
      <c r="A1" s="3" t="s">
        <v>15</v>
      </c>
      <c r="B1" t="s">
        <v>18</v>
      </c>
      <c r="C1" t="s">
        <v>19</v>
      </c>
      <c r="D1" t="s">
        <v>20</v>
      </c>
      <c r="E1" t="s">
        <v>22</v>
      </c>
      <c r="F1" t="s">
        <v>17</v>
      </c>
      <c r="G1" t="s">
        <v>23</v>
      </c>
      <c r="H1" t="s">
        <v>26</v>
      </c>
      <c r="I1" t="s">
        <v>24</v>
      </c>
      <c r="J1" t="s">
        <v>27</v>
      </c>
      <c r="K1" t="s">
        <v>25</v>
      </c>
      <c r="L1" t="s">
        <v>28</v>
      </c>
    </row>
    <row r="2" spans="1:12">
      <c r="A2" s="4" t="s">
        <v>16</v>
      </c>
      <c r="E2" s="5">
        <v>0</v>
      </c>
      <c r="G2" s="5" t="e">
        <v>#VALUE!</v>
      </c>
      <c r="H2" s="5">
        <v>0</v>
      </c>
      <c r="I2" s="5">
        <v>0</v>
      </c>
      <c r="J2" s="5">
        <v>0</v>
      </c>
      <c r="K2">
        <v>0</v>
      </c>
      <c r="L2">
        <v>0</v>
      </c>
    </row>
    <row r="34" spans="1:14">
      <c r="A34" s="3" t="s">
        <v>15</v>
      </c>
    </row>
    <row r="35" spans="1:14">
      <c r="A35" s="4" t="s">
        <v>16</v>
      </c>
      <c r="K35">
        <v>1938</v>
      </c>
      <c r="L35">
        <v>5</v>
      </c>
      <c r="N35" t="e">
        <f>+GETPIVOTDATA("Suma de Goles",$A$1,"Nombre","Mario Hermo Lata")/GETPIVOTDATA("Suma de Minutos",$A$1,"Nombre","Mario Hermo Lata")</f>
        <v>#REF!</v>
      </c>
    </row>
    <row r="36" spans="1:14">
      <c r="K36">
        <v>2160</v>
      </c>
      <c r="N36" t="e">
        <f>+N35*90</f>
        <v>#REF!</v>
      </c>
    </row>
    <row r="37" spans="1:14">
      <c r="L37">
        <f>(K36*L35)/K35</f>
        <v>5.5727554179566567</v>
      </c>
    </row>
    <row r="39" spans="1:14">
      <c r="K39">
        <v>72.67</v>
      </c>
      <c r="L39">
        <v>0.41670000000000001</v>
      </c>
    </row>
    <row r="40" spans="1:14">
      <c r="K40">
        <v>90</v>
      </c>
      <c r="L40" t="s">
        <v>21</v>
      </c>
    </row>
    <row r="42" spans="1:14">
      <c r="K42">
        <f>(K40*L39)/K39</f>
        <v>0.51607265721755879</v>
      </c>
    </row>
    <row r="44" spans="1:14">
      <c r="A44" s="3" t="s">
        <v>15</v>
      </c>
      <c r="B44" t="s">
        <v>17</v>
      </c>
      <c r="E44" s="3" t="s">
        <v>15</v>
      </c>
    </row>
    <row r="45" spans="1:14">
      <c r="A45" s="4" t="s">
        <v>108</v>
      </c>
      <c r="B45">
        <v>4</v>
      </c>
      <c r="E45" s="4" t="s">
        <v>82</v>
      </c>
    </row>
    <row r="46" spans="1:14">
      <c r="A46" s="4" t="s">
        <v>105</v>
      </c>
      <c r="B46">
        <v>3</v>
      </c>
      <c r="E46" s="4" t="s">
        <v>88</v>
      </c>
    </row>
    <row r="47" spans="1:14">
      <c r="A47" s="4" t="s">
        <v>93</v>
      </c>
      <c r="B47">
        <v>2</v>
      </c>
      <c r="E47" s="4" t="s">
        <v>89</v>
      </c>
    </row>
    <row r="48" spans="1:14">
      <c r="A48" s="4" t="s">
        <v>91</v>
      </c>
      <c r="B48">
        <v>2</v>
      </c>
      <c r="E48" s="4" t="s">
        <v>104</v>
      </c>
    </row>
    <row r="49" spans="1:5">
      <c r="A49" s="4" t="s">
        <v>99</v>
      </c>
      <c r="B49">
        <v>2</v>
      </c>
      <c r="E49" s="4" t="s">
        <v>90</v>
      </c>
    </row>
    <row r="50" spans="1:5">
      <c r="A50" s="4" t="s">
        <v>98</v>
      </c>
      <c r="B50">
        <v>1</v>
      </c>
      <c r="E50" s="4" t="s">
        <v>91</v>
      </c>
    </row>
    <row r="51" spans="1:5">
      <c r="A51" s="4" t="s">
        <v>114</v>
      </c>
      <c r="B51">
        <v>1</v>
      </c>
      <c r="E51" s="4" t="s">
        <v>92</v>
      </c>
    </row>
    <row r="52" spans="1:5">
      <c r="A52" s="4" t="s">
        <v>100</v>
      </c>
      <c r="B52">
        <v>1</v>
      </c>
      <c r="E52" s="4" t="s">
        <v>93</v>
      </c>
    </row>
    <row r="53" spans="1:5">
      <c r="A53" s="4" t="s">
        <v>115</v>
      </c>
      <c r="B53">
        <v>0</v>
      </c>
      <c r="E53" s="4" t="s">
        <v>94</v>
      </c>
    </row>
    <row r="54" spans="1:5">
      <c r="A54" s="4" t="s">
        <v>90</v>
      </c>
      <c r="B54">
        <v>0</v>
      </c>
      <c r="E54" s="4" t="s">
        <v>95</v>
      </c>
    </row>
    <row r="55" spans="1:5">
      <c r="A55" s="4" t="s">
        <v>94</v>
      </c>
      <c r="B55">
        <v>0</v>
      </c>
      <c r="E55" s="4" t="s">
        <v>105</v>
      </c>
    </row>
    <row r="56" spans="1:5">
      <c r="A56" s="4" t="s">
        <v>95</v>
      </c>
      <c r="B56">
        <v>0</v>
      </c>
      <c r="E56" s="4" t="s">
        <v>96</v>
      </c>
    </row>
    <row r="57" spans="1:5">
      <c r="A57" s="4" t="s">
        <v>113</v>
      </c>
      <c r="B57">
        <v>0</v>
      </c>
      <c r="E57" s="4" t="s">
        <v>97</v>
      </c>
    </row>
    <row r="58" spans="1:5">
      <c r="A58" s="4" t="s">
        <v>104</v>
      </c>
      <c r="B58">
        <v>0</v>
      </c>
      <c r="E58" s="4" t="s">
        <v>98</v>
      </c>
    </row>
    <row r="59" spans="1:5">
      <c r="A59" s="4" t="s">
        <v>112</v>
      </c>
      <c r="B59">
        <v>0</v>
      </c>
      <c r="E59" s="4" t="s">
        <v>99</v>
      </c>
    </row>
    <row r="60" spans="1:5">
      <c r="A60" s="4" t="s">
        <v>96</v>
      </c>
      <c r="B60">
        <v>0</v>
      </c>
      <c r="E60" s="4" t="s">
        <v>100</v>
      </c>
    </row>
    <row r="61" spans="1:5">
      <c r="A61" s="4" t="s">
        <v>107</v>
      </c>
      <c r="B61">
        <v>0</v>
      </c>
      <c r="E61" s="4" t="s">
        <v>101</v>
      </c>
    </row>
    <row r="62" spans="1:5">
      <c r="A62" s="4" t="s">
        <v>97</v>
      </c>
      <c r="B62">
        <v>0</v>
      </c>
      <c r="E62" s="4" t="s">
        <v>106</v>
      </c>
    </row>
    <row r="63" spans="1:5">
      <c r="A63" s="4" t="s">
        <v>110</v>
      </c>
      <c r="B63">
        <v>0</v>
      </c>
      <c r="E63" s="4" t="s">
        <v>107</v>
      </c>
    </row>
    <row r="64" spans="1:5">
      <c r="A64" s="4" t="s">
        <v>92</v>
      </c>
      <c r="B64">
        <v>0</v>
      </c>
      <c r="E64" s="4" t="s">
        <v>108</v>
      </c>
    </row>
    <row r="65" spans="1:5">
      <c r="A65" s="4" t="s">
        <v>89</v>
      </c>
      <c r="B65">
        <v>0</v>
      </c>
      <c r="E65" s="4" t="s">
        <v>110</v>
      </c>
    </row>
    <row r="66" spans="1:5">
      <c r="A66" s="4" t="s">
        <v>82</v>
      </c>
      <c r="E66" s="4" t="s">
        <v>113</v>
      </c>
    </row>
    <row r="67" spans="1:5">
      <c r="A67" s="4" t="s">
        <v>116</v>
      </c>
      <c r="B67">
        <v>0</v>
      </c>
      <c r="E67" s="4" t="s">
        <v>114</v>
      </c>
    </row>
    <row r="68" spans="1:5">
      <c r="A68" s="4" t="s">
        <v>118</v>
      </c>
      <c r="B68">
        <v>0</v>
      </c>
      <c r="E68" s="4" t="s">
        <v>115</v>
      </c>
    </row>
    <row r="69" spans="1:5">
      <c r="A69" s="4" t="s">
        <v>117</v>
      </c>
      <c r="B69">
        <v>0</v>
      </c>
      <c r="E69" s="4" t="s">
        <v>116</v>
      </c>
    </row>
    <row r="70" spans="1:5">
      <c r="A70" s="4" t="s">
        <v>111</v>
      </c>
      <c r="B70">
        <v>0</v>
      </c>
      <c r="E70" s="4" t="s">
        <v>112</v>
      </c>
    </row>
    <row r="71" spans="1:5">
      <c r="A71" s="4" t="s">
        <v>106</v>
      </c>
      <c r="B71">
        <v>0</v>
      </c>
      <c r="E71" s="4" t="s">
        <v>117</v>
      </c>
    </row>
    <row r="72" spans="1:5">
      <c r="A72" s="4" t="s">
        <v>88</v>
      </c>
      <c r="B72">
        <v>0</v>
      </c>
      <c r="E72" s="4" t="s">
        <v>118</v>
      </c>
    </row>
    <row r="73" spans="1:5">
      <c r="A73" s="4" t="s">
        <v>101</v>
      </c>
      <c r="B73">
        <v>0</v>
      </c>
      <c r="E73" s="4" t="s">
        <v>111</v>
      </c>
    </row>
    <row r="74" spans="1:5">
      <c r="A74" s="4" t="s">
        <v>16</v>
      </c>
      <c r="B74">
        <v>16</v>
      </c>
      <c r="E7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General</vt:lpstr>
      <vt:lpstr>Goles Favor Contra</vt:lpstr>
      <vt:lpstr>Tarjetas Amarillas</vt:lpstr>
      <vt:lpstr>Tarjetas Rojas</vt:lpstr>
      <vt:lpstr>Plantilla</vt:lpstr>
      <vt:lpstr>Equipos</vt:lpstr>
      <vt:lpstr>Td_Jugad_rank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Ramón Codesido</dc:creator>
  <cp:lastModifiedBy>Ramón Codesido Lema</cp:lastModifiedBy>
  <dcterms:created xsi:type="dcterms:W3CDTF">2024-03-25T17:00:33Z</dcterms:created>
  <dcterms:modified xsi:type="dcterms:W3CDTF">2026-05-22T20:07:05Z</dcterms:modified>
</cp:coreProperties>
</file>